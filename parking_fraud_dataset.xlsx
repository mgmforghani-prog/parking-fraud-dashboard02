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تراکنش_تردد" sheetId="2" state="visible" r:id="rId4"/>
    <sheet name="تنظیمات" sheetId="3" state="visible" r:id="rId5"/>
    <sheet name="تعرفه" sheetId="4" state="visible" r:id="rId6"/>
    <sheet name="اپراتورها" sheetId="5" state="visible" r:id="rId7"/>
    <sheet name="پوزها" sheetId="6" state="visible" r:id="rId8"/>
    <sheet name="لیست_سفید" sheetId="7" state="visible" r:id="rId9"/>
    <sheet name="مغایرت_شیفت" sheetId="8" state="visible" r:id="rId10"/>
    <sheet name="تراز_ظرفیت" sheetId="9" state="visible" r:id="rId11"/>
    <sheet name="خلاصه_KPI" sheetId="10" state="visible" r:id="rId12"/>
  </sheets>
  <definedNames>
    <definedName function="false" hidden="true" localSheetId="1" name="_xlnm._FilterDatabase" vbProcedure="false">تراکنش_تردد!$A$1:$BJ$1001</definedName>
    <definedName function="false" hidden="true" localSheetId="7" name="_xlnm._FilterDatabase" vbProcedure="false">مغایرت_شیفت!$A$1:$K$71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<sst xmlns="http://schemas.openxmlformats.org/spreadsheetml/2006/main" count="22931" uniqueCount="3493">
  <si>
    <t xml:space="preserve">دیتاست شبیه‌سازی‌شده پارکینگ هوشمند برای ممیزی و کشف تقلب</t>
  </si>
  <si>
    <t xml:space="preserve">• این فایل بر اساس «سند جامع کشف تقلب، خطاها و الگوهای ناهنجاری در مدیریت پارکینگ» ساخته شده و کاملاً ساختگی (Synthetic) است؛ نام‌ها، پلاک‌ها و مبالغ واقعی نیستند.</t>
  </si>
  <si>
    <t xml:space="preserve">• بازه داده: 2026-09-16 06:00 تا 2026-09-30 06:00 (۱۴ روز، ۴۲ شیفت، ۸ اپراتور، ۲ گیت ورود E1/E2، ۲ گیت خروج X1/X2).</t>
  </si>
  <si>
    <t xml:space="preserve">• تعرفه، فرجه و آستانه‌ها در شیت «تنظیمات» هستند (آستانه‌ها از سند؛ تعرفه‌ها فرض تحلیل‌گر). با تغییر آن‌ها ستون‌های فرمولی بازمحاسبه می‌شوند.</t>
  </si>
  <si>
    <t xml:space="preserve">• واحد پول: تومان. تاریخ‌ها میلادی. ستون‌های آبی‌رنگ در شیت‌های کمکی ورودی/فرضی هستند.</t>
  </si>
  <si>
    <t xml:space="preserve">• ستون «Fraud_Scenario_Label» برچسب واقعی سناریو است (برای آموزش/ارزیابی مدل)؛ برای تست کور حذف کنید.</t>
  </si>
  <si>
    <t xml:space="preserve">• دو اپراتور پرخطر عمداً تعریف شده‌اند: OP-03 (برداشت نقد، ابطال پس از خروج، فرجه، پوز شخصی) و OP-06 (ویرایش پلاک، راهبند، تبانی).</t>
  </si>
  <si>
    <t xml:space="preserve">• شیت‌ها: تراکنش_تردد (۱۰۰۰ ردیف) | تنظیمات | تعرفه | اپراتورها (پروفایل و Z-Score) | پوزها | لیست_سفید | مغایرت_شیفت | تراز_ظرفیت | خلاصه_KPI</t>
  </si>
  <si>
    <t xml:space="preserve">دیکشنری ستون‌های شیت تراکنش_تردد</t>
  </si>
  <si>
    <t xml:space="preserve">حرف ستون</t>
  </si>
  <si>
    <t xml:space="preserve">عنوان فارسی</t>
  </si>
  <si>
    <t xml:space="preserve">نام انگلیسی</t>
  </si>
  <si>
    <t xml:space="preserve">منبع داده</t>
  </si>
  <si>
    <t xml:space="preserve">توضیح</t>
  </si>
  <si>
    <t xml:space="preserve">A</t>
  </si>
  <si>
    <t xml:space="preserve">شناسه رویداد</t>
  </si>
  <si>
    <t xml:space="preserve">Event_ID</t>
  </si>
  <si>
    <t xml:space="preserve">PMS</t>
  </si>
  <si>
    <t xml:space="preserve">کلید یکتای رویداد تردد</t>
  </si>
  <si>
    <t xml:space="preserve">B</t>
  </si>
  <si>
    <t xml:space="preserve">پلاک نهایی</t>
  </si>
  <si>
    <t xml:space="preserve">Plate</t>
  </si>
  <si>
    <t xml:space="preserve">ANPR/PMS</t>
  </si>
  <si>
    <r>
      <rPr>
        <sz val="11"/>
        <color theme="1"/>
        <rFont val="FreeSans"/>
        <family val="2"/>
      </rPr>
      <t xml:space="preserve">پلاک نهایی ثبت‌شده در سیستم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پس از ویرایش احتمالی</t>
    </r>
    <r>
      <rPr>
        <sz val="11"/>
        <color theme="1"/>
        <rFont val="Calibri"/>
        <family val="2"/>
        <charset val="1"/>
      </rPr>
      <t xml:space="preserve">)</t>
    </r>
  </si>
  <si>
    <t xml:space="preserve">C</t>
  </si>
  <si>
    <t xml:space="preserve">پلاک خوانده‌شده اولیه</t>
  </si>
  <si>
    <t xml:space="preserve">Plate_OCR_Original</t>
  </si>
  <si>
    <t xml:space="preserve">ANPR</t>
  </si>
  <si>
    <t xml:space="preserve">خروجی خام پلاک‌خوان؛ فقط در صورت ویرایش دستی پر می‌شود</t>
  </si>
  <si>
    <t xml:space="preserve">D</t>
  </si>
  <si>
    <t xml:space="preserve">مدل خودرو</t>
  </si>
  <si>
    <t xml:space="preserve">Vehicle_Model</t>
  </si>
  <si>
    <t xml:space="preserve">مدل تشخیص‌داده‌شده خودرو</t>
  </si>
  <si>
    <t xml:space="preserve">E</t>
  </si>
  <si>
    <t xml:space="preserve">رنگ</t>
  </si>
  <si>
    <t xml:space="preserve">Vehicle_Color</t>
  </si>
  <si>
    <t xml:space="preserve">رنگ خودرو</t>
  </si>
  <si>
    <t xml:space="preserve">F</t>
  </si>
  <si>
    <t xml:space="preserve">رده خودرو</t>
  </si>
  <si>
    <t xml:space="preserve">Vehicle_Segment</t>
  </si>
  <si>
    <r>
      <rPr>
        <sz val="11"/>
        <color theme="1"/>
        <rFont val="FreeSans"/>
        <family val="2"/>
      </rPr>
      <t xml:space="preserve">اقتصادی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لوکس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برای تحلیل تمرکز اضافه‌دریافتی</t>
    </r>
    <r>
      <rPr>
        <sz val="11"/>
        <color theme="1"/>
        <rFont val="Calibri"/>
        <family val="2"/>
        <charset val="1"/>
      </rPr>
      <t xml:space="preserve">)</t>
    </r>
  </si>
  <si>
    <t xml:space="preserve">G</t>
  </si>
  <si>
    <t xml:space="preserve">زمان ورود</t>
  </si>
  <si>
    <t xml:space="preserve">In_Time</t>
  </si>
  <si>
    <r>
      <rPr>
        <sz val="11"/>
        <color theme="1"/>
        <rFont val="FreeSans"/>
        <family val="2"/>
      </rPr>
      <t xml:space="preserve">زمان ورود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میلادی</t>
    </r>
    <r>
      <rPr>
        <sz val="11"/>
        <color theme="1"/>
        <rFont val="Calibri"/>
        <family val="2"/>
        <charset val="1"/>
      </rPr>
      <t xml:space="preserve">)</t>
    </r>
  </si>
  <si>
    <t xml:space="preserve">H</t>
  </si>
  <si>
    <t xml:space="preserve">زمان خروج</t>
  </si>
  <si>
    <t xml:space="preserve">Out_Time</t>
  </si>
  <si>
    <r>
      <rPr>
        <sz val="11"/>
        <color theme="1"/>
        <rFont val="FreeSans"/>
        <family val="2"/>
      </rPr>
      <t xml:space="preserve">زمان خروج؛ خالی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هنوز داخل پارکینگ</t>
    </r>
  </si>
  <si>
    <t xml:space="preserve">I</t>
  </si>
  <si>
    <r>
      <rPr>
        <sz val="11"/>
        <color theme="1"/>
        <rFont val="FreeSans"/>
        <family val="2"/>
      </rPr>
      <t xml:space="preserve">مدت توقف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دقیقه</t>
    </r>
    <r>
      <rPr>
        <sz val="11"/>
        <color theme="1"/>
        <rFont val="Calibri"/>
        <family val="2"/>
        <charset val="1"/>
      </rPr>
      <t xml:space="preserve">)</t>
    </r>
  </si>
  <si>
    <t xml:space="preserve">Duration</t>
  </si>
  <si>
    <r>
      <rPr>
        <sz val="11"/>
        <color theme="1"/>
        <rFont val="FreeSans"/>
        <family val="2"/>
      </rPr>
      <t xml:space="preserve">محاسباتی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فرمول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</si>
  <si>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فرمول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خروج − ورود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برای خودروهای داخل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تا </t>
    </r>
    <r>
      <rPr>
        <sz val="11"/>
        <color theme="1"/>
        <rFont val="Calibri"/>
        <family val="2"/>
        <charset val="1"/>
      </rPr>
      <t xml:space="preserve">AsOf)</t>
    </r>
  </si>
  <si>
    <t xml:space="preserve">J</t>
  </si>
  <si>
    <t xml:space="preserve">گیت ورود</t>
  </si>
  <si>
    <t xml:space="preserve">Entry_Gate</t>
  </si>
  <si>
    <t xml:space="preserve">Sensor</t>
  </si>
  <si>
    <t xml:space="preserve">E1 / E2</t>
  </si>
  <si>
    <t xml:space="preserve">K</t>
  </si>
  <si>
    <t xml:space="preserve">گیت خروج</t>
  </si>
  <si>
    <t xml:space="preserve">Exit_Gate</t>
  </si>
  <si>
    <r>
      <rPr>
        <sz val="11"/>
        <color theme="1"/>
        <rFont val="Calibri"/>
        <family val="2"/>
        <charset val="1"/>
      </rPr>
      <t xml:space="preserve">X1 / X2 (E1/E2 = </t>
    </r>
    <r>
      <rPr>
        <sz val="11"/>
        <color theme="1"/>
        <rFont val="FreeSans"/>
        <family val="2"/>
      </rPr>
      <t xml:space="preserve">خروج از گیت ورودی</t>
    </r>
    <r>
      <rPr>
        <sz val="11"/>
        <color theme="1"/>
        <rFont val="Calibri"/>
        <family val="2"/>
        <charset val="1"/>
      </rPr>
      <t xml:space="preserve">)</t>
    </r>
  </si>
  <si>
    <t xml:space="preserve">L</t>
  </si>
  <si>
    <r>
      <rPr>
        <sz val="11"/>
        <color theme="1"/>
        <rFont val="FreeSans"/>
        <family val="2"/>
      </rPr>
      <t xml:space="preserve">اطمینان </t>
    </r>
    <r>
      <rPr>
        <sz val="11"/>
        <color theme="1"/>
        <rFont val="Calibri"/>
        <family val="2"/>
        <charset val="1"/>
      </rPr>
      <t xml:space="preserve">OCR </t>
    </r>
    <r>
      <rPr>
        <sz val="11"/>
        <color theme="1"/>
        <rFont val="FreeSans"/>
        <family val="2"/>
      </rPr>
      <t xml:space="preserve">ورود</t>
    </r>
  </si>
  <si>
    <t xml:space="preserve">ANPR_Conf_In</t>
  </si>
  <si>
    <t xml:space="preserve">ضریب اطمینان پلاک‌خوان در ورود</t>
  </si>
  <si>
    <t xml:space="preserve">M</t>
  </si>
  <si>
    <r>
      <rPr>
        <sz val="11"/>
        <color theme="1"/>
        <rFont val="FreeSans"/>
        <family val="2"/>
      </rPr>
      <t xml:space="preserve">اطمینان </t>
    </r>
    <r>
      <rPr>
        <sz val="11"/>
        <color theme="1"/>
        <rFont val="Calibri"/>
        <family val="2"/>
        <charset val="1"/>
      </rPr>
      <t xml:space="preserve">OCR </t>
    </r>
    <r>
      <rPr>
        <sz val="11"/>
        <color theme="1"/>
        <rFont val="FreeSans"/>
        <family val="2"/>
      </rPr>
      <t xml:space="preserve">خروج</t>
    </r>
  </si>
  <si>
    <t xml:space="preserve">ANPR_Conf_Out</t>
  </si>
  <si>
    <r>
      <rPr>
        <sz val="11"/>
        <color theme="1"/>
        <rFont val="FreeSans"/>
        <family val="2"/>
      </rPr>
      <t xml:space="preserve">ضریب اطمینان پلاک‌خوان در خروج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خالی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عدم ثبت</t>
    </r>
    <r>
      <rPr>
        <sz val="11"/>
        <color theme="1"/>
        <rFont val="Calibri"/>
        <family val="2"/>
        <charset val="1"/>
      </rPr>
      <t xml:space="preserve">)</t>
    </r>
  </si>
  <si>
    <t xml:space="preserve">N</t>
  </si>
  <si>
    <t xml:space="preserve">ویرایش دستی پلاک</t>
  </si>
  <si>
    <t xml:space="preserve">Manual_Edit</t>
  </si>
  <si>
    <r>
      <rPr>
        <sz val="11"/>
        <color theme="1"/>
        <rFont val="FreeSans"/>
        <family val="2"/>
      </rPr>
      <t xml:space="preserve">بله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خیر</t>
    </r>
  </si>
  <si>
    <t xml:space="preserve">O</t>
  </si>
  <si>
    <t xml:space="preserve">شناسه اپراتور</t>
  </si>
  <si>
    <t xml:space="preserve">Operator_ID</t>
  </si>
  <si>
    <t xml:space="preserve">صندوقدار شیفت</t>
  </si>
  <si>
    <t xml:space="preserve">P</t>
  </si>
  <si>
    <t xml:space="preserve">شیفت</t>
  </si>
  <si>
    <t xml:space="preserve">Shift</t>
  </si>
  <si>
    <r>
      <rPr>
        <sz val="11"/>
        <color theme="1"/>
        <rFont val="FreeSans"/>
        <family val="2"/>
      </rPr>
      <t xml:space="preserve">صبح </t>
    </r>
    <r>
      <rPr>
        <sz val="11"/>
        <color theme="1"/>
        <rFont val="Calibri"/>
        <family val="2"/>
        <charset val="1"/>
      </rPr>
      <t xml:space="preserve">06-14 / </t>
    </r>
    <r>
      <rPr>
        <sz val="11"/>
        <color theme="1"/>
        <rFont val="FreeSans"/>
        <family val="2"/>
      </rPr>
      <t xml:space="preserve">عصر </t>
    </r>
    <r>
      <rPr>
        <sz val="11"/>
        <color theme="1"/>
        <rFont val="Calibri"/>
        <family val="2"/>
        <charset val="1"/>
      </rPr>
      <t xml:space="preserve">14-22 / </t>
    </r>
    <r>
      <rPr>
        <sz val="11"/>
        <color theme="1"/>
        <rFont val="FreeSans"/>
        <family val="2"/>
      </rPr>
      <t xml:space="preserve">شب </t>
    </r>
    <r>
      <rPr>
        <sz val="11"/>
        <color theme="1"/>
        <rFont val="Calibri"/>
        <family val="2"/>
        <charset val="1"/>
      </rPr>
      <t xml:space="preserve">22-06</t>
    </r>
  </si>
  <si>
    <t xml:space="preserve">Q</t>
  </si>
  <si>
    <t xml:space="preserve">تاریخ شیفت</t>
  </si>
  <si>
    <t xml:space="preserve">Shift_Date</t>
  </si>
  <si>
    <t xml:space="preserve">تاریخ شروع شیفت</t>
  </si>
  <si>
    <t xml:space="preserve">R</t>
  </si>
  <si>
    <t xml:space="preserve">شماره فیش</t>
  </si>
  <si>
    <t xml:space="preserve">Ticket_No</t>
  </si>
  <si>
    <t xml:space="preserve">S</t>
  </si>
  <si>
    <t xml:space="preserve">وضعیت فیش</t>
  </si>
  <si>
    <t xml:space="preserve">Ticket_Status</t>
  </si>
  <si>
    <r>
      <rPr>
        <sz val="11"/>
        <color theme="1"/>
        <rFont val="FreeSans"/>
        <family val="2"/>
      </rPr>
      <t xml:space="preserve">تسویه‌شده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ابطال‌شده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ابطال و بازصدور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داخل پارکینگ</t>
    </r>
  </si>
  <si>
    <t xml:space="preserve">T</t>
  </si>
  <si>
    <t xml:space="preserve">زمان ابطال</t>
  </si>
  <si>
    <t xml:space="preserve">Void_Time</t>
  </si>
  <si>
    <t xml:space="preserve">زمان ابطال فیش</t>
  </si>
  <si>
    <t xml:space="preserve">U</t>
  </si>
  <si>
    <t xml:space="preserve">پالس لوپ خروج</t>
  </si>
  <si>
    <t xml:space="preserve">Loop_Pulses</t>
  </si>
  <si>
    <t xml:space="preserve">تعداد پالس لوپ متالیک</t>
  </si>
  <si>
    <t xml:space="preserve">V</t>
  </si>
  <si>
    <t xml:space="preserve">تراکنش ثبت‌شده</t>
  </si>
  <si>
    <t xml:space="preserve">Recorded_Transactions</t>
  </si>
  <si>
    <t xml:space="preserve">تعداد تراکنش ثبت‌شده برای همین عبور</t>
  </si>
  <si>
    <t xml:space="preserve">W</t>
  </si>
  <si>
    <r>
      <rPr>
        <sz val="11"/>
        <color theme="1"/>
        <rFont val="FreeSans"/>
        <family val="2"/>
      </rPr>
      <t xml:space="preserve">باز ماندن راهبند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ثانیه</t>
    </r>
    <r>
      <rPr>
        <sz val="11"/>
        <color theme="1"/>
        <rFont val="Calibri"/>
        <family val="2"/>
        <charset val="1"/>
      </rPr>
      <t xml:space="preserve">)</t>
    </r>
  </si>
  <si>
    <t xml:space="preserve">Barrier_Dwell</t>
  </si>
  <si>
    <t xml:space="preserve">مدت باز ماندن راهبند</t>
  </si>
  <si>
    <t xml:space="preserve">X</t>
  </si>
  <si>
    <t xml:space="preserve">بازکردن دستی راهبند</t>
  </si>
  <si>
    <t xml:space="preserve">Manual_Barrier_Open</t>
  </si>
  <si>
    <t xml:space="preserve">Y</t>
  </si>
  <si>
    <t xml:space="preserve">ترتیب لوپ‌ها</t>
  </si>
  <si>
    <t xml:space="preserve">Loop_Sequence</t>
  </si>
  <si>
    <r>
      <rPr>
        <sz val="11"/>
        <color theme="1"/>
        <rFont val="FreeSans"/>
        <family val="2"/>
      </rPr>
      <t xml:space="preserve">عادی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معکوس</t>
    </r>
  </si>
  <si>
    <t xml:space="preserve">Z</t>
  </si>
  <si>
    <t xml:space="preserve">نحوه پرداخت</t>
  </si>
  <si>
    <t xml:space="preserve">Pay_Mode</t>
  </si>
  <si>
    <r>
      <rPr>
        <sz val="11"/>
        <color theme="1"/>
        <rFont val="FreeSans"/>
        <family val="2"/>
      </rPr>
      <t xml:space="preserve">نقد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پوز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اشتراک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معاف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فرجه رایگان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بدون ثبت پرداخت</t>
    </r>
  </si>
  <si>
    <t xml:space="preserve">AA</t>
  </si>
  <si>
    <t xml:space="preserve">ترمینال پوز</t>
  </si>
  <si>
    <t xml:space="preserve">POS_Terminal_ID</t>
  </si>
  <si>
    <t xml:space="preserve">POS</t>
  </si>
  <si>
    <t xml:space="preserve">شناسه ترمینال پوز</t>
  </si>
  <si>
    <t xml:space="preserve">AB</t>
  </si>
  <si>
    <r>
      <rPr>
        <sz val="11"/>
        <color theme="1"/>
        <rFont val="FreeSans"/>
        <family val="2"/>
      </rPr>
      <t xml:space="preserve">کد پیگیری </t>
    </r>
    <r>
      <rPr>
        <sz val="11"/>
        <color theme="1"/>
        <rFont val="Calibri"/>
        <family val="2"/>
        <charset val="1"/>
      </rPr>
      <t xml:space="preserve">RRN</t>
    </r>
  </si>
  <si>
    <t xml:space="preserve">POS_RRN</t>
  </si>
  <si>
    <t xml:space="preserve">کد ۱۲ رقمی شتابی</t>
  </si>
  <si>
    <t xml:space="preserve">AC</t>
  </si>
  <si>
    <t xml:space="preserve">زمان تراکنش بانکی</t>
  </si>
  <si>
    <t xml:space="preserve">POS_Time</t>
  </si>
  <si>
    <t xml:space="preserve">زمان تراکنش</t>
  </si>
  <si>
    <t xml:space="preserve">AD</t>
  </si>
  <si>
    <t xml:space="preserve">نوع تعرفه</t>
  </si>
  <si>
    <t xml:space="preserve">Tariff_Type</t>
  </si>
  <si>
    <t xml:space="preserve">مطابق شیت تعرفه</t>
  </si>
  <si>
    <t xml:space="preserve">AE</t>
  </si>
  <si>
    <t xml:space="preserve">کد تخفیف</t>
  </si>
  <si>
    <t xml:space="preserve">Discount_ID</t>
  </si>
  <si>
    <t xml:space="preserve">شناسه بن تخفیف</t>
  </si>
  <si>
    <t xml:space="preserve">AF</t>
  </si>
  <si>
    <t xml:space="preserve">عضو لیست سفید</t>
  </si>
  <si>
    <t xml:space="preserve">Whitelist_Member</t>
  </si>
  <si>
    <r>
      <rPr>
        <sz val="11"/>
        <color theme="1"/>
        <rFont val="FreeSans"/>
        <family val="2"/>
      </rPr>
      <t xml:space="preserve">فرمول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جستجوی پلاک در شیت لیست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FreeSans"/>
        <family val="2"/>
      </rPr>
      <t xml:space="preserve">سفید</t>
    </r>
  </si>
  <si>
    <t xml:space="preserve">AG</t>
  </si>
  <si>
    <r>
      <rPr>
        <sz val="11"/>
        <color theme="1"/>
        <rFont val="FreeSans"/>
        <family val="2"/>
      </rPr>
      <t xml:space="preserve">مبلغ محاسبه‌شده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</si>
  <si>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t xml:space="preserve">Fare_Calc</t>
  </si>
  <si>
    <r>
      <rPr>
        <sz val="11"/>
        <color theme="1"/>
        <rFont val="FreeSans"/>
        <family val="2"/>
      </rPr>
      <t xml:space="preserve">فرمول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تعرفه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مدت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ضریب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شیت تنظیمات</t>
    </r>
    <r>
      <rPr>
        <sz val="11"/>
        <color theme="1"/>
        <rFont val="Calibri"/>
        <family val="2"/>
        <charset val="1"/>
      </rPr>
      <t xml:space="preserve">)</t>
    </r>
  </si>
  <si>
    <t xml:space="preserve">AH</t>
  </si>
  <si>
    <r>
      <rPr>
        <sz val="11"/>
        <color theme="1"/>
        <rFont val="FreeSans"/>
        <family val="2"/>
      </rPr>
      <t xml:space="preserve">مبلغ دریافتی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</si>
  <si>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t xml:space="preserve">Fare_Paid</t>
  </si>
  <si>
    <r>
      <rPr>
        <sz val="11"/>
        <color theme="1"/>
        <rFont val="FreeSans"/>
        <family val="2"/>
      </rPr>
      <t xml:space="preserve">مبلغ ثبت‌شده در </t>
    </r>
    <r>
      <rPr>
        <sz val="11"/>
        <color theme="1"/>
        <rFont val="Calibri"/>
        <family val="2"/>
        <charset val="1"/>
      </rPr>
      <t xml:space="preserve">PMS</t>
    </r>
  </si>
  <si>
    <t xml:space="preserve">AI</t>
  </si>
  <si>
    <t xml:space="preserve">اختلاف مبلغ</t>
  </si>
  <si>
    <t xml:space="preserve">Fare_Diff</t>
  </si>
  <si>
    <t xml:space="preserve">دریافتی − محاسبه‌شده</t>
  </si>
  <si>
    <t xml:space="preserve">AJ</t>
  </si>
  <si>
    <r>
      <rPr>
        <sz val="11"/>
        <color theme="1"/>
        <rFont val="FreeSans"/>
        <family val="2"/>
      </rPr>
      <t xml:space="preserve">انحراف ساعت گیت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سرور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ثانیه</t>
    </r>
    <r>
      <rPr>
        <sz val="11"/>
        <color theme="1"/>
        <rFont val="Calibri"/>
        <family val="2"/>
        <charset val="1"/>
      </rPr>
      <t xml:space="preserve">)</t>
    </r>
  </si>
  <si>
    <t xml:space="preserve">Server_Time_Diff</t>
  </si>
  <si>
    <r>
      <rPr>
        <sz val="11"/>
        <color theme="1"/>
        <rFont val="FreeSans"/>
        <family val="2"/>
      </rPr>
      <t xml:space="preserve">ساعت گیت منهای ساعت </t>
    </r>
    <r>
      <rPr>
        <sz val="11"/>
        <color theme="1"/>
        <rFont val="Calibri"/>
        <family val="2"/>
        <charset val="1"/>
      </rPr>
      <t xml:space="preserve">NTP</t>
    </r>
  </si>
  <si>
    <t xml:space="preserve">AK</t>
  </si>
  <si>
    <r>
      <rPr>
        <sz val="11"/>
        <color theme="1"/>
        <rFont val="FreeSans"/>
        <family val="2"/>
      </rPr>
      <t xml:space="preserve">قطعی دوربین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ثانیه</t>
    </r>
    <r>
      <rPr>
        <sz val="11"/>
        <color theme="1"/>
        <rFont val="Calibri"/>
        <family val="2"/>
        <charset val="1"/>
      </rPr>
      <t xml:space="preserve">)</t>
    </r>
  </si>
  <si>
    <t xml:space="preserve">Camera_Drop_Sec</t>
  </si>
  <si>
    <r>
      <rPr>
        <sz val="11"/>
        <color theme="1"/>
        <rFont val="FreeSans"/>
        <family val="2"/>
      </rPr>
      <t xml:space="preserve">مدت افت </t>
    </r>
    <r>
      <rPr>
        <sz val="11"/>
        <color theme="1"/>
        <rFont val="Calibri"/>
        <family val="2"/>
        <charset val="1"/>
      </rPr>
      <t xml:space="preserve">Heartbeat/RTSP</t>
    </r>
  </si>
  <si>
    <t xml:space="preserve">AL</t>
  </si>
  <si>
    <t xml:space="preserve">حالت آفلاین</t>
  </si>
  <si>
    <t xml:space="preserve">Offline_Mode</t>
  </si>
  <si>
    <t xml:space="preserve">AM</t>
  </si>
  <si>
    <t xml:space="preserve">وضعیت سنسور جای پارک</t>
  </si>
  <si>
    <t xml:space="preserve">Slot_Sensor_Status</t>
  </si>
  <si>
    <r>
      <rPr>
        <sz val="11"/>
        <color theme="1"/>
        <rFont val="FreeSans"/>
        <family val="2"/>
      </rPr>
      <t xml:space="preserve">فقط برای خودروهای داخل پارکینگ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پر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خالی</t>
    </r>
  </si>
  <si>
    <t xml:space="preserve">AN</t>
  </si>
  <si>
    <t xml:space="preserve">ورود قبلی ثبت‌شده</t>
  </si>
  <si>
    <t xml:space="preserve">Prior_Entry_Exists</t>
  </si>
  <si>
    <r>
      <rPr>
        <sz val="11"/>
        <color theme="1"/>
        <rFont val="FreeSans"/>
        <family val="2"/>
      </rPr>
      <t xml:space="preserve">خیر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خروج بدون ورود</t>
    </r>
  </si>
  <si>
    <t xml:space="preserve">AO</t>
  </si>
  <si>
    <t xml:space="preserve">تصویر ورود موجود</t>
  </si>
  <si>
    <t xml:space="preserve">Entry_Image_Exists</t>
  </si>
  <si>
    <t xml:space="preserve">آیا تصویر ورود همین خودرو در گیت ثبت شده</t>
  </si>
  <si>
    <t xml:space="preserve">AP</t>
  </si>
  <si>
    <t xml:space="preserve">سابقه توقف همان پلاک</t>
  </si>
  <si>
    <t xml:space="preserve">Historical_In_Park</t>
  </si>
  <si>
    <r>
      <rPr>
        <sz val="11"/>
        <color theme="1"/>
        <rFont val="FreeSans"/>
        <family val="2"/>
      </rPr>
      <t xml:space="preserve">بله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فیش قدیمی باز برای همین پلاک وجود دارد</t>
    </r>
  </si>
  <si>
    <t xml:space="preserve">AQ</t>
  </si>
  <si>
    <r>
      <rPr>
        <sz val="11"/>
        <color theme="1"/>
        <rFont val="FreeSans"/>
        <family val="2"/>
      </rPr>
      <t xml:space="preserve">تطبیق سابقه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مفقودی</t>
    </r>
    <r>
      <rPr>
        <sz val="11"/>
        <color theme="1"/>
        <rFont val="Calibri"/>
        <family val="2"/>
        <charset val="1"/>
      </rPr>
      <t xml:space="preserve">)</t>
    </r>
  </si>
  <si>
    <t xml:space="preserve">Plate_History_Match</t>
  </si>
  <si>
    <r>
      <rPr>
        <sz val="11"/>
        <color theme="1"/>
        <rFont val="FreeSans"/>
        <family val="2"/>
      </rPr>
      <t xml:space="preserve">فقط فیش مفقودی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سابقه ورود با جستجوی پلاک پیدا شد؟</t>
    </r>
  </si>
  <si>
    <t xml:space="preserve">AR</t>
  </si>
  <si>
    <t xml:space="preserve">ابطال پس از خروج</t>
  </si>
  <si>
    <t xml:space="preserve">Flag_Void_After_Exit</t>
  </si>
  <si>
    <r>
      <rPr>
        <sz val="11"/>
        <color theme="1"/>
        <rFont val="Calibri"/>
        <family val="2"/>
        <charset val="1"/>
      </rPr>
      <t xml:space="preserve">Flag (</t>
    </r>
    <r>
      <rPr>
        <sz val="11"/>
        <color theme="1"/>
        <rFont val="FreeSans"/>
        <family val="2"/>
      </rPr>
      <t xml:space="preserve">فرمول</t>
    </r>
    <r>
      <rPr>
        <sz val="11"/>
        <color theme="1"/>
        <rFont val="Calibri"/>
        <family val="2"/>
        <charset val="1"/>
      </rPr>
      <t xml:space="preserve">)</t>
    </r>
  </si>
  <si>
    <t xml:space="preserve">ابطال کمتر از آستانه پس از پالس لوپ خروج</t>
  </si>
  <si>
    <t xml:space="preserve">AS</t>
  </si>
  <si>
    <r>
      <rPr>
        <sz val="11"/>
        <color theme="1"/>
        <rFont val="FreeSans"/>
        <family val="2"/>
      </rPr>
      <t xml:space="preserve">پوز نامعتبر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بدون </t>
    </r>
    <r>
      <rPr>
        <sz val="11"/>
        <color theme="1"/>
        <rFont val="Calibri"/>
        <family val="2"/>
        <charset val="1"/>
      </rPr>
      <t xml:space="preserve">RRN</t>
    </r>
  </si>
  <si>
    <t xml:space="preserve">Flag_POS_Invalid</t>
  </si>
  <si>
    <r>
      <rPr>
        <sz val="11"/>
        <color theme="1"/>
        <rFont val="FreeSans"/>
        <family val="2"/>
      </rPr>
      <t xml:space="preserve">پرداخت پوز بدون </t>
    </r>
    <r>
      <rPr>
        <sz val="11"/>
        <color theme="1"/>
        <rFont val="Calibri"/>
        <family val="2"/>
        <charset val="1"/>
      </rPr>
      <t xml:space="preserve">RRN </t>
    </r>
    <r>
      <rPr>
        <sz val="11"/>
        <color theme="1"/>
        <rFont val="FreeSans"/>
        <family val="2"/>
      </rPr>
      <t xml:space="preserve">یا ترمینال خارج از لیست</t>
    </r>
  </si>
  <si>
    <t xml:space="preserve">AT</t>
  </si>
  <si>
    <t xml:space="preserve">اضافه‌دریافتی</t>
  </si>
  <si>
    <t xml:space="preserve">Flag_Overcharge</t>
  </si>
  <si>
    <r>
      <rPr>
        <sz val="11"/>
        <color theme="1"/>
        <rFont val="FreeSans"/>
        <family val="2"/>
      </rPr>
      <t xml:space="preserve">دریافتی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محاسبه‌شده</t>
    </r>
  </si>
  <si>
    <t xml:space="preserve">AU</t>
  </si>
  <si>
    <t xml:space="preserve">کم‌ثبتی</t>
  </si>
  <si>
    <t xml:space="preserve">Flag_Underpay</t>
  </si>
  <si>
    <r>
      <rPr>
        <sz val="11"/>
        <color theme="1"/>
        <rFont val="FreeSans"/>
        <family val="2"/>
      </rPr>
      <t xml:space="preserve">دریافتی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FreeSans"/>
        <family val="2"/>
      </rPr>
      <t xml:space="preserve">محاسبه‌شده</t>
    </r>
  </si>
  <si>
    <t xml:space="preserve">AV</t>
  </si>
  <si>
    <t xml:space="preserve">قطار ماشین</t>
  </si>
  <si>
    <t xml:space="preserve">Flag_Tailgating</t>
  </si>
  <si>
    <r>
      <rPr>
        <sz val="11"/>
        <color theme="1"/>
        <rFont val="FreeSans"/>
        <family val="2"/>
      </rPr>
      <t xml:space="preserve">پالس لوپ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تراکنش ثبت‌شده</t>
    </r>
  </si>
  <si>
    <t xml:space="preserve">AW</t>
  </si>
  <si>
    <t xml:space="preserve">باز نگه‌داشتن راهبند</t>
  </si>
  <si>
    <t xml:space="preserve">Flag_Barrier_Keep_Open</t>
  </si>
  <si>
    <r>
      <rPr>
        <sz val="11"/>
        <color theme="1"/>
        <rFont val="FreeSans"/>
        <family val="2"/>
      </rPr>
      <t xml:space="preserve">مدت باز ماندن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آستانه یا بازکردن دستی</t>
    </r>
  </si>
  <si>
    <t xml:space="preserve">AX</t>
  </si>
  <si>
    <r>
      <rPr>
        <sz val="11"/>
        <color theme="1"/>
        <rFont val="FreeSans"/>
        <family val="2"/>
      </rPr>
      <t xml:space="preserve">ویرایش پلاک با </t>
    </r>
    <r>
      <rPr>
        <sz val="11"/>
        <color theme="1"/>
        <rFont val="Calibri"/>
        <family val="2"/>
        <charset val="1"/>
      </rPr>
      <t xml:space="preserve">OCR </t>
    </r>
    <r>
      <rPr>
        <sz val="11"/>
        <color theme="1"/>
        <rFont val="FreeSans"/>
        <family val="2"/>
      </rPr>
      <t xml:space="preserve">بالا</t>
    </r>
  </si>
  <si>
    <t xml:space="preserve">Flag_Manual_Edit_HighConf</t>
  </si>
  <si>
    <r>
      <rPr>
        <sz val="11"/>
        <color theme="1"/>
        <rFont val="FreeSans"/>
        <family val="2"/>
      </rPr>
      <t xml:space="preserve">ویرایش دستی با اطمینان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آستانه</t>
    </r>
  </si>
  <si>
    <t xml:space="preserve">AY</t>
  </si>
  <si>
    <t xml:space="preserve">خلاف جهت</t>
  </si>
  <si>
    <t xml:space="preserve">Flag_Wrong_Direction</t>
  </si>
  <si>
    <t xml:space="preserve">ترتیب معکوس لوپ‌ها</t>
  </si>
  <si>
    <t xml:space="preserve">AZ</t>
  </si>
  <si>
    <t xml:space="preserve">انحراف ساعت</t>
  </si>
  <si>
    <t xml:space="preserve">Flag_Time_Drift</t>
  </si>
  <si>
    <r>
      <rPr>
        <sz val="11"/>
        <color theme="1"/>
        <rFont val="Calibri"/>
        <family val="2"/>
        <charset val="1"/>
      </rPr>
      <t xml:space="preserve">|</t>
    </r>
    <r>
      <rPr>
        <sz val="11"/>
        <color theme="1"/>
        <rFont val="FreeSans"/>
        <family val="2"/>
      </rPr>
      <t xml:space="preserve">انحراف ساعت</t>
    </r>
    <r>
      <rPr>
        <sz val="11"/>
        <color theme="1"/>
        <rFont val="Calibri"/>
        <family val="2"/>
        <charset val="1"/>
      </rPr>
      <t xml:space="preserve">| &gt; </t>
    </r>
    <r>
      <rPr>
        <sz val="11"/>
        <color theme="1"/>
        <rFont val="FreeSans"/>
        <family val="2"/>
      </rPr>
      <t xml:space="preserve">آستانه</t>
    </r>
  </si>
  <si>
    <t xml:space="preserve">BA</t>
  </si>
  <si>
    <t xml:space="preserve">معافیت غیرمجاز</t>
  </si>
  <si>
    <t xml:space="preserve">Flag_Exempt_NoWhitelist</t>
  </si>
  <si>
    <t xml:space="preserve">تعرفه معاف برای پلاک خارج از لیست سفید</t>
  </si>
  <si>
    <t xml:space="preserve">BB</t>
  </si>
  <si>
    <t xml:space="preserve">تکرار بن تخفیف</t>
  </si>
  <si>
    <t xml:space="preserve">Flag_Discount_Reuse</t>
  </si>
  <si>
    <t xml:space="preserve">شناسه تخفیف بیش از یک‌بار</t>
  </si>
  <si>
    <t xml:space="preserve">BC</t>
  </si>
  <si>
    <t xml:space="preserve">رسوبی نامرئی</t>
  </si>
  <si>
    <t xml:space="preserve">Flag_Ghost_Occupancy</t>
  </si>
  <si>
    <r>
      <rPr>
        <sz val="11"/>
        <color theme="1"/>
        <rFont val="FreeSans"/>
        <family val="2"/>
      </rPr>
      <t xml:space="preserve">توقف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۴۸ ساعت و سنسور جای پارک خالی</t>
    </r>
  </si>
  <si>
    <t xml:space="preserve">BD</t>
  </si>
  <si>
    <t xml:space="preserve">تعویض فیش رسوبی</t>
  </si>
  <si>
    <t xml:space="preserve">Flag_Ticket_Swap</t>
  </si>
  <si>
    <r>
      <rPr>
        <sz val="11"/>
        <color theme="1"/>
        <rFont val="FreeSans"/>
        <family val="2"/>
      </rPr>
      <t xml:space="preserve">توقف کوتاه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سابقه باز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بدون تصویر ورود</t>
    </r>
  </si>
  <si>
    <t xml:space="preserve">BE</t>
  </si>
  <si>
    <t xml:space="preserve">نقض توالی</t>
  </si>
  <si>
    <t xml:space="preserve">Flag_Passback</t>
  </si>
  <si>
    <t xml:space="preserve">خروج بدون ورود قبلی</t>
  </si>
  <si>
    <t xml:space="preserve">BF</t>
  </si>
  <si>
    <t xml:space="preserve">مفقودی مشکوک</t>
  </si>
  <si>
    <t xml:space="preserve">Flag_Lost_Suspicious</t>
  </si>
  <si>
    <t xml:space="preserve">مفقودی با سابقه پلاک و توقف طولانی</t>
  </si>
  <si>
    <t xml:space="preserve">BG</t>
  </si>
  <si>
    <t xml:space="preserve">قطعی دوربین</t>
  </si>
  <si>
    <t xml:space="preserve">Flag_Camera_Drop</t>
  </si>
  <si>
    <t xml:space="preserve">قطعی بیش از آستانه با حالت آفلاین</t>
  </si>
  <si>
    <t xml:space="preserve">BH</t>
  </si>
  <si>
    <t xml:space="preserve">امتیاز ریسک ترکیبی</t>
  </si>
  <si>
    <t xml:space="preserve">Risk_Score</t>
  </si>
  <si>
    <r>
      <rPr>
        <sz val="11"/>
        <color theme="1"/>
        <rFont val="FreeSans"/>
        <family val="2"/>
      </rPr>
      <t xml:space="preserve">مجموع وزنی پرچم‌ها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سقف ۱۰۰</t>
    </r>
    <r>
      <rPr>
        <sz val="11"/>
        <color theme="1"/>
        <rFont val="Calibri"/>
        <family val="2"/>
        <charset val="1"/>
      </rPr>
      <t xml:space="preserve">)</t>
    </r>
  </si>
  <si>
    <t xml:space="preserve">BI</t>
  </si>
  <si>
    <t xml:space="preserve">سطح ریسک</t>
  </si>
  <si>
    <t xml:space="preserve">Risk_Level</t>
  </si>
  <si>
    <r>
      <rPr>
        <sz val="11"/>
        <color theme="1"/>
        <rFont val="FreeSans"/>
        <family val="2"/>
      </rPr>
      <t xml:space="preserve">بحرانی ≥</t>
    </r>
    <r>
      <rPr>
        <sz val="11"/>
        <color theme="1"/>
        <rFont val="Calibri"/>
        <family val="2"/>
        <charset val="1"/>
      </rPr>
      <t xml:space="preserve">60 / </t>
    </r>
    <r>
      <rPr>
        <sz val="11"/>
        <color theme="1"/>
        <rFont val="FreeSans"/>
        <family val="2"/>
      </rPr>
      <t xml:space="preserve">مشکوک ≥</t>
    </r>
    <r>
      <rPr>
        <sz val="11"/>
        <color theme="1"/>
        <rFont val="Calibri"/>
        <family val="2"/>
        <charset val="1"/>
      </rPr>
      <t xml:space="preserve">30 / </t>
    </r>
    <r>
      <rPr>
        <sz val="11"/>
        <color theme="1"/>
        <rFont val="FreeSans"/>
        <family val="2"/>
      </rPr>
      <t xml:space="preserve">هشدار </t>
    </r>
    <r>
      <rPr>
        <sz val="11"/>
        <color theme="1"/>
        <rFont val="Calibri"/>
        <family val="2"/>
        <charset val="1"/>
      </rPr>
      <t xml:space="preserve">&gt;0 / </t>
    </r>
    <r>
      <rPr>
        <sz val="11"/>
        <color theme="1"/>
        <rFont val="FreeSans"/>
        <family val="2"/>
      </rPr>
      <t xml:space="preserve">عادی</t>
    </r>
  </si>
  <si>
    <t xml:space="preserve">BJ</t>
  </si>
  <si>
    <t xml:space="preserve">برچسب سناریوی واقعی</t>
  </si>
  <si>
    <t xml:space="preserve">Fraud_Scenario_Label</t>
  </si>
  <si>
    <t xml:space="preserve">برچسب</t>
  </si>
  <si>
    <r>
      <rPr>
        <sz val="11"/>
        <color theme="1"/>
        <rFont val="Calibri"/>
        <family val="2"/>
        <charset val="1"/>
      </rPr>
      <t xml:space="preserve">Ground truth </t>
    </r>
    <r>
      <rPr>
        <sz val="11"/>
        <color theme="1"/>
        <rFont val="FreeSans"/>
        <family val="2"/>
      </rPr>
      <t xml:space="preserve">برای آموزش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ارزیابی مدل؛ برای تست کور حذف شود</t>
    </r>
  </si>
  <si>
    <t xml:space="preserve">شناسه رویداد
Event_ID</t>
  </si>
  <si>
    <t xml:space="preserve">پلاک نهایی
Plate</t>
  </si>
  <si>
    <t xml:space="preserve">پلاک خوانده‌شده اولیه
Plate_OCR_Original</t>
  </si>
  <si>
    <t xml:space="preserve">مدل خودرو
Vehicle_Model</t>
  </si>
  <si>
    <t xml:space="preserve">رنگ
Vehicle_Color</t>
  </si>
  <si>
    <t xml:space="preserve">رده خودرو
Vehicle_Segment</t>
  </si>
  <si>
    <t xml:space="preserve">زمان ورود
In_Time</t>
  </si>
  <si>
    <t xml:space="preserve">زمان خروج
Out_Time</t>
  </si>
  <si>
    <t xml:space="preserve">مدت توقف (دقیقه)
Duration</t>
  </si>
  <si>
    <t xml:space="preserve">گیت ورود
Entry_Gate</t>
  </si>
  <si>
    <t xml:space="preserve">گیت خروج
Exit_Gate</t>
  </si>
  <si>
    <t xml:space="preserve">اطمینان OCR ورود
ANPR_Conf_In</t>
  </si>
  <si>
    <t xml:space="preserve">اطمینان OCR خروج
ANPR_Conf_Out</t>
  </si>
  <si>
    <t xml:space="preserve">ویرایش دستی پلاک
Manual_Edit</t>
  </si>
  <si>
    <t xml:space="preserve">شناسه اپراتور
Operator_ID</t>
  </si>
  <si>
    <t xml:space="preserve">شیفت
Shift</t>
  </si>
  <si>
    <t xml:space="preserve">تاریخ شیفت
Shift_Date</t>
  </si>
  <si>
    <t xml:space="preserve">شماره فیش
Ticket_No</t>
  </si>
  <si>
    <t xml:space="preserve">وضعیت فیش
Ticket_Status</t>
  </si>
  <si>
    <t xml:space="preserve">زمان ابطال
Void_Time</t>
  </si>
  <si>
    <t xml:space="preserve">پالس لوپ خروج
Loop_Pulses</t>
  </si>
  <si>
    <t xml:space="preserve">تراکنش ثبت‌شده
Recorded_Transactions</t>
  </si>
  <si>
    <t xml:space="preserve">باز ماندن راهبند (ثانیه)
Barrier_Dwell</t>
  </si>
  <si>
    <t xml:space="preserve">بازکردن دستی راهبند
Manual_Barrier_Open</t>
  </si>
  <si>
    <t xml:space="preserve">ترتیب لوپ‌ها
Loop_Sequence</t>
  </si>
  <si>
    <t xml:space="preserve">نحوه پرداخت
Pay_Mode</t>
  </si>
  <si>
    <t xml:space="preserve">ترمینال پوز
POS_Terminal_ID</t>
  </si>
  <si>
    <t xml:space="preserve">کد پیگیری RRN
POS_RRN</t>
  </si>
  <si>
    <t xml:space="preserve">زمان تراکنش بانکی
POS_Time</t>
  </si>
  <si>
    <t xml:space="preserve">نوع تعرفه
Tariff_Type</t>
  </si>
  <si>
    <t xml:space="preserve">کد تخفیف
Discount_ID</t>
  </si>
  <si>
    <t xml:space="preserve">عضو لیست سفید
Whitelist_Member</t>
  </si>
  <si>
    <t xml:space="preserve">مبلغ محاسبه‌شده (تومان)
Fare_Calc</t>
  </si>
  <si>
    <t xml:space="preserve">مبلغ دریافتی (تومان)
Fare_Paid</t>
  </si>
  <si>
    <t xml:space="preserve">اختلاف مبلغ
Fare_Diff</t>
  </si>
  <si>
    <t xml:space="preserve">انحراف ساعت گیت-سرور (ثانیه)
Server_Time_Diff</t>
  </si>
  <si>
    <t xml:space="preserve">قطعی دوربین (ثانیه)
Camera_Drop_Sec</t>
  </si>
  <si>
    <t xml:space="preserve">حالت آفلاین
Offline_Mode</t>
  </si>
  <si>
    <t xml:space="preserve">وضعیت سنسور جای پارک
Slot_Sensor_Status</t>
  </si>
  <si>
    <t xml:space="preserve">ورود قبلی ثبت‌شده
Prior_Entry_Exists</t>
  </si>
  <si>
    <t xml:space="preserve">تصویر ورود موجود
Entry_Image_Exists</t>
  </si>
  <si>
    <t xml:space="preserve">سابقه توقف همان پلاک
Historical_In_Park</t>
  </si>
  <si>
    <t xml:space="preserve">تطبیق سابقه (مفقودی)
Plate_History_Match</t>
  </si>
  <si>
    <t xml:space="preserve">ابطال پس از خروج
Flag_Void_After_Exit</t>
  </si>
  <si>
    <t xml:space="preserve">پوز نامعتبر/بدون RRN
Flag_POS_Invalid</t>
  </si>
  <si>
    <t xml:space="preserve">اضافه‌دریافتی
Flag_Overcharge</t>
  </si>
  <si>
    <t xml:space="preserve">کم‌ثبتی
Flag_Underpay</t>
  </si>
  <si>
    <t xml:space="preserve">قطار ماشین
Flag_Tailgating</t>
  </si>
  <si>
    <t xml:space="preserve">باز نگه‌داشتن راهبند
Flag_Barrier_Keep_Open</t>
  </si>
  <si>
    <t xml:space="preserve">ویرایش پلاک با OCR بالا
Flag_Manual_Edit_HighConf</t>
  </si>
  <si>
    <t xml:space="preserve">خلاف جهت
Flag_Wrong_Direction</t>
  </si>
  <si>
    <t xml:space="preserve">انحراف ساعت
Flag_Time_Drift</t>
  </si>
  <si>
    <t xml:space="preserve">معافیت غیرمجاز
Flag_Exempt_NoWhitelist</t>
  </si>
  <si>
    <t xml:space="preserve">تکرار بن تخفیف
Flag_Discount_Reuse</t>
  </si>
  <si>
    <t xml:space="preserve">رسوبی نامرئی
Flag_Ghost_Occupancy</t>
  </si>
  <si>
    <t xml:space="preserve">تعویض فیش رسوبی
Flag_Ticket_Swap</t>
  </si>
  <si>
    <t xml:space="preserve">نقض توالی
Flag_Passback</t>
  </si>
  <si>
    <t xml:space="preserve">مفقودی مشکوک
Flag_Lost_Suspicious</t>
  </si>
  <si>
    <t xml:space="preserve">قطعی دوربین
Flag_Camera_Drop</t>
  </si>
  <si>
    <t xml:space="preserve">امتیاز ریسک ترکیبی
Risk_Score</t>
  </si>
  <si>
    <t xml:space="preserve">سطح ریسک
Risk_Level</t>
  </si>
  <si>
    <t xml:space="preserve">برچسب سناریوی واقعی
Fraud_Scenario_Label</t>
  </si>
  <si>
    <t xml:space="preserve">EV-00001</t>
  </si>
  <si>
    <t xml:space="preserve">27ک970-42</t>
  </si>
  <si>
    <t xml:space="preserve">وانت نیسان</t>
  </si>
  <si>
    <t xml:space="preserve">سفید</t>
  </si>
  <si>
    <t xml:space="preserve">اقتصادی</t>
  </si>
  <si>
    <t xml:space="preserve">E2</t>
  </si>
  <si>
    <t xml:space="preserve">خیر</t>
  </si>
  <si>
    <t xml:space="preserve">TK-260601-00001</t>
  </si>
  <si>
    <t xml:space="preserve">داخل پارکینگ</t>
  </si>
  <si>
    <t xml:space="preserve">عادی</t>
  </si>
  <si>
    <t xml:space="preserve">خالی</t>
  </si>
  <si>
    <t xml:space="preserve">بله</t>
  </si>
  <si>
    <t xml:space="preserve">خودرو رسوبی نامرئی</t>
  </si>
  <si>
    <t xml:space="preserve">EV-00002</t>
  </si>
  <si>
    <t xml:space="preserve">96ث484-17</t>
  </si>
  <si>
    <t xml:space="preserve">تیبا 2</t>
  </si>
  <si>
    <t xml:space="preserve">قرمز</t>
  </si>
  <si>
    <t xml:space="preserve">E1</t>
  </si>
  <si>
    <t xml:space="preserve">TK-260603-00002</t>
  </si>
  <si>
    <t xml:space="preserve">EV-00003</t>
  </si>
  <si>
    <t xml:space="preserve">51س539-88</t>
  </si>
  <si>
    <t xml:space="preserve">کیا سراتو</t>
  </si>
  <si>
    <t xml:space="preserve">مشکی</t>
  </si>
  <si>
    <t xml:space="preserve">TK-260622-00003</t>
  </si>
  <si>
    <t xml:space="preserve">EV-00004</t>
  </si>
  <si>
    <t xml:space="preserve">91م191-48</t>
  </si>
  <si>
    <t xml:space="preserve">TK-260626-00004</t>
  </si>
  <si>
    <t xml:space="preserve">EV-00005</t>
  </si>
  <si>
    <t xml:space="preserve">38د432-98</t>
  </si>
  <si>
    <t xml:space="preserve">بنز E200</t>
  </si>
  <si>
    <t xml:space="preserve">لوکس</t>
  </si>
  <si>
    <t xml:space="preserve">TK-260629-00005</t>
  </si>
  <si>
    <t xml:space="preserve">EV-00006</t>
  </si>
  <si>
    <t xml:space="preserve">34ک331-98</t>
  </si>
  <si>
    <t xml:space="preserve">نقره‌ای</t>
  </si>
  <si>
    <t xml:space="preserve">TK-260701-00006</t>
  </si>
  <si>
    <t xml:space="preserve">EV-00007</t>
  </si>
  <si>
    <t xml:space="preserve">68س481-14</t>
  </si>
  <si>
    <t xml:space="preserve">TK-260701-00007</t>
  </si>
  <si>
    <t xml:space="preserve">EV-00008</t>
  </si>
  <si>
    <t xml:space="preserve">14ش230-26</t>
  </si>
  <si>
    <t xml:space="preserve">ساینا S</t>
  </si>
  <si>
    <t xml:space="preserve">TK-260703-00008</t>
  </si>
  <si>
    <t xml:space="preserve">EV-00009</t>
  </si>
  <si>
    <t xml:space="preserve">70ه810-48</t>
  </si>
  <si>
    <t xml:space="preserve">پورشه ماکان</t>
  </si>
  <si>
    <t xml:space="preserve">آبی</t>
  </si>
  <si>
    <t xml:space="preserve">TK-260708-00009</t>
  </si>
  <si>
    <t xml:space="preserve">EV-00010</t>
  </si>
  <si>
    <t xml:space="preserve">95ن210-24</t>
  </si>
  <si>
    <t xml:space="preserve">TK-260727-00010</t>
  </si>
  <si>
    <t xml:space="preserve">EV-00011</t>
  </si>
  <si>
    <t xml:space="preserve">60ب917-91</t>
  </si>
  <si>
    <t xml:space="preserve">هیوندای النترا</t>
  </si>
  <si>
    <t xml:space="preserve">TK-260804-00011</t>
  </si>
  <si>
    <t xml:space="preserve">EV-00012</t>
  </si>
  <si>
    <t xml:space="preserve">71س503-77</t>
  </si>
  <si>
    <t xml:space="preserve">دنا پلاس</t>
  </si>
  <si>
    <t xml:space="preserve">TK-260805-00012</t>
  </si>
  <si>
    <t xml:space="preserve">EV-00013</t>
  </si>
  <si>
    <t xml:space="preserve">52م793-63</t>
  </si>
  <si>
    <t xml:space="preserve">خاکستری</t>
  </si>
  <si>
    <t xml:space="preserve">TK-260812-00013</t>
  </si>
  <si>
    <t xml:space="preserve">EV-00014</t>
  </si>
  <si>
    <t xml:space="preserve">95ز212-42</t>
  </si>
  <si>
    <t xml:space="preserve">TK-260902-00014</t>
  </si>
  <si>
    <t xml:space="preserve">EV-00015</t>
  </si>
  <si>
    <t xml:space="preserve">57ک206-31</t>
  </si>
  <si>
    <t xml:space="preserve">TK-260903-00015</t>
  </si>
  <si>
    <t xml:space="preserve">EV-00016</t>
  </si>
  <si>
    <t xml:space="preserve">75و597-95</t>
  </si>
  <si>
    <t xml:space="preserve">X1</t>
  </si>
  <si>
    <t xml:space="preserve">OP-03</t>
  </si>
  <si>
    <t xml:space="preserve">صبح</t>
  </si>
  <si>
    <t xml:space="preserve">TK-260913-00016</t>
  </si>
  <si>
    <t xml:space="preserve">تسویه‌شده</t>
  </si>
  <si>
    <t xml:space="preserve">نقد</t>
  </si>
  <si>
    <t xml:space="preserve">فیش مفقودی</t>
  </si>
  <si>
    <t xml:space="preserve">اعلام دروغین فیش مفقودی</t>
  </si>
  <si>
    <t xml:space="preserve">EV-00017</t>
  </si>
  <si>
    <t xml:space="preserve">39پ762-24</t>
  </si>
  <si>
    <t xml:space="preserve">X2</t>
  </si>
  <si>
    <t xml:space="preserve">OP-02</t>
  </si>
  <si>
    <t xml:space="preserve">TK-260914-00017</t>
  </si>
  <si>
    <t xml:space="preserve">پوز</t>
  </si>
  <si>
    <t xml:space="preserve">T-1002</t>
  </si>
  <si>
    <t xml:space="preserve">759256998094</t>
  </si>
  <si>
    <t xml:space="preserve">EV-00018</t>
  </si>
  <si>
    <t xml:space="preserve">98ج885-21</t>
  </si>
  <si>
    <t xml:space="preserve">MVM X22</t>
  </si>
  <si>
    <t xml:space="preserve">OP-04</t>
  </si>
  <si>
    <t xml:space="preserve">عصر</t>
  </si>
  <si>
    <t xml:space="preserve">TK-260914-00018</t>
  </si>
  <si>
    <t xml:space="preserve">723102788396</t>
  </si>
  <si>
    <t xml:space="preserve">EV-00019</t>
  </si>
  <si>
    <t xml:space="preserve">16ق353-72</t>
  </si>
  <si>
    <t xml:space="preserve">OP-08</t>
  </si>
  <si>
    <t xml:space="preserve">TK-260915-00019</t>
  </si>
  <si>
    <t xml:space="preserve">T-1001</t>
  </si>
  <si>
    <t xml:space="preserve">481946515489</t>
  </si>
  <si>
    <t xml:space="preserve">EV-00020</t>
  </si>
  <si>
    <t xml:space="preserve">72گ570-16</t>
  </si>
  <si>
    <t xml:space="preserve">موتورسیکلت</t>
  </si>
  <si>
    <t xml:space="preserve">TK-260916-00020</t>
  </si>
  <si>
    <t xml:space="preserve">456711973226</t>
  </si>
  <si>
    <t xml:space="preserve">EV-00021</t>
  </si>
  <si>
    <t xml:space="preserve">66ا743-19</t>
  </si>
  <si>
    <t xml:space="preserve">TK-260916-00021</t>
  </si>
  <si>
    <t xml:space="preserve">753567644091</t>
  </si>
  <si>
    <t xml:space="preserve">EV-00022</t>
  </si>
  <si>
    <t xml:space="preserve">21ج756-25</t>
  </si>
  <si>
    <t xml:space="preserve">لکسوس RX</t>
  </si>
  <si>
    <t xml:space="preserve">OP-01</t>
  </si>
  <si>
    <t xml:space="preserve">TK-260916-00022</t>
  </si>
  <si>
    <t xml:space="preserve">اشتراک</t>
  </si>
  <si>
    <t xml:space="preserve">اشتراک ماهانه</t>
  </si>
  <si>
    <t xml:space="preserve">EV-00023</t>
  </si>
  <si>
    <t xml:space="preserve">60ط464-23</t>
  </si>
  <si>
    <t xml:space="preserve">TK-260916-00023</t>
  </si>
  <si>
    <t xml:space="preserve">EV-00024</t>
  </si>
  <si>
    <t xml:space="preserve">32ا228-38</t>
  </si>
  <si>
    <t xml:space="preserve">پژو 206</t>
  </si>
  <si>
    <t xml:space="preserve">TK-260916-00024</t>
  </si>
  <si>
    <t xml:space="preserve">ابطال و بازصدور</t>
  </si>
  <si>
    <t xml:space="preserve">316096015175</t>
  </si>
  <si>
    <t xml:space="preserve">EV-00025</t>
  </si>
  <si>
    <t xml:space="preserve">19ط624-47</t>
  </si>
  <si>
    <t xml:space="preserve">TK-260916-00025</t>
  </si>
  <si>
    <t xml:space="preserve">855422751439</t>
  </si>
  <si>
    <t xml:space="preserve">EV-00026</t>
  </si>
  <si>
    <t xml:space="preserve">63و350-15</t>
  </si>
  <si>
    <t xml:space="preserve">TK-260916-00026</t>
  </si>
  <si>
    <t xml:space="preserve">940960176085</t>
  </si>
  <si>
    <t xml:space="preserve">EV-00027</t>
  </si>
  <si>
    <t xml:space="preserve">18پ924-25</t>
  </si>
  <si>
    <t xml:space="preserve">TK-260916-00027</t>
  </si>
  <si>
    <t xml:space="preserve">معاف</t>
  </si>
  <si>
    <t xml:space="preserve">رایگان/VIP</t>
  </si>
  <si>
    <t xml:space="preserve">EV-00028</t>
  </si>
  <si>
    <t xml:space="preserve">40ص259-13</t>
  </si>
  <si>
    <t xml:space="preserve">تویوتا کمری</t>
  </si>
  <si>
    <t xml:space="preserve">TK-260916-00028</t>
  </si>
  <si>
    <t xml:space="preserve">EV-00029</t>
  </si>
  <si>
    <t xml:space="preserve">23ت482-24</t>
  </si>
  <si>
    <t xml:space="preserve">TK-260916-00029</t>
  </si>
  <si>
    <t xml:space="preserve">EV-00030</t>
  </si>
  <si>
    <t xml:space="preserve">44ص472-81</t>
  </si>
  <si>
    <t xml:space="preserve">TK-260916-00030</t>
  </si>
  <si>
    <t xml:space="preserve">778635429133</t>
  </si>
  <si>
    <t xml:space="preserve">EV-00031</t>
  </si>
  <si>
    <t xml:space="preserve">TK-260916-00031</t>
  </si>
  <si>
    <t xml:space="preserve">854744061614</t>
  </si>
  <si>
    <t xml:space="preserve">تخفیف کد</t>
  </si>
  <si>
    <t xml:space="preserve">DC-91273</t>
  </si>
  <si>
    <t xml:space="preserve">EV-00032</t>
  </si>
  <si>
    <t xml:space="preserve">39ک793-57</t>
  </si>
  <si>
    <t xml:space="preserve">TK-260916-00032</t>
  </si>
  <si>
    <t xml:space="preserve">EV-00033</t>
  </si>
  <si>
    <t xml:space="preserve">85گ928-83</t>
  </si>
  <si>
    <t xml:space="preserve">TK-260916-00033</t>
  </si>
  <si>
    <t xml:space="preserve">067384428427</t>
  </si>
  <si>
    <t xml:space="preserve">EV-00034</t>
  </si>
  <si>
    <t xml:space="preserve">31ا610-46</t>
  </si>
  <si>
    <t xml:space="preserve">TK-260916-00034</t>
  </si>
  <si>
    <t xml:space="preserve">079517453712</t>
  </si>
  <si>
    <t xml:space="preserve">EV-00035</t>
  </si>
  <si>
    <t xml:space="preserve">64ت365-22</t>
  </si>
  <si>
    <t xml:space="preserve">TK-260916-00035</t>
  </si>
  <si>
    <t xml:space="preserve">EV-00036</t>
  </si>
  <si>
    <t xml:space="preserve">60ن581-68</t>
  </si>
  <si>
    <t xml:space="preserve">TK-260916-00036</t>
  </si>
  <si>
    <t xml:space="preserve">534268158574</t>
  </si>
  <si>
    <t xml:space="preserve">EV-00037</t>
  </si>
  <si>
    <t xml:space="preserve">TK-260916-00037</t>
  </si>
  <si>
    <t xml:space="preserve">127878269014</t>
  </si>
  <si>
    <t xml:space="preserve">EV-00038</t>
  </si>
  <si>
    <t xml:space="preserve">TK-260916-00038</t>
  </si>
  <si>
    <t xml:space="preserve">EV-00039</t>
  </si>
  <si>
    <t xml:space="preserve">22ج293-77</t>
  </si>
  <si>
    <t xml:space="preserve">پراید 131</t>
  </si>
  <si>
    <t xml:space="preserve">TK-260916-00039</t>
  </si>
  <si>
    <t xml:space="preserve">EV-00040</t>
  </si>
  <si>
    <t xml:space="preserve">47ث155-13</t>
  </si>
  <si>
    <t xml:space="preserve">TK-260916-00040</t>
  </si>
  <si>
    <t xml:space="preserve">142511943279</t>
  </si>
  <si>
    <t xml:space="preserve">EV-00041</t>
  </si>
  <si>
    <t xml:space="preserve">TK-260916-00041</t>
  </si>
  <si>
    <t xml:space="preserve">قطار ماشین (Tailgating)</t>
  </si>
  <si>
    <t xml:space="preserve">EV-00042</t>
  </si>
  <si>
    <t xml:space="preserve">22پ891-24</t>
  </si>
  <si>
    <t xml:space="preserve">TK-260916-00042</t>
  </si>
  <si>
    <t xml:space="preserve">481916445878</t>
  </si>
  <si>
    <t xml:space="preserve">EV-00043</t>
  </si>
  <si>
    <t xml:space="preserve">80س519-44</t>
  </si>
  <si>
    <t xml:space="preserve">سمند LX</t>
  </si>
  <si>
    <t xml:space="preserve">TK-260916-00043</t>
  </si>
  <si>
    <t xml:space="preserve">EV-00044</t>
  </si>
  <si>
    <t xml:space="preserve">61ل689-21</t>
  </si>
  <si>
    <t xml:space="preserve">TK-260916-00044</t>
  </si>
  <si>
    <t xml:space="preserve">957635436086</t>
  </si>
  <si>
    <t xml:space="preserve">EV-00045</t>
  </si>
  <si>
    <t xml:space="preserve">33ت491-98</t>
  </si>
  <si>
    <t xml:space="preserve">کوییک R</t>
  </si>
  <si>
    <t xml:space="preserve">TK-260916-00045</t>
  </si>
  <si>
    <t xml:space="preserve">794010169152</t>
  </si>
  <si>
    <t xml:space="preserve">EV-00046</t>
  </si>
  <si>
    <t xml:space="preserve">25ه829-66</t>
  </si>
  <si>
    <t xml:space="preserve">TK-260916-00046</t>
  </si>
  <si>
    <t xml:space="preserve">015063854889</t>
  </si>
  <si>
    <t xml:space="preserve">EV-00047</t>
  </si>
  <si>
    <t xml:space="preserve">74و300-55</t>
  </si>
  <si>
    <t xml:space="preserve">بی‌ام‌و 520</t>
  </si>
  <si>
    <t xml:space="preserve">TK-260916-00047</t>
  </si>
  <si>
    <t xml:space="preserve">EV-00048</t>
  </si>
  <si>
    <t xml:space="preserve">74ا821-95</t>
  </si>
  <si>
    <t xml:space="preserve">TK-260916-00048</t>
  </si>
  <si>
    <t xml:space="preserve">186498518969</t>
  </si>
  <si>
    <t xml:space="preserve">EV-00049</t>
  </si>
  <si>
    <t xml:space="preserve">96م892-46</t>
  </si>
  <si>
    <t xml:space="preserve">TK-260916-00049</t>
  </si>
  <si>
    <t xml:space="preserve">830636133333</t>
  </si>
  <si>
    <t xml:space="preserve">EV-00050</t>
  </si>
  <si>
    <t xml:space="preserve">61پ573-31</t>
  </si>
  <si>
    <t xml:space="preserve">TK-260916-00050</t>
  </si>
  <si>
    <t xml:space="preserve">779693736930</t>
  </si>
  <si>
    <t xml:space="preserve">EV-00051</t>
  </si>
  <si>
    <t xml:space="preserve">30ش433-83</t>
  </si>
  <si>
    <t xml:space="preserve">TK-260916-00051</t>
  </si>
  <si>
    <t xml:space="preserve">242175381232</t>
  </si>
  <si>
    <t xml:space="preserve">DC-82225</t>
  </si>
  <si>
    <t xml:space="preserve">EV-00052</t>
  </si>
  <si>
    <t xml:space="preserve">30س895-19</t>
  </si>
  <si>
    <t xml:space="preserve">TK-260916-00052</t>
  </si>
  <si>
    <t xml:space="preserve">597298333520</t>
  </si>
  <si>
    <t xml:space="preserve">EV-00053</t>
  </si>
  <si>
    <t xml:space="preserve">TK-260916-00053</t>
  </si>
  <si>
    <t xml:space="preserve">740201101491</t>
  </si>
  <si>
    <t xml:space="preserve">EV-00054</t>
  </si>
  <si>
    <t xml:space="preserve">85م999-69</t>
  </si>
  <si>
    <t xml:space="preserve">TK-260916-00054</t>
  </si>
  <si>
    <t xml:space="preserve">EV-00055</t>
  </si>
  <si>
    <t xml:space="preserve">42ق514-27</t>
  </si>
  <si>
    <t xml:space="preserve">TK-260916-00055</t>
  </si>
  <si>
    <t xml:space="preserve">EV-00056</t>
  </si>
  <si>
    <t xml:space="preserve">TK-260916-00056</t>
  </si>
  <si>
    <t xml:space="preserve">EV-00057</t>
  </si>
  <si>
    <t xml:space="preserve">30ث582-98</t>
  </si>
  <si>
    <t xml:space="preserve">TK-260916-00057</t>
  </si>
  <si>
    <t xml:space="preserve">396162927589</t>
  </si>
  <si>
    <t xml:space="preserve">EV-00058</t>
  </si>
  <si>
    <t xml:space="preserve">87ش953-53</t>
  </si>
  <si>
    <t xml:space="preserve">TK-260916-00058</t>
  </si>
  <si>
    <t xml:space="preserve">646649648376</t>
  </si>
  <si>
    <t xml:space="preserve">EV-00059</t>
  </si>
  <si>
    <t xml:space="preserve">10م549-48</t>
  </si>
  <si>
    <t xml:space="preserve">TK-260916-00059</t>
  </si>
  <si>
    <t xml:space="preserve">EV-00060</t>
  </si>
  <si>
    <t xml:space="preserve">81ب715-14</t>
  </si>
  <si>
    <t xml:space="preserve">TK-260916-00060</t>
  </si>
  <si>
    <t xml:space="preserve">097095894272</t>
  </si>
  <si>
    <t xml:space="preserve">EV-00061</t>
  </si>
  <si>
    <t xml:space="preserve">20ج319-55</t>
  </si>
  <si>
    <t xml:space="preserve">TK-260916-00061</t>
  </si>
  <si>
    <t xml:space="preserve">920603728017</t>
  </si>
  <si>
    <t xml:space="preserve">EV-00062</t>
  </si>
  <si>
    <t xml:space="preserve">91ث598-47</t>
  </si>
  <si>
    <t xml:space="preserve">TK-260916-00062</t>
  </si>
  <si>
    <t xml:space="preserve">EV-00063</t>
  </si>
  <si>
    <t xml:space="preserve">63ب954-93</t>
  </si>
  <si>
    <t xml:space="preserve">TK-260916-00063</t>
  </si>
  <si>
    <t xml:space="preserve">EV-00064</t>
  </si>
  <si>
    <t xml:space="preserve">36م672-93</t>
  </si>
  <si>
    <t xml:space="preserve">TK-260916-00064</t>
  </si>
  <si>
    <t xml:space="preserve">جانباز</t>
  </si>
  <si>
    <t xml:space="preserve">EV-00065</t>
  </si>
  <si>
    <t xml:space="preserve">20ل119-72</t>
  </si>
  <si>
    <t xml:space="preserve">TK-260916-00065</t>
  </si>
  <si>
    <t xml:space="preserve">ابطال‌شده</t>
  </si>
  <si>
    <t xml:space="preserve">ابطال فیش پس از خروج</t>
  </si>
  <si>
    <t xml:space="preserve">EV-00066</t>
  </si>
  <si>
    <t xml:space="preserve">TK-260916-00066</t>
  </si>
  <si>
    <t xml:space="preserve">کم‌ثبتی نقد (برداشت از دخل)</t>
  </si>
  <si>
    <t xml:space="preserve">EV-00067</t>
  </si>
  <si>
    <t xml:space="preserve">62ب212-79</t>
  </si>
  <si>
    <t xml:space="preserve">TK-260916-00067</t>
  </si>
  <si>
    <t xml:space="preserve">439495293227</t>
  </si>
  <si>
    <t xml:space="preserve">EV-00068</t>
  </si>
  <si>
    <t xml:space="preserve">48ق575-98</t>
  </si>
  <si>
    <t xml:space="preserve">TK-260916-00068</t>
  </si>
  <si>
    <t xml:space="preserve">EV-00069</t>
  </si>
  <si>
    <t xml:space="preserve">56س529-45</t>
  </si>
  <si>
    <t xml:space="preserve">56س529-43</t>
  </si>
  <si>
    <t xml:space="preserve">TK-260916-00069</t>
  </si>
  <si>
    <t xml:space="preserve">ویرایش دستی پالک با اطمینان بالا</t>
  </si>
  <si>
    <t xml:space="preserve">EV-00070</t>
  </si>
  <si>
    <t xml:space="preserve">37ز464-12</t>
  </si>
  <si>
    <t xml:space="preserve">TK-260916-00070</t>
  </si>
  <si>
    <t xml:space="preserve">EV-00071</t>
  </si>
  <si>
    <t xml:space="preserve">TK-260916-00071</t>
  </si>
  <si>
    <t xml:space="preserve">فرجه رایگان</t>
  </si>
  <si>
    <t xml:space="preserve">سوءاستفاده از فرجه رایگان</t>
  </si>
  <si>
    <t xml:space="preserve">EV-00072</t>
  </si>
  <si>
    <t xml:space="preserve">83و416-88</t>
  </si>
  <si>
    <t xml:space="preserve">TK-260916-00072</t>
  </si>
  <si>
    <t xml:space="preserve">EV-00073</t>
  </si>
  <si>
    <t xml:space="preserve">76ش349-12</t>
  </si>
  <si>
    <t xml:space="preserve">TK-260916-00073</t>
  </si>
  <si>
    <t xml:space="preserve">622210984157</t>
  </si>
  <si>
    <t xml:space="preserve">EV-00074</t>
  </si>
  <si>
    <t xml:space="preserve">TK-260916-00074</t>
  </si>
  <si>
    <t xml:space="preserve">EV-00075</t>
  </si>
  <si>
    <t xml:space="preserve">64ت542-36</t>
  </si>
  <si>
    <t xml:space="preserve">TK-260916-00075</t>
  </si>
  <si>
    <t xml:space="preserve">EV-00076</t>
  </si>
  <si>
    <t xml:space="preserve">99ص201-23</t>
  </si>
  <si>
    <t xml:space="preserve">TK-260916-00076</t>
  </si>
  <si>
    <t xml:space="preserve">EV-00077</t>
  </si>
  <si>
    <t xml:space="preserve">77ز182-45</t>
  </si>
  <si>
    <t xml:space="preserve">TK-260916-00077</t>
  </si>
  <si>
    <t xml:space="preserve">نقض توالی تردد (Passback)</t>
  </si>
  <si>
    <t xml:space="preserve">EV-00078</t>
  </si>
  <si>
    <t xml:space="preserve">OP-05</t>
  </si>
  <si>
    <t xml:space="preserve">شب</t>
  </si>
  <si>
    <t xml:space="preserve">TK-260916-00078</t>
  </si>
  <si>
    <t xml:space="preserve">418127930353</t>
  </si>
  <si>
    <t xml:space="preserve">EV-00079</t>
  </si>
  <si>
    <t xml:space="preserve">86ت843-33</t>
  </si>
  <si>
    <t xml:space="preserve">TK-260916-00079</t>
  </si>
  <si>
    <t xml:space="preserve">126164856284</t>
  </si>
  <si>
    <t xml:space="preserve">EV-00080</t>
  </si>
  <si>
    <t xml:space="preserve">75ق967-19</t>
  </si>
  <si>
    <t xml:space="preserve">TK-260917-00080</t>
  </si>
  <si>
    <t xml:space="preserve">919556870514</t>
  </si>
  <si>
    <t xml:space="preserve">EV-00081</t>
  </si>
  <si>
    <t xml:space="preserve">27ت655-62</t>
  </si>
  <si>
    <t xml:space="preserve">TK-260917-00081</t>
  </si>
  <si>
    <t xml:space="preserve">EV-00082</t>
  </si>
  <si>
    <t xml:space="preserve">OP-06</t>
  </si>
  <si>
    <t xml:space="preserve">TK-260917-00082</t>
  </si>
  <si>
    <t xml:space="preserve">EV-00083</t>
  </si>
  <si>
    <t xml:space="preserve">39ا361-21</t>
  </si>
  <si>
    <t xml:space="preserve">TK-260917-00083</t>
  </si>
  <si>
    <t xml:space="preserve">EV-00084</t>
  </si>
  <si>
    <t xml:space="preserve">73ج727-25</t>
  </si>
  <si>
    <t xml:space="preserve">TK-260917-00084</t>
  </si>
  <si>
    <t xml:space="preserve">681826407446</t>
  </si>
  <si>
    <t xml:space="preserve">EV-00085</t>
  </si>
  <si>
    <t xml:space="preserve">45ط450-28</t>
  </si>
  <si>
    <t xml:space="preserve">OP-07</t>
  </si>
  <si>
    <t xml:space="preserve">TK-260917-00085</t>
  </si>
  <si>
    <t xml:space="preserve">EV-00086</t>
  </si>
  <si>
    <t xml:space="preserve">TK-260917-00086</t>
  </si>
  <si>
    <t xml:space="preserve">EV-00087</t>
  </si>
  <si>
    <t xml:space="preserve">47ی820-26</t>
  </si>
  <si>
    <t xml:space="preserve">TK-260917-00087</t>
  </si>
  <si>
    <t xml:space="preserve">543316996945</t>
  </si>
  <si>
    <t xml:space="preserve">EV-00088</t>
  </si>
  <si>
    <t xml:space="preserve">69ص242-72</t>
  </si>
  <si>
    <t xml:space="preserve">TK-260917-00088</t>
  </si>
  <si>
    <t xml:space="preserve">EV-00089</t>
  </si>
  <si>
    <t xml:space="preserve">67پ542-27</t>
  </si>
  <si>
    <t xml:space="preserve">TK-260917-00089</t>
  </si>
  <si>
    <t xml:space="preserve">798242513510</t>
  </si>
  <si>
    <t xml:space="preserve">EV-00090</t>
  </si>
  <si>
    <t xml:space="preserve">61ط880-88</t>
  </si>
  <si>
    <t xml:space="preserve">TK-260917-00090</t>
  </si>
  <si>
    <t xml:space="preserve">127512817337</t>
  </si>
  <si>
    <t xml:space="preserve">EV-00091</t>
  </si>
  <si>
    <t xml:space="preserve">23ج638-53</t>
  </si>
  <si>
    <t xml:space="preserve">23ج678-53</t>
  </si>
  <si>
    <t xml:space="preserve">TK-260917-00091</t>
  </si>
  <si>
    <t xml:space="preserve">ترکیبی مشکوک به تبانی</t>
  </si>
  <si>
    <t xml:space="preserve">EV-00092</t>
  </si>
  <si>
    <t xml:space="preserve">TK-260917-00092</t>
  </si>
  <si>
    <t xml:space="preserve">DC-65066</t>
  </si>
  <si>
    <t xml:space="preserve">EV-00093</t>
  </si>
  <si>
    <t xml:space="preserve">11ک862-23</t>
  </si>
  <si>
    <t xml:space="preserve">TK-260917-00093</t>
  </si>
  <si>
    <t xml:space="preserve">479181779862</t>
  </si>
  <si>
    <t xml:space="preserve">EV-00094</t>
  </si>
  <si>
    <t xml:space="preserve">91س544-47</t>
  </si>
  <si>
    <t xml:space="preserve">TK-260917-00094</t>
  </si>
  <si>
    <t xml:space="preserve">887737944579</t>
  </si>
  <si>
    <t xml:space="preserve">DC-82341</t>
  </si>
  <si>
    <t xml:space="preserve">EV-00095</t>
  </si>
  <si>
    <t xml:space="preserve">47و579-26</t>
  </si>
  <si>
    <t xml:space="preserve">47و279-26</t>
  </si>
  <si>
    <t xml:space="preserve">TK-260917-00095</t>
  </si>
  <si>
    <t xml:space="preserve">EV-00096</t>
  </si>
  <si>
    <t xml:space="preserve">22ی872-55</t>
  </si>
  <si>
    <t xml:space="preserve">TK-260917-00096</t>
  </si>
  <si>
    <t xml:space="preserve">T-9012</t>
  </si>
  <si>
    <t xml:space="preserve">401960536484</t>
  </si>
  <si>
    <t xml:space="preserve">پوز شخصی / بدون RRN</t>
  </si>
  <si>
    <t xml:space="preserve">EV-00097</t>
  </si>
  <si>
    <t xml:space="preserve">75س546-13</t>
  </si>
  <si>
    <t xml:space="preserve">TK-260917-00097</t>
  </si>
  <si>
    <t xml:space="preserve">EV-00098</t>
  </si>
  <si>
    <t xml:space="preserve">68ه372-66</t>
  </si>
  <si>
    <t xml:space="preserve">TK-260917-00098</t>
  </si>
  <si>
    <t xml:space="preserve">993908254796</t>
  </si>
  <si>
    <t xml:space="preserve">EV-00099</t>
  </si>
  <si>
    <t xml:space="preserve">TK-260917-00099</t>
  </si>
  <si>
    <t xml:space="preserve">180084738879</t>
  </si>
  <si>
    <t xml:space="preserve">EV-00100</t>
  </si>
  <si>
    <t xml:space="preserve">49ا957-38</t>
  </si>
  <si>
    <t xml:space="preserve">TK-260917-00100</t>
  </si>
  <si>
    <t xml:space="preserve">DC-99407</t>
  </si>
  <si>
    <t xml:space="preserve">EV-00101</t>
  </si>
  <si>
    <t xml:space="preserve">TK-260917-00101</t>
  </si>
  <si>
    <t xml:space="preserve">EV-00102</t>
  </si>
  <si>
    <t xml:space="preserve">32س482-78</t>
  </si>
  <si>
    <t xml:space="preserve">TK-260917-00102</t>
  </si>
  <si>
    <t xml:space="preserve">EV-00103</t>
  </si>
  <si>
    <t xml:space="preserve">31ل543-55</t>
  </si>
  <si>
    <t xml:space="preserve">TK-260917-00103</t>
  </si>
  <si>
    <t xml:space="preserve">معافیت جعلی VIP/جانباز</t>
  </si>
  <si>
    <t xml:space="preserve">EV-00104</t>
  </si>
  <si>
    <t xml:space="preserve">96ص221-66</t>
  </si>
  <si>
    <t xml:space="preserve">TK-260917-00104</t>
  </si>
  <si>
    <t xml:space="preserve">EV-00105</t>
  </si>
  <si>
    <t xml:space="preserve">TK-260917-00105</t>
  </si>
  <si>
    <t xml:space="preserve">610562628447</t>
  </si>
  <si>
    <t xml:space="preserve">EV-00106</t>
  </si>
  <si>
    <t xml:space="preserve">36ص940-36</t>
  </si>
  <si>
    <t xml:space="preserve">TK-260917-00106</t>
  </si>
  <si>
    <t xml:space="preserve">EV-00107</t>
  </si>
  <si>
    <t xml:space="preserve">19ا697-57</t>
  </si>
  <si>
    <t xml:space="preserve">TK-260917-00107</t>
  </si>
  <si>
    <t xml:space="preserve">EV-00108</t>
  </si>
  <si>
    <t xml:space="preserve">73ج604-93</t>
  </si>
  <si>
    <t xml:space="preserve">TK-260917-00108</t>
  </si>
  <si>
    <t xml:space="preserve">EV-00109</t>
  </si>
  <si>
    <t xml:space="preserve">TK-260917-00109</t>
  </si>
  <si>
    <t xml:space="preserve">398123587235</t>
  </si>
  <si>
    <t xml:space="preserve">EV-00110</t>
  </si>
  <si>
    <t xml:space="preserve">TK-260917-00110</t>
  </si>
  <si>
    <t xml:space="preserve">EV-00111</t>
  </si>
  <si>
    <t xml:space="preserve">40ش712-43</t>
  </si>
  <si>
    <t xml:space="preserve">TK-260917-00111</t>
  </si>
  <si>
    <t xml:space="preserve">EV-00112</t>
  </si>
  <si>
    <t xml:space="preserve">39پ735-25</t>
  </si>
  <si>
    <t xml:space="preserve">TK-260917-00112</t>
  </si>
  <si>
    <t xml:space="preserve">EV-00113</t>
  </si>
  <si>
    <t xml:space="preserve">99ش212-66</t>
  </si>
  <si>
    <t xml:space="preserve">TK-260917-00113</t>
  </si>
  <si>
    <t xml:space="preserve">169103052544</t>
  </si>
  <si>
    <t xml:space="preserve">EV-00114</t>
  </si>
  <si>
    <t xml:space="preserve">59ز513-66</t>
  </si>
  <si>
    <t xml:space="preserve">TK-260917-00114</t>
  </si>
  <si>
    <t xml:space="preserve">354811443769</t>
  </si>
  <si>
    <t xml:space="preserve">DC-18054</t>
  </si>
  <si>
    <t xml:space="preserve">EV-00115</t>
  </si>
  <si>
    <t xml:space="preserve">66ط880-88</t>
  </si>
  <si>
    <t xml:space="preserve">TK-260917-00115</t>
  </si>
  <si>
    <t xml:space="preserve">EV-00116</t>
  </si>
  <si>
    <t xml:space="preserve">78ق754-24</t>
  </si>
  <si>
    <t xml:space="preserve">TK-260917-00116</t>
  </si>
  <si>
    <t xml:space="preserve">EV-00117</t>
  </si>
  <si>
    <t xml:space="preserve">90ی257-17</t>
  </si>
  <si>
    <t xml:space="preserve">TK-260917-00117</t>
  </si>
  <si>
    <t xml:space="preserve">209125956450</t>
  </si>
  <si>
    <t xml:space="preserve">EV-00118</t>
  </si>
  <si>
    <t xml:space="preserve">71ه638-68</t>
  </si>
  <si>
    <t xml:space="preserve">TK-260917-00118</t>
  </si>
  <si>
    <t xml:space="preserve">360817141289</t>
  </si>
  <si>
    <t xml:space="preserve">EV-00119</t>
  </si>
  <si>
    <t xml:space="preserve">TK-260917-00119</t>
  </si>
  <si>
    <t xml:space="preserve">EV-00120</t>
  </si>
  <si>
    <t xml:space="preserve">37د933-23</t>
  </si>
  <si>
    <t xml:space="preserve">37د933-29</t>
  </si>
  <si>
    <t xml:space="preserve">TK-260917-00120</t>
  </si>
  <si>
    <t xml:space="preserve">157187761024</t>
  </si>
  <si>
    <t xml:space="preserve">EV-00121</t>
  </si>
  <si>
    <t xml:space="preserve">46ک587-11</t>
  </si>
  <si>
    <t xml:space="preserve">TK-260917-00121</t>
  </si>
  <si>
    <t xml:space="preserve">810326923313</t>
  </si>
  <si>
    <t xml:space="preserve">DC-23404</t>
  </si>
  <si>
    <t xml:space="preserve">EV-00122</t>
  </si>
  <si>
    <t xml:space="preserve">64ا184-17</t>
  </si>
  <si>
    <t xml:space="preserve">TK-260917-00122</t>
  </si>
  <si>
    <t xml:space="preserve">835478859388</t>
  </si>
  <si>
    <t xml:space="preserve">EV-00123</t>
  </si>
  <si>
    <t xml:space="preserve">59ج632-38</t>
  </si>
  <si>
    <t xml:space="preserve">TK-260917-00123</t>
  </si>
  <si>
    <t xml:space="preserve">EV-00124</t>
  </si>
  <si>
    <t xml:space="preserve">72ک536-16</t>
  </si>
  <si>
    <t xml:space="preserve">TK-260917-00124</t>
  </si>
  <si>
    <t xml:space="preserve">564253566233</t>
  </si>
  <si>
    <t xml:space="preserve">EV-00125</t>
  </si>
  <si>
    <t xml:space="preserve">22ن174-74</t>
  </si>
  <si>
    <t xml:space="preserve">TK-260917-00125</t>
  </si>
  <si>
    <t xml:space="preserve">409735157242</t>
  </si>
  <si>
    <t xml:space="preserve">EV-00126</t>
  </si>
  <si>
    <t xml:space="preserve">21ی303-45</t>
  </si>
  <si>
    <t xml:space="preserve">21ی503-45</t>
  </si>
  <si>
    <t xml:space="preserve">TK-260917-00126</t>
  </si>
  <si>
    <t xml:space="preserve">EV-00127</t>
  </si>
  <si>
    <t xml:space="preserve">42ت745-27</t>
  </si>
  <si>
    <t xml:space="preserve">TK-260917-00127</t>
  </si>
  <si>
    <t xml:space="preserve">686142966666</t>
  </si>
  <si>
    <t xml:space="preserve">EV-00128</t>
  </si>
  <si>
    <t xml:space="preserve">84ا911-83</t>
  </si>
  <si>
    <t xml:space="preserve">TK-260917-00128</t>
  </si>
  <si>
    <t xml:space="preserve">691734762532</t>
  </si>
  <si>
    <t xml:space="preserve">EV-00129</t>
  </si>
  <si>
    <t xml:space="preserve">81ز239-49</t>
  </si>
  <si>
    <t xml:space="preserve">TK-260917-00129</t>
  </si>
  <si>
    <t xml:space="preserve">390954111063</t>
  </si>
  <si>
    <t xml:space="preserve">EV-00130</t>
  </si>
  <si>
    <t xml:space="preserve">13ص790-53</t>
  </si>
  <si>
    <t xml:space="preserve">TK-260917-00130</t>
  </si>
  <si>
    <t xml:space="preserve">868701052553</t>
  </si>
  <si>
    <t xml:space="preserve">EV-00131</t>
  </si>
  <si>
    <t xml:space="preserve">96ط307-63</t>
  </si>
  <si>
    <t xml:space="preserve">96ط305-63</t>
  </si>
  <si>
    <t xml:space="preserve">TK-260917-00131</t>
  </si>
  <si>
    <t xml:space="preserve">579756571386</t>
  </si>
  <si>
    <t xml:space="preserve">EV-00132</t>
  </si>
  <si>
    <t xml:space="preserve">33ث474-15</t>
  </si>
  <si>
    <t xml:space="preserve">TK-260917-00132</t>
  </si>
  <si>
    <t xml:space="preserve">EV-00133</t>
  </si>
  <si>
    <t xml:space="preserve">99ا220-25</t>
  </si>
  <si>
    <t xml:space="preserve">TK-260917-00133</t>
  </si>
  <si>
    <t xml:space="preserve">EV-00134</t>
  </si>
  <si>
    <t xml:space="preserve">TK-260917-00134</t>
  </si>
  <si>
    <t xml:space="preserve">EV-00135</t>
  </si>
  <si>
    <t xml:space="preserve">19گ898-62</t>
  </si>
  <si>
    <t xml:space="preserve">TK-260917-00135</t>
  </si>
  <si>
    <t xml:space="preserve">433015042682</t>
  </si>
  <si>
    <t xml:space="preserve">EV-00136</t>
  </si>
  <si>
    <t xml:space="preserve">26ب262-68</t>
  </si>
  <si>
    <t xml:space="preserve">TK-260917-00136</t>
  </si>
  <si>
    <t xml:space="preserve">752385160755</t>
  </si>
  <si>
    <t xml:space="preserve">EV-00137</t>
  </si>
  <si>
    <t xml:space="preserve">TK-260917-00137</t>
  </si>
  <si>
    <t xml:space="preserve">825175905358</t>
  </si>
  <si>
    <t xml:space="preserve">EV-00138</t>
  </si>
  <si>
    <t xml:space="preserve">32ج510-77</t>
  </si>
  <si>
    <t xml:space="preserve">TK-260917-00138</t>
  </si>
  <si>
    <t xml:space="preserve">054176600059</t>
  </si>
  <si>
    <t xml:space="preserve">EV-00139</t>
  </si>
  <si>
    <t xml:space="preserve">73د918-63</t>
  </si>
  <si>
    <t xml:space="preserve">TK-260917-00139</t>
  </si>
  <si>
    <t xml:space="preserve">805480237300</t>
  </si>
  <si>
    <t xml:space="preserve">EV-00140</t>
  </si>
  <si>
    <t xml:space="preserve">64ب421-66</t>
  </si>
  <si>
    <t xml:space="preserve">TK-260917-00140</t>
  </si>
  <si>
    <t xml:space="preserve">217514682847</t>
  </si>
  <si>
    <t xml:space="preserve">EV-00141</t>
  </si>
  <si>
    <t xml:space="preserve">93ی942-44</t>
  </si>
  <si>
    <t xml:space="preserve">TK-260917-00141</t>
  </si>
  <si>
    <t xml:space="preserve">EV-00142</t>
  </si>
  <si>
    <t xml:space="preserve">TK-260917-00142</t>
  </si>
  <si>
    <t xml:space="preserve">882152806912</t>
  </si>
  <si>
    <t xml:space="preserve">EV-00143</t>
  </si>
  <si>
    <t xml:space="preserve">74پ518-95</t>
  </si>
  <si>
    <t xml:space="preserve">TK-260917-00143</t>
  </si>
  <si>
    <t xml:space="preserve">884361769298</t>
  </si>
  <si>
    <t xml:space="preserve">EV-00144</t>
  </si>
  <si>
    <t xml:space="preserve">11ث387-78</t>
  </si>
  <si>
    <t xml:space="preserve">TK-260918-00144</t>
  </si>
  <si>
    <t xml:space="preserve">EV-00145</t>
  </si>
  <si>
    <t xml:space="preserve">18ص891-33</t>
  </si>
  <si>
    <t xml:space="preserve">TK-260918-00145</t>
  </si>
  <si>
    <t xml:space="preserve">454684616609</t>
  </si>
  <si>
    <t xml:space="preserve">EV-00146</t>
  </si>
  <si>
    <t xml:space="preserve">TK-260918-00146</t>
  </si>
  <si>
    <t xml:space="preserve">101371449446</t>
  </si>
  <si>
    <t xml:space="preserve">EV-00147</t>
  </si>
  <si>
    <t xml:space="preserve">TK-260918-00147</t>
  </si>
  <si>
    <t xml:space="preserve">EV-00148</t>
  </si>
  <si>
    <t xml:space="preserve">68ن953-17</t>
  </si>
  <si>
    <t xml:space="preserve">TK-260918-00148</t>
  </si>
  <si>
    <t xml:space="preserve">723007965787</t>
  </si>
  <si>
    <t xml:space="preserve">EV-00149</t>
  </si>
  <si>
    <t xml:space="preserve">68ب375-86</t>
  </si>
  <si>
    <t xml:space="preserve">TK-260918-00149</t>
  </si>
  <si>
    <t xml:space="preserve">650283746046</t>
  </si>
  <si>
    <t xml:space="preserve">EV-00150</t>
  </si>
  <si>
    <t xml:space="preserve">TK-260918-00150</t>
  </si>
  <si>
    <t xml:space="preserve">962741433659</t>
  </si>
  <si>
    <t xml:space="preserve">EV-00151</t>
  </si>
  <si>
    <t xml:space="preserve">TK-260918-00151</t>
  </si>
  <si>
    <t xml:space="preserve">437145728359</t>
  </si>
  <si>
    <t xml:space="preserve">EV-00152</t>
  </si>
  <si>
    <t xml:space="preserve">57د505-77</t>
  </si>
  <si>
    <t xml:space="preserve">TK-260918-00152</t>
  </si>
  <si>
    <t xml:space="preserve">166352700009</t>
  </si>
  <si>
    <t xml:space="preserve">قطع دوربین/شبکه</t>
  </si>
  <si>
    <t xml:space="preserve">EV-00153</t>
  </si>
  <si>
    <t xml:space="preserve">TK-260918-00153</t>
  </si>
  <si>
    <t xml:space="preserve">864952633213</t>
  </si>
  <si>
    <t xml:space="preserve">دریافت اضافه بر تعرفه</t>
  </si>
  <si>
    <t xml:space="preserve">EV-00154</t>
  </si>
  <si>
    <t xml:space="preserve">52ن723-43</t>
  </si>
  <si>
    <t xml:space="preserve">TK-260918-00154</t>
  </si>
  <si>
    <t xml:space="preserve">981564764030</t>
  </si>
  <si>
    <t xml:space="preserve">EV-00155</t>
  </si>
  <si>
    <t xml:space="preserve">10س735-77</t>
  </si>
  <si>
    <t xml:space="preserve">TK-260918-00155</t>
  </si>
  <si>
    <t xml:space="preserve">629765289948</t>
  </si>
  <si>
    <t xml:space="preserve">EV-00156</t>
  </si>
  <si>
    <t xml:space="preserve">80د823-91</t>
  </si>
  <si>
    <t xml:space="preserve">TK-260918-00156</t>
  </si>
  <si>
    <t xml:space="preserve">582524807025</t>
  </si>
  <si>
    <t xml:space="preserve">EV-00157</t>
  </si>
  <si>
    <t xml:space="preserve">46ل567-14</t>
  </si>
  <si>
    <t xml:space="preserve">TK-260918-00157</t>
  </si>
  <si>
    <t xml:space="preserve">203194478168</t>
  </si>
  <si>
    <t xml:space="preserve">دستکاری ساعت گیت</t>
  </si>
  <si>
    <t xml:space="preserve">EV-00158</t>
  </si>
  <si>
    <t xml:space="preserve">94و470-49</t>
  </si>
  <si>
    <t xml:space="preserve">TK-260918-00158</t>
  </si>
  <si>
    <t xml:space="preserve">EV-00159</t>
  </si>
  <si>
    <t xml:space="preserve">21ن372-47</t>
  </si>
  <si>
    <t xml:space="preserve">TK-260918-00159</t>
  </si>
  <si>
    <t xml:space="preserve">EV-00160</t>
  </si>
  <si>
    <t xml:space="preserve">57ی599-26</t>
  </si>
  <si>
    <t xml:space="preserve">TK-260918-00160</t>
  </si>
  <si>
    <t xml:space="preserve">DC-94673</t>
  </si>
  <si>
    <t xml:space="preserve">استفاده مکرر از بن تخفیف</t>
  </si>
  <si>
    <t xml:space="preserve">EV-00161</t>
  </si>
  <si>
    <t xml:space="preserve">TK-260918-00161</t>
  </si>
  <si>
    <t xml:space="preserve">EV-00162</t>
  </si>
  <si>
    <t xml:space="preserve">62ب207-16</t>
  </si>
  <si>
    <t xml:space="preserve">TK-260918-00162</t>
  </si>
  <si>
    <t xml:space="preserve">867410550845</t>
  </si>
  <si>
    <t xml:space="preserve">EV-00163</t>
  </si>
  <si>
    <t xml:space="preserve">58ا791-83</t>
  </si>
  <si>
    <t xml:space="preserve">TK-260918-00163</t>
  </si>
  <si>
    <t xml:space="preserve">982462451480</t>
  </si>
  <si>
    <t xml:space="preserve">EV-00164</t>
  </si>
  <si>
    <t xml:space="preserve">TK-260918-00164</t>
  </si>
  <si>
    <t xml:space="preserve">EV-00165</t>
  </si>
  <si>
    <t xml:space="preserve">TK-260918-00165</t>
  </si>
  <si>
    <t xml:space="preserve">685825574259</t>
  </si>
  <si>
    <t xml:space="preserve">EV-00166</t>
  </si>
  <si>
    <t xml:space="preserve">12ش317-46</t>
  </si>
  <si>
    <t xml:space="preserve">TK-260918-00166</t>
  </si>
  <si>
    <t xml:space="preserve">EV-00167</t>
  </si>
  <si>
    <t xml:space="preserve">24ب774-29</t>
  </si>
  <si>
    <t xml:space="preserve">TK-260918-00167</t>
  </si>
  <si>
    <t xml:space="preserve">EV-00168</t>
  </si>
  <si>
    <t xml:space="preserve">57ه320-42</t>
  </si>
  <si>
    <t xml:space="preserve">TK-260918-00168</t>
  </si>
  <si>
    <t xml:space="preserve">EV-00169</t>
  </si>
  <si>
    <t xml:space="preserve">19ش212-66</t>
  </si>
  <si>
    <t xml:space="preserve">TK-260918-00169</t>
  </si>
  <si>
    <t xml:space="preserve">570475965230</t>
  </si>
  <si>
    <t xml:space="preserve">EV-00170</t>
  </si>
  <si>
    <t xml:space="preserve">TK-260918-00170</t>
  </si>
  <si>
    <t xml:space="preserve">593870770453</t>
  </si>
  <si>
    <t xml:space="preserve">EV-00171</t>
  </si>
  <si>
    <t xml:space="preserve">61ص588-19</t>
  </si>
  <si>
    <t xml:space="preserve">TK-260918-00171</t>
  </si>
  <si>
    <t xml:space="preserve">EV-00172</t>
  </si>
  <si>
    <t xml:space="preserve">TK-260918-00172</t>
  </si>
  <si>
    <t xml:space="preserve">156684636038</t>
  </si>
  <si>
    <t xml:space="preserve">EV-00173</t>
  </si>
  <si>
    <t xml:space="preserve">34س247-29</t>
  </si>
  <si>
    <t xml:space="preserve">TK-260918-00173</t>
  </si>
  <si>
    <t xml:space="preserve">EV-00174</t>
  </si>
  <si>
    <t xml:space="preserve">TK-260918-00174</t>
  </si>
  <si>
    <t xml:space="preserve">844827547676</t>
  </si>
  <si>
    <t xml:space="preserve">DC-16367</t>
  </si>
  <si>
    <t xml:space="preserve">EV-00175</t>
  </si>
  <si>
    <t xml:space="preserve">87ل391-88</t>
  </si>
  <si>
    <t xml:space="preserve">85ل391-88</t>
  </si>
  <si>
    <t xml:space="preserve">TK-260918-00175</t>
  </si>
  <si>
    <t xml:space="preserve">EV-00176</t>
  </si>
  <si>
    <t xml:space="preserve">81د893-22</t>
  </si>
  <si>
    <t xml:space="preserve">TK-260918-00176</t>
  </si>
  <si>
    <t xml:space="preserve">T-7788</t>
  </si>
  <si>
    <t xml:space="preserve">214974685621</t>
  </si>
  <si>
    <t xml:space="preserve">EV-00177</t>
  </si>
  <si>
    <t xml:space="preserve">80ج358-66</t>
  </si>
  <si>
    <t xml:space="preserve">TK-260918-00177</t>
  </si>
  <si>
    <t xml:space="preserve">EV-00178</t>
  </si>
  <si>
    <t xml:space="preserve">TK-260918-00178</t>
  </si>
  <si>
    <t xml:space="preserve">EV-00179</t>
  </si>
  <si>
    <t xml:space="preserve">TK-260918-00179</t>
  </si>
  <si>
    <t xml:space="preserve">597154843010</t>
  </si>
  <si>
    <t xml:space="preserve">EV-00180</t>
  </si>
  <si>
    <t xml:space="preserve">TK-260918-00180</t>
  </si>
  <si>
    <t xml:space="preserve">436791413265</t>
  </si>
  <si>
    <t xml:space="preserve">EV-00181</t>
  </si>
  <si>
    <t xml:space="preserve">88گ935-26</t>
  </si>
  <si>
    <t xml:space="preserve">TK-260918-00181</t>
  </si>
  <si>
    <t xml:space="preserve">363228961800</t>
  </si>
  <si>
    <t xml:space="preserve">EV-00182</t>
  </si>
  <si>
    <t xml:space="preserve">17م876-24</t>
  </si>
  <si>
    <t xml:space="preserve">TK-260918-00182</t>
  </si>
  <si>
    <t xml:space="preserve">874495709842</t>
  </si>
  <si>
    <t xml:space="preserve">EV-00183</t>
  </si>
  <si>
    <t xml:space="preserve">TK-260918-00183</t>
  </si>
  <si>
    <t xml:space="preserve">039300031054</t>
  </si>
  <si>
    <t xml:space="preserve">DC-92034</t>
  </si>
  <si>
    <t xml:space="preserve">EV-00184</t>
  </si>
  <si>
    <t xml:space="preserve">TK-260918-00184</t>
  </si>
  <si>
    <t xml:space="preserve">EV-00185</t>
  </si>
  <si>
    <t xml:space="preserve">86گ184-72</t>
  </si>
  <si>
    <t xml:space="preserve">TK-260918-00185</t>
  </si>
  <si>
    <t xml:space="preserve">189738626295</t>
  </si>
  <si>
    <t xml:space="preserve">EV-00186</t>
  </si>
  <si>
    <t xml:space="preserve">17پ200-46</t>
  </si>
  <si>
    <t xml:space="preserve">17پ200-43</t>
  </si>
  <si>
    <t xml:space="preserve">TK-260918-00186</t>
  </si>
  <si>
    <t xml:space="preserve">EV-00187</t>
  </si>
  <si>
    <t xml:space="preserve">95گ901-86</t>
  </si>
  <si>
    <t xml:space="preserve">TK-260918-00187</t>
  </si>
  <si>
    <t xml:space="preserve">282081064649</t>
  </si>
  <si>
    <t xml:space="preserve">EV-00188</t>
  </si>
  <si>
    <t xml:space="preserve">11ث656-25</t>
  </si>
  <si>
    <t xml:space="preserve">TK-260918-00188</t>
  </si>
  <si>
    <t xml:space="preserve">EV-00189</t>
  </si>
  <si>
    <t xml:space="preserve">96ب382-47</t>
  </si>
  <si>
    <t xml:space="preserve">TK-260918-00189</t>
  </si>
  <si>
    <t xml:space="preserve">628200835058</t>
  </si>
  <si>
    <t xml:space="preserve">EV-00190</t>
  </si>
  <si>
    <t xml:space="preserve">TK-260918-00190</t>
  </si>
  <si>
    <t xml:space="preserve">017236410577</t>
  </si>
  <si>
    <t xml:space="preserve">EV-00191</t>
  </si>
  <si>
    <t xml:space="preserve">TK-260918-00191</t>
  </si>
  <si>
    <t xml:space="preserve">EV-00192</t>
  </si>
  <si>
    <t xml:space="preserve">TK-260918-00192</t>
  </si>
  <si>
    <t xml:space="preserve">EV-00193</t>
  </si>
  <si>
    <t xml:space="preserve">99پ379-18</t>
  </si>
  <si>
    <t xml:space="preserve">TK-260918-00193</t>
  </si>
  <si>
    <t xml:space="preserve">EV-00194</t>
  </si>
  <si>
    <t xml:space="preserve">59ی213-91</t>
  </si>
  <si>
    <t xml:space="preserve">TK-260918-00194</t>
  </si>
  <si>
    <t xml:space="preserve">496947244016</t>
  </si>
  <si>
    <t xml:space="preserve">EV-00195</t>
  </si>
  <si>
    <t xml:space="preserve">TK-260918-00195</t>
  </si>
  <si>
    <t xml:space="preserve">EV-00196</t>
  </si>
  <si>
    <t xml:space="preserve">18ط619-26</t>
  </si>
  <si>
    <t xml:space="preserve">TK-260918-00196</t>
  </si>
  <si>
    <t xml:space="preserve">010780681726</t>
  </si>
  <si>
    <t xml:space="preserve">EV-00197</t>
  </si>
  <si>
    <t xml:space="preserve">24ک622-44</t>
  </si>
  <si>
    <t xml:space="preserve">TK-260918-00197</t>
  </si>
  <si>
    <t xml:space="preserve">233122506894</t>
  </si>
  <si>
    <t xml:space="preserve">EV-00198</t>
  </si>
  <si>
    <t xml:space="preserve">TK-260918-00198</t>
  </si>
  <si>
    <t xml:space="preserve">149645914917</t>
  </si>
  <si>
    <t xml:space="preserve">EV-00199</t>
  </si>
  <si>
    <t xml:space="preserve">TK-260918-00199</t>
  </si>
  <si>
    <t xml:space="preserve">707443412367</t>
  </si>
  <si>
    <t xml:space="preserve">EV-00200</t>
  </si>
  <si>
    <t xml:space="preserve">16ل669-36</t>
  </si>
  <si>
    <t xml:space="preserve">TK-260918-00200</t>
  </si>
  <si>
    <t xml:space="preserve">812658766477</t>
  </si>
  <si>
    <t xml:space="preserve">EV-00201</t>
  </si>
  <si>
    <t xml:space="preserve">11ت226-18</t>
  </si>
  <si>
    <t xml:space="preserve">TK-260918-00201</t>
  </si>
  <si>
    <t xml:space="preserve">112846248447</t>
  </si>
  <si>
    <t xml:space="preserve">EV-00202</t>
  </si>
  <si>
    <t xml:space="preserve">72و187-68</t>
  </si>
  <si>
    <t xml:space="preserve">TK-260918-00202</t>
  </si>
  <si>
    <t xml:space="preserve">EV-00203</t>
  </si>
  <si>
    <t xml:space="preserve">80ط469-47</t>
  </si>
  <si>
    <t xml:space="preserve">TK-260918-00203</t>
  </si>
  <si>
    <t xml:space="preserve">600606559320</t>
  </si>
  <si>
    <t xml:space="preserve">EV-00204</t>
  </si>
  <si>
    <t xml:space="preserve">81پ538-38</t>
  </si>
  <si>
    <t xml:space="preserve">TK-260918-00204</t>
  </si>
  <si>
    <t xml:space="preserve">DC-13366</t>
  </si>
  <si>
    <t xml:space="preserve">EV-00205</t>
  </si>
  <si>
    <t xml:space="preserve">TK-260918-00205</t>
  </si>
  <si>
    <t xml:space="preserve">056635069077</t>
  </si>
  <si>
    <t xml:space="preserve">EV-00206</t>
  </si>
  <si>
    <t xml:space="preserve">TK-260918-00206</t>
  </si>
  <si>
    <t xml:space="preserve">122026479377</t>
  </si>
  <si>
    <t xml:space="preserve">EV-00207</t>
  </si>
  <si>
    <t xml:space="preserve">79ا219-83</t>
  </si>
  <si>
    <t xml:space="preserve">TK-260918-00207</t>
  </si>
  <si>
    <t xml:space="preserve">161548620515</t>
  </si>
  <si>
    <t xml:space="preserve">EV-00208</t>
  </si>
  <si>
    <t xml:space="preserve">TK-260918-00208</t>
  </si>
  <si>
    <t xml:space="preserve">EV-00209</t>
  </si>
  <si>
    <t xml:space="preserve">71ب277-31</t>
  </si>
  <si>
    <t xml:space="preserve">TK-260919-00209</t>
  </si>
  <si>
    <t xml:space="preserve">EV-00210</t>
  </si>
  <si>
    <t xml:space="preserve">18ک147-49</t>
  </si>
  <si>
    <t xml:space="preserve">TK-260919-00210</t>
  </si>
  <si>
    <t xml:space="preserve">549152235111</t>
  </si>
  <si>
    <t xml:space="preserve">EV-00211</t>
  </si>
  <si>
    <t xml:space="preserve">47ج431-48</t>
  </si>
  <si>
    <t xml:space="preserve">TK-260919-00211</t>
  </si>
  <si>
    <t xml:space="preserve">EV-00212</t>
  </si>
  <si>
    <t xml:space="preserve">TK-260919-00212</t>
  </si>
  <si>
    <t xml:space="preserve">EV-00213</t>
  </si>
  <si>
    <t xml:space="preserve">TK-260919-00213</t>
  </si>
  <si>
    <t xml:space="preserve">EV-00214</t>
  </si>
  <si>
    <t xml:space="preserve">TK-260919-00214</t>
  </si>
  <si>
    <t xml:space="preserve">872314302950</t>
  </si>
  <si>
    <t xml:space="preserve">EV-00215</t>
  </si>
  <si>
    <t xml:space="preserve">TK-260919-00215</t>
  </si>
  <si>
    <t xml:space="preserve">EV-00216</t>
  </si>
  <si>
    <t xml:space="preserve">TK-260919-00216</t>
  </si>
  <si>
    <t xml:space="preserve">736108193153</t>
  </si>
  <si>
    <t xml:space="preserve">EV-00217</t>
  </si>
  <si>
    <t xml:space="preserve">72س987-28</t>
  </si>
  <si>
    <t xml:space="preserve">TK-260919-00217</t>
  </si>
  <si>
    <t xml:space="preserve">EV-00218</t>
  </si>
  <si>
    <t xml:space="preserve">76ص923-28</t>
  </si>
  <si>
    <t xml:space="preserve">TK-260919-00218</t>
  </si>
  <si>
    <t xml:space="preserve">633875698802</t>
  </si>
  <si>
    <t xml:space="preserve">EV-00219</t>
  </si>
  <si>
    <t xml:space="preserve">16گ179-18</t>
  </si>
  <si>
    <t xml:space="preserve">TK-260919-00219</t>
  </si>
  <si>
    <t xml:space="preserve">180543899880</t>
  </si>
  <si>
    <t xml:space="preserve">EV-00220</t>
  </si>
  <si>
    <t xml:space="preserve">TK-260919-00220</t>
  </si>
  <si>
    <t xml:space="preserve">EV-00221</t>
  </si>
  <si>
    <t xml:space="preserve">TK-260919-00221</t>
  </si>
  <si>
    <t xml:space="preserve">202031064943</t>
  </si>
  <si>
    <t xml:space="preserve">EV-00222</t>
  </si>
  <si>
    <t xml:space="preserve">TK-260919-00222</t>
  </si>
  <si>
    <t xml:space="preserve">EV-00223</t>
  </si>
  <si>
    <t xml:space="preserve">TK-260919-00223</t>
  </si>
  <si>
    <t xml:space="preserve">795488894173</t>
  </si>
  <si>
    <t xml:space="preserve">EV-00224</t>
  </si>
  <si>
    <t xml:space="preserve">TK-260919-00224</t>
  </si>
  <si>
    <t xml:space="preserve">379597029331</t>
  </si>
  <si>
    <t xml:space="preserve">EV-00225</t>
  </si>
  <si>
    <t xml:space="preserve">65ش432-33</t>
  </si>
  <si>
    <t xml:space="preserve">TK-260919-00225</t>
  </si>
  <si>
    <t xml:space="preserve">EV-00226</t>
  </si>
  <si>
    <t xml:space="preserve">TK-260919-00226</t>
  </si>
  <si>
    <t xml:space="preserve">EV-00227</t>
  </si>
  <si>
    <t xml:space="preserve">68و974-42</t>
  </si>
  <si>
    <t xml:space="preserve">TK-260919-00227</t>
  </si>
  <si>
    <t xml:space="preserve">779503318394</t>
  </si>
  <si>
    <t xml:space="preserve">EV-00228</t>
  </si>
  <si>
    <t xml:space="preserve">TK-260919-00228</t>
  </si>
  <si>
    <t xml:space="preserve">173203078601</t>
  </si>
  <si>
    <t xml:space="preserve">EV-00229</t>
  </si>
  <si>
    <t xml:space="preserve">14م384-24</t>
  </si>
  <si>
    <t xml:space="preserve">TK-260919-00229</t>
  </si>
  <si>
    <t xml:space="preserve">EV-00230</t>
  </si>
  <si>
    <t xml:space="preserve">TK-260919-00230</t>
  </si>
  <si>
    <t xml:space="preserve">474561210491</t>
  </si>
  <si>
    <t xml:space="preserve">EV-00231</t>
  </si>
  <si>
    <t xml:space="preserve">TK-260919-00231</t>
  </si>
  <si>
    <t xml:space="preserve">283701391232</t>
  </si>
  <si>
    <t xml:space="preserve">EV-00232</t>
  </si>
  <si>
    <t xml:space="preserve">TK-260919-00232</t>
  </si>
  <si>
    <t xml:space="preserve">EV-00233</t>
  </si>
  <si>
    <t xml:space="preserve">TK-260919-00233</t>
  </si>
  <si>
    <t xml:space="preserve">853789252740</t>
  </si>
  <si>
    <t xml:space="preserve">EV-00234</t>
  </si>
  <si>
    <t xml:space="preserve">94ل323-79</t>
  </si>
  <si>
    <t xml:space="preserve">TK-260919-00234</t>
  </si>
  <si>
    <t xml:space="preserve">EV-00235</t>
  </si>
  <si>
    <t xml:space="preserve">79ز550-68</t>
  </si>
  <si>
    <t xml:space="preserve">TK-260919-00235</t>
  </si>
  <si>
    <t xml:space="preserve">DC-82365</t>
  </si>
  <si>
    <t xml:space="preserve">EV-00236</t>
  </si>
  <si>
    <t xml:space="preserve">TK-260919-00236</t>
  </si>
  <si>
    <t xml:space="preserve">059176749025</t>
  </si>
  <si>
    <t xml:space="preserve">EV-00237</t>
  </si>
  <si>
    <t xml:space="preserve">TK-260919-00237</t>
  </si>
  <si>
    <t xml:space="preserve">742198247988</t>
  </si>
  <si>
    <t xml:space="preserve">EV-00238</t>
  </si>
  <si>
    <t xml:space="preserve">TK-260919-00238</t>
  </si>
  <si>
    <t xml:space="preserve">EV-00239</t>
  </si>
  <si>
    <t xml:space="preserve">TK-260919-00239</t>
  </si>
  <si>
    <t xml:space="preserve">310046604699</t>
  </si>
  <si>
    <t xml:space="preserve">EV-00240</t>
  </si>
  <si>
    <t xml:space="preserve">74ه378-14</t>
  </si>
  <si>
    <t xml:space="preserve">TK-260919-00240</t>
  </si>
  <si>
    <t xml:space="preserve">EV-00241</t>
  </si>
  <si>
    <t xml:space="preserve">37ا894-17</t>
  </si>
  <si>
    <t xml:space="preserve">TK-260919-00241</t>
  </si>
  <si>
    <t xml:space="preserve">EV-00242</t>
  </si>
  <si>
    <t xml:space="preserve">38ل544-78</t>
  </si>
  <si>
    <t xml:space="preserve">TK-260919-00242</t>
  </si>
  <si>
    <t xml:space="preserve">666013882334</t>
  </si>
  <si>
    <t xml:space="preserve">EV-00243</t>
  </si>
  <si>
    <t xml:space="preserve">33ا207-15</t>
  </si>
  <si>
    <t xml:space="preserve">TK-260919-00243</t>
  </si>
  <si>
    <t xml:space="preserve">255149094995</t>
  </si>
  <si>
    <t xml:space="preserve">EV-00244</t>
  </si>
  <si>
    <t xml:space="preserve">28و974-42</t>
  </si>
  <si>
    <t xml:space="preserve">TK-260919-00244</t>
  </si>
  <si>
    <t xml:space="preserve">EV-00245</t>
  </si>
  <si>
    <t xml:space="preserve">TK-260919-00245</t>
  </si>
  <si>
    <t xml:space="preserve">EV-00246</t>
  </si>
  <si>
    <t xml:space="preserve">TK-260919-00246</t>
  </si>
  <si>
    <t xml:space="preserve">935880285336</t>
  </si>
  <si>
    <t xml:space="preserve">EV-00247</t>
  </si>
  <si>
    <t xml:space="preserve">TK-260919-00247</t>
  </si>
  <si>
    <t xml:space="preserve">362144076625</t>
  </si>
  <si>
    <t xml:space="preserve">EV-00248</t>
  </si>
  <si>
    <t xml:space="preserve">TK-260919-00248</t>
  </si>
  <si>
    <t xml:space="preserve">EV-00249</t>
  </si>
  <si>
    <t xml:space="preserve">41گ293-66</t>
  </si>
  <si>
    <t xml:space="preserve">TK-260919-00249</t>
  </si>
  <si>
    <t xml:space="preserve">EV-00250</t>
  </si>
  <si>
    <t xml:space="preserve">TK-260919-00250</t>
  </si>
  <si>
    <t xml:space="preserve">EV-00251</t>
  </si>
  <si>
    <t xml:space="preserve">TK-260919-00251</t>
  </si>
  <si>
    <t xml:space="preserve">500021529500</t>
  </si>
  <si>
    <t xml:space="preserve">EV-00252</t>
  </si>
  <si>
    <t xml:space="preserve">TK-260919-00252</t>
  </si>
  <si>
    <t xml:space="preserve">EV-00253</t>
  </si>
  <si>
    <t xml:space="preserve">TK-260919-00253</t>
  </si>
  <si>
    <t xml:space="preserve">EV-00254</t>
  </si>
  <si>
    <t xml:space="preserve">44ک869-27</t>
  </si>
  <si>
    <t xml:space="preserve">TK-260919-00254</t>
  </si>
  <si>
    <t xml:space="preserve">EV-00255</t>
  </si>
  <si>
    <t xml:space="preserve">TK-260919-00255</t>
  </si>
  <si>
    <t xml:space="preserve">064083282255</t>
  </si>
  <si>
    <t xml:space="preserve">EV-00256</t>
  </si>
  <si>
    <t xml:space="preserve">65ل448-24</t>
  </si>
  <si>
    <t xml:space="preserve">TK-260919-00256</t>
  </si>
  <si>
    <t xml:space="preserve">EV-00257</t>
  </si>
  <si>
    <t xml:space="preserve">22ط589-28</t>
  </si>
  <si>
    <t xml:space="preserve">TK-260919-00257</t>
  </si>
  <si>
    <t xml:space="preserve">EV-00258</t>
  </si>
  <si>
    <t xml:space="preserve">64ا911-83</t>
  </si>
  <si>
    <t xml:space="preserve">TK-260919-00258</t>
  </si>
  <si>
    <t xml:space="preserve">630210327014</t>
  </si>
  <si>
    <t xml:space="preserve">EV-00259</t>
  </si>
  <si>
    <t xml:space="preserve">68ص728-53</t>
  </si>
  <si>
    <t xml:space="preserve">TK-260919-00259</t>
  </si>
  <si>
    <t xml:space="preserve">EV-00260</t>
  </si>
  <si>
    <t xml:space="preserve">TK-260919-00260</t>
  </si>
  <si>
    <t xml:space="preserve">EV-00261</t>
  </si>
  <si>
    <t xml:space="preserve">TK-260919-00261</t>
  </si>
  <si>
    <t xml:space="preserve">713169542058</t>
  </si>
  <si>
    <t xml:space="preserve">EV-00262</t>
  </si>
  <si>
    <t xml:space="preserve">67ل924-91</t>
  </si>
  <si>
    <t xml:space="preserve">TK-260919-00262</t>
  </si>
  <si>
    <t xml:space="preserve">271135949939</t>
  </si>
  <si>
    <t xml:space="preserve">EV-00263</t>
  </si>
  <si>
    <t xml:space="preserve">38م213-47</t>
  </si>
  <si>
    <t xml:space="preserve">TK-260919-00263</t>
  </si>
  <si>
    <t xml:space="preserve">EV-00264</t>
  </si>
  <si>
    <t xml:space="preserve">TK-260919-00264</t>
  </si>
  <si>
    <t xml:space="preserve">853730608041</t>
  </si>
  <si>
    <t xml:space="preserve">EV-00265</t>
  </si>
  <si>
    <t xml:space="preserve">TK-260919-00265</t>
  </si>
  <si>
    <t xml:space="preserve">EV-00266</t>
  </si>
  <si>
    <t xml:space="preserve">TK-260919-00266</t>
  </si>
  <si>
    <t xml:space="preserve">EV-00267</t>
  </si>
  <si>
    <t xml:space="preserve">TK-260919-00267</t>
  </si>
  <si>
    <t xml:space="preserve">EV-00268</t>
  </si>
  <si>
    <t xml:space="preserve">TK-260919-00268</t>
  </si>
  <si>
    <t xml:space="preserve">EV-00269</t>
  </si>
  <si>
    <t xml:space="preserve">TK-260919-00269</t>
  </si>
  <si>
    <t xml:space="preserve">510529212053</t>
  </si>
  <si>
    <t xml:space="preserve">DC-91406</t>
  </si>
  <si>
    <t xml:space="preserve">EV-00270</t>
  </si>
  <si>
    <t xml:space="preserve">TK-260919-00270</t>
  </si>
  <si>
    <t xml:space="preserve">EV-00271</t>
  </si>
  <si>
    <t xml:space="preserve">72ا691-83</t>
  </si>
  <si>
    <t xml:space="preserve">TK-260919-00271</t>
  </si>
  <si>
    <t xml:space="preserve">EV-00272</t>
  </si>
  <si>
    <t xml:space="preserve">TK-260919-00272</t>
  </si>
  <si>
    <t xml:space="preserve">EV-00273</t>
  </si>
  <si>
    <t xml:space="preserve">TK-260919-00273</t>
  </si>
  <si>
    <t xml:space="preserve">EV-00274</t>
  </si>
  <si>
    <t xml:space="preserve">92ز590-55</t>
  </si>
  <si>
    <t xml:space="preserve">98ز590-55</t>
  </si>
  <si>
    <t xml:space="preserve">TK-260919-00274</t>
  </si>
  <si>
    <t xml:space="preserve">EV-00275</t>
  </si>
  <si>
    <t xml:space="preserve">41ش574-13</t>
  </si>
  <si>
    <t xml:space="preserve">TK-260919-00275</t>
  </si>
  <si>
    <t xml:space="preserve">688602414116</t>
  </si>
  <si>
    <t xml:space="preserve">EV-00276</t>
  </si>
  <si>
    <t xml:space="preserve">TK-260919-00276</t>
  </si>
  <si>
    <t xml:space="preserve">EV-00277</t>
  </si>
  <si>
    <t xml:space="preserve">72ص630-13</t>
  </si>
  <si>
    <t xml:space="preserve">TK-260919-00277</t>
  </si>
  <si>
    <t xml:space="preserve">331852459458</t>
  </si>
  <si>
    <t xml:space="preserve">EV-00278</t>
  </si>
  <si>
    <t xml:space="preserve">TK-260919-00278</t>
  </si>
  <si>
    <t xml:space="preserve">EV-00279</t>
  </si>
  <si>
    <t xml:space="preserve">TK-260919-00279</t>
  </si>
  <si>
    <t xml:space="preserve">366480518037</t>
  </si>
  <si>
    <t xml:space="preserve">EV-00280</t>
  </si>
  <si>
    <t xml:space="preserve">TK-260919-00280</t>
  </si>
  <si>
    <t xml:space="preserve">EV-00281</t>
  </si>
  <si>
    <t xml:space="preserve">43ت572-16</t>
  </si>
  <si>
    <t xml:space="preserve">TK-260919-00281</t>
  </si>
  <si>
    <t xml:space="preserve">928567283015</t>
  </si>
  <si>
    <t xml:space="preserve">EV-00282</t>
  </si>
  <si>
    <t xml:space="preserve">TK-260919-00282</t>
  </si>
  <si>
    <t xml:space="preserve">456469426004</t>
  </si>
  <si>
    <t xml:space="preserve">EV-00283</t>
  </si>
  <si>
    <t xml:space="preserve">TK-260919-00283</t>
  </si>
  <si>
    <t xml:space="preserve">119249704141</t>
  </si>
  <si>
    <t xml:space="preserve">EV-00284</t>
  </si>
  <si>
    <t xml:space="preserve">TK-260919-00284</t>
  </si>
  <si>
    <t xml:space="preserve">680665690831</t>
  </si>
  <si>
    <t xml:space="preserve">EV-00285</t>
  </si>
  <si>
    <t xml:space="preserve">TK-260919-00285</t>
  </si>
  <si>
    <t xml:space="preserve">تعویض فیش خودرو رسوبی</t>
  </si>
  <si>
    <t xml:space="preserve">EV-00286</t>
  </si>
  <si>
    <t xml:space="preserve">TK-260919-00286</t>
  </si>
  <si>
    <t xml:space="preserve">EV-00287</t>
  </si>
  <si>
    <t xml:space="preserve">43ث235-53</t>
  </si>
  <si>
    <t xml:space="preserve">TK-260919-00287</t>
  </si>
  <si>
    <t xml:space="preserve">708251775097</t>
  </si>
  <si>
    <t xml:space="preserve">EV-00288</t>
  </si>
  <si>
    <t xml:space="preserve">70و861-42</t>
  </si>
  <si>
    <t xml:space="preserve">TK-260919-00288</t>
  </si>
  <si>
    <t xml:space="preserve">484959295374</t>
  </si>
  <si>
    <t xml:space="preserve">EV-00289</t>
  </si>
  <si>
    <t xml:space="preserve">TK-260920-00289</t>
  </si>
  <si>
    <t xml:space="preserve">EV-00290</t>
  </si>
  <si>
    <t xml:space="preserve">TK-260920-00290</t>
  </si>
  <si>
    <t xml:space="preserve">EV-00291</t>
  </si>
  <si>
    <t xml:space="preserve">78ی782-13</t>
  </si>
  <si>
    <t xml:space="preserve">TK-260920-00291</t>
  </si>
  <si>
    <t xml:space="preserve">213569381911</t>
  </si>
  <si>
    <t xml:space="preserve">EV-00292</t>
  </si>
  <si>
    <t xml:space="preserve">53ت651-22</t>
  </si>
  <si>
    <t xml:space="preserve">TK-260920-00292</t>
  </si>
  <si>
    <t xml:space="preserve">EV-00293</t>
  </si>
  <si>
    <t xml:space="preserve">50ث683-74</t>
  </si>
  <si>
    <t xml:space="preserve">TK-260920-00293</t>
  </si>
  <si>
    <t xml:space="preserve">EV-00294</t>
  </si>
  <si>
    <t xml:space="preserve">76ش278-11</t>
  </si>
  <si>
    <t xml:space="preserve">TK-260920-00294</t>
  </si>
  <si>
    <t xml:space="preserve">EV-00295</t>
  </si>
  <si>
    <t xml:space="preserve">TK-260920-00295</t>
  </si>
  <si>
    <t xml:space="preserve">EV-00296</t>
  </si>
  <si>
    <t xml:space="preserve">TK-260920-00296</t>
  </si>
  <si>
    <t xml:space="preserve">270606246870</t>
  </si>
  <si>
    <t xml:space="preserve">EV-00297</t>
  </si>
  <si>
    <t xml:space="preserve">TK-260920-00297</t>
  </si>
  <si>
    <t xml:space="preserve">794701822973</t>
  </si>
  <si>
    <t xml:space="preserve">EV-00298</t>
  </si>
  <si>
    <t xml:space="preserve">17م695-49</t>
  </si>
  <si>
    <t xml:space="preserve">TK-260920-00298</t>
  </si>
  <si>
    <t xml:space="preserve">EV-00299</t>
  </si>
  <si>
    <t xml:space="preserve">TK-260920-00299</t>
  </si>
  <si>
    <t xml:space="preserve">EV-00300</t>
  </si>
  <si>
    <t xml:space="preserve">TK-260920-00300</t>
  </si>
  <si>
    <t xml:space="preserve">EV-00301</t>
  </si>
  <si>
    <t xml:space="preserve">51ی547-25</t>
  </si>
  <si>
    <t xml:space="preserve">TK-260920-00301</t>
  </si>
  <si>
    <t xml:space="preserve">614630559902</t>
  </si>
  <si>
    <t xml:space="preserve">EV-00302</t>
  </si>
  <si>
    <t xml:space="preserve">TK-260920-00302</t>
  </si>
  <si>
    <t xml:space="preserve">959538248826</t>
  </si>
  <si>
    <t xml:space="preserve">EV-00303</t>
  </si>
  <si>
    <t xml:space="preserve">19ز119-33</t>
  </si>
  <si>
    <t xml:space="preserve">TK-260920-00303</t>
  </si>
  <si>
    <t xml:space="preserve">964800153426</t>
  </si>
  <si>
    <t xml:space="preserve">EV-00304</t>
  </si>
  <si>
    <t xml:space="preserve">93ط566-74</t>
  </si>
  <si>
    <t xml:space="preserve">TK-260920-00304</t>
  </si>
  <si>
    <t xml:space="preserve">EV-00305</t>
  </si>
  <si>
    <t xml:space="preserve">37ث430-66</t>
  </si>
  <si>
    <t xml:space="preserve">TK-260920-00305</t>
  </si>
  <si>
    <t xml:space="preserve">EV-00306</t>
  </si>
  <si>
    <t xml:space="preserve">67ث430-66</t>
  </si>
  <si>
    <t xml:space="preserve">TK-260920-00306</t>
  </si>
  <si>
    <t xml:space="preserve">EV-00307</t>
  </si>
  <si>
    <t xml:space="preserve">69ز901-68</t>
  </si>
  <si>
    <t xml:space="preserve">TK-260920-00307</t>
  </si>
  <si>
    <t xml:space="preserve">884289866254</t>
  </si>
  <si>
    <t xml:space="preserve">EV-00308</t>
  </si>
  <si>
    <t xml:space="preserve">TK-260920-00308</t>
  </si>
  <si>
    <t xml:space="preserve">151355779844</t>
  </si>
  <si>
    <t xml:space="preserve">EV-00309</t>
  </si>
  <si>
    <t xml:space="preserve">71ق334-38</t>
  </si>
  <si>
    <t xml:space="preserve">TK-260920-00309</t>
  </si>
  <si>
    <t xml:space="preserve">EV-00310</t>
  </si>
  <si>
    <t xml:space="preserve">TK-260920-00310</t>
  </si>
  <si>
    <t xml:space="preserve">633353796190</t>
  </si>
  <si>
    <t xml:space="preserve">EV-00311</t>
  </si>
  <si>
    <t xml:space="preserve">TK-260920-00311</t>
  </si>
  <si>
    <t xml:space="preserve">576179061226</t>
  </si>
  <si>
    <t xml:space="preserve">EV-00312</t>
  </si>
  <si>
    <t xml:space="preserve">TK-260920-00312</t>
  </si>
  <si>
    <t xml:space="preserve">EV-00313</t>
  </si>
  <si>
    <t xml:space="preserve">TK-260920-00313</t>
  </si>
  <si>
    <t xml:space="preserve">EV-00314</t>
  </si>
  <si>
    <t xml:space="preserve">21ج854-27</t>
  </si>
  <si>
    <t xml:space="preserve">TK-260920-00314</t>
  </si>
  <si>
    <t xml:space="preserve">EV-00315</t>
  </si>
  <si>
    <t xml:space="preserve">34ه794-53</t>
  </si>
  <si>
    <t xml:space="preserve">TK-260920-00315</t>
  </si>
  <si>
    <t xml:space="preserve">DC-39574</t>
  </si>
  <si>
    <t xml:space="preserve">EV-00316</t>
  </si>
  <si>
    <t xml:space="preserve">54ت752-53</t>
  </si>
  <si>
    <t xml:space="preserve">TK-260920-00316</t>
  </si>
  <si>
    <t xml:space="preserve">748313235925</t>
  </si>
  <si>
    <t xml:space="preserve">EV-00317</t>
  </si>
  <si>
    <t xml:space="preserve">TK-260920-00317</t>
  </si>
  <si>
    <t xml:space="preserve">897112255539</t>
  </si>
  <si>
    <t xml:space="preserve">EV-00318</t>
  </si>
  <si>
    <t xml:space="preserve">TK-260920-00318</t>
  </si>
  <si>
    <t xml:space="preserve">717903755694</t>
  </si>
  <si>
    <t xml:space="preserve">EV-00319</t>
  </si>
  <si>
    <t xml:space="preserve">32ه901-16</t>
  </si>
  <si>
    <t xml:space="preserve">TK-260920-00319</t>
  </si>
  <si>
    <t xml:space="preserve">264287120126</t>
  </si>
  <si>
    <t xml:space="preserve">EV-00320</t>
  </si>
  <si>
    <t xml:space="preserve">TK-260920-00320</t>
  </si>
  <si>
    <t xml:space="preserve">EV-00321</t>
  </si>
  <si>
    <t xml:space="preserve">36ط916-81</t>
  </si>
  <si>
    <t xml:space="preserve">TK-260920-00321</t>
  </si>
  <si>
    <t xml:space="preserve">معکوس</t>
  </si>
  <si>
    <t xml:space="preserve">بدون ثبت پرداخت</t>
  </si>
  <si>
    <t xml:space="preserve">تردد خلاف جهت</t>
  </si>
  <si>
    <t xml:space="preserve">EV-00322</t>
  </si>
  <si>
    <t xml:space="preserve">68ش945-74</t>
  </si>
  <si>
    <t xml:space="preserve">TK-260920-00322</t>
  </si>
  <si>
    <t xml:space="preserve">665978828324</t>
  </si>
  <si>
    <t xml:space="preserve">EV-00323</t>
  </si>
  <si>
    <t xml:space="preserve">TK-260920-00323</t>
  </si>
  <si>
    <t xml:space="preserve">EV-00324</t>
  </si>
  <si>
    <t xml:space="preserve">36پ428-48</t>
  </si>
  <si>
    <t xml:space="preserve">TK-260920-00324</t>
  </si>
  <si>
    <t xml:space="preserve">EV-00325</t>
  </si>
  <si>
    <t xml:space="preserve">TK-260920-00325</t>
  </si>
  <si>
    <t xml:space="preserve">207519532654</t>
  </si>
  <si>
    <t xml:space="preserve">EV-00326</t>
  </si>
  <si>
    <t xml:space="preserve">TK-260920-00326</t>
  </si>
  <si>
    <t xml:space="preserve">388484477781</t>
  </si>
  <si>
    <t xml:space="preserve">EV-00327</t>
  </si>
  <si>
    <t xml:space="preserve">18م413-88</t>
  </si>
  <si>
    <t xml:space="preserve">TK-260920-00327</t>
  </si>
  <si>
    <t xml:space="preserve">EV-00328</t>
  </si>
  <si>
    <t xml:space="preserve">TK-260920-00328</t>
  </si>
  <si>
    <t xml:space="preserve">EV-00329</t>
  </si>
  <si>
    <t xml:space="preserve">TK-260920-00329</t>
  </si>
  <si>
    <t xml:space="preserve">706091909014</t>
  </si>
  <si>
    <t xml:space="preserve">EV-00330</t>
  </si>
  <si>
    <t xml:space="preserve">32ط638-47</t>
  </si>
  <si>
    <t xml:space="preserve">TK-260920-00330</t>
  </si>
  <si>
    <t xml:space="preserve">EV-00331</t>
  </si>
  <si>
    <t xml:space="preserve">TK-260920-00331</t>
  </si>
  <si>
    <t xml:space="preserve">139592393903</t>
  </si>
  <si>
    <t xml:space="preserve">EV-00332</t>
  </si>
  <si>
    <t xml:space="preserve">22ث656-72</t>
  </si>
  <si>
    <t xml:space="preserve">22ث756-72</t>
  </si>
  <si>
    <t xml:space="preserve">TK-260920-00332</t>
  </si>
  <si>
    <t xml:space="preserve">408154635258</t>
  </si>
  <si>
    <t xml:space="preserve">EV-00333</t>
  </si>
  <si>
    <t xml:space="preserve">TK-260920-00333</t>
  </si>
  <si>
    <t xml:space="preserve">EV-00334</t>
  </si>
  <si>
    <t xml:space="preserve">TK-260920-00334</t>
  </si>
  <si>
    <t xml:space="preserve">070474192711</t>
  </si>
  <si>
    <t xml:space="preserve">EV-00335</t>
  </si>
  <si>
    <t xml:space="preserve">57ت265-95</t>
  </si>
  <si>
    <t xml:space="preserve">TK-260920-00335</t>
  </si>
  <si>
    <t xml:space="preserve">EV-00336</t>
  </si>
  <si>
    <t xml:space="preserve">TK-260920-00336</t>
  </si>
  <si>
    <t xml:space="preserve">946352473919</t>
  </si>
  <si>
    <t xml:space="preserve">DC-59965</t>
  </si>
  <si>
    <t xml:space="preserve">EV-00337</t>
  </si>
  <si>
    <t xml:space="preserve">TK-260920-00337</t>
  </si>
  <si>
    <t xml:space="preserve">EV-00338</t>
  </si>
  <si>
    <t xml:space="preserve">16ی299-72</t>
  </si>
  <si>
    <t xml:space="preserve">TK-260920-00338</t>
  </si>
  <si>
    <t xml:space="preserve">543307458139</t>
  </si>
  <si>
    <t xml:space="preserve">EV-00339</t>
  </si>
  <si>
    <t xml:space="preserve">TK-260920-00339</t>
  </si>
  <si>
    <t xml:space="preserve">302033676658</t>
  </si>
  <si>
    <t xml:space="preserve">EV-00340</t>
  </si>
  <si>
    <t xml:space="preserve">37ک202-18</t>
  </si>
  <si>
    <t xml:space="preserve">TK-260920-00340</t>
  </si>
  <si>
    <t xml:space="preserve">EV-00341</t>
  </si>
  <si>
    <t xml:space="preserve">TK-260920-00341</t>
  </si>
  <si>
    <t xml:space="preserve">861814118687</t>
  </si>
  <si>
    <t xml:space="preserve">EV-00342</t>
  </si>
  <si>
    <t xml:space="preserve">TK-260920-00342</t>
  </si>
  <si>
    <t xml:space="preserve">888416163900</t>
  </si>
  <si>
    <t xml:space="preserve">EV-00343</t>
  </si>
  <si>
    <t xml:space="preserve">TK-260920-00343</t>
  </si>
  <si>
    <t xml:space="preserve">748302205156</t>
  </si>
  <si>
    <t xml:space="preserve">EV-00344</t>
  </si>
  <si>
    <t xml:space="preserve">22ا660-12</t>
  </si>
  <si>
    <t xml:space="preserve">TK-260920-00344</t>
  </si>
  <si>
    <t xml:space="preserve">EV-00345</t>
  </si>
  <si>
    <t xml:space="preserve">TK-260920-00345</t>
  </si>
  <si>
    <t xml:space="preserve">589475958920</t>
  </si>
  <si>
    <t xml:space="preserve">EV-00346</t>
  </si>
  <si>
    <t xml:space="preserve">TK-260920-00346</t>
  </si>
  <si>
    <t xml:space="preserve">EV-00347</t>
  </si>
  <si>
    <t xml:space="preserve">TK-260920-00347</t>
  </si>
  <si>
    <t xml:space="preserve">907256730736</t>
  </si>
  <si>
    <t xml:space="preserve">EV-00348</t>
  </si>
  <si>
    <t xml:space="preserve">TK-260920-00348</t>
  </si>
  <si>
    <t xml:space="preserve">462768314050</t>
  </si>
  <si>
    <t xml:space="preserve">EV-00349</t>
  </si>
  <si>
    <t xml:space="preserve">TK-260920-00349</t>
  </si>
  <si>
    <t xml:space="preserve">865472509768</t>
  </si>
  <si>
    <t xml:space="preserve">EV-00350</t>
  </si>
  <si>
    <t xml:space="preserve">54و945-31</t>
  </si>
  <si>
    <t xml:space="preserve">TK-260920-00350</t>
  </si>
  <si>
    <t xml:space="preserve">391583421206</t>
  </si>
  <si>
    <t xml:space="preserve">EV-00351</t>
  </si>
  <si>
    <t xml:space="preserve">TK-260920-00351</t>
  </si>
  <si>
    <t xml:space="preserve">EV-00352</t>
  </si>
  <si>
    <t xml:space="preserve">91ب548-69</t>
  </si>
  <si>
    <t xml:space="preserve">TK-260920-00352</t>
  </si>
  <si>
    <t xml:space="preserve">052201614779</t>
  </si>
  <si>
    <t xml:space="preserve">EV-00353</t>
  </si>
  <si>
    <t xml:space="preserve">29ص602-16</t>
  </si>
  <si>
    <t xml:space="preserve">TK-260920-00353</t>
  </si>
  <si>
    <t xml:space="preserve">452469400187</t>
  </si>
  <si>
    <t xml:space="preserve">EV-00354</t>
  </si>
  <si>
    <t xml:space="preserve">TK-260920-00354</t>
  </si>
  <si>
    <t xml:space="preserve">584104393734</t>
  </si>
  <si>
    <t xml:space="preserve">EV-00355</t>
  </si>
  <si>
    <t xml:space="preserve">TK-260920-00355</t>
  </si>
  <si>
    <t xml:space="preserve">576487078675</t>
  </si>
  <si>
    <t xml:space="preserve">EV-00356</t>
  </si>
  <si>
    <t xml:space="preserve">76ص989-62</t>
  </si>
  <si>
    <t xml:space="preserve">TK-260920-00356</t>
  </si>
  <si>
    <t xml:space="preserve">EV-00357</t>
  </si>
  <si>
    <t xml:space="preserve">13ه163-74</t>
  </si>
  <si>
    <t xml:space="preserve">TK-260920-00357</t>
  </si>
  <si>
    <t xml:space="preserve">793160544908</t>
  </si>
  <si>
    <t xml:space="preserve">EV-00358</t>
  </si>
  <si>
    <t xml:space="preserve">TK-260920-00358</t>
  </si>
  <si>
    <t xml:space="preserve">EV-00359</t>
  </si>
  <si>
    <t xml:space="preserve">TK-260920-00359</t>
  </si>
  <si>
    <t xml:space="preserve">EV-00360</t>
  </si>
  <si>
    <t xml:space="preserve">TK-260920-00360</t>
  </si>
  <si>
    <t xml:space="preserve">452505802379</t>
  </si>
  <si>
    <t xml:space="preserve">EV-00361</t>
  </si>
  <si>
    <t xml:space="preserve">TK-260920-00361</t>
  </si>
  <si>
    <t xml:space="preserve">EV-00362</t>
  </si>
  <si>
    <t xml:space="preserve">11ک862-63</t>
  </si>
  <si>
    <t xml:space="preserve">TK-260920-00362</t>
  </si>
  <si>
    <t xml:space="preserve">472442857034</t>
  </si>
  <si>
    <t xml:space="preserve">EV-00363</t>
  </si>
  <si>
    <t xml:space="preserve">TK-260920-00363</t>
  </si>
  <si>
    <t xml:space="preserve">EV-00364</t>
  </si>
  <si>
    <t xml:space="preserve">TK-260920-00364</t>
  </si>
  <si>
    <t xml:space="preserve">965687489474</t>
  </si>
  <si>
    <t xml:space="preserve">EV-00365</t>
  </si>
  <si>
    <t xml:space="preserve">TK-260920-00365</t>
  </si>
  <si>
    <t xml:space="preserve">295877037937</t>
  </si>
  <si>
    <t xml:space="preserve">EV-00366</t>
  </si>
  <si>
    <t xml:space="preserve">TK-260920-00366</t>
  </si>
  <si>
    <t xml:space="preserve">EV-00367</t>
  </si>
  <si>
    <t xml:space="preserve">TK-260920-00367</t>
  </si>
  <si>
    <t xml:space="preserve">881194723329</t>
  </si>
  <si>
    <t xml:space="preserve">EV-00368</t>
  </si>
  <si>
    <t xml:space="preserve">TK-260920-00368</t>
  </si>
  <si>
    <t xml:space="preserve">EV-00369</t>
  </si>
  <si>
    <t xml:space="preserve">TK-260920-00369</t>
  </si>
  <si>
    <t xml:space="preserve">432360568277</t>
  </si>
  <si>
    <t xml:space="preserve">EV-00370</t>
  </si>
  <si>
    <t xml:space="preserve">TK-260920-00370</t>
  </si>
  <si>
    <t xml:space="preserve">EV-00371</t>
  </si>
  <si>
    <t xml:space="preserve">TK-260920-00371</t>
  </si>
  <si>
    <t xml:space="preserve">225604361375</t>
  </si>
  <si>
    <t xml:space="preserve">EV-00372</t>
  </si>
  <si>
    <t xml:space="preserve">TK-260920-00372</t>
  </si>
  <si>
    <t xml:space="preserve">EV-00373</t>
  </si>
  <si>
    <t xml:space="preserve">19ز202-13</t>
  </si>
  <si>
    <t xml:space="preserve">TK-260920-00373</t>
  </si>
  <si>
    <t xml:space="preserve">EV-00374</t>
  </si>
  <si>
    <t xml:space="preserve">TK-260921-00374</t>
  </si>
  <si>
    <t xml:space="preserve">EV-00375</t>
  </si>
  <si>
    <t xml:space="preserve">76ه832-44</t>
  </si>
  <si>
    <t xml:space="preserve">TK-260921-00375</t>
  </si>
  <si>
    <t xml:space="preserve">EV-00376</t>
  </si>
  <si>
    <t xml:space="preserve">25ج387-13</t>
  </si>
  <si>
    <t xml:space="preserve">TK-260921-00376</t>
  </si>
  <si>
    <t xml:space="preserve">EV-00377</t>
  </si>
  <si>
    <t xml:space="preserve">92م916-16</t>
  </si>
  <si>
    <t xml:space="preserve">TK-260921-00377</t>
  </si>
  <si>
    <t xml:space="preserve">EV-00378</t>
  </si>
  <si>
    <t xml:space="preserve">47و854-55</t>
  </si>
  <si>
    <t xml:space="preserve">TK-260921-00378</t>
  </si>
  <si>
    <t xml:space="preserve">EV-00379</t>
  </si>
  <si>
    <t xml:space="preserve">TK-260921-00379</t>
  </si>
  <si>
    <t xml:space="preserve">EV-00380</t>
  </si>
  <si>
    <t xml:space="preserve">TK-260921-00380</t>
  </si>
  <si>
    <t xml:space="preserve">EV-00381</t>
  </si>
  <si>
    <t xml:space="preserve">TK-260921-00381</t>
  </si>
  <si>
    <t xml:space="preserve">EV-00382</t>
  </si>
  <si>
    <t xml:space="preserve">97ش829-12</t>
  </si>
  <si>
    <t xml:space="preserve">TK-260921-00382</t>
  </si>
  <si>
    <t xml:space="preserve">EV-00383</t>
  </si>
  <si>
    <t xml:space="preserve">60و309-22</t>
  </si>
  <si>
    <t xml:space="preserve">TK-260921-00383</t>
  </si>
  <si>
    <t xml:space="preserve">815678184607</t>
  </si>
  <si>
    <t xml:space="preserve">EV-00384</t>
  </si>
  <si>
    <t xml:space="preserve">TK-260921-00384</t>
  </si>
  <si>
    <t xml:space="preserve">EV-00385</t>
  </si>
  <si>
    <t xml:space="preserve">TK-260921-00385</t>
  </si>
  <si>
    <t xml:space="preserve">EV-00386</t>
  </si>
  <si>
    <t xml:space="preserve">77گ914-47</t>
  </si>
  <si>
    <t xml:space="preserve">TK-260921-00386</t>
  </si>
  <si>
    <t xml:space="preserve">EV-00387</t>
  </si>
  <si>
    <t xml:space="preserve">TK-260921-00387</t>
  </si>
  <si>
    <t xml:space="preserve">DC-90811</t>
  </si>
  <si>
    <t xml:space="preserve">EV-00388</t>
  </si>
  <si>
    <t xml:space="preserve">TK-260921-00388</t>
  </si>
  <si>
    <t xml:space="preserve">EV-00389</t>
  </si>
  <si>
    <t xml:space="preserve">99گ320-48</t>
  </si>
  <si>
    <t xml:space="preserve">TK-260921-00389</t>
  </si>
  <si>
    <t xml:space="preserve">863341503302</t>
  </si>
  <si>
    <t xml:space="preserve">EV-00390</t>
  </si>
  <si>
    <t xml:space="preserve">TK-260921-00390</t>
  </si>
  <si>
    <t xml:space="preserve">EV-00391</t>
  </si>
  <si>
    <t xml:space="preserve">TK-260921-00391</t>
  </si>
  <si>
    <t xml:space="preserve">EV-00392</t>
  </si>
  <si>
    <t xml:space="preserve">TK-260921-00392</t>
  </si>
  <si>
    <t xml:space="preserve">EV-00393</t>
  </si>
  <si>
    <t xml:space="preserve">TK-260921-00393</t>
  </si>
  <si>
    <t xml:space="preserve">EV-00394</t>
  </si>
  <si>
    <t xml:space="preserve">TK-260921-00394</t>
  </si>
  <si>
    <t xml:space="preserve">EV-00395</t>
  </si>
  <si>
    <t xml:space="preserve">TK-260921-00395</t>
  </si>
  <si>
    <t xml:space="preserve">EV-00396</t>
  </si>
  <si>
    <t xml:space="preserve">65م408-12</t>
  </si>
  <si>
    <t xml:space="preserve">TK-260921-00396</t>
  </si>
  <si>
    <t xml:space="preserve">850692916904</t>
  </si>
  <si>
    <t xml:space="preserve">EV-00397</t>
  </si>
  <si>
    <t xml:space="preserve">11ب957-86</t>
  </si>
  <si>
    <t xml:space="preserve">TK-260921-00397</t>
  </si>
  <si>
    <t xml:space="preserve">EV-00398</t>
  </si>
  <si>
    <t xml:space="preserve">TK-260921-00398</t>
  </si>
  <si>
    <t xml:space="preserve">EV-00399</t>
  </si>
  <si>
    <t xml:space="preserve">TK-260921-00399</t>
  </si>
  <si>
    <t xml:space="preserve">967161047034</t>
  </si>
  <si>
    <t xml:space="preserve">EV-00400</t>
  </si>
  <si>
    <t xml:space="preserve">TK-260921-00400</t>
  </si>
  <si>
    <t xml:space="preserve">047723807911</t>
  </si>
  <si>
    <t xml:space="preserve">EV-00401</t>
  </si>
  <si>
    <t xml:space="preserve">TK-260921-00401</t>
  </si>
  <si>
    <t xml:space="preserve">435851843298</t>
  </si>
  <si>
    <t xml:space="preserve">EV-00402</t>
  </si>
  <si>
    <t xml:space="preserve">69س895-25</t>
  </si>
  <si>
    <t xml:space="preserve">TK-260921-00402</t>
  </si>
  <si>
    <t xml:space="preserve">491897516807</t>
  </si>
  <si>
    <t xml:space="preserve">EV-00403</t>
  </si>
  <si>
    <t xml:space="preserve">TK-260921-00403</t>
  </si>
  <si>
    <t xml:space="preserve">714376975831</t>
  </si>
  <si>
    <t xml:space="preserve">EV-00404</t>
  </si>
  <si>
    <t xml:space="preserve">30ص708-28</t>
  </si>
  <si>
    <t xml:space="preserve">TK-260921-00404</t>
  </si>
  <si>
    <t xml:space="preserve">EV-00405</t>
  </si>
  <si>
    <t xml:space="preserve">TK-260921-00405</t>
  </si>
  <si>
    <t xml:space="preserve">054681160919</t>
  </si>
  <si>
    <t xml:space="preserve">DC-93258</t>
  </si>
  <si>
    <t xml:space="preserve">EV-00406</t>
  </si>
  <si>
    <t xml:space="preserve">TK-260921-00406</t>
  </si>
  <si>
    <t xml:space="preserve">090202340454</t>
  </si>
  <si>
    <t xml:space="preserve">EV-00407</t>
  </si>
  <si>
    <t xml:space="preserve">TK-260921-00407</t>
  </si>
  <si>
    <t xml:space="preserve">EV-00408</t>
  </si>
  <si>
    <t xml:space="preserve">TK-260921-00408</t>
  </si>
  <si>
    <t xml:space="preserve">EV-00409</t>
  </si>
  <si>
    <t xml:space="preserve">TK-260921-00409</t>
  </si>
  <si>
    <t xml:space="preserve">EV-00410</t>
  </si>
  <si>
    <t xml:space="preserve">94ب546-93</t>
  </si>
  <si>
    <t xml:space="preserve">TK-260921-00410</t>
  </si>
  <si>
    <t xml:space="preserve">302776438562</t>
  </si>
  <si>
    <t xml:space="preserve">EV-00411</t>
  </si>
  <si>
    <t xml:space="preserve">25ق316-81</t>
  </si>
  <si>
    <t xml:space="preserve">TK-260921-00411</t>
  </si>
  <si>
    <t xml:space="preserve">172888284495</t>
  </si>
  <si>
    <t xml:space="preserve">EV-00412</t>
  </si>
  <si>
    <t xml:space="preserve">TK-260921-00412</t>
  </si>
  <si>
    <t xml:space="preserve">414061703835</t>
  </si>
  <si>
    <t xml:space="preserve">EV-00413</t>
  </si>
  <si>
    <t xml:space="preserve">TK-260921-00413</t>
  </si>
  <si>
    <t xml:space="preserve">EV-00414</t>
  </si>
  <si>
    <t xml:space="preserve">TK-260921-00414</t>
  </si>
  <si>
    <t xml:space="preserve">پر</t>
  </si>
  <si>
    <t xml:space="preserve">EV-00415</t>
  </si>
  <si>
    <t xml:space="preserve">30ط684-53</t>
  </si>
  <si>
    <t xml:space="preserve">TK-260921-00415</t>
  </si>
  <si>
    <t xml:space="preserve">EV-00416</t>
  </si>
  <si>
    <t xml:space="preserve">TK-260921-00416</t>
  </si>
  <si>
    <t xml:space="preserve">072806499549</t>
  </si>
  <si>
    <t xml:space="preserve">EV-00417</t>
  </si>
  <si>
    <t xml:space="preserve">TK-260921-00417</t>
  </si>
  <si>
    <t xml:space="preserve">EV-00418</t>
  </si>
  <si>
    <t xml:space="preserve">TK-260921-00418</t>
  </si>
  <si>
    <t xml:space="preserve">984083090147</t>
  </si>
  <si>
    <t xml:space="preserve">EV-00419</t>
  </si>
  <si>
    <t xml:space="preserve">40ه563-88</t>
  </si>
  <si>
    <t xml:space="preserve">TK-260921-00419</t>
  </si>
  <si>
    <t xml:space="preserve">289762685752</t>
  </si>
  <si>
    <t xml:space="preserve">EV-00420</t>
  </si>
  <si>
    <t xml:space="preserve">29ک298-83</t>
  </si>
  <si>
    <t xml:space="preserve">TK-260921-00420</t>
  </si>
  <si>
    <t xml:space="preserve">EV-00421</t>
  </si>
  <si>
    <t xml:space="preserve">TK-260921-00421</t>
  </si>
  <si>
    <t xml:space="preserve">810634098920</t>
  </si>
  <si>
    <t xml:space="preserve">EV-00422</t>
  </si>
  <si>
    <t xml:space="preserve">TK-260921-00422</t>
  </si>
  <si>
    <t xml:space="preserve">EV-00423</t>
  </si>
  <si>
    <t xml:space="preserve">TK-260921-00423</t>
  </si>
  <si>
    <t xml:space="preserve">903477855212</t>
  </si>
  <si>
    <t xml:space="preserve">EV-00424</t>
  </si>
  <si>
    <t xml:space="preserve">95ط998-43</t>
  </si>
  <si>
    <t xml:space="preserve">TK-260921-00424</t>
  </si>
  <si>
    <t xml:space="preserve">152994202853</t>
  </si>
  <si>
    <t xml:space="preserve">EV-00425</t>
  </si>
  <si>
    <t xml:space="preserve">TK-260921-00425</t>
  </si>
  <si>
    <t xml:space="preserve">037913703093</t>
  </si>
  <si>
    <t xml:space="preserve">EV-00426</t>
  </si>
  <si>
    <t xml:space="preserve">TK-260921-00426</t>
  </si>
  <si>
    <t xml:space="preserve">707647183400</t>
  </si>
  <si>
    <t xml:space="preserve">EV-00427</t>
  </si>
  <si>
    <t xml:space="preserve">TK-260921-00427</t>
  </si>
  <si>
    <t xml:space="preserve">EV-00428</t>
  </si>
  <si>
    <t xml:space="preserve">TK-260921-00428</t>
  </si>
  <si>
    <t xml:space="preserve">EV-00429</t>
  </si>
  <si>
    <t xml:space="preserve">TK-260921-00429</t>
  </si>
  <si>
    <t xml:space="preserve">172752990098</t>
  </si>
  <si>
    <t xml:space="preserve">EV-00430</t>
  </si>
  <si>
    <t xml:space="preserve">TK-260921-00430</t>
  </si>
  <si>
    <t xml:space="preserve">256743986563</t>
  </si>
  <si>
    <t xml:space="preserve">EV-00431</t>
  </si>
  <si>
    <t xml:space="preserve">60ب851-47</t>
  </si>
  <si>
    <t xml:space="preserve">TK-260921-00431</t>
  </si>
  <si>
    <t xml:space="preserve">EV-00432</t>
  </si>
  <si>
    <t xml:space="preserve">81ا561-46</t>
  </si>
  <si>
    <t xml:space="preserve">01ا561-46</t>
  </si>
  <si>
    <t xml:space="preserve">TK-260921-00432</t>
  </si>
  <si>
    <t xml:space="preserve">765212314605</t>
  </si>
  <si>
    <t xml:space="preserve">EV-00433</t>
  </si>
  <si>
    <t xml:space="preserve">TK-260921-00433</t>
  </si>
  <si>
    <t xml:space="preserve">EV-00434</t>
  </si>
  <si>
    <t xml:space="preserve">TK-260921-00434</t>
  </si>
  <si>
    <t xml:space="preserve">EV-00435</t>
  </si>
  <si>
    <t xml:space="preserve">TK-260921-00435</t>
  </si>
  <si>
    <t xml:space="preserve">095629536714</t>
  </si>
  <si>
    <t xml:space="preserve">EV-00436</t>
  </si>
  <si>
    <t xml:space="preserve">TK-260921-00436</t>
  </si>
  <si>
    <t xml:space="preserve">516012283530</t>
  </si>
  <si>
    <t xml:space="preserve">EV-00437</t>
  </si>
  <si>
    <t xml:space="preserve">TK-260921-00437</t>
  </si>
  <si>
    <t xml:space="preserve">753172854890</t>
  </si>
  <si>
    <t xml:space="preserve">DC-52185</t>
  </si>
  <si>
    <t xml:space="preserve">EV-00438</t>
  </si>
  <si>
    <t xml:space="preserve">TK-260921-00438</t>
  </si>
  <si>
    <t xml:space="preserve">EV-00439</t>
  </si>
  <si>
    <t xml:space="preserve">60س865-66</t>
  </si>
  <si>
    <t xml:space="preserve">TK-260921-00439</t>
  </si>
  <si>
    <t xml:space="preserve">EV-00440</t>
  </si>
  <si>
    <t xml:space="preserve">TK-260921-00440</t>
  </si>
  <si>
    <t xml:space="preserve">EV-00441</t>
  </si>
  <si>
    <t xml:space="preserve">24ص446-91</t>
  </si>
  <si>
    <t xml:space="preserve">TK-260922-00441</t>
  </si>
  <si>
    <t xml:space="preserve">EV-00442</t>
  </si>
  <si>
    <t xml:space="preserve">TK-260922-00442</t>
  </si>
  <si>
    <t xml:space="preserve">EV-00443</t>
  </si>
  <si>
    <t xml:space="preserve">74ی284-86</t>
  </si>
  <si>
    <t xml:space="preserve">TK-260922-00443</t>
  </si>
  <si>
    <t xml:space="preserve">EV-00444</t>
  </si>
  <si>
    <t xml:space="preserve">TK-260922-00444</t>
  </si>
  <si>
    <t xml:space="preserve">EV-00445</t>
  </si>
  <si>
    <t xml:space="preserve">54و270-24</t>
  </si>
  <si>
    <t xml:space="preserve">TK-260922-00445</t>
  </si>
  <si>
    <t xml:space="preserve">EV-00446</t>
  </si>
  <si>
    <t xml:space="preserve">TK-260922-00446</t>
  </si>
  <si>
    <t xml:space="preserve">EV-00447</t>
  </si>
  <si>
    <t xml:space="preserve">TK-260922-00447</t>
  </si>
  <si>
    <t xml:space="preserve">DC-82138</t>
  </si>
  <si>
    <t xml:space="preserve">EV-00448</t>
  </si>
  <si>
    <t xml:space="preserve">TK-260922-00448</t>
  </si>
  <si>
    <t xml:space="preserve">EV-00449</t>
  </si>
  <si>
    <t xml:space="preserve">44ه834-24</t>
  </si>
  <si>
    <t xml:space="preserve">TK-260922-00449</t>
  </si>
  <si>
    <t xml:space="preserve">EV-00450</t>
  </si>
  <si>
    <t xml:space="preserve">TK-260922-00450</t>
  </si>
  <si>
    <t xml:space="preserve">280966695359</t>
  </si>
  <si>
    <t xml:space="preserve">EV-00451</t>
  </si>
  <si>
    <t xml:space="preserve">44س398-83</t>
  </si>
  <si>
    <t xml:space="preserve">TK-260922-00451</t>
  </si>
  <si>
    <t xml:space="preserve">200210451064</t>
  </si>
  <si>
    <t xml:space="preserve">EV-00452</t>
  </si>
  <si>
    <t xml:space="preserve">TK-260922-00452</t>
  </si>
  <si>
    <t xml:space="preserve">462241746551</t>
  </si>
  <si>
    <t xml:space="preserve">EV-00453</t>
  </si>
  <si>
    <t xml:space="preserve">TK-260922-00453</t>
  </si>
  <si>
    <t xml:space="preserve">261441958325</t>
  </si>
  <si>
    <t xml:space="preserve">EV-00454</t>
  </si>
  <si>
    <t xml:space="preserve">10ی843-12</t>
  </si>
  <si>
    <t xml:space="preserve">TK-260922-00454</t>
  </si>
  <si>
    <t xml:space="preserve">126043451221</t>
  </si>
  <si>
    <t xml:space="preserve">EV-00455</t>
  </si>
  <si>
    <t xml:space="preserve">81و116-22</t>
  </si>
  <si>
    <t xml:space="preserve">TK-260922-00455</t>
  </si>
  <si>
    <t xml:space="preserve">308705188940</t>
  </si>
  <si>
    <t xml:space="preserve">EV-00456</t>
  </si>
  <si>
    <t xml:space="preserve">TK-260922-00456</t>
  </si>
  <si>
    <t xml:space="preserve">956400655392</t>
  </si>
  <si>
    <t xml:space="preserve">EV-00457</t>
  </si>
  <si>
    <t xml:space="preserve">36ز569-91</t>
  </si>
  <si>
    <t xml:space="preserve">TK-260922-00457</t>
  </si>
  <si>
    <t xml:space="preserve">EV-00458</t>
  </si>
  <si>
    <t xml:space="preserve">TK-260922-00458</t>
  </si>
  <si>
    <t xml:space="preserve">EV-00459</t>
  </si>
  <si>
    <t xml:space="preserve">65ط811-19</t>
  </si>
  <si>
    <t xml:space="preserve">75ط811-19</t>
  </si>
  <si>
    <t xml:space="preserve">TK-260922-00459</t>
  </si>
  <si>
    <t xml:space="preserve">EV-00460</t>
  </si>
  <si>
    <t xml:space="preserve">TK-260922-00460</t>
  </si>
  <si>
    <t xml:space="preserve">EV-00461</t>
  </si>
  <si>
    <t xml:space="preserve">TK-260922-00461</t>
  </si>
  <si>
    <t xml:space="preserve">EV-00462</t>
  </si>
  <si>
    <t xml:space="preserve">TK-260922-00462</t>
  </si>
  <si>
    <t xml:space="preserve">EV-00463</t>
  </si>
  <si>
    <t xml:space="preserve">TK-260922-00463</t>
  </si>
  <si>
    <t xml:space="preserve">116890487351</t>
  </si>
  <si>
    <t xml:space="preserve">EV-00464</t>
  </si>
  <si>
    <t xml:space="preserve">64ز641-27</t>
  </si>
  <si>
    <t xml:space="preserve">TK-260922-00464</t>
  </si>
  <si>
    <t xml:space="preserve">EV-00465</t>
  </si>
  <si>
    <t xml:space="preserve">31پ406-81</t>
  </si>
  <si>
    <t xml:space="preserve">TK-260922-00465</t>
  </si>
  <si>
    <t xml:space="preserve">023419480198</t>
  </si>
  <si>
    <t xml:space="preserve">EV-00466</t>
  </si>
  <si>
    <t xml:space="preserve">TK-260922-00466</t>
  </si>
  <si>
    <t xml:space="preserve">EV-00467</t>
  </si>
  <si>
    <t xml:space="preserve">92ن205-45</t>
  </si>
  <si>
    <t xml:space="preserve">TK-260922-00467</t>
  </si>
  <si>
    <t xml:space="preserve">EV-00468</t>
  </si>
  <si>
    <t xml:space="preserve">TK-260922-00468</t>
  </si>
  <si>
    <t xml:space="preserve">EV-00469</t>
  </si>
  <si>
    <t xml:space="preserve">TK-260922-00469</t>
  </si>
  <si>
    <t xml:space="preserve">546794444959</t>
  </si>
  <si>
    <t xml:space="preserve">EV-00470</t>
  </si>
  <si>
    <t xml:space="preserve">TK-260922-00470</t>
  </si>
  <si>
    <t xml:space="preserve">EV-00471</t>
  </si>
  <si>
    <t xml:space="preserve">TK-260922-00471</t>
  </si>
  <si>
    <t xml:space="preserve">813841455363</t>
  </si>
  <si>
    <t xml:space="preserve">EV-00472</t>
  </si>
  <si>
    <t xml:space="preserve">TK-260922-00472</t>
  </si>
  <si>
    <t xml:space="preserve">EV-00473</t>
  </si>
  <si>
    <t xml:space="preserve">TK-260922-00473</t>
  </si>
  <si>
    <t xml:space="preserve">819147541123</t>
  </si>
  <si>
    <t xml:space="preserve">EV-00474</t>
  </si>
  <si>
    <t xml:space="preserve">TK-260922-00474</t>
  </si>
  <si>
    <t xml:space="preserve">433430732930</t>
  </si>
  <si>
    <t xml:space="preserve">EV-00475</t>
  </si>
  <si>
    <t xml:space="preserve">TK-260922-00475</t>
  </si>
  <si>
    <t xml:space="preserve">572928113156</t>
  </si>
  <si>
    <t xml:space="preserve">DC-95644</t>
  </si>
  <si>
    <t xml:space="preserve">EV-00476</t>
  </si>
  <si>
    <t xml:space="preserve">TK-260922-00476</t>
  </si>
  <si>
    <t xml:space="preserve">510278407641</t>
  </si>
  <si>
    <t xml:space="preserve">EV-00477</t>
  </si>
  <si>
    <t xml:space="preserve">TK-260922-00477</t>
  </si>
  <si>
    <t xml:space="preserve">065875038268</t>
  </si>
  <si>
    <t xml:space="preserve">EV-00478</t>
  </si>
  <si>
    <t xml:space="preserve">TK-260922-00478</t>
  </si>
  <si>
    <t xml:space="preserve">EV-00479</t>
  </si>
  <si>
    <t xml:space="preserve">TK-260922-00479</t>
  </si>
  <si>
    <t xml:space="preserve">217227439736</t>
  </si>
  <si>
    <t xml:space="preserve">EV-00480</t>
  </si>
  <si>
    <t xml:space="preserve">TK-260922-00480</t>
  </si>
  <si>
    <t xml:space="preserve">560643282834</t>
  </si>
  <si>
    <t xml:space="preserve">EV-00481</t>
  </si>
  <si>
    <t xml:space="preserve">21س372-79</t>
  </si>
  <si>
    <t xml:space="preserve">TK-260922-00481</t>
  </si>
  <si>
    <t xml:space="preserve">EV-00482</t>
  </si>
  <si>
    <t xml:space="preserve">29م518-16</t>
  </si>
  <si>
    <t xml:space="preserve">TK-260922-00482</t>
  </si>
  <si>
    <t xml:space="preserve">EV-00483</t>
  </si>
  <si>
    <t xml:space="preserve">TK-260922-00483</t>
  </si>
  <si>
    <t xml:space="preserve">707576896051</t>
  </si>
  <si>
    <t xml:space="preserve">EV-00484</t>
  </si>
  <si>
    <t xml:space="preserve">TK-260922-00484</t>
  </si>
  <si>
    <t xml:space="preserve">EV-00485</t>
  </si>
  <si>
    <t xml:space="preserve">TK-260922-00485</t>
  </si>
  <si>
    <t xml:space="preserve">951012562738</t>
  </si>
  <si>
    <t xml:space="preserve">EV-00486</t>
  </si>
  <si>
    <t xml:space="preserve">TK-260922-00486</t>
  </si>
  <si>
    <t xml:space="preserve">EV-00487</t>
  </si>
  <si>
    <t xml:space="preserve">TK-260922-00487</t>
  </si>
  <si>
    <t xml:space="preserve">203568073119</t>
  </si>
  <si>
    <t xml:space="preserve">EV-00488</t>
  </si>
  <si>
    <t xml:space="preserve">TK-260922-00488</t>
  </si>
  <si>
    <t xml:space="preserve">061011682165</t>
  </si>
  <si>
    <t xml:space="preserve">EV-00489</t>
  </si>
  <si>
    <t xml:space="preserve">37ز885-31</t>
  </si>
  <si>
    <t xml:space="preserve">TK-260922-00489</t>
  </si>
  <si>
    <t xml:space="preserve">EV-00490</t>
  </si>
  <si>
    <t xml:space="preserve">TK-260922-00490</t>
  </si>
  <si>
    <t xml:space="preserve">089284217405</t>
  </si>
  <si>
    <t xml:space="preserve">EV-00491</t>
  </si>
  <si>
    <t xml:space="preserve">TK-260922-00491</t>
  </si>
  <si>
    <t xml:space="preserve">551617219739</t>
  </si>
  <si>
    <t xml:space="preserve">EV-00492</t>
  </si>
  <si>
    <t xml:space="preserve">TK-260922-00492</t>
  </si>
  <si>
    <t xml:space="preserve">EV-00493</t>
  </si>
  <si>
    <t xml:space="preserve">TK-260922-00493</t>
  </si>
  <si>
    <t xml:space="preserve">780778991946</t>
  </si>
  <si>
    <t xml:space="preserve">EV-00494</t>
  </si>
  <si>
    <t xml:space="preserve">TK-260922-00494</t>
  </si>
  <si>
    <t xml:space="preserve">843229714254</t>
  </si>
  <si>
    <t xml:space="preserve">EV-00495</t>
  </si>
  <si>
    <t xml:space="preserve">63ب205-95</t>
  </si>
  <si>
    <t xml:space="preserve">TK-260922-00495</t>
  </si>
  <si>
    <t xml:space="preserve">717374844970</t>
  </si>
  <si>
    <t xml:space="preserve">EV-00496</t>
  </si>
  <si>
    <t xml:space="preserve">TK-260922-00496</t>
  </si>
  <si>
    <t xml:space="preserve">EV-00497</t>
  </si>
  <si>
    <t xml:space="preserve">61ه158-93</t>
  </si>
  <si>
    <t xml:space="preserve">TK-260923-00497</t>
  </si>
  <si>
    <t xml:space="preserve">EV-00498</t>
  </si>
  <si>
    <t xml:space="preserve">TK-260923-00498</t>
  </si>
  <si>
    <t xml:space="preserve">EV-00499</t>
  </si>
  <si>
    <t xml:space="preserve">82ل748-79</t>
  </si>
  <si>
    <t xml:space="preserve">TK-260923-00499</t>
  </si>
  <si>
    <t xml:space="preserve">651425628887</t>
  </si>
  <si>
    <t xml:space="preserve">EV-00500</t>
  </si>
  <si>
    <t xml:space="preserve">TK-260923-00500</t>
  </si>
  <si>
    <t xml:space="preserve">027308125985</t>
  </si>
  <si>
    <t xml:space="preserve">EV-00501</t>
  </si>
  <si>
    <t xml:space="preserve">TK-260923-00501</t>
  </si>
  <si>
    <t xml:space="preserve">EV-00502</t>
  </si>
  <si>
    <t xml:space="preserve">TK-260923-00502</t>
  </si>
  <si>
    <t xml:space="preserve">320611544931</t>
  </si>
  <si>
    <t xml:space="preserve">EV-00503</t>
  </si>
  <si>
    <t xml:space="preserve">TK-260923-00503</t>
  </si>
  <si>
    <t xml:space="preserve">EV-00504</t>
  </si>
  <si>
    <t xml:space="preserve">TK-260923-00504</t>
  </si>
  <si>
    <t xml:space="preserve">480297511693</t>
  </si>
  <si>
    <t xml:space="preserve">EV-00505</t>
  </si>
  <si>
    <t xml:space="preserve">TK-260923-00505</t>
  </si>
  <si>
    <t xml:space="preserve">843668761318</t>
  </si>
  <si>
    <t xml:space="preserve">EV-00506</t>
  </si>
  <si>
    <t xml:space="preserve">TK-260923-00506</t>
  </si>
  <si>
    <t xml:space="preserve">741105488325</t>
  </si>
  <si>
    <t xml:space="preserve">EV-00507</t>
  </si>
  <si>
    <t xml:space="preserve">TK-260923-00507</t>
  </si>
  <si>
    <t xml:space="preserve">EV-00508</t>
  </si>
  <si>
    <t xml:space="preserve">TK-260923-00508</t>
  </si>
  <si>
    <t xml:space="preserve">883216495078</t>
  </si>
  <si>
    <t xml:space="preserve">EV-00509</t>
  </si>
  <si>
    <t xml:space="preserve">10ق677-93</t>
  </si>
  <si>
    <t xml:space="preserve">TK-260923-00509</t>
  </si>
  <si>
    <t xml:space="preserve">969083578775</t>
  </si>
  <si>
    <t xml:space="preserve">EV-00510</t>
  </si>
  <si>
    <t xml:space="preserve">TK-260923-00510</t>
  </si>
  <si>
    <t xml:space="preserve">035310428147</t>
  </si>
  <si>
    <t xml:space="preserve">EV-00511</t>
  </si>
  <si>
    <t xml:space="preserve">50ی910-74</t>
  </si>
  <si>
    <t xml:space="preserve">TK-260923-00511</t>
  </si>
  <si>
    <t xml:space="preserve">092102450043</t>
  </si>
  <si>
    <t xml:space="preserve">DC-22688</t>
  </si>
  <si>
    <t xml:space="preserve">EV-00512</t>
  </si>
  <si>
    <t xml:space="preserve">36ز951-93</t>
  </si>
  <si>
    <t xml:space="preserve">TK-260923-00512</t>
  </si>
  <si>
    <t xml:space="preserve">108259387854</t>
  </si>
  <si>
    <t xml:space="preserve">EV-00513</t>
  </si>
  <si>
    <t xml:space="preserve">TK-260923-00513</t>
  </si>
  <si>
    <t xml:space="preserve">936565553704</t>
  </si>
  <si>
    <t xml:space="preserve">EV-00514</t>
  </si>
  <si>
    <t xml:space="preserve">TK-260923-00514</t>
  </si>
  <si>
    <t xml:space="preserve">EV-00515</t>
  </si>
  <si>
    <t xml:space="preserve">TK-260923-00515</t>
  </si>
  <si>
    <t xml:space="preserve">342261887173</t>
  </si>
  <si>
    <t xml:space="preserve">EV-00516</t>
  </si>
  <si>
    <t xml:space="preserve">TK-260923-00516</t>
  </si>
  <si>
    <t xml:space="preserve">598182634134</t>
  </si>
  <si>
    <t xml:space="preserve">EV-00517</t>
  </si>
  <si>
    <t xml:space="preserve">TK-260923-00517</t>
  </si>
  <si>
    <t xml:space="preserve">163554042993</t>
  </si>
  <si>
    <t xml:space="preserve">EV-00518</t>
  </si>
  <si>
    <t xml:space="preserve">TK-260923-00518</t>
  </si>
  <si>
    <t xml:space="preserve">EV-00519</t>
  </si>
  <si>
    <t xml:space="preserve">TK-260923-00519</t>
  </si>
  <si>
    <t xml:space="preserve">832206371655</t>
  </si>
  <si>
    <t xml:space="preserve">EV-00520</t>
  </si>
  <si>
    <t xml:space="preserve">TK-260923-00520</t>
  </si>
  <si>
    <t xml:space="preserve">761028799042</t>
  </si>
  <si>
    <t xml:space="preserve">EV-00521</t>
  </si>
  <si>
    <t xml:space="preserve">TK-260923-00521</t>
  </si>
  <si>
    <t xml:space="preserve">EV-00522</t>
  </si>
  <si>
    <t xml:space="preserve">TK-260923-00522</t>
  </si>
  <si>
    <t xml:space="preserve">EV-00523</t>
  </si>
  <si>
    <t xml:space="preserve">TK-260923-00523</t>
  </si>
  <si>
    <t xml:space="preserve">EV-00524</t>
  </si>
  <si>
    <t xml:space="preserve">TK-260923-00524</t>
  </si>
  <si>
    <t xml:space="preserve">797520695804</t>
  </si>
  <si>
    <t xml:space="preserve">EV-00525</t>
  </si>
  <si>
    <t xml:space="preserve">TK-260923-00525</t>
  </si>
  <si>
    <t xml:space="preserve">780028641249</t>
  </si>
  <si>
    <t xml:space="preserve">EV-00526</t>
  </si>
  <si>
    <t xml:space="preserve">TK-260923-00526</t>
  </si>
  <si>
    <t xml:space="preserve">392251988344</t>
  </si>
  <si>
    <t xml:space="preserve">EV-00527</t>
  </si>
  <si>
    <t xml:space="preserve">TK-260923-00527</t>
  </si>
  <si>
    <t xml:space="preserve">EV-00528</t>
  </si>
  <si>
    <t xml:space="preserve">TK-260923-00528</t>
  </si>
  <si>
    <t xml:space="preserve">EV-00529</t>
  </si>
  <si>
    <t xml:space="preserve">TK-260923-00529</t>
  </si>
  <si>
    <t xml:space="preserve">EV-00530</t>
  </si>
  <si>
    <t xml:space="preserve">TK-260923-00530</t>
  </si>
  <si>
    <t xml:space="preserve">642486410061</t>
  </si>
  <si>
    <t xml:space="preserve">EV-00531</t>
  </si>
  <si>
    <t xml:space="preserve">TK-260923-00531</t>
  </si>
  <si>
    <t xml:space="preserve">363720786671</t>
  </si>
  <si>
    <t xml:space="preserve">EV-00532</t>
  </si>
  <si>
    <t xml:space="preserve">TK-260923-00532</t>
  </si>
  <si>
    <t xml:space="preserve">EV-00533</t>
  </si>
  <si>
    <t xml:space="preserve">TK-260923-00533</t>
  </si>
  <si>
    <t xml:space="preserve">EV-00534</t>
  </si>
  <si>
    <t xml:space="preserve">TK-260923-00534</t>
  </si>
  <si>
    <t xml:space="preserve">EV-00535</t>
  </si>
  <si>
    <t xml:space="preserve">TK-260923-00535</t>
  </si>
  <si>
    <t xml:space="preserve">461064066828</t>
  </si>
  <si>
    <t xml:space="preserve">EV-00536</t>
  </si>
  <si>
    <t xml:space="preserve">TK-260923-00536</t>
  </si>
  <si>
    <t xml:space="preserve">598466492162</t>
  </si>
  <si>
    <t xml:space="preserve">EV-00537</t>
  </si>
  <si>
    <t xml:space="preserve">TK-260923-00537</t>
  </si>
  <si>
    <t xml:space="preserve">EV-00538</t>
  </si>
  <si>
    <t xml:space="preserve">TK-260923-00538</t>
  </si>
  <si>
    <t xml:space="preserve">100888819958</t>
  </si>
  <si>
    <t xml:space="preserve">EV-00539</t>
  </si>
  <si>
    <t xml:space="preserve">TK-260923-00539</t>
  </si>
  <si>
    <t xml:space="preserve">585630053001</t>
  </si>
  <si>
    <t xml:space="preserve">EV-00540</t>
  </si>
  <si>
    <t xml:space="preserve">TK-260923-00540</t>
  </si>
  <si>
    <t xml:space="preserve">363632032227</t>
  </si>
  <si>
    <t xml:space="preserve">EV-00541</t>
  </si>
  <si>
    <t xml:space="preserve">TK-260923-00541</t>
  </si>
  <si>
    <t xml:space="preserve">EV-00542</t>
  </si>
  <si>
    <t xml:space="preserve">73ک274-27</t>
  </si>
  <si>
    <t xml:space="preserve">TK-260923-00542</t>
  </si>
  <si>
    <t xml:space="preserve">755587343681</t>
  </si>
  <si>
    <t xml:space="preserve">EV-00543</t>
  </si>
  <si>
    <t xml:space="preserve">68پ108-57</t>
  </si>
  <si>
    <t xml:space="preserve">TK-260923-00543</t>
  </si>
  <si>
    <t xml:space="preserve">EV-00544</t>
  </si>
  <si>
    <t xml:space="preserve">TK-260923-00544</t>
  </si>
  <si>
    <t xml:space="preserve">155127495699</t>
  </si>
  <si>
    <t xml:space="preserve">EV-00545</t>
  </si>
  <si>
    <t xml:space="preserve">44س338-83</t>
  </si>
  <si>
    <t xml:space="preserve">TK-260923-00545</t>
  </si>
  <si>
    <t xml:space="preserve">EV-00546</t>
  </si>
  <si>
    <t xml:space="preserve">TK-260923-00546</t>
  </si>
  <si>
    <t xml:space="preserve">407908655130</t>
  </si>
  <si>
    <t xml:space="preserve">EV-00547</t>
  </si>
  <si>
    <t xml:space="preserve">TK-260923-00547</t>
  </si>
  <si>
    <t xml:space="preserve">890400244365</t>
  </si>
  <si>
    <t xml:space="preserve">EV-00548</t>
  </si>
  <si>
    <t xml:space="preserve">TK-260923-00548</t>
  </si>
  <si>
    <t xml:space="preserve">274215797220</t>
  </si>
  <si>
    <t xml:space="preserve">EV-00549</t>
  </si>
  <si>
    <t xml:space="preserve">TK-260923-00549</t>
  </si>
  <si>
    <t xml:space="preserve">678858953764</t>
  </si>
  <si>
    <t xml:space="preserve">EV-00550</t>
  </si>
  <si>
    <t xml:space="preserve">69م870-77</t>
  </si>
  <si>
    <t xml:space="preserve">TK-260923-00550</t>
  </si>
  <si>
    <t xml:space="preserve">302937014039</t>
  </si>
  <si>
    <t xml:space="preserve">EV-00551</t>
  </si>
  <si>
    <t xml:space="preserve">TK-260923-00551</t>
  </si>
  <si>
    <t xml:space="preserve">653348322733</t>
  </si>
  <si>
    <t xml:space="preserve">EV-00552</t>
  </si>
  <si>
    <t xml:space="preserve">93ک634-74</t>
  </si>
  <si>
    <t xml:space="preserve">TK-260923-00552</t>
  </si>
  <si>
    <t xml:space="preserve">616817517074</t>
  </si>
  <si>
    <t xml:space="preserve">EV-00553</t>
  </si>
  <si>
    <t xml:space="preserve">TK-260923-00553</t>
  </si>
  <si>
    <t xml:space="preserve">EV-00554</t>
  </si>
  <si>
    <t xml:space="preserve">76ش349-82</t>
  </si>
  <si>
    <t xml:space="preserve">TK-260923-00554</t>
  </si>
  <si>
    <t xml:space="preserve">194347210588</t>
  </si>
  <si>
    <t xml:space="preserve">EV-00555</t>
  </si>
  <si>
    <t xml:space="preserve">TK-260923-00555</t>
  </si>
  <si>
    <t xml:space="preserve">EV-00556</t>
  </si>
  <si>
    <t xml:space="preserve">TK-260923-00556</t>
  </si>
  <si>
    <t xml:space="preserve">195644845312</t>
  </si>
  <si>
    <t xml:space="preserve">EV-00557</t>
  </si>
  <si>
    <t xml:space="preserve">TK-260923-00557</t>
  </si>
  <si>
    <t xml:space="preserve">EV-00558</t>
  </si>
  <si>
    <t xml:space="preserve">TK-260923-00558</t>
  </si>
  <si>
    <t xml:space="preserve">DC-91410</t>
  </si>
  <si>
    <t xml:space="preserve">EV-00559</t>
  </si>
  <si>
    <t xml:space="preserve">TK-260923-00559</t>
  </si>
  <si>
    <t xml:space="preserve">EV-00560</t>
  </si>
  <si>
    <t xml:space="preserve">TK-260923-00560</t>
  </si>
  <si>
    <t xml:space="preserve">263542984315</t>
  </si>
  <si>
    <t xml:space="preserve">EV-00561</t>
  </si>
  <si>
    <t xml:space="preserve">TK-260923-00561</t>
  </si>
  <si>
    <t xml:space="preserve">128758709879</t>
  </si>
  <si>
    <t xml:space="preserve">EV-00562</t>
  </si>
  <si>
    <t xml:space="preserve">TK-260923-00562</t>
  </si>
  <si>
    <t xml:space="preserve">875112572349</t>
  </si>
  <si>
    <t xml:space="preserve">EV-00563</t>
  </si>
  <si>
    <t xml:space="preserve">TK-260923-00563</t>
  </si>
  <si>
    <t xml:space="preserve">793341385562</t>
  </si>
  <si>
    <t xml:space="preserve">EV-00564</t>
  </si>
  <si>
    <t xml:space="preserve">63و169-36</t>
  </si>
  <si>
    <t xml:space="preserve">TK-260923-00564</t>
  </si>
  <si>
    <t xml:space="preserve">EV-00565</t>
  </si>
  <si>
    <t xml:space="preserve">TK-260923-00565</t>
  </si>
  <si>
    <t xml:space="preserve">EV-00566</t>
  </si>
  <si>
    <t xml:space="preserve">TK-260923-00566</t>
  </si>
  <si>
    <t xml:space="preserve">533851140368</t>
  </si>
  <si>
    <t xml:space="preserve">EV-00567</t>
  </si>
  <si>
    <t xml:space="preserve">TK-260923-00567</t>
  </si>
  <si>
    <t xml:space="preserve">284470531322</t>
  </si>
  <si>
    <t xml:space="preserve">EV-00568</t>
  </si>
  <si>
    <t xml:space="preserve">65ل648-24</t>
  </si>
  <si>
    <t xml:space="preserve">TK-260923-00568</t>
  </si>
  <si>
    <t xml:space="preserve">262659162370</t>
  </si>
  <si>
    <t xml:space="preserve">EV-00569</t>
  </si>
  <si>
    <t xml:space="preserve">TK-260923-00569</t>
  </si>
  <si>
    <t xml:space="preserve">550301352455</t>
  </si>
  <si>
    <t xml:space="preserve">EV-00570</t>
  </si>
  <si>
    <t xml:space="preserve">92ق640-62</t>
  </si>
  <si>
    <t xml:space="preserve">TK-260923-00570</t>
  </si>
  <si>
    <t xml:space="preserve">EV-00571</t>
  </si>
  <si>
    <t xml:space="preserve">TK-260924-00571</t>
  </si>
  <si>
    <t xml:space="preserve">EV-00572</t>
  </si>
  <si>
    <t xml:space="preserve">TK-260924-00572</t>
  </si>
  <si>
    <t xml:space="preserve">EV-00573</t>
  </si>
  <si>
    <t xml:space="preserve">58ش875-49</t>
  </si>
  <si>
    <t xml:space="preserve">TK-260924-00573</t>
  </si>
  <si>
    <t xml:space="preserve">EV-00574</t>
  </si>
  <si>
    <t xml:space="preserve">TK-260924-00574</t>
  </si>
  <si>
    <t xml:space="preserve">EV-00575</t>
  </si>
  <si>
    <t xml:space="preserve">TK-260924-00575</t>
  </si>
  <si>
    <t xml:space="preserve">EV-00576</t>
  </si>
  <si>
    <t xml:space="preserve">TK-260924-00576</t>
  </si>
  <si>
    <t xml:space="preserve">EV-00577</t>
  </si>
  <si>
    <t xml:space="preserve">TK-260924-00577</t>
  </si>
  <si>
    <t xml:space="preserve">EV-00578</t>
  </si>
  <si>
    <t xml:space="preserve">16ش815-22</t>
  </si>
  <si>
    <t xml:space="preserve">TK-260924-00578</t>
  </si>
  <si>
    <t xml:space="preserve">EV-00579</t>
  </si>
  <si>
    <t xml:space="preserve">TK-260924-00579</t>
  </si>
  <si>
    <t xml:space="preserve">EV-00580</t>
  </si>
  <si>
    <t xml:space="preserve">TK-260924-00580</t>
  </si>
  <si>
    <t xml:space="preserve">760755553986</t>
  </si>
  <si>
    <t xml:space="preserve">EV-00581</t>
  </si>
  <si>
    <t xml:space="preserve">TK-260924-00581</t>
  </si>
  <si>
    <t xml:space="preserve">EV-00582</t>
  </si>
  <si>
    <t xml:space="preserve">70د880-14</t>
  </si>
  <si>
    <t xml:space="preserve">TK-260924-00582</t>
  </si>
  <si>
    <t xml:space="preserve">905458558841</t>
  </si>
  <si>
    <t xml:space="preserve">EV-00583</t>
  </si>
  <si>
    <t xml:space="preserve">TK-260924-00583</t>
  </si>
  <si>
    <t xml:space="preserve">191483819949</t>
  </si>
  <si>
    <t xml:space="preserve">EV-00584</t>
  </si>
  <si>
    <t xml:space="preserve">TK-260924-00584</t>
  </si>
  <si>
    <t xml:space="preserve">EV-00585</t>
  </si>
  <si>
    <t xml:space="preserve">TK-260924-00585</t>
  </si>
  <si>
    <t xml:space="preserve">992513723799</t>
  </si>
  <si>
    <t xml:space="preserve">EV-00586</t>
  </si>
  <si>
    <t xml:space="preserve">93ز196-28</t>
  </si>
  <si>
    <t xml:space="preserve">TK-260924-00586</t>
  </si>
  <si>
    <t xml:space="preserve">529232683041</t>
  </si>
  <si>
    <t xml:space="preserve">EV-00587</t>
  </si>
  <si>
    <t xml:space="preserve">TK-260924-00587</t>
  </si>
  <si>
    <t xml:space="preserve">EV-00588</t>
  </si>
  <si>
    <t xml:space="preserve">TK-260924-00588</t>
  </si>
  <si>
    <t xml:space="preserve">643952664235</t>
  </si>
  <si>
    <t xml:space="preserve">EV-00589</t>
  </si>
  <si>
    <t xml:space="preserve">TK-260924-00589</t>
  </si>
  <si>
    <t xml:space="preserve">486982566890</t>
  </si>
  <si>
    <t xml:space="preserve">EV-00590</t>
  </si>
  <si>
    <t xml:space="preserve">TK-260924-00590</t>
  </si>
  <si>
    <t xml:space="preserve">EV-00591</t>
  </si>
  <si>
    <t xml:space="preserve">TK-260924-00591</t>
  </si>
  <si>
    <t xml:space="preserve">209492972926</t>
  </si>
  <si>
    <t xml:space="preserve">EV-00592</t>
  </si>
  <si>
    <t xml:space="preserve">TK-260924-00592</t>
  </si>
  <si>
    <t xml:space="preserve">EV-00593</t>
  </si>
  <si>
    <t xml:space="preserve">TK-260924-00593</t>
  </si>
  <si>
    <t xml:space="preserve">EV-00594</t>
  </si>
  <si>
    <t xml:space="preserve">92ک169-81</t>
  </si>
  <si>
    <t xml:space="preserve">TK-260924-00594</t>
  </si>
  <si>
    <t xml:space="preserve">EV-00595</t>
  </si>
  <si>
    <t xml:space="preserve">19م335-19</t>
  </si>
  <si>
    <t xml:space="preserve">79م335-19</t>
  </si>
  <si>
    <t xml:space="preserve">TK-260924-00595</t>
  </si>
  <si>
    <t xml:space="preserve">EV-00596</t>
  </si>
  <si>
    <t xml:space="preserve">TK-260924-00596</t>
  </si>
  <si>
    <t xml:space="preserve">286018293013</t>
  </si>
  <si>
    <t xml:space="preserve">EV-00597</t>
  </si>
  <si>
    <t xml:space="preserve">57گ675-55</t>
  </si>
  <si>
    <t xml:space="preserve">TK-260924-00597</t>
  </si>
  <si>
    <t xml:space="preserve">EV-00598</t>
  </si>
  <si>
    <t xml:space="preserve">71و855-21</t>
  </si>
  <si>
    <t xml:space="preserve">TK-260924-00598</t>
  </si>
  <si>
    <t xml:space="preserve">252681278307</t>
  </si>
  <si>
    <t xml:space="preserve">EV-00599</t>
  </si>
  <si>
    <t xml:space="preserve">22ا384-88</t>
  </si>
  <si>
    <t xml:space="preserve">TK-260924-00599</t>
  </si>
  <si>
    <t xml:space="preserve">202813764635</t>
  </si>
  <si>
    <t xml:space="preserve">DC-34937</t>
  </si>
  <si>
    <t xml:space="preserve">EV-00600</t>
  </si>
  <si>
    <t xml:space="preserve">TK-260924-00600</t>
  </si>
  <si>
    <t xml:space="preserve">525500524560</t>
  </si>
  <si>
    <t xml:space="preserve">EV-00601</t>
  </si>
  <si>
    <t xml:space="preserve">TK-260924-00601</t>
  </si>
  <si>
    <t xml:space="preserve">EV-00602</t>
  </si>
  <si>
    <t xml:space="preserve">63و139-36</t>
  </si>
  <si>
    <t xml:space="preserve">TK-260924-00602</t>
  </si>
  <si>
    <t xml:space="preserve">983138234640</t>
  </si>
  <si>
    <t xml:space="preserve">EV-00603</t>
  </si>
  <si>
    <t xml:space="preserve">40ص521-29</t>
  </si>
  <si>
    <t xml:space="preserve">TK-260924-00603</t>
  </si>
  <si>
    <t xml:space="preserve">EV-00604</t>
  </si>
  <si>
    <t xml:space="preserve">TK-260924-00604</t>
  </si>
  <si>
    <t xml:space="preserve">026071710004</t>
  </si>
  <si>
    <t xml:space="preserve">EV-00605</t>
  </si>
  <si>
    <t xml:space="preserve">TK-260924-00605</t>
  </si>
  <si>
    <t xml:space="preserve">358833895488</t>
  </si>
  <si>
    <t xml:space="preserve">EV-00606</t>
  </si>
  <si>
    <t xml:space="preserve">TK-260924-00606</t>
  </si>
  <si>
    <t xml:space="preserve">EV-00607</t>
  </si>
  <si>
    <t xml:space="preserve">TK-260924-00607</t>
  </si>
  <si>
    <t xml:space="preserve">EV-00608</t>
  </si>
  <si>
    <t xml:space="preserve">TK-260924-00608</t>
  </si>
  <si>
    <t xml:space="preserve">248187297159</t>
  </si>
  <si>
    <t xml:space="preserve">EV-00609</t>
  </si>
  <si>
    <t xml:space="preserve">TK-260924-00609</t>
  </si>
  <si>
    <t xml:space="preserve">EV-00610</t>
  </si>
  <si>
    <t xml:space="preserve">32ا192-19</t>
  </si>
  <si>
    <t xml:space="preserve">TK-260924-00610</t>
  </si>
  <si>
    <t xml:space="preserve">EV-00611</t>
  </si>
  <si>
    <t xml:space="preserve">TK-260924-00611</t>
  </si>
  <si>
    <t xml:space="preserve">864612859899</t>
  </si>
  <si>
    <t xml:space="preserve">EV-00612</t>
  </si>
  <si>
    <t xml:space="preserve">TK-260924-00612</t>
  </si>
  <si>
    <t xml:space="preserve">DC-84824</t>
  </si>
  <si>
    <t xml:space="preserve">EV-00613</t>
  </si>
  <si>
    <t xml:space="preserve">TK-260924-00613</t>
  </si>
  <si>
    <t xml:space="preserve">EV-00614</t>
  </si>
  <si>
    <t xml:space="preserve">TK-260924-00614</t>
  </si>
  <si>
    <t xml:space="preserve">823939178634</t>
  </si>
  <si>
    <t xml:space="preserve">EV-00615</t>
  </si>
  <si>
    <t xml:space="preserve">TK-260924-00615</t>
  </si>
  <si>
    <t xml:space="preserve">137870280136</t>
  </si>
  <si>
    <t xml:space="preserve">EV-00616</t>
  </si>
  <si>
    <t xml:space="preserve">TK-260924-00616</t>
  </si>
  <si>
    <t xml:space="preserve">889275447775</t>
  </si>
  <si>
    <t xml:space="preserve">EV-00617</t>
  </si>
  <si>
    <t xml:space="preserve">TK-260924-00617</t>
  </si>
  <si>
    <t xml:space="preserve">DC-89167</t>
  </si>
  <si>
    <t xml:space="preserve">EV-00618</t>
  </si>
  <si>
    <t xml:space="preserve">TK-260924-00618</t>
  </si>
  <si>
    <t xml:space="preserve">892330920890</t>
  </si>
  <si>
    <t xml:space="preserve">DC-98835</t>
  </si>
  <si>
    <t xml:space="preserve">EV-00619</t>
  </si>
  <si>
    <t xml:space="preserve">58ل845-81</t>
  </si>
  <si>
    <t xml:space="preserve">TK-260924-00619</t>
  </si>
  <si>
    <t xml:space="preserve">EV-00620</t>
  </si>
  <si>
    <t xml:space="preserve">TK-260924-00620</t>
  </si>
  <si>
    <t xml:space="preserve">EV-00621</t>
  </si>
  <si>
    <t xml:space="preserve">41و527-78</t>
  </si>
  <si>
    <t xml:space="preserve">TK-260924-00621</t>
  </si>
  <si>
    <t xml:space="preserve">EV-00622</t>
  </si>
  <si>
    <t xml:space="preserve">94ک120-88</t>
  </si>
  <si>
    <t xml:space="preserve">TK-260924-00622</t>
  </si>
  <si>
    <t xml:space="preserve">438377375835</t>
  </si>
  <si>
    <t xml:space="preserve">EV-00623</t>
  </si>
  <si>
    <t xml:space="preserve">TK-260924-00623</t>
  </si>
  <si>
    <t xml:space="preserve">EV-00624</t>
  </si>
  <si>
    <t xml:space="preserve">TK-260924-00624</t>
  </si>
  <si>
    <t xml:space="preserve">929268292072</t>
  </si>
  <si>
    <t xml:space="preserve">EV-00625</t>
  </si>
  <si>
    <t xml:space="preserve">TK-260924-00625</t>
  </si>
  <si>
    <t xml:space="preserve">178184419172</t>
  </si>
  <si>
    <t xml:space="preserve">EV-00626</t>
  </si>
  <si>
    <t xml:space="preserve">TK-260924-00626</t>
  </si>
  <si>
    <t xml:space="preserve">EV-00627</t>
  </si>
  <si>
    <t xml:space="preserve">TK-260924-00627</t>
  </si>
  <si>
    <t xml:space="preserve">EV-00628</t>
  </si>
  <si>
    <t xml:space="preserve">44پ265-36</t>
  </si>
  <si>
    <t xml:space="preserve">TK-260924-00628</t>
  </si>
  <si>
    <t xml:space="preserve">EV-00629</t>
  </si>
  <si>
    <t xml:space="preserve">TK-260924-00629</t>
  </si>
  <si>
    <t xml:space="preserve">EV-00630</t>
  </si>
  <si>
    <t xml:space="preserve">TK-260924-00630</t>
  </si>
  <si>
    <t xml:space="preserve">865203126464</t>
  </si>
  <si>
    <t xml:space="preserve">EV-00631</t>
  </si>
  <si>
    <t xml:space="preserve">TK-260924-00631</t>
  </si>
  <si>
    <t xml:space="preserve">DC-49061</t>
  </si>
  <si>
    <t xml:space="preserve">EV-00632</t>
  </si>
  <si>
    <t xml:space="preserve">TK-260924-00632</t>
  </si>
  <si>
    <t xml:space="preserve">EV-00633</t>
  </si>
  <si>
    <t xml:space="preserve">TK-260924-00633</t>
  </si>
  <si>
    <t xml:space="preserve">EV-00634</t>
  </si>
  <si>
    <t xml:space="preserve">TK-260924-00634</t>
  </si>
  <si>
    <t xml:space="preserve">EV-00635</t>
  </si>
  <si>
    <t xml:space="preserve">TK-260924-00635</t>
  </si>
  <si>
    <t xml:space="preserve">EV-00636</t>
  </si>
  <si>
    <t xml:space="preserve">TK-260924-00636</t>
  </si>
  <si>
    <t xml:space="preserve">EV-00637</t>
  </si>
  <si>
    <t xml:space="preserve">TK-260924-00637</t>
  </si>
  <si>
    <t xml:space="preserve">209862621376</t>
  </si>
  <si>
    <t xml:space="preserve">EV-00638</t>
  </si>
  <si>
    <t xml:space="preserve">TK-260924-00638</t>
  </si>
  <si>
    <t xml:space="preserve">EV-00639</t>
  </si>
  <si>
    <t xml:space="preserve">TK-260924-00639</t>
  </si>
  <si>
    <t xml:space="preserve">977028876226</t>
  </si>
  <si>
    <t xml:space="preserve">EV-00640</t>
  </si>
  <si>
    <t xml:space="preserve">TK-260924-00640</t>
  </si>
  <si>
    <t xml:space="preserve">632293394362</t>
  </si>
  <si>
    <t xml:space="preserve">EV-00641</t>
  </si>
  <si>
    <t xml:space="preserve">21ی383-45</t>
  </si>
  <si>
    <t xml:space="preserve">TK-260924-00641</t>
  </si>
  <si>
    <t xml:space="preserve">681107495372</t>
  </si>
  <si>
    <t xml:space="preserve">EV-00642</t>
  </si>
  <si>
    <t xml:space="preserve">TK-260924-00642</t>
  </si>
  <si>
    <t xml:space="preserve">EV-00643</t>
  </si>
  <si>
    <t xml:space="preserve">TK-260924-00643</t>
  </si>
  <si>
    <t xml:space="preserve">EV-00644</t>
  </si>
  <si>
    <t xml:space="preserve">43ن330-91</t>
  </si>
  <si>
    <t xml:space="preserve">TK-260924-00644</t>
  </si>
  <si>
    <t xml:space="preserve">EV-00645</t>
  </si>
  <si>
    <t xml:space="preserve">99گ320-44</t>
  </si>
  <si>
    <t xml:space="preserve">TK-260924-00645</t>
  </si>
  <si>
    <t xml:space="preserve">EV-00646</t>
  </si>
  <si>
    <t xml:space="preserve">TK-260924-00646</t>
  </si>
  <si>
    <t xml:space="preserve">908239145529</t>
  </si>
  <si>
    <t xml:space="preserve">EV-00647</t>
  </si>
  <si>
    <t xml:space="preserve">TK-260924-00647</t>
  </si>
  <si>
    <t xml:space="preserve">888399363754</t>
  </si>
  <si>
    <t xml:space="preserve">EV-00648</t>
  </si>
  <si>
    <t xml:space="preserve">TK-260924-00648</t>
  </si>
  <si>
    <t xml:space="preserve">953918448702</t>
  </si>
  <si>
    <t xml:space="preserve">EV-00649</t>
  </si>
  <si>
    <t xml:space="preserve">39ش561-25</t>
  </si>
  <si>
    <t xml:space="preserve">TK-260924-00649</t>
  </si>
  <si>
    <t xml:space="preserve">563164984028</t>
  </si>
  <si>
    <t xml:space="preserve">EV-00650</t>
  </si>
  <si>
    <t xml:space="preserve">TK-260925-00650</t>
  </si>
  <si>
    <t xml:space="preserve">127642472292</t>
  </si>
  <si>
    <t xml:space="preserve">EV-00651</t>
  </si>
  <si>
    <t xml:space="preserve">TK-260925-00651</t>
  </si>
  <si>
    <t xml:space="preserve">EV-00652</t>
  </si>
  <si>
    <t xml:space="preserve">TK-260925-00652</t>
  </si>
  <si>
    <t xml:space="preserve">904749090227</t>
  </si>
  <si>
    <t xml:space="preserve">EV-00653</t>
  </si>
  <si>
    <t xml:space="preserve">TK-260925-00653</t>
  </si>
  <si>
    <t xml:space="preserve">027542844609</t>
  </si>
  <si>
    <t xml:space="preserve">EV-00654</t>
  </si>
  <si>
    <t xml:space="preserve">TK-260925-00654</t>
  </si>
  <si>
    <t xml:space="preserve">048997672037</t>
  </si>
  <si>
    <t xml:space="preserve">EV-00655</t>
  </si>
  <si>
    <t xml:space="preserve">TK-260925-00655</t>
  </si>
  <si>
    <t xml:space="preserve">589276689478</t>
  </si>
  <si>
    <t xml:space="preserve">EV-00656</t>
  </si>
  <si>
    <t xml:space="preserve">TK-260925-00656</t>
  </si>
  <si>
    <t xml:space="preserve">901387983661</t>
  </si>
  <si>
    <t xml:space="preserve">EV-00657</t>
  </si>
  <si>
    <t xml:space="preserve">72س987-24</t>
  </si>
  <si>
    <t xml:space="preserve">TK-260925-00657</t>
  </si>
  <si>
    <t xml:space="preserve">EV-00658</t>
  </si>
  <si>
    <t xml:space="preserve">TK-260925-00658</t>
  </si>
  <si>
    <t xml:space="preserve">EV-00659</t>
  </si>
  <si>
    <t xml:space="preserve">TK-260925-00659</t>
  </si>
  <si>
    <t xml:space="preserve">EV-00660</t>
  </si>
  <si>
    <t xml:space="preserve">TK-260925-00660</t>
  </si>
  <si>
    <t xml:space="preserve">258903855608</t>
  </si>
  <si>
    <t xml:space="preserve">EV-00661</t>
  </si>
  <si>
    <t xml:space="preserve">TK-260925-00661</t>
  </si>
  <si>
    <t xml:space="preserve">EV-00662</t>
  </si>
  <si>
    <t xml:space="preserve">TK-260925-00662</t>
  </si>
  <si>
    <t xml:space="preserve">EV-00663</t>
  </si>
  <si>
    <t xml:space="preserve">52ه875-22</t>
  </si>
  <si>
    <t xml:space="preserve">TK-260925-00663</t>
  </si>
  <si>
    <t xml:space="preserve">EV-00664</t>
  </si>
  <si>
    <t xml:space="preserve">TK-260925-00664</t>
  </si>
  <si>
    <t xml:space="preserve">EV-00665</t>
  </si>
  <si>
    <t xml:space="preserve">62م853-28</t>
  </si>
  <si>
    <t xml:space="preserve">TK-260925-00665</t>
  </si>
  <si>
    <t xml:space="preserve">013626494287</t>
  </si>
  <si>
    <t xml:space="preserve">EV-00666</t>
  </si>
  <si>
    <t xml:space="preserve">TK-260925-00666</t>
  </si>
  <si>
    <t xml:space="preserve">EV-00667</t>
  </si>
  <si>
    <t xml:space="preserve">TK-260925-00667</t>
  </si>
  <si>
    <t xml:space="preserve">EV-00668</t>
  </si>
  <si>
    <t xml:space="preserve">TK-260925-00668</t>
  </si>
  <si>
    <t xml:space="preserve">391967664843</t>
  </si>
  <si>
    <t xml:space="preserve">EV-00669</t>
  </si>
  <si>
    <t xml:space="preserve">66ل829-17</t>
  </si>
  <si>
    <t xml:space="preserve">TK-260925-00669</t>
  </si>
  <si>
    <t xml:space="preserve">EV-00670</t>
  </si>
  <si>
    <t xml:space="preserve">TK-260925-00670</t>
  </si>
  <si>
    <t xml:space="preserve">788260078144</t>
  </si>
  <si>
    <t xml:space="preserve">EV-00671</t>
  </si>
  <si>
    <t xml:space="preserve">TK-260925-00671</t>
  </si>
  <si>
    <t xml:space="preserve">810477122469</t>
  </si>
  <si>
    <t xml:space="preserve">EV-00672</t>
  </si>
  <si>
    <t xml:space="preserve">TK-260925-00672</t>
  </si>
  <si>
    <t xml:space="preserve">EV-00673</t>
  </si>
  <si>
    <t xml:space="preserve">70پ642-17</t>
  </si>
  <si>
    <t xml:space="preserve">TK-260925-00673</t>
  </si>
  <si>
    <t xml:space="preserve">EV-00674</t>
  </si>
  <si>
    <t xml:space="preserve">21س370-79</t>
  </si>
  <si>
    <t xml:space="preserve">TK-260925-00674</t>
  </si>
  <si>
    <t xml:space="preserve">EV-00675</t>
  </si>
  <si>
    <t xml:space="preserve">63ج269-47</t>
  </si>
  <si>
    <t xml:space="preserve">TK-260925-00675</t>
  </si>
  <si>
    <t xml:space="preserve">EV-00676</t>
  </si>
  <si>
    <t xml:space="preserve">TK-260925-00676</t>
  </si>
  <si>
    <t xml:space="preserve">938887589555</t>
  </si>
  <si>
    <t xml:space="preserve">EV-00677</t>
  </si>
  <si>
    <t xml:space="preserve">TK-260925-00677</t>
  </si>
  <si>
    <t xml:space="preserve">EV-00678</t>
  </si>
  <si>
    <t xml:space="preserve">TK-260925-00678</t>
  </si>
  <si>
    <t xml:space="preserve">EV-00679</t>
  </si>
  <si>
    <t xml:space="preserve">TK-260925-00679</t>
  </si>
  <si>
    <t xml:space="preserve">EV-00680</t>
  </si>
  <si>
    <t xml:space="preserve">TK-260925-00680</t>
  </si>
  <si>
    <t xml:space="preserve">326607523273</t>
  </si>
  <si>
    <t xml:space="preserve">EV-00681</t>
  </si>
  <si>
    <t xml:space="preserve">TK-260925-00681</t>
  </si>
  <si>
    <t xml:space="preserve">099733247887</t>
  </si>
  <si>
    <t xml:space="preserve">EV-00682</t>
  </si>
  <si>
    <t xml:space="preserve">TK-260925-00682</t>
  </si>
  <si>
    <t xml:space="preserve">EV-00683</t>
  </si>
  <si>
    <t xml:space="preserve">68ص228-53</t>
  </si>
  <si>
    <t xml:space="preserve">TK-260925-00683</t>
  </si>
  <si>
    <t xml:space="preserve">031352308811</t>
  </si>
  <si>
    <t xml:space="preserve">EV-00684</t>
  </si>
  <si>
    <t xml:space="preserve">TK-260925-00684</t>
  </si>
  <si>
    <t xml:space="preserve">EV-00685</t>
  </si>
  <si>
    <t xml:space="preserve">TK-260925-00685</t>
  </si>
  <si>
    <t xml:space="preserve">097187620470</t>
  </si>
  <si>
    <t xml:space="preserve">EV-00686</t>
  </si>
  <si>
    <t xml:space="preserve">TK-260925-00686</t>
  </si>
  <si>
    <t xml:space="preserve">EV-00687</t>
  </si>
  <si>
    <t xml:space="preserve">40ی257-17</t>
  </si>
  <si>
    <t xml:space="preserve">TK-260925-00687</t>
  </si>
  <si>
    <t xml:space="preserve">EV-00688</t>
  </si>
  <si>
    <t xml:space="preserve">TK-260925-00688</t>
  </si>
  <si>
    <t xml:space="preserve">EV-00689</t>
  </si>
  <si>
    <t xml:space="preserve">TK-260925-00689</t>
  </si>
  <si>
    <t xml:space="preserve">EV-00690</t>
  </si>
  <si>
    <t xml:space="preserve">TK-260925-00690</t>
  </si>
  <si>
    <t xml:space="preserve">213374098766</t>
  </si>
  <si>
    <t xml:space="preserve">EV-00691</t>
  </si>
  <si>
    <t xml:space="preserve">TK-260925-00691</t>
  </si>
  <si>
    <t xml:space="preserve">EV-00692</t>
  </si>
  <si>
    <t xml:space="preserve">36ش183-31</t>
  </si>
  <si>
    <t xml:space="preserve">TK-260925-00692</t>
  </si>
  <si>
    <t xml:space="preserve">372181536678</t>
  </si>
  <si>
    <t xml:space="preserve">EV-00693</t>
  </si>
  <si>
    <t xml:space="preserve">TK-260925-00693</t>
  </si>
  <si>
    <t xml:space="preserve">EV-00694</t>
  </si>
  <si>
    <t xml:space="preserve">TK-260925-00694</t>
  </si>
  <si>
    <t xml:space="preserve">EV-00695</t>
  </si>
  <si>
    <t xml:space="preserve">94ک160-88</t>
  </si>
  <si>
    <t xml:space="preserve">TK-260925-00695</t>
  </si>
  <si>
    <t xml:space="preserve">072675010231</t>
  </si>
  <si>
    <t xml:space="preserve">EV-00696</t>
  </si>
  <si>
    <t xml:space="preserve">TK-260925-00696</t>
  </si>
  <si>
    <t xml:space="preserve">744667214532</t>
  </si>
  <si>
    <t xml:space="preserve">EV-00697</t>
  </si>
  <si>
    <t xml:space="preserve">85ث672-13</t>
  </si>
  <si>
    <t xml:space="preserve">TK-260925-00697</t>
  </si>
  <si>
    <t xml:space="preserve">329199010402</t>
  </si>
  <si>
    <t xml:space="preserve">EV-00698</t>
  </si>
  <si>
    <t xml:space="preserve">TK-260925-00698</t>
  </si>
  <si>
    <t xml:space="preserve">575416574309</t>
  </si>
  <si>
    <t xml:space="preserve">EV-00699</t>
  </si>
  <si>
    <t xml:space="preserve">81ز239-42</t>
  </si>
  <si>
    <t xml:space="preserve">TK-260925-00699</t>
  </si>
  <si>
    <t xml:space="preserve">DC-14070</t>
  </si>
  <si>
    <t xml:space="preserve">EV-00700</t>
  </si>
  <si>
    <t xml:space="preserve">TK-260925-00700</t>
  </si>
  <si>
    <t xml:space="preserve">017272474798</t>
  </si>
  <si>
    <t xml:space="preserve">EV-00701</t>
  </si>
  <si>
    <t xml:space="preserve">50ت410-47</t>
  </si>
  <si>
    <t xml:space="preserve">TK-260925-00701</t>
  </si>
  <si>
    <t xml:space="preserve">EV-00702</t>
  </si>
  <si>
    <t xml:space="preserve">TK-260925-00702</t>
  </si>
  <si>
    <t xml:space="preserve">598992459144</t>
  </si>
  <si>
    <t xml:space="preserve">EV-00703</t>
  </si>
  <si>
    <t xml:space="preserve">TK-260925-00703</t>
  </si>
  <si>
    <t xml:space="preserve">EV-00704</t>
  </si>
  <si>
    <t xml:space="preserve">TK-260925-00704</t>
  </si>
  <si>
    <t xml:space="preserve">642734565002</t>
  </si>
  <si>
    <t xml:space="preserve">EV-00705</t>
  </si>
  <si>
    <t xml:space="preserve">TK-260925-00705</t>
  </si>
  <si>
    <t xml:space="preserve">128480599584</t>
  </si>
  <si>
    <t xml:space="preserve">EV-00706</t>
  </si>
  <si>
    <t xml:space="preserve">TK-260925-00706</t>
  </si>
  <si>
    <t xml:space="preserve">EV-00707</t>
  </si>
  <si>
    <t xml:space="preserve">TK-260925-00707</t>
  </si>
  <si>
    <t xml:space="preserve">617571041297</t>
  </si>
  <si>
    <t xml:space="preserve">EV-00708</t>
  </si>
  <si>
    <t xml:space="preserve">TK-260925-00708</t>
  </si>
  <si>
    <t xml:space="preserve">291442215622</t>
  </si>
  <si>
    <t xml:space="preserve">EV-00709</t>
  </si>
  <si>
    <t xml:space="preserve">TK-260925-00709</t>
  </si>
  <si>
    <t xml:space="preserve">EV-00710</t>
  </si>
  <si>
    <t xml:space="preserve">88ج786-21</t>
  </si>
  <si>
    <t xml:space="preserve">TK-260925-00710</t>
  </si>
  <si>
    <t xml:space="preserve">EV-00711</t>
  </si>
  <si>
    <t xml:space="preserve">TK-260925-00711</t>
  </si>
  <si>
    <t xml:space="preserve">968860877019</t>
  </si>
  <si>
    <t xml:space="preserve">EV-00712</t>
  </si>
  <si>
    <t xml:space="preserve">TK-260925-00712</t>
  </si>
  <si>
    <t xml:space="preserve">971021690277</t>
  </si>
  <si>
    <t xml:space="preserve">EV-00713</t>
  </si>
  <si>
    <t xml:space="preserve">TK-260925-00713</t>
  </si>
  <si>
    <t xml:space="preserve">EV-00714</t>
  </si>
  <si>
    <t xml:space="preserve">TK-260925-00714</t>
  </si>
  <si>
    <t xml:space="preserve">127858433812</t>
  </si>
  <si>
    <t xml:space="preserve">EV-00715</t>
  </si>
  <si>
    <t xml:space="preserve">TK-260925-00715</t>
  </si>
  <si>
    <t xml:space="preserve">EV-00716</t>
  </si>
  <si>
    <t xml:space="preserve">42ت745-28</t>
  </si>
  <si>
    <t xml:space="preserve">TK-260925-00716</t>
  </si>
  <si>
    <t xml:space="preserve">EV-00717</t>
  </si>
  <si>
    <t xml:space="preserve">TK-260925-00717</t>
  </si>
  <si>
    <t xml:space="preserve">156035939849</t>
  </si>
  <si>
    <t xml:space="preserve">EV-00718</t>
  </si>
  <si>
    <t xml:space="preserve">TK-260925-00718</t>
  </si>
  <si>
    <t xml:space="preserve">EV-00719</t>
  </si>
  <si>
    <t xml:space="preserve">TK-260925-00719</t>
  </si>
  <si>
    <t xml:space="preserve">205140439666</t>
  </si>
  <si>
    <t xml:space="preserve">EV-00720</t>
  </si>
  <si>
    <t xml:space="preserve">TK-260925-00720</t>
  </si>
  <si>
    <t xml:space="preserve">698986765421</t>
  </si>
  <si>
    <t xml:space="preserve">EV-00721</t>
  </si>
  <si>
    <t xml:space="preserve">TK-260925-00721</t>
  </si>
  <si>
    <t xml:space="preserve">021339942885</t>
  </si>
  <si>
    <t xml:space="preserve">EV-00722</t>
  </si>
  <si>
    <t xml:space="preserve">TK-260925-00722</t>
  </si>
  <si>
    <t xml:space="preserve">EV-00723</t>
  </si>
  <si>
    <t xml:space="preserve">TK-260925-00723</t>
  </si>
  <si>
    <t xml:space="preserve">013820982775</t>
  </si>
  <si>
    <t xml:space="preserve">EV-00724</t>
  </si>
  <si>
    <t xml:space="preserve">62ل909-72</t>
  </si>
  <si>
    <t xml:space="preserve">TK-260925-00724</t>
  </si>
  <si>
    <t xml:space="preserve">189373896244</t>
  </si>
  <si>
    <t xml:space="preserve">EV-00725</t>
  </si>
  <si>
    <t xml:space="preserve">TK-260925-00725</t>
  </si>
  <si>
    <t xml:space="preserve">241951078026</t>
  </si>
  <si>
    <t xml:space="preserve">DC-48565</t>
  </si>
  <si>
    <t xml:space="preserve">EV-00726</t>
  </si>
  <si>
    <t xml:space="preserve">TK-260925-00726</t>
  </si>
  <si>
    <t xml:space="preserve">EV-00727</t>
  </si>
  <si>
    <t xml:space="preserve">TK-260925-00727</t>
  </si>
  <si>
    <t xml:space="preserve">714312340430</t>
  </si>
  <si>
    <t xml:space="preserve">DC-73232</t>
  </si>
  <si>
    <t xml:space="preserve">EV-00728</t>
  </si>
  <si>
    <t xml:space="preserve">56ص338-57</t>
  </si>
  <si>
    <t xml:space="preserve">TK-260925-00728</t>
  </si>
  <si>
    <t xml:space="preserve">EV-00729</t>
  </si>
  <si>
    <t xml:space="preserve">TK-260925-00729</t>
  </si>
  <si>
    <t xml:space="preserve">EV-00730</t>
  </si>
  <si>
    <t xml:space="preserve">70ل937-43</t>
  </si>
  <si>
    <t xml:space="preserve">TK-260926-00730</t>
  </si>
  <si>
    <t xml:space="preserve">EV-00731</t>
  </si>
  <si>
    <t xml:space="preserve">TK-260926-00731</t>
  </si>
  <si>
    <t xml:space="preserve">EV-00732</t>
  </si>
  <si>
    <t xml:space="preserve">TK-260926-00732</t>
  </si>
  <si>
    <t xml:space="preserve">EV-00733</t>
  </si>
  <si>
    <t xml:space="preserve">TK-260926-00733</t>
  </si>
  <si>
    <t xml:space="preserve">EV-00734</t>
  </si>
  <si>
    <t xml:space="preserve">TK-260926-00734</t>
  </si>
  <si>
    <t xml:space="preserve">EV-00735</t>
  </si>
  <si>
    <t xml:space="preserve">TK-260926-00735</t>
  </si>
  <si>
    <t xml:space="preserve">419499638938</t>
  </si>
  <si>
    <t xml:space="preserve">EV-00736</t>
  </si>
  <si>
    <t xml:space="preserve">TK-260926-00736</t>
  </si>
  <si>
    <t xml:space="preserve">517231932139</t>
  </si>
  <si>
    <t xml:space="preserve">EV-00737</t>
  </si>
  <si>
    <t xml:space="preserve">TK-260926-00737</t>
  </si>
  <si>
    <t xml:space="preserve">EV-00738</t>
  </si>
  <si>
    <t xml:space="preserve">TK-260926-00738</t>
  </si>
  <si>
    <t xml:space="preserve">EV-00739</t>
  </si>
  <si>
    <t xml:space="preserve">TK-260926-00739</t>
  </si>
  <si>
    <t xml:space="preserve">684182113843</t>
  </si>
  <si>
    <t xml:space="preserve">EV-00740</t>
  </si>
  <si>
    <t xml:space="preserve">TK-260926-00740</t>
  </si>
  <si>
    <t xml:space="preserve">217171156419</t>
  </si>
  <si>
    <t xml:space="preserve">EV-00741</t>
  </si>
  <si>
    <t xml:space="preserve">TK-260926-00741</t>
  </si>
  <si>
    <t xml:space="preserve">EV-00742</t>
  </si>
  <si>
    <t xml:space="preserve">TK-260926-00742</t>
  </si>
  <si>
    <t xml:space="preserve">347737822313</t>
  </si>
  <si>
    <t xml:space="preserve">EV-00743</t>
  </si>
  <si>
    <t xml:space="preserve">TK-260926-00743</t>
  </si>
  <si>
    <t xml:space="preserve">626837655090</t>
  </si>
  <si>
    <t xml:space="preserve">EV-00744</t>
  </si>
  <si>
    <t xml:space="preserve">TK-260926-00744</t>
  </si>
  <si>
    <t xml:space="preserve">953634318455</t>
  </si>
  <si>
    <t xml:space="preserve">EV-00745</t>
  </si>
  <si>
    <t xml:space="preserve">23ط523-12</t>
  </si>
  <si>
    <t xml:space="preserve">TK-260926-00745</t>
  </si>
  <si>
    <t xml:space="preserve">479853383217</t>
  </si>
  <si>
    <t xml:space="preserve">EV-00746</t>
  </si>
  <si>
    <t xml:space="preserve">TK-260926-00746</t>
  </si>
  <si>
    <t xml:space="preserve">EV-00747</t>
  </si>
  <si>
    <t xml:space="preserve">TK-260926-00747</t>
  </si>
  <si>
    <t xml:space="preserve">446702857235</t>
  </si>
  <si>
    <t xml:space="preserve">EV-00748</t>
  </si>
  <si>
    <t xml:space="preserve">TK-260926-00748</t>
  </si>
  <si>
    <t xml:space="preserve">EV-00749</t>
  </si>
  <si>
    <t xml:space="preserve">TK-260926-00749</t>
  </si>
  <si>
    <t xml:space="preserve">982995356792</t>
  </si>
  <si>
    <t xml:space="preserve">EV-00750</t>
  </si>
  <si>
    <t xml:space="preserve">TK-260926-00750</t>
  </si>
  <si>
    <t xml:space="preserve">701729978158</t>
  </si>
  <si>
    <t xml:space="preserve">EV-00751</t>
  </si>
  <si>
    <t xml:space="preserve">TK-260926-00751</t>
  </si>
  <si>
    <t xml:space="preserve">EV-00752</t>
  </si>
  <si>
    <t xml:space="preserve">TK-260926-00752</t>
  </si>
  <si>
    <t xml:space="preserve">EV-00753</t>
  </si>
  <si>
    <t xml:space="preserve">TK-260926-00753</t>
  </si>
  <si>
    <t xml:space="preserve">EV-00754</t>
  </si>
  <si>
    <t xml:space="preserve">TK-260926-00754</t>
  </si>
  <si>
    <t xml:space="preserve">EV-00755</t>
  </si>
  <si>
    <t xml:space="preserve">TK-260926-00755</t>
  </si>
  <si>
    <t xml:space="preserve">EV-00756</t>
  </si>
  <si>
    <t xml:space="preserve">TK-260926-00756</t>
  </si>
  <si>
    <t xml:space="preserve">EV-00757</t>
  </si>
  <si>
    <t xml:space="preserve">TK-260926-00757</t>
  </si>
  <si>
    <t xml:space="preserve">811547019472</t>
  </si>
  <si>
    <t xml:space="preserve">EV-00758</t>
  </si>
  <si>
    <t xml:space="preserve">TK-260926-00758</t>
  </si>
  <si>
    <t xml:space="preserve">967046023405</t>
  </si>
  <si>
    <t xml:space="preserve">EV-00759</t>
  </si>
  <si>
    <t xml:space="preserve">TK-260926-00759</t>
  </si>
  <si>
    <t xml:space="preserve">EV-00760</t>
  </si>
  <si>
    <t xml:space="preserve">TK-260926-00760</t>
  </si>
  <si>
    <t xml:space="preserve">EV-00761</t>
  </si>
  <si>
    <t xml:space="preserve">TK-260926-00761</t>
  </si>
  <si>
    <t xml:space="preserve">EV-00762</t>
  </si>
  <si>
    <t xml:space="preserve">TK-260926-00762</t>
  </si>
  <si>
    <t xml:space="preserve">291918274846</t>
  </si>
  <si>
    <t xml:space="preserve">EV-00763</t>
  </si>
  <si>
    <t xml:space="preserve">TK-260926-00763</t>
  </si>
  <si>
    <t xml:space="preserve">784348642975</t>
  </si>
  <si>
    <t xml:space="preserve">EV-00764</t>
  </si>
  <si>
    <t xml:space="preserve">TK-260926-00764</t>
  </si>
  <si>
    <t xml:space="preserve">EV-00765</t>
  </si>
  <si>
    <t xml:space="preserve">TK-260926-00765</t>
  </si>
  <si>
    <t xml:space="preserve">670808833460</t>
  </si>
  <si>
    <t xml:space="preserve">EV-00766</t>
  </si>
  <si>
    <t xml:space="preserve">TK-260926-00766</t>
  </si>
  <si>
    <t xml:space="preserve">EV-00767</t>
  </si>
  <si>
    <t xml:space="preserve">TK-260926-00767</t>
  </si>
  <si>
    <t xml:space="preserve">EV-00768</t>
  </si>
  <si>
    <t xml:space="preserve">TK-260926-00768</t>
  </si>
  <si>
    <t xml:space="preserve">EV-00769</t>
  </si>
  <si>
    <t xml:space="preserve">TK-260926-00769</t>
  </si>
  <si>
    <t xml:space="preserve">EV-00770</t>
  </si>
  <si>
    <t xml:space="preserve">TK-260926-00770</t>
  </si>
  <si>
    <t xml:space="preserve">205594938054</t>
  </si>
  <si>
    <t xml:space="preserve">EV-00771</t>
  </si>
  <si>
    <t xml:space="preserve">TK-260926-00771</t>
  </si>
  <si>
    <t xml:space="preserve">177305034432</t>
  </si>
  <si>
    <t xml:space="preserve">EV-00772</t>
  </si>
  <si>
    <t xml:space="preserve">TK-260926-00772</t>
  </si>
  <si>
    <t xml:space="preserve">546482563950</t>
  </si>
  <si>
    <t xml:space="preserve">EV-00773</t>
  </si>
  <si>
    <t xml:space="preserve">TK-260926-00773</t>
  </si>
  <si>
    <t xml:space="preserve">EV-00774</t>
  </si>
  <si>
    <t xml:space="preserve">TK-260926-00774</t>
  </si>
  <si>
    <t xml:space="preserve">877478263437</t>
  </si>
  <si>
    <t xml:space="preserve">EV-00775</t>
  </si>
  <si>
    <t xml:space="preserve">TK-260926-00775</t>
  </si>
  <si>
    <t xml:space="preserve">EV-00776</t>
  </si>
  <si>
    <t xml:space="preserve">TK-260926-00776</t>
  </si>
  <si>
    <t xml:space="preserve">EV-00777</t>
  </si>
  <si>
    <t xml:space="preserve">TK-260926-00777</t>
  </si>
  <si>
    <t xml:space="preserve">EV-00778</t>
  </si>
  <si>
    <t xml:space="preserve">38د932-98</t>
  </si>
  <si>
    <t xml:space="preserve">TK-260926-00778</t>
  </si>
  <si>
    <t xml:space="preserve">EV-00779</t>
  </si>
  <si>
    <t xml:space="preserve">TK-260926-00779</t>
  </si>
  <si>
    <t xml:space="preserve">EV-00780</t>
  </si>
  <si>
    <t xml:space="preserve">73ص989-62</t>
  </si>
  <si>
    <t xml:space="preserve">TK-260926-00780</t>
  </si>
  <si>
    <t xml:space="preserve">EV-00781</t>
  </si>
  <si>
    <t xml:space="preserve">TK-260926-00781</t>
  </si>
  <si>
    <t xml:space="preserve">174098506979</t>
  </si>
  <si>
    <t xml:space="preserve">EV-00782</t>
  </si>
  <si>
    <t xml:space="preserve">76و597-95</t>
  </si>
  <si>
    <t xml:space="preserve">TK-260926-00782</t>
  </si>
  <si>
    <t xml:space="preserve">EV-00783</t>
  </si>
  <si>
    <t xml:space="preserve">TK-260926-00783</t>
  </si>
  <si>
    <t xml:space="preserve">EV-00784</t>
  </si>
  <si>
    <t xml:space="preserve">81ز039-49</t>
  </si>
  <si>
    <t xml:space="preserve">TK-260926-00784</t>
  </si>
  <si>
    <t xml:space="preserve">EV-00785</t>
  </si>
  <si>
    <t xml:space="preserve">TK-260926-00785</t>
  </si>
  <si>
    <t xml:space="preserve">EV-00786</t>
  </si>
  <si>
    <t xml:space="preserve">TK-260926-00786</t>
  </si>
  <si>
    <t xml:space="preserve">EV-00787</t>
  </si>
  <si>
    <t xml:space="preserve">TK-260926-00787</t>
  </si>
  <si>
    <t xml:space="preserve">579285295653</t>
  </si>
  <si>
    <t xml:space="preserve">EV-00788</t>
  </si>
  <si>
    <t xml:space="preserve">73م843-16</t>
  </si>
  <si>
    <t xml:space="preserve">73م843-17</t>
  </si>
  <si>
    <t xml:space="preserve">TK-260926-00788</t>
  </si>
  <si>
    <t xml:space="preserve">EV-00789</t>
  </si>
  <si>
    <t xml:space="preserve">34ث430-66</t>
  </si>
  <si>
    <t xml:space="preserve">TK-260926-00789</t>
  </si>
  <si>
    <t xml:space="preserve">181011188289</t>
  </si>
  <si>
    <t xml:space="preserve">EV-00790</t>
  </si>
  <si>
    <t xml:space="preserve">16ی259-72</t>
  </si>
  <si>
    <t xml:space="preserve">TK-260926-00790</t>
  </si>
  <si>
    <t xml:space="preserve">EV-00791</t>
  </si>
  <si>
    <t xml:space="preserve">TK-260926-00791</t>
  </si>
  <si>
    <t xml:space="preserve">EV-00792</t>
  </si>
  <si>
    <t xml:space="preserve">TK-260926-00792</t>
  </si>
  <si>
    <t xml:space="preserve">312387605207</t>
  </si>
  <si>
    <t xml:space="preserve">EV-00793</t>
  </si>
  <si>
    <t xml:space="preserve">TK-260926-00793</t>
  </si>
  <si>
    <t xml:space="preserve">EV-00794</t>
  </si>
  <si>
    <t xml:space="preserve">82ش950-69</t>
  </si>
  <si>
    <t xml:space="preserve">TK-260927-00794</t>
  </si>
  <si>
    <t xml:space="preserve">047517444570</t>
  </si>
  <si>
    <t xml:space="preserve">EV-00795</t>
  </si>
  <si>
    <t xml:space="preserve">TK-260927-00795</t>
  </si>
  <si>
    <t xml:space="preserve">EV-00796</t>
  </si>
  <si>
    <t xml:space="preserve">TK-260927-00796</t>
  </si>
  <si>
    <t xml:space="preserve">EV-00797</t>
  </si>
  <si>
    <t xml:space="preserve">TK-260927-00797</t>
  </si>
  <si>
    <t xml:space="preserve">123309382264</t>
  </si>
  <si>
    <t xml:space="preserve">EV-00798</t>
  </si>
  <si>
    <t xml:space="preserve">44ث721-12</t>
  </si>
  <si>
    <t xml:space="preserve">TK-260927-00798</t>
  </si>
  <si>
    <t xml:space="preserve">EV-00799</t>
  </si>
  <si>
    <t xml:space="preserve">TK-260927-00799</t>
  </si>
  <si>
    <t xml:space="preserve">315534582744</t>
  </si>
  <si>
    <t xml:space="preserve">EV-00800</t>
  </si>
  <si>
    <t xml:space="preserve">TK-260927-00800</t>
  </si>
  <si>
    <t xml:space="preserve">975840737054</t>
  </si>
  <si>
    <t xml:space="preserve">EV-00801</t>
  </si>
  <si>
    <t xml:space="preserve">TK-260927-00801</t>
  </si>
  <si>
    <t xml:space="preserve">656462041051</t>
  </si>
  <si>
    <t xml:space="preserve">EV-00802</t>
  </si>
  <si>
    <t xml:space="preserve">TK-260927-00802</t>
  </si>
  <si>
    <t xml:space="preserve">810983031694</t>
  </si>
  <si>
    <t xml:space="preserve">EV-00803</t>
  </si>
  <si>
    <t xml:space="preserve">TK-260927-00803</t>
  </si>
  <si>
    <t xml:space="preserve">103903323486</t>
  </si>
  <si>
    <t xml:space="preserve">EV-00804</t>
  </si>
  <si>
    <t xml:space="preserve">TK-260927-00804</t>
  </si>
  <si>
    <t xml:space="preserve">EV-00805</t>
  </si>
  <si>
    <t xml:space="preserve">TK-260927-00805</t>
  </si>
  <si>
    <t xml:space="preserve">523313343609</t>
  </si>
  <si>
    <t xml:space="preserve">EV-00806</t>
  </si>
  <si>
    <t xml:space="preserve">29ب830-86</t>
  </si>
  <si>
    <t xml:space="preserve">TK-260927-00806</t>
  </si>
  <si>
    <t xml:space="preserve">EV-00807</t>
  </si>
  <si>
    <t xml:space="preserve">63ک872-16</t>
  </si>
  <si>
    <t xml:space="preserve">TK-260927-00807</t>
  </si>
  <si>
    <t xml:space="preserve">EV-00808</t>
  </si>
  <si>
    <t xml:space="preserve">TK-260927-00808</t>
  </si>
  <si>
    <t xml:space="preserve">EV-00809</t>
  </si>
  <si>
    <t xml:space="preserve">TK-260927-00809</t>
  </si>
  <si>
    <t xml:space="preserve">305896120391</t>
  </si>
  <si>
    <t xml:space="preserve">EV-00810</t>
  </si>
  <si>
    <t xml:space="preserve">TK-260927-00810</t>
  </si>
  <si>
    <t xml:space="preserve">716258559737</t>
  </si>
  <si>
    <t xml:space="preserve">EV-00811</t>
  </si>
  <si>
    <t xml:space="preserve">TK-260927-00811</t>
  </si>
  <si>
    <t xml:space="preserve">995574944839</t>
  </si>
  <si>
    <t xml:space="preserve">EV-00812</t>
  </si>
  <si>
    <t xml:space="preserve">TK-260927-00812</t>
  </si>
  <si>
    <t xml:space="preserve">EV-00813</t>
  </si>
  <si>
    <t xml:space="preserve">41و314-19</t>
  </si>
  <si>
    <t xml:space="preserve">TK-260927-00813</t>
  </si>
  <si>
    <t xml:space="preserve">220548123997</t>
  </si>
  <si>
    <t xml:space="preserve">EV-00814</t>
  </si>
  <si>
    <t xml:space="preserve">TK-260927-00814</t>
  </si>
  <si>
    <t xml:space="preserve">961500675575</t>
  </si>
  <si>
    <t xml:space="preserve">EV-00815</t>
  </si>
  <si>
    <t xml:space="preserve">TK-260927-00815</t>
  </si>
  <si>
    <t xml:space="preserve">135845567064</t>
  </si>
  <si>
    <t xml:space="preserve">EV-00816</t>
  </si>
  <si>
    <t xml:space="preserve">TK-260927-00816</t>
  </si>
  <si>
    <t xml:space="preserve">656865449631</t>
  </si>
  <si>
    <t xml:space="preserve">EV-00817</t>
  </si>
  <si>
    <t xml:space="preserve">TK-260927-00817</t>
  </si>
  <si>
    <t xml:space="preserve">EV-00818</t>
  </si>
  <si>
    <t xml:space="preserve">TK-260927-00818</t>
  </si>
  <si>
    <t xml:space="preserve">EV-00819</t>
  </si>
  <si>
    <t xml:space="preserve">TK-260927-00819</t>
  </si>
  <si>
    <t xml:space="preserve">EV-00820</t>
  </si>
  <si>
    <t xml:space="preserve">TK-260927-00820</t>
  </si>
  <si>
    <t xml:space="preserve">149389808092</t>
  </si>
  <si>
    <t xml:space="preserve">EV-00821</t>
  </si>
  <si>
    <t xml:space="preserve">TK-260927-00821</t>
  </si>
  <si>
    <t xml:space="preserve">476942999195</t>
  </si>
  <si>
    <t xml:space="preserve">EV-00822</t>
  </si>
  <si>
    <t xml:space="preserve">TK-260927-00822</t>
  </si>
  <si>
    <t xml:space="preserve">607383388005</t>
  </si>
  <si>
    <t xml:space="preserve">EV-00823</t>
  </si>
  <si>
    <t xml:space="preserve">85س707-53</t>
  </si>
  <si>
    <t xml:space="preserve">TK-260927-00823</t>
  </si>
  <si>
    <t xml:space="preserve">100471703021</t>
  </si>
  <si>
    <t xml:space="preserve">EV-00824</t>
  </si>
  <si>
    <t xml:space="preserve">TK-260927-00824</t>
  </si>
  <si>
    <t xml:space="preserve">346829644542</t>
  </si>
  <si>
    <t xml:space="preserve">EV-00825</t>
  </si>
  <si>
    <t xml:space="preserve">TK-260927-00825</t>
  </si>
  <si>
    <t xml:space="preserve">521153165610</t>
  </si>
  <si>
    <t xml:space="preserve">EV-00826</t>
  </si>
  <si>
    <t xml:space="preserve">TK-260927-00826</t>
  </si>
  <si>
    <t xml:space="preserve">441700438478</t>
  </si>
  <si>
    <t xml:space="preserve">EV-00827</t>
  </si>
  <si>
    <t xml:space="preserve">TK-260927-00827</t>
  </si>
  <si>
    <t xml:space="preserve">EV-00828</t>
  </si>
  <si>
    <t xml:space="preserve">TK-260927-00828</t>
  </si>
  <si>
    <t xml:space="preserve">EV-00829</t>
  </si>
  <si>
    <t xml:space="preserve">TK-260927-00829</t>
  </si>
  <si>
    <t xml:space="preserve">675969010271</t>
  </si>
  <si>
    <t xml:space="preserve">EV-00830</t>
  </si>
  <si>
    <t xml:space="preserve">TK-260927-00830</t>
  </si>
  <si>
    <t xml:space="preserve">EV-00831</t>
  </si>
  <si>
    <t xml:space="preserve">TK-260927-00831</t>
  </si>
  <si>
    <t xml:space="preserve">236874164196</t>
  </si>
  <si>
    <t xml:space="preserve">EV-00832</t>
  </si>
  <si>
    <t xml:space="preserve">TK-260927-00832</t>
  </si>
  <si>
    <t xml:space="preserve">EV-00833</t>
  </si>
  <si>
    <t xml:space="preserve">TK-260927-00833</t>
  </si>
  <si>
    <t xml:space="preserve">EV-00834</t>
  </si>
  <si>
    <t xml:space="preserve">TK-260927-00834</t>
  </si>
  <si>
    <t xml:space="preserve">107462752811</t>
  </si>
  <si>
    <t xml:space="preserve">EV-00835</t>
  </si>
  <si>
    <t xml:space="preserve">TK-260927-00835</t>
  </si>
  <si>
    <t xml:space="preserve">007065055087</t>
  </si>
  <si>
    <t xml:space="preserve">EV-00836</t>
  </si>
  <si>
    <t xml:space="preserve">TK-260927-00836</t>
  </si>
  <si>
    <t xml:space="preserve">986529173465</t>
  </si>
  <si>
    <t xml:space="preserve">EV-00837</t>
  </si>
  <si>
    <t xml:space="preserve">51ی514-72</t>
  </si>
  <si>
    <t xml:space="preserve">TK-260927-00837</t>
  </si>
  <si>
    <t xml:space="preserve">159631290256</t>
  </si>
  <si>
    <t xml:space="preserve">EV-00838</t>
  </si>
  <si>
    <t xml:space="preserve">TK-260927-00838</t>
  </si>
  <si>
    <t xml:space="preserve">824558889202</t>
  </si>
  <si>
    <t xml:space="preserve">EV-00839</t>
  </si>
  <si>
    <t xml:space="preserve">TK-260927-00839</t>
  </si>
  <si>
    <t xml:space="preserve">EV-00840</t>
  </si>
  <si>
    <t xml:space="preserve">TK-260927-00840</t>
  </si>
  <si>
    <t xml:space="preserve">184453534738</t>
  </si>
  <si>
    <t xml:space="preserve">EV-00841</t>
  </si>
  <si>
    <t xml:space="preserve">TK-260927-00841</t>
  </si>
  <si>
    <t xml:space="preserve">611935310093</t>
  </si>
  <si>
    <t xml:space="preserve">EV-00842</t>
  </si>
  <si>
    <t xml:space="preserve">TK-260927-00842</t>
  </si>
  <si>
    <t xml:space="preserve">EV-00843</t>
  </si>
  <si>
    <t xml:space="preserve">TK-260927-00843</t>
  </si>
  <si>
    <t xml:space="preserve">EV-00844</t>
  </si>
  <si>
    <t xml:space="preserve">13ت226-18</t>
  </si>
  <si>
    <t xml:space="preserve">TK-260927-00844</t>
  </si>
  <si>
    <t xml:space="preserve">176781500445</t>
  </si>
  <si>
    <t xml:space="preserve">EV-00845</t>
  </si>
  <si>
    <t xml:space="preserve">TK-260927-00845</t>
  </si>
  <si>
    <t xml:space="preserve">EV-00846</t>
  </si>
  <si>
    <t xml:space="preserve">TK-260927-00846</t>
  </si>
  <si>
    <t xml:space="preserve">218708639443</t>
  </si>
  <si>
    <t xml:space="preserve">EV-00847</t>
  </si>
  <si>
    <t xml:space="preserve">TK-260927-00847</t>
  </si>
  <si>
    <t xml:space="preserve">EV-00848</t>
  </si>
  <si>
    <t xml:space="preserve">TK-260927-00848</t>
  </si>
  <si>
    <t xml:space="preserve">EV-00849</t>
  </si>
  <si>
    <t xml:space="preserve">TK-260927-00849</t>
  </si>
  <si>
    <t xml:space="preserve">199208774209</t>
  </si>
  <si>
    <t xml:space="preserve">EV-00850</t>
  </si>
  <si>
    <t xml:space="preserve">TK-260927-00850</t>
  </si>
  <si>
    <t xml:space="preserve">421569635939</t>
  </si>
  <si>
    <t xml:space="preserve">EV-00851</t>
  </si>
  <si>
    <t xml:space="preserve">TK-260927-00851</t>
  </si>
  <si>
    <t xml:space="preserve">DC-76274</t>
  </si>
  <si>
    <t xml:space="preserve">EV-00852</t>
  </si>
  <si>
    <t xml:space="preserve">TK-260927-00852</t>
  </si>
  <si>
    <t xml:space="preserve">EV-00853</t>
  </si>
  <si>
    <t xml:space="preserve">TK-260927-00853</t>
  </si>
  <si>
    <t xml:space="preserve">520958484130</t>
  </si>
  <si>
    <t xml:space="preserve">EV-00854</t>
  </si>
  <si>
    <t xml:space="preserve">TK-260927-00854</t>
  </si>
  <si>
    <t xml:space="preserve">EV-00855</t>
  </si>
  <si>
    <t xml:space="preserve">TK-260927-00855</t>
  </si>
  <si>
    <t xml:space="preserve">851907575982</t>
  </si>
  <si>
    <t xml:space="preserve">EV-00856</t>
  </si>
  <si>
    <t xml:space="preserve">TK-260927-00856</t>
  </si>
  <si>
    <t xml:space="preserve">663304268069</t>
  </si>
  <si>
    <t xml:space="preserve">EV-00857</t>
  </si>
  <si>
    <t xml:space="preserve">TK-260927-00857</t>
  </si>
  <si>
    <t xml:space="preserve">779478254830</t>
  </si>
  <si>
    <t xml:space="preserve">EV-00858</t>
  </si>
  <si>
    <t xml:space="preserve">74و145-66</t>
  </si>
  <si>
    <t xml:space="preserve">TK-260927-00858</t>
  </si>
  <si>
    <t xml:space="preserve">EV-00859</t>
  </si>
  <si>
    <t xml:space="preserve">TK-260927-00859</t>
  </si>
  <si>
    <t xml:space="preserve">345697381996</t>
  </si>
  <si>
    <t xml:space="preserve">EV-00860</t>
  </si>
  <si>
    <t xml:space="preserve">TK-260927-00860</t>
  </si>
  <si>
    <t xml:space="preserve">EV-00861</t>
  </si>
  <si>
    <t xml:space="preserve">37ش386-78</t>
  </si>
  <si>
    <t xml:space="preserve">TK-260927-00861</t>
  </si>
  <si>
    <t xml:space="preserve">234935663004</t>
  </si>
  <si>
    <t xml:space="preserve">EV-00862</t>
  </si>
  <si>
    <t xml:space="preserve">TK-260927-00862</t>
  </si>
  <si>
    <t xml:space="preserve">714525312722</t>
  </si>
  <si>
    <t xml:space="preserve">EV-00863</t>
  </si>
  <si>
    <t xml:space="preserve">TK-260927-00863</t>
  </si>
  <si>
    <t xml:space="preserve">978379267549</t>
  </si>
  <si>
    <t xml:space="preserve">EV-00864</t>
  </si>
  <si>
    <t xml:space="preserve">TK-260927-00864</t>
  </si>
  <si>
    <t xml:space="preserve">EV-00865</t>
  </si>
  <si>
    <t xml:space="preserve">TK-260927-00865</t>
  </si>
  <si>
    <t xml:space="preserve">EV-00866</t>
  </si>
  <si>
    <t xml:space="preserve">TK-260927-00866</t>
  </si>
  <si>
    <t xml:space="preserve">EV-00867</t>
  </si>
  <si>
    <t xml:space="preserve">TK-260927-00867</t>
  </si>
  <si>
    <t xml:space="preserve">EV-00868</t>
  </si>
  <si>
    <t xml:space="preserve">91ت245-49</t>
  </si>
  <si>
    <t xml:space="preserve">TK-260927-00868</t>
  </si>
  <si>
    <t xml:space="preserve">EV-00869</t>
  </si>
  <si>
    <t xml:space="preserve">TK-260927-00869</t>
  </si>
  <si>
    <t xml:space="preserve">EV-00870</t>
  </si>
  <si>
    <t xml:space="preserve">TK-260928-00870</t>
  </si>
  <si>
    <t xml:space="preserve">EV-00871</t>
  </si>
  <si>
    <t xml:space="preserve">TK-260928-00871</t>
  </si>
  <si>
    <t xml:space="preserve">EV-00872</t>
  </si>
  <si>
    <t xml:space="preserve">TK-260928-00872</t>
  </si>
  <si>
    <t xml:space="preserve">EV-00873</t>
  </si>
  <si>
    <t xml:space="preserve">TK-260928-00873</t>
  </si>
  <si>
    <t xml:space="preserve">EV-00874</t>
  </si>
  <si>
    <t xml:space="preserve">TK-260928-00874</t>
  </si>
  <si>
    <t xml:space="preserve">EV-00875</t>
  </si>
  <si>
    <t xml:space="preserve">93ک997-28</t>
  </si>
  <si>
    <t xml:space="preserve">TK-260928-00875</t>
  </si>
  <si>
    <t xml:space="preserve">486222077918</t>
  </si>
  <si>
    <t xml:space="preserve">EV-00876</t>
  </si>
  <si>
    <t xml:space="preserve">TK-260928-00876</t>
  </si>
  <si>
    <t xml:space="preserve">314003283698</t>
  </si>
  <si>
    <t xml:space="preserve">EV-00877</t>
  </si>
  <si>
    <t xml:space="preserve">92ل864-25</t>
  </si>
  <si>
    <t xml:space="preserve">TK-260928-00877</t>
  </si>
  <si>
    <t xml:space="preserve">EV-00878</t>
  </si>
  <si>
    <t xml:space="preserve">TK-260928-00878</t>
  </si>
  <si>
    <t xml:space="preserve">EV-00879</t>
  </si>
  <si>
    <t xml:space="preserve">TK-260928-00879</t>
  </si>
  <si>
    <t xml:space="preserve">740667993043</t>
  </si>
  <si>
    <t xml:space="preserve">EV-00880</t>
  </si>
  <si>
    <t xml:space="preserve">TK-260928-00880</t>
  </si>
  <si>
    <t xml:space="preserve">868921946392</t>
  </si>
  <si>
    <t xml:space="preserve">EV-00881</t>
  </si>
  <si>
    <t xml:space="preserve">48ک802-98</t>
  </si>
  <si>
    <t xml:space="preserve">TK-260928-00881</t>
  </si>
  <si>
    <t xml:space="preserve">EV-00882</t>
  </si>
  <si>
    <t xml:space="preserve">TK-260928-00882</t>
  </si>
  <si>
    <t xml:space="preserve">EV-00883</t>
  </si>
  <si>
    <t xml:space="preserve">TK-260928-00883</t>
  </si>
  <si>
    <t xml:space="preserve">907381150632</t>
  </si>
  <si>
    <t xml:space="preserve">EV-00884</t>
  </si>
  <si>
    <t xml:space="preserve">TK-260928-00884</t>
  </si>
  <si>
    <t xml:space="preserve">EV-00885</t>
  </si>
  <si>
    <t xml:space="preserve">TK-260928-00885</t>
  </si>
  <si>
    <t xml:space="preserve">222172433883</t>
  </si>
  <si>
    <t xml:space="preserve">EV-00886</t>
  </si>
  <si>
    <t xml:space="preserve">18ص991-33</t>
  </si>
  <si>
    <t xml:space="preserve">TK-260928-00886</t>
  </si>
  <si>
    <t xml:space="preserve">722235239194</t>
  </si>
  <si>
    <t xml:space="preserve">EV-00887</t>
  </si>
  <si>
    <t xml:space="preserve">TK-260928-00887</t>
  </si>
  <si>
    <t xml:space="preserve">EV-00888</t>
  </si>
  <si>
    <t xml:space="preserve">TK-260928-00888</t>
  </si>
  <si>
    <t xml:space="preserve">635494426241</t>
  </si>
  <si>
    <t xml:space="preserve">EV-00889</t>
  </si>
  <si>
    <t xml:space="preserve">TK-260928-00889</t>
  </si>
  <si>
    <t xml:space="preserve">EV-00890</t>
  </si>
  <si>
    <t xml:space="preserve">TK-260928-00890</t>
  </si>
  <si>
    <t xml:space="preserve">EV-00891</t>
  </si>
  <si>
    <t xml:space="preserve">TK-260928-00891</t>
  </si>
  <si>
    <t xml:space="preserve">537495119211</t>
  </si>
  <si>
    <t xml:space="preserve">EV-00892</t>
  </si>
  <si>
    <t xml:space="preserve">TK-260928-00892</t>
  </si>
  <si>
    <t xml:space="preserve">216452873084</t>
  </si>
  <si>
    <t xml:space="preserve">EV-00893</t>
  </si>
  <si>
    <t xml:space="preserve">TK-260928-00893</t>
  </si>
  <si>
    <t xml:space="preserve">EV-00894</t>
  </si>
  <si>
    <t xml:space="preserve">36ص946-36</t>
  </si>
  <si>
    <t xml:space="preserve">TK-260928-00894</t>
  </si>
  <si>
    <t xml:space="preserve">907403993376</t>
  </si>
  <si>
    <t xml:space="preserve">EV-00895</t>
  </si>
  <si>
    <t xml:space="preserve">TK-260928-00895</t>
  </si>
  <si>
    <t xml:space="preserve">780665733683</t>
  </si>
  <si>
    <t xml:space="preserve">EV-00896</t>
  </si>
  <si>
    <t xml:space="preserve">TK-260928-00896</t>
  </si>
  <si>
    <t xml:space="preserve">EV-00897</t>
  </si>
  <si>
    <t xml:space="preserve">TK-260928-00897</t>
  </si>
  <si>
    <t xml:space="preserve">EV-00898</t>
  </si>
  <si>
    <t xml:space="preserve">TK-260928-00898</t>
  </si>
  <si>
    <t xml:space="preserve">EV-00899</t>
  </si>
  <si>
    <t xml:space="preserve">TK-260928-00899</t>
  </si>
  <si>
    <t xml:space="preserve">476772821874</t>
  </si>
  <si>
    <t xml:space="preserve">EV-00900</t>
  </si>
  <si>
    <t xml:space="preserve">TK-260928-00900</t>
  </si>
  <si>
    <t xml:space="preserve">EV-00901</t>
  </si>
  <si>
    <t xml:space="preserve">TK-260928-00901</t>
  </si>
  <si>
    <t xml:space="preserve">925914745804</t>
  </si>
  <si>
    <t xml:space="preserve">EV-00902</t>
  </si>
  <si>
    <t xml:space="preserve">TK-260928-00902</t>
  </si>
  <si>
    <t xml:space="preserve">EV-00903</t>
  </si>
  <si>
    <t xml:space="preserve">TK-260928-00903</t>
  </si>
  <si>
    <t xml:space="preserve">EV-00904</t>
  </si>
  <si>
    <t xml:space="preserve">TK-260928-00904</t>
  </si>
  <si>
    <t xml:space="preserve">477771300933</t>
  </si>
  <si>
    <t xml:space="preserve">EV-00905</t>
  </si>
  <si>
    <t xml:space="preserve">TK-260928-00905</t>
  </si>
  <si>
    <t xml:space="preserve">EV-00906</t>
  </si>
  <si>
    <t xml:space="preserve">TK-260928-00906</t>
  </si>
  <si>
    <t xml:space="preserve">409948602517</t>
  </si>
  <si>
    <t xml:space="preserve">EV-00907</t>
  </si>
  <si>
    <t xml:space="preserve">TK-260928-00907</t>
  </si>
  <si>
    <t xml:space="preserve">009519447341</t>
  </si>
  <si>
    <t xml:space="preserve">EV-00908</t>
  </si>
  <si>
    <t xml:space="preserve">TK-260928-00908</t>
  </si>
  <si>
    <t xml:space="preserve">620007792188</t>
  </si>
  <si>
    <t xml:space="preserve">EV-00909</t>
  </si>
  <si>
    <t xml:space="preserve">TK-260928-00909</t>
  </si>
  <si>
    <t xml:space="preserve">601462305926</t>
  </si>
  <si>
    <t xml:space="preserve">EV-00910</t>
  </si>
  <si>
    <t xml:space="preserve">TK-260928-00910</t>
  </si>
  <si>
    <t xml:space="preserve">EV-00911</t>
  </si>
  <si>
    <t xml:space="preserve">TK-260928-00911</t>
  </si>
  <si>
    <t xml:space="preserve">EV-00912</t>
  </si>
  <si>
    <t xml:space="preserve">TK-260928-00912</t>
  </si>
  <si>
    <t xml:space="preserve">EV-00913</t>
  </si>
  <si>
    <t xml:space="preserve">TK-260928-00913</t>
  </si>
  <si>
    <t xml:space="preserve">123383581305</t>
  </si>
  <si>
    <t xml:space="preserve">EV-00914</t>
  </si>
  <si>
    <t xml:space="preserve">TK-260928-00914</t>
  </si>
  <si>
    <t xml:space="preserve">415557794794</t>
  </si>
  <si>
    <t xml:space="preserve">EV-00915</t>
  </si>
  <si>
    <t xml:space="preserve">21ن372-87</t>
  </si>
  <si>
    <t xml:space="preserve">TK-260928-00915</t>
  </si>
  <si>
    <t xml:space="preserve">EV-00916</t>
  </si>
  <si>
    <t xml:space="preserve">TK-260928-00916</t>
  </si>
  <si>
    <t xml:space="preserve">301223930856</t>
  </si>
  <si>
    <t xml:space="preserve">EV-00917</t>
  </si>
  <si>
    <t xml:space="preserve">TK-260928-00917</t>
  </si>
  <si>
    <t xml:space="preserve">EV-00918</t>
  </si>
  <si>
    <t xml:space="preserve">TK-260928-00918</t>
  </si>
  <si>
    <t xml:space="preserve">629039243673</t>
  </si>
  <si>
    <t xml:space="preserve">EV-00919</t>
  </si>
  <si>
    <t xml:space="preserve">TK-260928-00919</t>
  </si>
  <si>
    <t xml:space="preserve">294418179187</t>
  </si>
  <si>
    <t xml:space="preserve">DC-32616</t>
  </si>
  <si>
    <t xml:space="preserve">EV-00920</t>
  </si>
  <si>
    <t xml:space="preserve">TK-260928-00920</t>
  </si>
  <si>
    <t xml:space="preserve">EV-00921</t>
  </si>
  <si>
    <t xml:space="preserve">TK-260928-00921</t>
  </si>
  <si>
    <t xml:space="preserve">352102924409</t>
  </si>
  <si>
    <t xml:space="preserve">EV-00922</t>
  </si>
  <si>
    <t xml:space="preserve">TK-260928-00922</t>
  </si>
  <si>
    <t xml:space="preserve">363860583367</t>
  </si>
  <si>
    <t xml:space="preserve">EV-00923</t>
  </si>
  <si>
    <t xml:space="preserve">TK-260928-00923</t>
  </si>
  <si>
    <t xml:space="preserve">947870109083</t>
  </si>
  <si>
    <t xml:space="preserve">EV-00924</t>
  </si>
  <si>
    <t xml:space="preserve">TK-260928-00924</t>
  </si>
  <si>
    <t xml:space="preserve">023480174375</t>
  </si>
  <si>
    <t xml:space="preserve">EV-00925</t>
  </si>
  <si>
    <t xml:space="preserve">TK-260928-00925</t>
  </si>
  <si>
    <t xml:space="preserve">748476427013</t>
  </si>
  <si>
    <t xml:space="preserve">EV-00926</t>
  </si>
  <si>
    <t xml:space="preserve">TK-260928-00926</t>
  </si>
  <si>
    <t xml:space="preserve">EV-00927</t>
  </si>
  <si>
    <t xml:space="preserve">TK-260928-00927</t>
  </si>
  <si>
    <t xml:space="preserve">871328252110</t>
  </si>
  <si>
    <t xml:space="preserve">EV-00928</t>
  </si>
  <si>
    <t xml:space="preserve">TK-260928-00928</t>
  </si>
  <si>
    <t xml:space="preserve">EV-00929</t>
  </si>
  <si>
    <t xml:space="preserve">TK-260928-00929</t>
  </si>
  <si>
    <t xml:space="preserve">631694157153</t>
  </si>
  <si>
    <t xml:space="preserve">EV-00930</t>
  </si>
  <si>
    <t xml:space="preserve">TK-260928-00930</t>
  </si>
  <si>
    <t xml:space="preserve">EV-00931</t>
  </si>
  <si>
    <t xml:space="preserve">TK-260928-00931</t>
  </si>
  <si>
    <t xml:space="preserve">585647549205</t>
  </si>
  <si>
    <t xml:space="preserve">EV-00932</t>
  </si>
  <si>
    <t xml:space="preserve">TK-260928-00932</t>
  </si>
  <si>
    <t xml:space="preserve">050727364305</t>
  </si>
  <si>
    <t xml:space="preserve">EV-00933</t>
  </si>
  <si>
    <t xml:space="preserve">24گ690-25</t>
  </si>
  <si>
    <t xml:space="preserve">TK-260929-00933</t>
  </si>
  <si>
    <t xml:space="preserve">EV-00934</t>
  </si>
  <si>
    <t xml:space="preserve">TK-260929-00934</t>
  </si>
  <si>
    <t xml:space="preserve">334821427027</t>
  </si>
  <si>
    <t xml:space="preserve">EV-00935</t>
  </si>
  <si>
    <t xml:space="preserve">TK-260929-00935</t>
  </si>
  <si>
    <t xml:space="preserve">EV-00936</t>
  </si>
  <si>
    <t xml:space="preserve">TK-260929-00936</t>
  </si>
  <si>
    <t xml:space="preserve">EV-00937</t>
  </si>
  <si>
    <t xml:space="preserve">TK-260929-00937</t>
  </si>
  <si>
    <t xml:space="preserve">EV-00938</t>
  </si>
  <si>
    <t xml:space="preserve">TK-260929-00938</t>
  </si>
  <si>
    <t xml:space="preserve">234578887445</t>
  </si>
  <si>
    <t xml:space="preserve">EV-00939</t>
  </si>
  <si>
    <t xml:space="preserve">TK-260929-00939</t>
  </si>
  <si>
    <t xml:space="preserve">EV-00940</t>
  </si>
  <si>
    <t xml:space="preserve">TK-260929-00940</t>
  </si>
  <si>
    <t xml:space="preserve">497710007412</t>
  </si>
  <si>
    <t xml:space="preserve">EV-00941</t>
  </si>
  <si>
    <t xml:space="preserve">TK-260929-00941</t>
  </si>
  <si>
    <t xml:space="preserve">EV-00942</t>
  </si>
  <si>
    <t xml:space="preserve">TK-260929-00942</t>
  </si>
  <si>
    <t xml:space="preserve">758089506208</t>
  </si>
  <si>
    <t xml:space="preserve">DC-91850</t>
  </si>
  <si>
    <t xml:space="preserve">EV-00943</t>
  </si>
  <si>
    <t xml:space="preserve">TK-260929-00943</t>
  </si>
  <si>
    <t xml:space="preserve">EV-00944</t>
  </si>
  <si>
    <t xml:space="preserve">TK-260929-00944</t>
  </si>
  <si>
    <t xml:space="preserve">227285277941</t>
  </si>
  <si>
    <t xml:space="preserve">EV-00945</t>
  </si>
  <si>
    <t xml:space="preserve">TK-260929-00945</t>
  </si>
  <si>
    <t xml:space="preserve">EV-00946</t>
  </si>
  <si>
    <t xml:space="preserve">TK-260929-00946</t>
  </si>
  <si>
    <t xml:space="preserve">394379910020</t>
  </si>
  <si>
    <t xml:space="preserve">EV-00947</t>
  </si>
  <si>
    <t xml:space="preserve">TK-260929-00947</t>
  </si>
  <si>
    <t xml:space="preserve">042754720010</t>
  </si>
  <si>
    <t xml:space="preserve">EV-00948</t>
  </si>
  <si>
    <t xml:space="preserve">TK-260929-00948</t>
  </si>
  <si>
    <t xml:space="preserve">EV-00949</t>
  </si>
  <si>
    <t xml:space="preserve">TK-260929-00949</t>
  </si>
  <si>
    <t xml:space="preserve">EV-00950</t>
  </si>
  <si>
    <t xml:space="preserve">TK-260929-00950</t>
  </si>
  <si>
    <t xml:space="preserve">EV-00951</t>
  </si>
  <si>
    <t xml:space="preserve">TK-260929-00951</t>
  </si>
  <si>
    <t xml:space="preserve">DC-34983</t>
  </si>
  <si>
    <t xml:space="preserve">EV-00952</t>
  </si>
  <si>
    <t xml:space="preserve">TK-260929-00952</t>
  </si>
  <si>
    <t xml:space="preserve">EV-00953</t>
  </si>
  <si>
    <t xml:space="preserve">TK-260929-00953</t>
  </si>
  <si>
    <t xml:space="preserve">EV-00954</t>
  </si>
  <si>
    <t xml:space="preserve">TK-260929-00954</t>
  </si>
  <si>
    <t xml:space="preserve">545498814950</t>
  </si>
  <si>
    <t xml:space="preserve">EV-00955</t>
  </si>
  <si>
    <t xml:space="preserve">TK-260929-00955</t>
  </si>
  <si>
    <t xml:space="preserve">462836277656</t>
  </si>
  <si>
    <t xml:space="preserve">EV-00956</t>
  </si>
  <si>
    <t xml:space="preserve">TK-260929-00956</t>
  </si>
  <si>
    <t xml:space="preserve">814995255804</t>
  </si>
  <si>
    <t xml:space="preserve">EV-00957</t>
  </si>
  <si>
    <t xml:space="preserve">TK-260929-00957</t>
  </si>
  <si>
    <t xml:space="preserve">EV-00958</t>
  </si>
  <si>
    <t xml:space="preserve">TK-260929-00958</t>
  </si>
  <si>
    <t xml:space="preserve">321660825163</t>
  </si>
  <si>
    <t xml:space="preserve">EV-00959</t>
  </si>
  <si>
    <t xml:space="preserve">TK-260929-00959</t>
  </si>
  <si>
    <t xml:space="preserve">797101103957</t>
  </si>
  <si>
    <t xml:space="preserve">EV-00960</t>
  </si>
  <si>
    <t xml:space="preserve">89پ351-81</t>
  </si>
  <si>
    <t xml:space="preserve">TK-260929-00960</t>
  </si>
  <si>
    <t xml:space="preserve">439652385074</t>
  </si>
  <si>
    <t xml:space="preserve">EV-00961</t>
  </si>
  <si>
    <t xml:space="preserve">10ط168-17</t>
  </si>
  <si>
    <t xml:space="preserve">TK-260929-00961</t>
  </si>
  <si>
    <t xml:space="preserve">198444725558</t>
  </si>
  <si>
    <t xml:space="preserve">EV-00962</t>
  </si>
  <si>
    <t xml:space="preserve">TK-260929-00962</t>
  </si>
  <si>
    <t xml:space="preserve">EV-00963</t>
  </si>
  <si>
    <t xml:space="preserve">TK-260929-00963</t>
  </si>
  <si>
    <t xml:space="preserve">523332597135</t>
  </si>
  <si>
    <t xml:space="preserve">EV-00964</t>
  </si>
  <si>
    <t xml:space="preserve">TK-260929-00964</t>
  </si>
  <si>
    <t xml:space="preserve">EV-00965</t>
  </si>
  <si>
    <t xml:space="preserve">TK-260929-00965</t>
  </si>
  <si>
    <t xml:space="preserve">147066555851</t>
  </si>
  <si>
    <t xml:space="preserve">EV-00966</t>
  </si>
  <si>
    <t xml:space="preserve">TK-260929-00966</t>
  </si>
  <si>
    <t xml:space="preserve">EV-00967</t>
  </si>
  <si>
    <t xml:space="preserve">TK-260929-00967</t>
  </si>
  <si>
    <t xml:space="preserve">167451258332</t>
  </si>
  <si>
    <t xml:space="preserve">EV-00968</t>
  </si>
  <si>
    <t xml:space="preserve">TK-260929-00968</t>
  </si>
  <si>
    <t xml:space="preserve">959319942938</t>
  </si>
  <si>
    <t xml:space="preserve">EV-00969</t>
  </si>
  <si>
    <t xml:space="preserve">TK-260929-00969</t>
  </si>
  <si>
    <t xml:space="preserve">098836143377</t>
  </si>
  <si>
    <t xml:space="preserve">EV-00970</t>
  </si>
  <si>
    <t xml:space="preserve">TK-260929-00970</t>
  </si>
  <si>
    <t xml:space="preserve">225749942737</t>
  </si>
  <si>
    <t xml:space="preserve">EV-00971</t>
  </si>
  <si>
    <t xml:space="preserve">73ک754-77</t>
  </si>
  <si>
    <t xml:space="preserve">TK-260929-00971</t>
  </si>
  <si>
    <t xml:space="preserve">EV-00972</t>
  </si>
  <si>
    <t xml:space="preserve">TK-260929-00972</t>
  </si>
  <si>
    <t xml:space="preserve">393643114214</t>
  </si>
  <si>
    <t xml:space="preserve">EV-00973</t>
  </si>
  <si>
    <t xml:space="preserve">12ا871-83</t>
  </si>
  <si>
    <t xml:space="preserve">TK-260929-00973</t>
  </si>
  <si>
    <t xml:space="preserve">EV-00974</t>
  </si>
  <si>
    <t xml:space="preserve">TK-260929-00974</t>
  </si>
  <si>
    <t xml:space="preserve">844367529799</t>
  </si>
  <si>
    <t xml:space="preserve">EV-00975</t>
  </si>
  <si>
    <t xml:space="preserve">TK-260929-00975</t>
  </si>
  <si>
    <t xml:space="preserve">771153264749</t>
  </si>
  <si>
    <t xml:space="preserve">EV-00976</t>
  </si>
  <si>
    <t xml:space="preserve">TK-260929-00976</t>
  </si>
  <si>
    <t xml:space="preserve">874513831554</t>
  </si>
  <si>
    <t xml:space="preserve">EV-00977</t>
  </si>
  <si>
    <t xml:space="preserve">TK-260929-00977</t>
  </si>
  <si>
    <t xml:space="preserve">EV-00978</t>
  </si>
  <si>
    <t xml:space="preserve">TK-260929-00978</t>
  </si>
  <si>
    <t xml:space="preserve">EV-00979</t>
  </si>
  <si>
    <t xml:space="preserve">TK-260929-00979</t>
  </si>
  <si>
    <t xml:space="preserve">366376769822</t>
  </si>
  <si>
    <t xml:space="preserve">EV-00980</t>
  </si>
  <si>
    <t xml:space="preserve">TK-260929-00980</t>
  </si>
  <si>
    <t xml:space="preserve">EV-00981</t>
  </si>
  <si>
    <t xml:space="preserve">TK-260929-00981</t>
  </si>
  <si>
    <t xml:space="preserve">769403535181</t>
  </si>
  <si>
    <t xml:space="preserve">EV-00982</t>
  </si>
  <si>
    <t xml:space="preserve">70ک274-27</t>
  </si>
  <si>
    <t xml:space="preserve">TK-260929-00982</t>
  </si>
  <si>
    <t xml:space="preserve">EV-00983</t>
  </si>
  <si>
    <t xml:space="preserve">TK-260929-00983</t>
  </si>
  <si>
    <t xml:space="preserve">832273750358</t>
  </si>
  <si>
    <t xml:space="preserve">EV-00984</t>
  </si>
  <si>
    <t xml:space="preserve">TK-260929-00984</t>
  </si>
  <si>
    <t xml:space="preserve">EV-00985</t>
  </si>
  <si>
    <t xml:space="preserve">TK-260929-00985</t>
  </si>
  <si>
    <t xml:space="preserve">929509300886</t>
  </si>
  <si>
    <t xml:space="preserve">EV-00986</t>
  </si>
  <si>
    <t xml:space="preserve">TK-260929-00986</t>
  </si>
  <si>
    <t xml:space="preserve">330090111079</t>
  </si>
  <si>
    <t xml:space="preserve">EV-00987</t>
  </si>
  <si>
    <t xml:space="preserve">TK-260929-00987</t>
  </si>
  <si>
    <t xml:space="preserve">575653896089</t>
  </si>
  <si>
    <t xml:space="preserve">DC-59525</t>
  </si>
  <si>
    <t xml:space="preserve">EV-00988</t>
  </si>
  <si>
    <t xml:space="preserve">TK-260929-00988</t>
  </si>
  <si>
    <t xml:space="preserve">670926329113</t>
  </si>
  <si>
    <t xml:space="preserve">EV-00989</t>
  </si>
  <si>
    <t xml:space="preserve">TK-260929-00989</t>
  </si>
  <si>
    <t xml:space="preserve">EV-00990</t>
  </si>
  <si>
    <t xml:space="preserve">TK-260929-00990</t>
  </si>
  <si>
    <t xml:space="preserve">433215129653</t>
  </si>
  <si>
    <t xml:space="preserve">EV-00991</t>
  </si>
  <si>
    <t xml:space="preserve">TK-260929-00991</t>
  </si>
  <si>
    <t xml:space="preserve">157920779505</t>
  </si>
  <si>
    <t xml:space="preserve">EV-00992</t>
  </si>
  <si>
    <t xml:space="preserve">TK-260929-00992</t>
  </si>
  <si>
    <t xml:space="preserve">086044425601</t>
  </si>
  <si>
    <t xml:space="preserve">EV-00993</t>
  </si>
  <si>
    <t xml:space="preserve">TK-260929-00993</t>
  </si>
  <si>
    <t xml:space="preserve">EV-00994</t>
  </si>
  <si>
    <t xml:space="preserve">TK-260929-00994</t>
  </si>
  <si>
    <t xml:space="preserve">EV-00995</t>
  </si>
  <si>
    <t xml:space="preserve">TK-260929-00995</t>
  </si>
  <si>
    <t xml:space="preserve">EV-00996</t>
  </si>
  <si>
    <t xml:space="preserve">TK-260929-00996</t>
  </si>
  <si>
    <t xml:space="preserve">475605850480</t>
  </si>
  <si>
    <t xml:space="preserve">EV-00997</t>
  </si>
  <si>
    <t xml:space="preserve">TK-260929-00997</t>
  </si>
  <si>
    <t xml:space="preserve">EV-00998</t>
  </si>
  <si>
    <t xml:space="preserve">TK-260929-00998</t>
  </si>
  <si>
    <t xml:space="preserve">EV-00999</t>
  </si>
  <si>
    <t xml:space="preserve">71س503-87</t>
  </si>
  <si>
    <t xml:space="preserve">TK-260929-00999</t>
  </si>
  <si>
    <t xml:space="preserve">EV-01000</t>
  </si>
  <si>
    <t xml:space="preserve">TK-260930-01000</t>
  </si>
  <si>
    <t xml:space="preserve">627346676674</t>
  </si>
  <si>
    <t xml:space="preserve">پارامتر</t>
  </si>
  <si>
    <t xml:space="preserve">مقدار</t>
  </si>
  <si>
    <t xml:space="preserve">توضیح / منبع</t>
  </si>
  <si>
    <r>
      <rPr>
        <sz val="11"/>
        <color theme="1"/>
        <rFont val="Calibri"/>
        <family val="2"/>
        <charset val="1"/>
      </rPr>
      <t xml:space="preserve">Grace_Minutes (</t>
    </r>
    <r>
      <rPr>
        <sz val="11"/>
        <color theme="1"/>
        <rFont val="FreeSans"/>
        <family val="2"/>
      </rPr>
      <t xml:space="preserve">دقیقه فرجه رایگان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</si>
  <si>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فرض تحلیل‌گر؛ 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۵ تا ۱۰ دقیقه اول رایگان</t>
    </r>
  </si>
  <si>
    <r>
      <rPr>
        <sz val="11"/>
        <color theme="1"/>
        <rFont val="Calibri"/>
        <family val="2"/>
        <charset val="1"/>
      </rPr>
      <t xml:space="preserve">First_Hour_Fee 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</si>
  <si>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فرض تحلیل‌گر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تعرفه ساعت اول</t>
    </r>
  </si>
  <si>
    <r>
      <rPr>
        <sz val="11"/>
        <color theme="1"/>
        <rFont val="Calibri"/>
        <family val="2"/>
        <charset val="1"/>
      </rPr>
      <t xml:space="preserve">Extra_Hour_Fee 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</si>
  <si>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فرض تحلیل‌گر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هر ساعت یا کسر بعدی</t>
    </r>
  </si>
  <si>
    <r>
      <rPr>
        <sz val="11"/>
        <color theme="1"/>
        <rFont val="Calibri"/>
        <family val="2"/>
        <charset val="1"/>
      </rPr>
      <t xml:space="preserve">Daily_Cap 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</si>
  <si>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فرض تحلیل‌گر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سقف هر ۲۴ ساعت</t>
    </r>
  </si>
  <si>
    <r>
      <rPr>
        <sz val="11"/>
        <color theme="1"/>
        <rFont val="Calibri"/>
        <family val="2"/>
        <charset val="1"/>
      </rPr>
      <t xml:space="preserve">Lost_Ticket_Fine (</t>
    </r>
    <r>
      <rPr>
        <sz val="11"/>
        <color theme="1"/>
        <rFont val="FreeSans"/>
        <family val="2"/>
      </rPr>
      <t xml:space="preserve">تومان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</si>
  <si>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فرض تحلیل‌گر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جریمه ثابت فیش مفقودی</t>
    </r>
  </si>
  <si>
    <t xml:space="preserve">AsOf_Datetime</t>
  </si>
  <si>
    <r>
      <rPr>
        <sz val="11"/>
        <color theme="1"/>
        <rFont val="FreeSans"/>
        <family val="2"/>
      </rPr>
      <t xml:space="preserve">لحظه عکس‌برداری از دیتابیس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برای خودروهای داخل پارکینگ</t>
    </r>
    <r>
      <rPr>
        <sz val="11"/>
        <color theme="1"/>
        <rFont val="Calibri"/>
        <family val="2"/>
        <charset val="1"/>
      </rPr>
      <t xml:space="preserve">)</t>
    </r>
  </si>
  <si>
    <t xml:space="preserve">Barrier_Threshold_Sec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</si>
  <si>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بیش از ۱۰ تا ۱۲ ثانیه</t>
    </r>
  </si>
  <si>
    <t xml:space="preserve">ANPR_Conf_Threshold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</si>
  <si>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ضریب اطمینان بالاتر از ۸۵٪</t>
    </r>
  </si>
  <si>
    <t xml:space="preserve">Time_Drift_Threshold_Sec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</si>
  <si>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انحراف بیش از ۳۰ ثانیه</t>
    </r>
  </si>
  <si>
    <t xml:space="preserve">Camera_Drop_Threshold_Sec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</si>
  <si>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قطعی بیش از ۱۲۰ ثانیه</t>
    </r>
  </si>
  <si>
    <t xml:space="preserve">Ghost_Stay_Hours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</si>
  <si>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توقف بیش از ۴۸ ساعت</t>
    </r>
  </si>
  <si>
    <t xml:space="preserve">Void_After_Exit_Sec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</si>
  <si>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ابطال کمتر از ۳ دقیقه پس از تحریک لوپ</t>
    </r>
  </si>
  <si>
    <t xml:space="preserve">Swap_Duration_Min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</si>
  <si>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ترخیص زیر ۱۵ دقیقه</t>
    </r>
  </si>
  <si>
    <t xml:space="preserve">Z_Threshold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</si>
  <si>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۳ انحراف معیار؛ با ۸ اپراتور حداکثر </t>
    </r>
    <r>
      <rPr>
        <sz val="11"/>
        <color theme="1"/>
        <rFont val="Calibri"/>
        <family val="2"/>
        <charset val="1"/>
      </rPr>
      <t xml:space="preserve">Z </t>
    </r>
    <r>
      <rPr>
        <sz val="11"/>
        <color theme="1"/>
        <rFont val="FreeSans"/>
        <family val="2"/>
      </rPr>
      <t xml:space="preserve">ممکن ≈</t>
    </r>
    <r>
      <rPr>
        <sz val="11"/>
        <color theme="1"/>
        <rFont val="Calibri"/>
        <family val="2"/>
        <charset val="1"/>
      </rPr>
      <t xml:space="preserve">2.47 </t>
    </r>
    <r>
      <rPr>
        <sz val="11"/>
        <color theme="1"/>
        <rFont val="FreeSans"/>
        <family val="2"/>
      </rPr>
      <t xml:space="preserve">است پس ۲ گذاشته شد</t>
    </r>
  </si>
  <si>
    <r>
      <rPr>
        <sz val="11"/>
        <color theme="1"/>
        <rFont val="Calibri"/>
        <family val="2"/>
        <charset val="1"/>
      </rPr>
      <t xml:space="preserve">Nominal_Capacity (</t>
    </r>
    <r>
      <rPr>
        <sz val="11"/>
        <color theme="1"/>
        <rFont val="FreeSans"/>
        <family val="2"/>
      </rPr>
      <t xml:space="preserve">خودرو</t>
    </r>
    <r>
      <rPr>
        <sz val="11"/>
        <color theme="1"/>
        <rFont val="Calibri"/>
        <family val="2"/>
        <charset val="1"/>
      </rPr>
      <t xml:space="preserve">)</t>
    </r>
  </si>
  <si>
    <t xml:space="preserve">فرض تحلیل‌گر</t>
  </si>
  <si>
    <t xml:space="preserve">Cash_Diff_Alert</t>
  </si>
  <si>
    <r>
      <rPr>
        <sz val="11"/>
        <color theme="1"/>
        <rFont val="FreeSans"/>
        <family val="2"/>
      </rPr>
      <t xml:space="preserve">سند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مغایرت نقد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FreeSans"/>
        <family val="2"/>
      </rPr>
      <t xml:space="preserve">۱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۵٪ شیفت</t>
    </r>
  </si>
  <si>
    <t xml:space="preserve">وزن پرچم‌ها در امتیاز ریسک ترکیبی (فرض تحلیل‌گر؛ ترتیب = ترتیب ستون‌های پرچم)</t>
  </si>
  <si>
    <t xml:space="preserve">پرچم</t>
  </si>
  <si>
    <t xml:space="preserve">وزن</t>
  </si>
  <si>
    <t xml:space="preserve">شرط</t>
  </si>
  <si>
    <t xml:space="preserve">رنگ آبی = ورودی قابل تغییر؛ همه فرمول‌های شیت‌های دیگر به این مقادیر ارجاع دارند.</t>
  </si>
  <si>
    <t xml:space="preserve">ضریب</t>
  </si>
  <si>
    <t xml:space="preserve">تعرفه کامل</t>
  </si>
  <si>
    <r>
      <rPr>
        <sz val="11"/>
        <color theme="1"/>
        <rFont val="FreeSans"/>
        <family val="2"/>
      </rPr>
      <t xml:space="preserve">کد تخفیف یک‌بارمصرف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۵۰٪</t>
    </r>
  </si>
  <si>
    <r>
      <rPr>
        <sz val="11"/>
        <color theme="1"/>
        <rFont val="FreeSans"/>
        <family val="2"/>
      </rPr>
      <t xml:space="preserve">کارت اشتراک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بدون پرداخت در ترددها</t>
    </r>
  </si>
  <si>
    <r>
      <rPr>
        <sz val="11"/>
        <color theme="1"/>
        <rFont val="FreeSans"/>
        <family val="2"/>
      </rPr>
      <t xml:space="preserve">رایگان</t>
    </r>
    <r>
      <rPr>
        <sz val="11"/>
        <color theme="1"/>
        <rFont val="Calibri"/>
        <family val="2"/>
        <charset val="1"/>
      </rPr>
      <t xml:space="preserve">/VIP</t>
    </r>
  </si>
  <si>
    <r>
      <rPr>
        <sz val="11"/>
        <color theme="1"/>
        <rFont val="FreeSans"/>
        <family val="2"/>
      </rPr>
      <t xml:space="preserve">مدیران</t>
    </r>
    <r>
      <rPr>
        <sz val="11"/>
        <color theme="1"/>
        <rFont val="Calibri"/>
        <family val="2"/>
        <charset val="1"/>
      </rPr>
      <t xml:space="preserve">/VIP/</t>
    </r>
    <r>
      <rPr>
        <sz val="11"/>
        <color theme="1"/>
        <rFont val="FreeSans"/>
        <family val="2"/>
      </rPr>
      <t xml:space="preserve">پرسنل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فقط پلاک لیست سفید</t>
    </r>
  </si>
  <si>
    <r>
      <rPr>
        <sz val="11"/>
        <color theme="1"/>
        <rFont val="FreeSans"/>
        <family val="2"/>
      </rPr>
      <t xml:space="preserve">معافیت جانبازان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فقط پلاک لیست سفید</t>
    </r>
  </si>
  <si>
    <r>
      <rPr>
        <sz val="11"/>
        <color theme="1"/>
        <rFont val="FreeSans"/>
        <family val="2"/>
      </rPr>
      <t xml:space="preserve">ضریب استفاده نمی‌شود؛ جریمه ثابت </t>
    </r>
    <r>
      <rPr>
        <sz val="11"/>
        <color theme="1"/>
        <rFont val="Calibri"/>
        <family val="2"/>
        <charset val="1"/>
      </rPr>
      <t xml:space="preserve">Lost_Ticket_Fine</t>
    </r>
  </si>
  <si>
    <t xml:space="preserve">فرمول کرایه: (روزهای کامل × سقف روزانه + کرایه باقی‌مانده) × ضریب؛ باقی‌مانده ≤ فرجه = ۰؛ وگرنه ساعت اول + هر ساعت/کسر اضافه (حداکثر سقف روزانه).</t>
  </si>
  <si>
    <t xml:space="preserve">شناسه</t>
  </si>
  <si>
    <t xml:space="preserve">نام (فرضی)</t>
  </si>
  <si>
    <t xml:space="preserve">تاریخ استخدام</t>
  </si>
  <si>
    <t xml:space="preserve">پروفایل واقعی (Ground truth)</t>
  </si>
  <si>
    <t xml:space="preserve">کل تراکنش</t>
  </si>
  <si>
    <t xml:space="preserve">تراکنش نقد</t>
  </si>
  <si>
    <t xml:space="preserve">نسبت نقد</t>
  </si>
  <si>
    <t xml:space="preserve">تعداد ابطال</t>
  </si>
  <si>
    <t xml:space="preserve">نرخ ابطال</t>
  </si>
  <si>
    <t xml:space="preserve">تعداد فرجه رایگان</t>
  </si>
  <si>
    <t xml:space="preserve">نرخ فرجه</t>
  </si>
  <si>
    <t xml:space="preserve">نرخ ویرایش دستی پلاک</t>
  </si>
  <si>
    <t xml:space="preserve">میانگین باز ماندن راهبند</t>
  </si>
  <si>
    <t xml:space="preserve">میانگین امتیاز ریسک</t>
  </si>
  <si>
    <t xml:space="preserve">Z نقد</t>
  </si>
  <si>
    <t xml:space="preserve">Z ابطال</t>
  </si>
  <si>
    <t xml:space="preserve">Z فرجه</t>
  </si>
  <si>
    <t xml:space="preserve">Z ویرایش</t>
  </si>
  <si>
    <t xml:space="preserve">Z راهبند</t>
  </si>
  <si>
    <t xml:space="preserve">Z ترکیبی</t>
  </si>
  <si>
    <t xml:space="preserve">وضعیت</t>
  </si>
  <si>
    <t xml:space="preserve">محمد کاظمی</t>
  </si>
  <si>
    <t xml:space="preserve">رضا احمدی</t>
  </si>
  <si>
    <t xml:space="preserve">حسین موسوی</t>
  </si>
  <si>
    <r>
      <rPr>
        <sz val="11"/>
        <color theme="1"/>
        <rFont val="FreeSans"/>
        <family val="2"/>
      </rPr>
      <t xml:space="preserve">پرخطر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برداشت نقد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ابطال پس از خروج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فرجه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پوز شخصی</t>
    </r>
  </si>
  <si>
    <t xml:space="preserve">علی نوری</t>
  </si>
  <si>
    <t xml:space="preserve">سعید کریمی</t>
  </si>
  <si>
    <t xml:space="preserve">مهدی صادقی</t>
  </si>
  <si>
    <r>
      <rPr>
        <sz val="11"/>
        <color theme="1"/>
        <rFont val="FreeSans"/>
        <family val="2"/>
      </rPr>
      <t xml:space="preserve">پرخطر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ویرایش پالک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نگه‌داشتن راهبند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تبانی با نگهبان</t>
    </r>
    <r>
      <rPr>
        <sz val="11"/>
        <color theme="1"/>
        <rFont val="Calibri"/>
        <family val="2"/>
        <charset val="1"/>
      </rPr>
      <t xml:space="preserve">)</t>
    </r>
  </si>
  <si>
    <t xml:space="preserve">امیر حیدری</t>
  </si>
  <si>
    <t xml:space="preserve">کامران رحیمی</t>
  </si>
  <si>
    <t xml:space="preserve">اسامی کاملاً فرضی‌اند. Z-Score نسبت به میانگین ۸ اپراتور محاسبه می‌شود (پروفایل رفتاری اپراتور طبق سند).</t>
  </si>
  <si>
    <t xml:space="preserve">شناسه ترمینال (لیست سفید)</t>
  </si>
  <si>
    <t xml:space="preserve">محل نصب</t>
  </si>
  <si>
    <t xml:space="preserve">PSP</t>
  </si>
  <si>
    <r>
      <rPr>
        <sz val="11"/>
        <color theme="1"/>
        <rFont val="FreeSans"/>
        <family val="2"/>
      </rPr>
      <t xml:space="preserve">باجه خروج </t>
    </r>
    <r>
      <rPr>
        <sz val="11"/>
        <color theme="1"/>
        <rFont val="Calibri"/>
        <family val="2"/>
        <charset val="1"/>
      </rPr>
      <t xml:space="preserve">X1</t>
    </r>
  </si>
  <si>
    <t xml:space="preserve">فعال</t>
  </si>
  <si>
    <t xml:space="preserve">PSP-A</t>
  </si>
  <si>
    <r>
      <rPr>
        <sz val="11"/>
        <color theme="1"/>
        <rFont val="FreeSans"/>
        <family val="2"/>
      </rPr>
      <t xml:space="preserve">باجه خروج </t>
    </r>
    <r>
      <rPr>
        <sz val="11"/>
        <color theme="1"/>
        <rFont val="Calibri"/>
        <family val="2"/>
        <charset val="1"/>
      </rPr>
      <t xml:space="preserve">X2</t>
    </r>
  </si>
  <si>
    <t xml:space="preserve">T-1003</t>
  </si>
  <si>
    <t xml:space="preserve">پشتیبان</t>
  </si>
  <si>
    <t xml:space="preserve">PSP-B</t>
  </si>
  <si>
    <t xml:space="preserve">T-1004</t>
  </si>
  <si>
    <t xml:space="preserve">هر ترمینال خارج از این فهرست (مثلاً T-7788) پوز نامعتبر/شخصی است.</t>
  </si>
  <si>
    <t xml:space="preserve">پلاک مجاز</t>
  </si>
  <si>
    <t xml:space="preserve">نوع معافیت</t>
  </si>
  <si>
    <t xml:space="preserve">کد مالک</t>
  </si>
  <si>
    <t xml:space="preserve">معتبر تا</t>
  </si>
  <si>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FreeSans"/>
        <family val="2"/>
      </rPr>
      <t xml:space="preserve">ز</t>
    </r>
    <r>
      <rPr>
        <sz val="11"/>
        <color theme="1"/>
        <rFont val="Calibri"/>
        <family val="2"/>
        <charset val="1"/>
      </rPr>
      <t xml:space="preserve">641-27</t>
    </r>
  </si>
  <si>
    <r>
      <rPr>
        <sz val="11"/>
        <color theme="1"/>
        <rFont val="FreeSans"/>
        <family val="2"/>
      </rPr>
      <t xml:space="preserve">مدیر</t>
    </r>
    <r>
      <rPr>
        <sz val="11"/>
        <color theme="1"/>
        <rFont val="Calibri"/>
        <family val="2"/>
        <charset val="1"/>
      </rPr>
      <t xml:space="preserve">/VIP</t>
    </r>
  </si>
  <si>
    <t xml:space="preserve">OWN-001</t>
  </si>
  <si>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FreeSans"/>
        <family val="2"/>
      </rPr>
      <t xml:space="preserve">ص</t>
    </r>
    <r>
      <rPr>
        <sz val="11"/>
        <color theme="1"/>
        <rFont val="Calibri"/>
        <family val="2"/>
        <charset val="1"/>
      </rPr>
      <t xml:space="preserve">521-29</t>
    </r>
  </si>
  <si>
    <t xml:space="preserve">OWN-002</t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</si>
  <si>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FreeSans"/>
        <family val="2"/>
      </rPr>
      <t xml:space="preserve">ش</t>
    </r>
    <r>
      <rPr>
        <sz val="11"/>
        <color theme="1"/>
        <rFont val="Calibri"/>
        <family val="2"/>
        <charset val="1"/>
      </rPr>
      <t xml:space="preserve">432-33</t>
    </r>
  </si>
  <si>
    <t xml:space="preserve">OWN-003</t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</si>
  <si>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FreeSans"/>
        <family val="2"/>
      </rPr>
      <t xml:space="preserve">ت</t>
    </r>
    <r>
      <rPr>
        <sz val="11"/>
        <color theme="1"/>
        <rFont val="Calibri"/>
        <family val="2"/>
        <charset val="1"/>
      </rPr>
      <t xml:space="preserve">482-24</t>
    </r>
  </si>
  <si>
    <t xml:space="preserve">OWN-004</t>
  </si>
  <si>
    <r>
      <rPr>
        <sz val="11"/>
        <color theme="1"/>
        <rFont val="Calibri"/>
        <family val="2"/>
        <charset val="1"/>
      </rPr>
      <t xml:space="preserve">92</t>
    </r>
    <r>
      <rPr>
        <sz val="11"/>
        <color theme="1"/>
        <rFont val="FreeSans"/>
        <family val="2"/>
      </rPr>
      <t xml:space="preserve">ن</t>
    </r>
    <r>
      <rPr>
        <sz val="11"/>
        <color theme="1"/>
        <rFont val="Calibri"/>
        <family val="2"/>
        <charset val="1"/>
      </rPr>
      <t xml:space="preserve">205-45</t>
    </r>
  </si>
  <si>
    <t xml:space="preserve">OWN-005</t>
  </si>
  <si>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FreeSans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145-66</t>
    </r>
  </si>
  <si>
    <t xml:space="preserve">OWN-006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</si>
  <si>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FreeSans"/>
        <family val="2"/>
      </rPr>
      <t xml:space="preserve">گ</t>
    </r>
    <r>
      <rPr>
        <sz val="11"/>
        <color theme="1"/>
        <rFont val="Calibri"/>
        <family val="2"/>
        <charset val="1"/>
      </rPr>
      <t xml:space="preserve">675-55</t>
    </r>
  </si>
  <si>
    <t xml:space="preserve">OWN-007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</si>
  <si>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FreeSans"/>
        <family val="2"/>
      </rPr>
      <t xml:space="preserve">ب</t>
    </r>
    <r>
      <rPr>
        <sz val="11"/>
        <color theme="1"/>
        <rFont val="Calibri"/>
        <family val="2"/>
        <charset val="1"/>
      </rPr>
      <t xml:space="preserve">830-86</t>
    </r>
  </si>
  <si>
    <t xml:space="preserve">OWN-008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</si>
  <si>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FreeSans"/>
        <family val="2"/>
      </rPr>
      <t xml:space="preserve">ز</t>
    </r>
    <r>
      <rPr>
        <sz val="11"/>
        <color theme="1"/>
        <rFont val="Calibri"/>
        <family val="2"/>
        <charset val="1"/>
      </rPr>
      <t xml:space="preserve">569-91</t>
    </r>
  </si>
  <si>
    <t xml:space="preserve">OWN-009</t>
  </si>
  <si>
    <r>
      <rPr>
        <sz val="11"/>
        <color theme="1"/>
        <rFont val="Calibri"/>
        <family val="2"/>
        <charset val="1"/>
      </rPr>
      <t xml:space="preserve">63</t>
    </r>
    <r>
      <rPr>
        <sz val="11"/>
        <color theme="1"/>
        <rFont val="FreeSans"/>
        <family val="2"/>
      </rPr>
      <t xml:space="preserve">ک</t>
    </r>
    <r>
      <rPr>
        <sz val="11"/>
        <color theme="1"/>
        <rFont val="Calibri"/>
        <family val="2"/>
        <charset val="1"/>
      </rPr>
      <t xml:space="preserve">872-16</t>
    </r>
  </si>
  <si>
    <t xml:space="preserve">OWN-010</t>
  </si>
  <si>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FreeSans"/>
        <family val="2"/>
      </rPr>
      <t xml:space="preserve">و</t>
    </r>
    <r>
      <rPr>
        <sz val="11"/>
        <color theme="1"/>
        <rFont val="Calibri"/>
        <family val="2"/>
        <charset val="1"/>
      </rPr>
      <t xml:space="preserve">145-48</t>
    </r>
  </si>
  <si>
    <t xml:space="preserve">OWN-011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</si>
  <si>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FreeSans"/>
        <family val="2"/>
      </rPr>
      <t xml:space="preserve">ن</t>
    </r>
    <r>
      <rPr>
        <sz val="11"/>
        <color theme="1"/>
        <rFont val="Calibri"/>
        <family val="2"/>
        <charset val="1"/>
      </rPr>
      <t xml:space="preserve">507-33</t>
    </r>
  </si>
  <si>
    <t xml:space="preserve">OWN-012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</si>
  <si>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672-93</t>
    </r>
  </si>
  <si>
    <t xml:space="preserve">OWN-013</t>
  </si>
  <si>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213-47</t>
    </r>
  </si>
  <si>
    <t xml:space="preserve">OWN-014</t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</si>
  <si>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999-69</t>
    </r>
  </si>
  <si>
    <t xml:space="preserve">پرسنل</t>
  </si>
  <si>
    <t xml:space="preserve">OWN-015</t>
  </si>
  <si>
    <r>
      <rPr>
        <sz val="11"/>
        <color theme="1"/>
        <rFont val="Calibri"/>
        <family val="2"/>
        <charset val="1"/>
      </rPr>
      <t xml:space="preserve">68</t>
    </r>
    <r>
      <rPr>
        <sz val="11"/>
        <color theme="1"/>
        <rFont val="FreeSans"/>
        <family val="2"/>
      </rPr>
      <t xml:space="preserve">پ</t>
    </r>
    <r>
      <rPr>
        <sz val="11"/>
        <color theme="1"/>
        <rFont val="Calibri"/>
        <family val="2"/>
        <charset val="1"/>
      </rPr>
      <t xml:space="preserve">108-57</t>
    </r>
  </si>
  <si>
    <t xml:space="preserve">OWN-016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</si>
  <si>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FreeSans"/>
        <family val="2"/>
      </rPr>
      <t xml:space="preserve">پ</t>
    </r>
    <r>
      <rPr>
        <sz val="11"/>
        <color theme="1"/>
        <rFont val="Calibri"/>
        <family val="2"/>
        <charset val="1"/>
      </rPr>
      <t xml:space="preserve">924-25</t>
    </r>
  </si>
  <si>
    <t xml:space="preserve">OWN-017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</si>
  <si>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FreeSans"/>
        <family val="2"/>
      </rPr>
      <t xml:space="preserve">ش</t>
    </r>
    <r>
      <rPr>
        <sz val="11"/>
        <color theme="1"/>
        <rFont val="Calibri"/>
        <family val="2"/>
        <charset val="1"/>
      </rPr>
      <t xml:space="preserve">815-22</t>
    </r>
  </si>
  <si>
    <t xml:space="preserve">OWN-018</t>
  </si>
  <si>
    <r>
      <rPr>
        <sz val="11"/>
        <color theme="1"/>
        <rFont val="Calibri"/>
        <family val="2"/>
        <charset val="1"/>
      </rPr>
      <t xml:space="preserve">76</t>
    </r>
    <r>
      <rPr>
        <sz val="11"/>
        <color theme="1"/>
        <rFont val="FreeSans"/>
        <family val="2"/>
      </rPr>
      <t xml:space="preserve">ش</t>
    </r>
    <r>
      <rPr>
        <sz val="11"/>
        <color theme="1"/>
        <rFont val="Calibri"/>
        <family val="2"/>
        <charset val="1"/>
      </rPr>
      <t xml:space="preserve">278-11</t>
    </r>
  </si>
  <si>
    <t xml:space="preserve">OWN-019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</si>
  <si>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FreeSans"/>
        <family val="2"/>
      </rPr>
      <t xml:space="preserve">ص</t>
    </r>
    <r>
      <rPr>
        <sz val="11"/>
        <color theme="1"/>
        <rFont val="Calibri"/>
        <family val="2"/>
        <charset val="1"/>
      </rPr>
      <t xml:space="preserve">708-28</t>
    </r>
  </si>
  <si>
    <t xml:space="preserve">OWN-020</t>
  </si>
  <si>
    <t xml:space="preserve">اپراتور</t>
  </si>
  <si>
    <t xml:space="preserve">نقد ثبت‌شده در PMS (تومان)</t>
  </si>
  <si>
    <t xml:space="preserve">نقد واریزی به حساب (تومان)</t>
  </si>
  <si>
    <t xml:space="preserve">مغایرت (PMS − واریزی)</t>
  </si>
  <si>
    <t xml:space="preserve">نرخ کسری نقد (CDR)</t>
  </si>
  <si>
    <t xml:space="preserve">هشدار</t>
  </si>
  <si>
    <t xml:space="preserve">تعداد تراکنش نقد</t>
  </si>
  <si>
    <t xml:space="preserve">کل تراکنش‌ها</t>
  </si>
  <si>
    <t xml:space="preserve">ستون «نقد واریزی» (آبی) ورودی فرضی/شبیه‌سازی‌شده از گزارش واریز به حساب کارفرماست؛ بقیه ستون‌ها فرمول از شیت تراکنش_تردد.</t>
  </si>
  <si>
    <t xml:space="preserve">شروع بازه</t>
  </si>
  <si>
    <t xml:space="preserve">پایان بازه</t>
  </si>
  <si>
    <t xml:space="preserve">ورودی‌ها</t>
  </si>
  <si>
    <t xml:space="preserve">خروجی‌ها</t>
  </si>
  <si>
    <t xml:space="preserve">اشغال مورد انتظار (دفتری)</t>
  </si>
  <si>
    <t xml:space="preserve">اشغال گزارش‌شده سیستم</t>
  </si>
  <si>
    <t xml:space="preserve">شمارش فیزیکی سنسورها</t>
  </si>
  <si>
    <t xml:space="preserve">انحراف دفتری</t>
  </si>
  <si>
    <t xml:space="preserve">خودروهای رسوبی نامرئی</t>
  </si>
  <si>
    <t xml:space="preserve">انحراف فیزیکی (بعد از رسوبی‌ها)</t>
  </si>
  <si>
    <t xml:space="preserve">ظرفیت اسمی</t>
  </si>
  <si>
    <t xml:space="preserve">ستون‌های آبی (گزارش سیستم و شمارش فیزیکی) داده شبیه‌سازی‌شده‌اند. اشغال اولیه = تعداد فیش‌های با ورود قبل از اولین بازه. انحراف دفتری = |گزارش − (ورودی − خروجی)| طبق سند.</t>
  </si>
  <si>
    <t xml:space="preserve">خلاصه شاخص‌های کنترلی (KPI)</t>
  </si>
  <si>
    <t xml:space="preserve">شاخص</t>
  </si>
  <si>
    <t xml:space="preserve">آستانه (سند)</t>
  </si>
  <si>
    <r>
      <rPr>
        <sz val="11"/>
        <color theme="1"/>
        <rFont val="FreeSans"/>
        <family val="2"/>
      </rPr>
      <t xml:space="preserve">نسبت ابطال فیش </t>
    </r>
    <r>
      <rPr>
        <sz val="11"/>
        <color theme="1"/>
        <rFont val="Calibri"/>
        <family val="2"/>
        <charset val="1"/>
      </rPr>
      <t xml:space="preserve">(VR)</t>
    </r>
  </si>
  <si>
    <t xml:space="preserve">نسبت ویرایش دستی پلاک</t>
  </si>
  <si>
    <r>
      <rPr>
        <sz val="11"/>
        <color theme="1"/>
        <rFont val="FreeSans"/>
        <family val="2"/>
      </rPr>
      <t xml:space="preserve">میانگین باز ماندن راهبند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ثانیه</t>
    </r>
    <r>
      <rPr>
        <sz val="11"/>
        <color theme="1"/>
        <rFont val="Calibri"/>
        <family val="2"/>
        <charset val="1"/>
      </rPr>
      <t xml:space="preserve">)</t>
    </r>
  </si>
  <si>
    <t xml:space="preserve">ترخیص با فرجه رایگان</t>
  </si>
  <si>
    <r>
      <rPr>
        <sz val="11"/>
        <color theme="1"/>
        <rFont val="FreeSans"/>
        <family val="2"/>
      </rPr>
      <t xml:space="preserve">مغایرت نقد صندوق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کل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</si>
  <si>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حداکثر انحراف تراز ظرفیت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خودرو</t>
    </r>
    <r>
      <rPr>
        <sz val="11"/>
        <color theme="1"/>
        <rFont val="Calibri"/>
        <family val="2"/>
        <charset val="1"/>
      </rPr>
      <t xml:space="preserve">)</t>
    </r>
  </si>
  <si>
    <t xml:space="preserve">تعداد پرچم‌های فعال</t>
  </si>
  <si>
    <t xml:space="preserve">تعداد ردیف</t>
  </si>
  <si>
    <t xml:space="preserve">شرح</t>
  </si>
  <si>
    <t xml:space="preserve">سناریوهای تزریق‌شده و میزان کشف (امتیاز ≥ ۳۰)</t>
  </si>
  <si>
    <t xml:space="preserve">سناریو (برچسب واقعی)</t>
  </si>
  <si>
    <t xml:space="preserve">کشف‌شده (امتیاز ≥ ۳۰)</t>
  </si>
  <si>
    <t xml:space="preserve">نرخ کشف</t>
  </si>
  <si>
    <r>
      <rPr>
        <sz val="11"/>
        <color theme="1"/>
        <rFont val="FreeSans"/>
        <family val="2"/>
      </rPr>
      <t xml:space="preserve">پوز شخصی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بدون </t>
    </r>
    <r>
      <rPr>
        <sz val="11"/>
        <color theme="1"/>
        <rFont val="Calibri"/>
        <family val="2"/>
        <charset val="1"/>
      </rPr>
      <t xml:space="preserve">RRN</t>
    </r>
  </si>
  <si>
    <r>
      <rPr>
        <sz val="11"/>
        <color theme="1"/>
        <rFont val="FreeSans"/>
        <family val="2"/>
      </rPr>
      <t xml:space="preserve">کم‌ثبتی نقد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برداشت از دخل</t>
    </r>
    <r>
      <rPr>
        <sz val="11"/>
        <color theme="1"/>
        <rFont val="Calibri"/>
        <family val="2"/>
        <charset val="1"/>
      </rPr>
      <t xml:space="preserve">)</t>
    </r>
  </si>
  <si>
    <t xml:space="preserve">ویرایش دستی پلاک با اطمینان بالا</t>
  </si>
  <si>
    <r>
      <rPr>
        <sz val="11"/>
        <color theme="1"/>
        <rFont val="FreeSans"/>
        <family val="2"/>
      </rPr>
      <t xml:space="preserve">نقض توالی تردد </t>
    </r>
    <r>
      <rPr>
        <sz val="11"/>
        <color theme="1"/>
        <rFont val="Calibri"/>
        <family val="2"/>
        <charset val="1"/>
      </rPr>
      <t xml:space="preserve">(Passback)</t>
    </r>
  </si>
  <si>
    <r>
      <rPr>
        <sz val="11"/>
        <color theme="1"/>
        <rFont val="FreeSans"/>
        <family val="2"/>
      </rPr>
      <t xml:space="preserve">قطار ماشین </t>
    </r>
    <r>
      <rPr>
        <sz val="11"/>
        <color theme="1"/>
        <rFont val="Calibri"/>
        <family val="2"/>
        <charset val="1"/>
      </rPr>
      <t xml:space="preserve">(Tailgating)</t>
    </r>
  </si>
  <si>
    <r>
      <rPr>
        <sz val="11"/>
        <color theme="1"/>
        <rFont val="FreeSans"/>
        <family val="2"/>
      </rPr>
      <t xml:space="preserve">قطع دوربین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شبکه</t>
    </r>
  </si>
  <si>
    <r>
      <rPr>
        <sz val="11"/>
        <color theme="1"/>
        <rFont val="FreeSans"/>
        <family val="2"/>
      </rPr>
      <t xml:space="preserve">معافیت جعلی </t>
    </r>
    <r>
      <rPr>
        <sz val="11"/>
        <color theme="1"/>
        <rFont val="Calibri"/>
        <family val="2"/>
        <charset val="1"/>
      </rPr>
      <t xml:space="preserve">VIP/</t>
    </r>
    <r>
      <rPr>
        <sz val="11"/>
        <color theme="1"/>
        <rFont val="FreeSans"/>
        <family val="2"/>
      </rPr>
      <t xml:space="preserve">جانباز</t>
    </r>
  </si>
  <si>
    <t xml:space="preserve">جمع</t>
  </si>
  <si>
    <t xml:space="preserve">توضیح: ردیف «عادی» = مثبت کاذب (ردیف سالمی که امتیاز ≥۳۰ گرفته)؛ انتظار می‌رود صفر باشد.</t>
  </si>
  <si>
    <t xml:space="preserve">توزیع سطح ریسک</t>
  </si>
  <si>
    <t xml:space="preserve">سطح</t>
  </si>
  <si>
    <t xml:space="preserve">تعداد</t>
  </si>
  <si>
    <t xml:space="preserve">درصد</t>
  </si>
  <si>
    <t xml:space="preserve">بحرانی</t>
  </si>
  <si>
    <t xml:space="preserve">مشکوک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</si>
</sst>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\ hh:mm:ss"/>
    <numFmt numFmtId="166" formatCode="#,##0"/>
    <numFmt numFmtId="167" formatCode="0.000"/>
    <numFmt numFmtId="168" formatCode="yyyy\-mm\-dd"/>
    <numFmt numFmtId="169" formatCode="0"/>
    <numFmt numFmtId="170" formatCode="0.0"/>
    <numFmt numFmtId="171" formatCode="@"/>
    <numFmt numFmtId="172" formatCode="#,##0;\(#,##0\);\-"/>
    <numFmt numFmtId="173" formatCode="0.00"/>
    <numFmt numFmtId="174" formatCode="0.0%"/>
    <numFmt numFmtId="175" formatCode="0.00%"/>
    <numFmt numFmtId="176" formatCode="0%"/>
    <numFmt numFmtId="17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FreeSans"/>
      <family val="2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2E7D32"/>
        <bgColor rgb="FF008000"/>
      </patternFill>
    </fill>
    <fill>
      <patternFill patternType="solid">
        <fgColor rgb="FF595959"/>
        <bgColor rgb="FF1F4E79"/>
      </patternFill>
    </fill>
    <fill>
      <patternFill patternType="solid">
        <fgColor rgb="FFC55A11"/>
        <bgColor rgb="FF993300"/>
      </patternFill>
    </fill>
    <fill>
      <patternFill patternType="solid">
        <fgColor rgb="FF6A1B9A"/>
        <bgColor rgb="FF800080"/>
      </patternFill>
    </fill>
    <fill>
      <patternFill patternType="solid">
        <fgColor rgb="FFC00000"/>
        <bgColor rgb="FF800000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C55A11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</row>
    <row r="4" customFormat="false" ht="30" hidden="false" customHeight="true" outlineLevel="0" collapsed="false">
      <c r="A4" s="2" t="s">
        <v>2</v>
      </c>
      <c r="B4" s="2"/>
      <c r="C4" s="2"/>
      <c r="D4" s="2"/>
      <c r="E4" s="2"/>
    </row>
    <row r="5" customFormat="false" ht="30" hidden="false" customHeight="true" outlineLevel="0" collapsed="false">
      <c r="A5" s="2" t="s">
        <v>3</v>
      </c>
      <c r="B5" s="2"/>
      <c r="C5" s="2"/>
      <c r="D5" s="2"/>
      <c r="E5" s="2"/>
    </row>
    <row r="6" customFormat="false" ht="30" hidden="false" customHeight="true" outlineLevel="0" collapsed="false">
      <c r="A6" s="2" t="s">
        <v>4</v>
      </c>
      <c r="B6" s="2"/>
      <c r="C6" s="2"/>
      <c r="D6" s="2"/>
      <c r="E6" s="2"/>
    </row>
    <row r="7" customFormat="false" ht="30" hidden="false" customHeight="true" outlineLevel="0" collapsed="false">
      <c r="A7" s="2" t="s">
        <v>5</v>
      </c>
      <c r="B7" s="2"/>
      <c r="C7" s="2"/>
      <c r="D7" s="2"/>
      <c r="E7" s="2"/>
    </row>
    <row r="8" customFormat="false" ht="30" hidden="false" customHeight="true" outlineLevel="0" collapsed="false">
      <c r="A8" s="2" t="s">
        <v>6</v>
      </c>
      <c r="B8" s="2"/>
      <c r="C8" s="2"/>
      <c r="D8" s="2"/>
      <c r="E8" s="2"/>
    </row>
    <row r="9" customFormat="false" ht="30" hidden="false" customHeight="true" outlineLevel="0" collapsed="false">
      <c r="A9" s="2" t="s">
        <v>7</v>
      </c>
      <c r="B9" s="2"/>
      <c r="C9" s="2"/>
      <c r="D9" s="2"/>
      <c r="E9" s="2"/>
    </row>
    <row r="11" customFormat="false" ht="15" hidden="false" customHeight="false" outlineLevel="0" collapsed="false">
      <c r="A11" s="3" t="s">
        <v>8</v>
      </c>
    </row>
    <row r="12" customFormat="false" ht="31.5" hidden="false" customHeight="true" outlineLevel="0" collapsed="false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</row>
    <row r="13" customFormat="false" ht="15" hidden="false" customHeight="false" outlineLevel="0" collapsed="false">
      <c r="A13" s="5" t="s">
        <v>14</v>
      </c>
      <c r="B13" s="6" t="s">
        <v>15</v>
      </c>
      <c r="C13" s="5" t="s">
        <v>16</v>
      </c>
      <c r="D13" s="5" t="s">
        <v>17</v>
      </c>
      <c r="E13" s="7" t="s">
        <v>18</v>
      </c>
    </row>
    <row r="14" customFormat="false" ht="15" hidden="false" customHeight="false" outlineLevel="0" collapsed="false">
      <c r="A14" s="5" t="s">
        <v>19</v>
      </c>
      <c r="B14" s="6" t="s">
        <v>20</v>
      </c>
      <c r="C14" s="5" t="s">
        <v>21</v>
      </c>
      <c r="D14" s="5" t="s">
        <v>22</v>
      </c>
      <c r="E14" s="7" t="s">
        <v>23</v>
      </c>
    </row>
    <row r="15" customFormat="false" ht="15" hidden="false" customHeight="false" outlineLevel="0" collapsed="false">
      <c r="A15" s="5" t="s">
        <v>24</v>
      </c>
      <c r="B15" s="6" t="s">
        <v>25</v>
      </c>
      <c r="C15" s="5" t="s">
        <v>26</v>
      </c>
      <c r="D15" s="5" t="s">
        <v>27</v>
      </c>
      <c r="E15" s="7" t="s">
        <v>28</v>
      </c>
    </row>
    <row r="16" customFormat="false" ht="15" hidden="false" customHeight="false" outlineLevel="0" collapsed="false">
      <c r="A16" s="5" t="s">
        <v>29</v>
      </c>
      <c r="B16" s="6" t="s">
        <v>30</v>
      </c>
      <c r="C16" s="5" t="s">
        <v>31</v>
      </c>
      <c r="D16" s="5" t="s">
        <v>27</v>
      </c>
      <c r="E16" s="7" t="s">
        <v>32</v>
      </c>
    </row>
    <row r="17" customFormat="false" ht="15" hidden="false" customHeight="false" outlineLevel="0" collapsed="false">
      <c r="A17" s="5" t="s">
        <v>33</v>
      </c>
      <c r="B17" s="6" t="s">
        <v>34</v>
      </c>
      <c r="C17" s="5" t="s">
        <v>35</v>
      </c>
      <c r="D17" s="5" t="s">
        <v>27</v>
      </c>
      <c r="E17" s="7" t="s">
        <v>36</v>
      </c>
    </row>
    <row r="18" customFormat="false" ht="15" hidden="false" customHeight="false" outlineLevel="0" collapsed="false">
      <c r="A18" s="5" t="s">
        <v>37</v>
      </c>
      <c r="B18" s="6" t="s">
        <v>38</v>
      </c>
      <c r="C18" s="5" t="s">
        <v>39</v>
      </c>
      <c r="D18" s="5" t="s">
        <v>27</v>
      </c>
      <c r="E18" s="7" t="s">
        <v>40</v>
      </c>
    </row>
    <row r="19" customFormat="false" ht="15" hidden="false" customHeight="false" outlineLevel="0" collapsed="false">
      <c r="A19" s="5" t="s">
        <v>41</v>
      </c>
      <c r="B19" s="6" t="s">
        <v>42</v>
      </c>
      <c r="C19" s="5" t="s">
        <v>43</v>
      </c>
      <c r="D19" s="5" t="s">
        <v>17</v>
      </c>
      <c r="E19" s="7" t="s">
        <v>44</v>
      </c>
    </row>
    <row r="20" customFormat="false" ht="15" hidden="false" customHeight="false" outlineLevel="0" collapsed="false">
      <c r="A20" s="5" t="s">
        <v>45</v>
      </c>
      <c r="B20" s="6" t="s">
        <v>46</v>
      </c>
      <c r="C20" s="5" t="s">
        <v>47</v>
      </c>
      <c r="D20" s="5" t="s">
        <v>17</v>
      </c>
      <c r="E20" s="7" t="s">
        <v>48</v>
      </c>
    </row>
    <row r="21" customFormat="false" ht="15" hidden="false" customHeight="false" outlineLevel="0" collapsed="false">
      <c r="A21" s="5" t="s">
        <v>49</v>
      </c>
      <c r="B21" s="6" t="s">
        <v>50</v>
      </c>
      <c r="C21" s="5" t="s">
        <v>51</v>
      </c>
      <c r="D21" s="6" t="s">
        <v>52</v>
      </c>
      <c r="E21" s="7" t="s">
        <v>53</v>
      </c>
    </row>
    <row r="22" customFormat="false" ht="15" hidden="false" customHeight="false" outlineLevel="0" collapsed="false">
      <c r="A22" s="5" t="s">
        <v>54</v>
      </c>
      <c r="B22" s="6" t="s">
        <v>55</v>
      </c>
      <c r="C22" s="5" t="s">
        <v>56</v>
      </c>
      <c r="D22" s="5" t="s">
        <v>57</v>
      </c>
      <c r="E22" s="8" t="s">
        <v>58</v>
      </c>
    </row>
    <row r="23" customFormat="false" ht="15" hidden="false" customHeight="false" outlineLevel="0" collapsed="false">
      <c r="A23" s="5" t="s">
        <v>59</v>
      </c>
      <c r="B23" s="6" t="s">
        <v>60</v>
      </c>
      <c r="C23" s="5" t="s">
        <v>61</v>
      </c>
      <c r="D23" s="5" t="s">
        <v>57</v>
      </c>
      <c r="E23" s="8" t="s">
        <v>62</v>
      </c>
    </row>
    <row r="24" customFormat="false" ht="15" hidden="false" customHeight="false" outlineLevel="0" collapsed="false">
      <c r="A24" s="5" t="s">
        <v>63</v>
      </c>
      <c r="B24" s="6" t="s">
        <v>64</v>
      </c>
      <c r="C24" s="5" t="s">
        <v>65</v>
      </c>
      <c r="D24" s="5" t="s">
        <v>27</v>
      </c>
      <c r="E24" s="7" t="s">
        <v>66</v>
      </c>
    </row>
    <row r="25" customFormat="false" ht="15" hidden="false" customHeight="false" outlineLevel="0" collapsed="false">
      <c r="A25" s="5" t="s">
        <v>67</v>
      </c>
      <c r="B25" s="6" t="s">
        <v>68</v>
      </c>
      <c r="C25" s="5" t="s">
        <v>69</v>
      </c>
      <c r="D25" s="5" t="s">
        <v>27</v>
      </c>
      <c r="E25" s="7" t="s">
        <v>70</v>
      </c>
    </row>
    <row r="26" customFormat="false" ht="15" hidden="false" customHeight="false" outlineLevel="0" collapsed="false">
      <c r="A26" s="5" t="s">
        <v>71</v>
      </c>
      <c r="B26" s="6" t="s">
        <v>72</v>
      </c>
      <c r="C26" s="5" t="s">
        <v>73</v>
      </c>
      <c r="D26" s="5" t="s">
        <v>17</v>
      </c>
      <c r="E26" s="7" t="s">
        <v>74</v>
      </c>
    </row>
    <row r="27" customFormat="false" ht="15" hidden="false" customHeight="false" outlineLevel="0" collapsed="false">
      <c r="A27" s="5" t="s">
        <v>75</v>
      </c>
      <c r="B27" s="6" t="s">
        <v>76</v>
      </c>
      <c r="C27" s="5" t="s">
        <v>77</v>
      </c>
      <c r="D27" s="5" t="s">
        <v>17</v>
      </c>
      <c r="E27" s="7" t="s">
        <v>78</v>
      </c>
    </row>
    <row r="28" customFormat="false" ht="15" hidden="false" customHeight="false" outlineLevel="0" collapsed="false">
      <c r="A28" s="5" t="s">
        <v>79</v>
      </c>
      <c r="B28" s="6" t="s">
        <v>80</v>
      </c>
      <c r="C28" s="5" t="s">
        <v>81</v>
      </c>
      <c r="D28" s="5" t="s">
        <v>17</v>
      </c>
      <c r="E28" s="7" t="s">
        <v>82</v>
      </c>
    </row>
    <row r="29" customFormat="false" ht="15" hidden="false" customHeight="false" outlineLevel="0" collapsed="false">
      <c r="A29" s="5" t="s">
        <v>83</v>
      </c>
      <c r="B29" s="6" t="s">
        <v>84</v>
      </c>
      <c r="C29" s="5" t="s">
        <v>85</v>
      </c>
      <c r="D29" s="5" t="s">
        <v>17</v>
      </c>
      <c r="E29" s="7" t="s">
        <v>86</v>
      </c>
    </row>
    <row r="30" customFormat="false" ht="15" hidden="false" customHeight="false" outlineLevel="0" collapsed="false">
      <c r="A30" s="5" t="s">
        <v>87</v>
      </c>
      <c r="B30" s="6" t="s">
        <v>88</v>
      </c>
      <c r="C30" s="5" t="s">
        <v>89</v>
      </c>
      <c r="D30" s="5" t="s">
        <v>17</v>
      </c>
      <c r="E30" s="7" t="s">
        <v>88</v>
      </c>
    </row>
    <row r="31" customFormat="false" ht="15" hidden="false" customHeight="false" outlineLevel="0" collapsed="false">
      <c r="A31" s="5" t="s">
        <v>90</v>
      </c>
      <c r="B31" s="6" t="s">
        <v>91</v>
      </c>
      <c r="C31" s="5" t="s">
        <v>92</v>
      </c>
      <c r="D31" s="5" t="s">
        <v>17</v>
      </c>
      <c r="E31" s="7" t="s">
        <v>93</v>
      </c>
    </row>
    <row r="32" customFormat="false" ht="15" hidden="false" customHeight="false" outlineLevel="0" collapsed="false">
      <c r="A32" s="5" t="s">
        <v>94</v>
      </c>
      <c r="B32" s="6" t="s">
        <v>95</v>
      </c>
      <c r="C32" s="5" t="s">
        <v>96</v>
      </c>
      <c r="D32" s="5" t="s">
        <v>17</v>
      </c>
      <c r="E32" s="7" t="s">
        <v>97</v>
      </c>
    </row>
    <row r="33" customFormat="false" ht="15" hidden="false" customHeight="false" outlineLevel="0" collapsed="false">
      <c r="A33" s="5" t="s">
        <v>98</v>
      </c>
      <c r="B33" s="6" t="s">
        <v>99</v>
      </c>
      <c r="C33" s="5" t="s">
        <v>100</v>
      </c>
      <c r="D33" s="5" t="s">
        <v>57</v>
      </c>
      <c r="E33" s="7" t="s">
        <v>101</v>
      </c>
    </row>
    <row r="34" customFormat="false" ht="15" hidden="false" customHeight="false" outlineLevel="0" collapsed="false">
      <c r="A34" s="5" t="s">
        <v>102</v>
      </c>
      <c r="B34" s="6" t="s">
        <v>103</v>
      </c>
      <c r="C34" s="5" t="s">
        <v>104</v>
      </c>
      <c r="D34" s="5" t="s">
        <v>57</v>
      </c>
      <c r="E34" s="7" t="s">
        <v>105</v>
      </c>
    </row>
    <row r="35" customFormat="false" ht="15" hidden="false" customHeight="false" outlineLevel="0" collapsed="false">
      <c r="A35" s="5" t="s">
        <v>106</v>
      </c>
      <c r="B35" s="6" t="s">
        <v>107</v>
      </c>
      <c r="C35" s="5" t="s">
        <v>108</v>
      </c>
      <c r="D35" s="5" t="s">
        <v>57</v>
      </c>
      <c r="E35" s="7" t="s">
        <v>109</v>
      </c>
    </row>
    <row r="36" customFormat="false" ht="15" hidden="false" customHeight="false" outlineLevel="0" collapsed="false">
      <c r="A36" s="5" t="s">
        <v>110</v>
      </c>
      <c r="B36" s="6" t="s">
        <v>111</v>
      </c>
      <c r="C36" s="5" t="s">
        <v>112</v>
      </c>
      <c r="D36" s="5" t="s">
        <v>57</v>
      </c>
      <c r="E36" s="7" t="s">
        <v>74</v>
      </c>
    </row>
    <row r="37" customFormat="false" ht="15" hidden="false" customHeight="false" outlineLevel="0" collapsed="false">
      <c r="A37" s="5" t="s">
        <v>113</v>
      </c>
      <c r="B37" s="6" t="s">
        <v>114</v>
      </c>
      <c r="C37" s="5" t="s">
        <v>115</v>
      </c>
      <c r="D37" s="5" t="s">
        <v>57</v>
      </c>
      <c r="E37" s="7" t="s">
        <v>116</v>
      </c>
    </row>
    <row r="38" customFormat="false" ht="15" hidden="false" customHeight="false" outlineLevel="0" collapsed="false">
      <c r="A38" s="5" t="s">
        <v>117</v>
      </c>
      <c r="B38" s="6" t="s">
        <v>118</v>
      </c>
      <c r="C38" s="5" t="s">
        <v>119</v>
      </c>
      <c r="D38" s="5" t="s">
        <v>17</v>
      </c>
      <c r="E38" s="7" t="s">
        <v>120</v>
      </c>
    </row>
    <row r="39" customFormat="false" ht="15" hidden="false" customHeight="false" outlineLevel="0" collapsed="false">
      <c r="A39" s="5" t="s">
        <v>121</v>
      </c>
      <c r="B39" s="6" t="s">
        <v>122</v>
      </c>
      <c r="C39" s="5" t="s">
        <v>123</v>
      </c>
      <c r="D39" s="5" t="s">
        <v>124</v>
      </c>
      <c r="E39" s="7" t="s">
        <v>125</v>
      </c>
    </row>
    <row r="40" customFormat="false" ht="15" hidden="false" customHeight="false" outlineLevel="0" collapsed="false">
      <c r="A40" s="5" t="s">
        <v>126</v>
      </c>
      <c r="B40" s="6" t="s">
        <v>127</v>
      </c>
      <c r="C40" s="5" t="s">
        <v>128</v>
      </c>
      <c r="D40" s="5" t="s">
        <v>124</v>
      </c>
      <c r="E40" s="7" t="s">
        <v>129</v>
      </c>
    </row>
    <row r="41" customFormat="false" ht="15" hidden="false" customHeight="false" outlineLevel="0" collapsed="false">
      <c r="A41" s="5" t="s">
        <v>130</v>
      </c>
      <c r="B41" s="6" t="s">
        <v>131</v>
      </c>
      <c r="C41" s="5" t="s">
        <v>132</v>
      </c>
      <c r="D41" s="5" t="s">
        <v>124</v>
      </c>
      <c r="E41" s="7" t="s">
        <v>133</v>
      </c>
    </row>
    <row r="42" customFormat="false" ht="15" hidden="false" customHeight="false" outlineLevel="0" collapsed="false">
      <c r="A42" s="5" t="s">
        <v>134</v>
      </c>
      <c r="B42" s="6" t="s">
        <v>135</v>
      </c>
      <c r="C42" s="5" t="s">
        <v>136</v>
      </c>
      <c r="D42" s="5" t="s">
        <v>17</v>
      </c>
      <c r="E42" s="7" t="s">
        <v>137</v>
      </c>
    </row>
    <row r="43" customFormat="false" ht="15" hidden="false" customHeight="false" outlineLevel="0" collapsed="false">
      <c r="A43" s="5" t="s">
        <v>138</v>
      </c>
      <c r="B43" s="6" t="s">
        <v>139</v>
      </c>
      <c r="C43" s="5" t="s">
        <v>140</v>
      </c>
      <c r="D43" s="5" t="s">
        <v>17</v>
      </c>
      <c r="E43" s="7" t="s">
        <v>141</v>
      </c>
    </row>
    <row r="44" customFormat="false" ht="15" hidden="false" customHeight="false" outlineLevel="0" collapsed="false">
      <c r="A44" s="5" t="s">
        <v>142</v>
      </c>
      <c r="B44" s="6" t="s">
        <v>143</v>
      </c>
      <c r="C44" s="5" t="s">
        <v>144</v>
      </c>
      <c r="D44" s="6" t="s">
        <v>52</v>
      </c>
      <c r="E44" s="7" t="s">
        <v>145</v>
      </c>
    </row>
    <row r="45" customFormat="false" ht="15" hidden="false" customHeight="false" outlineLevel="0" collapsed="false">
      <c r="A45" s="5" t="s">
        <v>146</v>
      </c>
      <c r="B45" s="6" t="s">
        <v>147</v>
      </c>
      <c r="C45" s="5" t="s">
        <v>148</v>
      </c>
      <c r="D45" s="6" t="s">
        <v>52</v>
      </c>
      <c r="E45" s="7" t="s">
        <v>149</v>
      </c>
    </row>
    <row r="46" customFormat="false" ht="15" hidden="false" customHeight="false" outlineLevel="0" collapsed="false">
      <c r="A46" s="5" t="s">
        <v>150</v>
      </c>
      <c r="B46" s="6" t="s">
        <v>151</v>
      </c>
      <c r="C46" s="5" t="s">
        <v>152</v>
      </c>
      <c r="D46" s="5" t="s">
        <v>17</v>
      </c>
      <c r="E46" s="7" t="s">
        <v>153</v>
      </c>
    </row>
    <row r="47" customFormat="false" ht="15" hidden="false" customHeight="false" outlineLevel="0" collapsed="false">
      <c r="A47" s="5" t="s">
        <v>154</v>
      </c>
      <c r="B47" s="6" t="s">
        <v>155</v>
      </c>
      <c r="C47" s="5" t="s">
        <v>156</v>
      </c>
      <c r="D47" s="6" t="s">
        <v>52</v>
      </c>
      <c r="E47" s="7" t="s">
        <v>157</v>
      </c>
    </row>
    <row r="48" customFormat="false" ht="15" hidden="false" customHeight="false" outlineLevel="0" collapsed="false">
      <c r="A48" s="5" t="s">
        <v>158</v>
      </c>
      <c r="B48" s="6" t="s">
        <v>159</v>
      </c>
      <c r="C48" s="5" t="s">
        <v>160</v>
      </c>
      <c r="D48" s="5" t="s">
        <v>57</v>
      </c>
      <c r="E48" s="7" t="s">
        <v>161</v>
      </c>
    </row>
    <row r="49" customFormat="false" ht="15" hidden="false" customHeight="false" outlineLevel="0" collapsed="false">
      <c r="A49" s="5" t="s">
        <v>162</v>
      </c>
      <c r="B49" s="6" t="s">
        <v>163</v>
      </c>
      <c r="C49" s="5" t="s">
        <v>164</v>
      </c>
      <c r="D49" s="5" t="s">
        <v>57</v>
      </c>
      <c r="E49" s="7" t="s">
        <v>165</v>
      </c>
    </row>
    <row r="50" customFormat="false" ht="15" hidden="false" customHeight="false" outlineLevel="0" collapsed="false">
      <c r="A50" s="5" t="s">
        <v>166</v>
      </c>
      <c r="B50" s="6" t="s">
        <v>167</v>
      </c>
      <c r="C50" s="5" t="s">
        <v>168</v>
      </c>
      <c r="D50" s="5" t="s">
        <v>57</v>
      </c>
      <c r="E50" s="7" t="s">
        <v>74</v>
      </c>
    </row>
    <row r="51" customFormat="false" ht="15" hidden="false" customHeight="false" outlineLevel="0" collapsed="false">
      <c r="A51" s="5" t="s">
        <v>169</v>
      </c>
      <c r="B51" s="6" t="s">
        <v>170</v>
      </c>
      <c r="C51" s="5" t="s">
        <v>171</v>
      </c>
      <c r="D51" s="5" t="s">
        <v>57</v>
      </c>
      <c r="E51" s="7" t="s">
        <v>172</v>
      </c>
    </row>
    <row r="52" customFormat="false" ht="15" hidden="false" customHeight="false" outlineLevel="0" collapsed="false">
      <c r="A52" s="5" t="s">
        <v>173</v>
      </c>
      <c r="B52" s="6" t="s">
        <v>174</v>
      </c>
      <c r="C52" s="5" t="s">
        <v>175</v>
      </c>
      <c r="D52" s="5" t="s">
        <v>17</v>
      </c>
      <c r="E52" s="7" t="s">
        <v>176</v>
      </c>
    </row>
    <row r="53" customFormat="false" ht="15" hidden="false" customHeight="false" outlineLevel="0" collapsed="false">
      <c r="A53" s="5" t="s">
        <v>177</v>
      </c>
      <c r="B53" s="6" t="s">
        <v>178</v>
      </c>
      <c r="C53" s="5" t="s">
        <v>179</v>
      </c>
      <c r="D53" s="5" t="s">
        <v>27</v>
      </c>
      <c r="E53" s="7" t="s">
        <v>180</v>
      </c>
    </row>
    <row r="54" customFormat="false" ht="15" hidden="false" customHeight="false" outlineLevel="0" collapsed="false">
      <c r="A54" s="5" t="s">
        <v>181</v>
      </c>
      <c r="B54" s="6" t="s">
        <v>182</v>
      </c>
      <c r="C54" s="5" t="s">
        <v>183</v>
      </c>
      <c r="D54" s="5" t="s">
        <v>17</v>
      </c>
      <c r="E54" s="7" t="s">
        <v>184</v>
      </c>
    </row>
    <row r="55" customFormat="false" ht="15" hidden="false" customHeight="false" outlineLevel="0" collapsed="false">
      <c r="A55" s="5" t="s">
        <v>185</v>
      </c>
      <c r="B55" s="6" t="s">
        <v>186</v>
      </c>
      <c r="C55" s="5" t="s">
        <v>187</v>
      </c>
      <c r="D55" s="5" t="s">
        <v>17</v>
      </c>
      <c r="E55" s="7" t="s">
        <v>188</v>
      </c>
    </row>
    <row r="56" customFormat="false" ht="15" hidden="false" customHeight="false" outlineLevel="0" collapsed="false">
      <c r="A56" s="5" t="s">
        <v>189</v>
      </c>
      <c r="B56" s="6" t="s">
        <v>190</v>
      </c>
      <c r="C56" s="5" t="s">
        <v>191</v>
      </c>
      <c r="D56" s="5" t="s">
        <v>192</v>
      </c>
      <c r="E56" s="7" t="s">
        <v>193</v>
      </c>
    </row>
    <row r="57" customFormat="false" ht="15" hidden="false" customHeight="false" outlineLevel="0" collapsed="false">
      <c r="A57" s="5" t="s">
        <v>194</v>
      </c>
      <c r="B57" s="6" t="s">
        <v>195</v>
      </c>
      <c r="C57" s="5" t="s">
        <v>196</v>
      </c>
      <c r="D57" s="5" t="s">
        <v>192</v>
      </c>
      <c r="E57" s="7" t="s">
        <v>197</v>
      </c>
    </row>
    <row r="58" customFormat="false" ht="15" hidden="false" customHeight="false" outlineLevel="0" collapsed="false">
      <c r="A58" s="5" t="s">
        <v>198</v>
      </c>
      <c r="B58" s="6" t="s">
        <v>199</v>
      </c>
      <c r="C58" s="5" t="s">
        <v>200</v>
      </c>
      <c r="D58" s="5" t="s">
        <v>192</v>
      </c>
      <c r="E58" s="7" t="s">
        <v>201</v>
      </c>
    </row>
    <row r="59" customFormat="false" ht="15" hidden="false" customHeight="false" outlineLevel="0" collapsed="false">
      <c r="A59" s="5" t="s">
        <v>202</v>
      </c>
      <c r="B59" s="6" t="s">
        <v>203</v>
      </c>
      <c r="C59" s="5" t="s">
        <v>204</v>
      </c>
      <c r="D59" s="5" t="s">
        <v>192</v>
      </c>
      <c r="E59" s="7" t="s">
        <v>205</v>
      </c>
    </row>
    <row r="60" customFormat="false" ht="15" hidden="false" customHeight="false" outlineLevel="0" collapsed="false">
      <c r="A60" s="5" t="s">
        <v>206</v>
      </c>
      <c r="B60" s="6" t="s">
        <v>207</v>
      </c>
      <c r="C60" s="5" t="s">
        <v>208</v>
      </c>
      <c r="D60" s="5" t="s">
        <v>192</v>
      </c>
      <c r="E60" s="7" t="s">
        <v>209</v>
      </c>
    </row>
    <row r="61" customFormat="false" ht="15" hidden="false" customHeight="false" outlineLevel="0" collapsed="false">
      <c r="A61" s="5" t="s">
        <v>210</v>
      </c>
      <c r="B61" s="6" t="s">
        <v>211</v>
      </c>
      <c r="C61" s="5" t="s">
        <v>212</v>
      </c>
      <c r="D61" s="5" t="s">
        <v>192</v>
      </c>
      <c r="E61" s="7" t="s">
        <v>213</v>
      </c>
    </row>
    <row r="62" customFormat="false" ht="15" hidden="false" customHeight="false" outlineLevel="0" collapsed="false">
      <c r="A62" s="5" t="s">
        <v>214</v>
      </c>
      <c r="B62" s="6" t="s">
        <v>215</v>
      </c>
      <c r="C62" s="5" t="s">
        <v>216</v>
      </c>
      <c r="D62" s="5" t="s">
        <v>192</v>
      </c>
      <c r="E62" s="7" t="s">
        <v>217</v>
      </c>
    </row>
    <row r="63" customFormat="false" ht="15" hidden="false" customHeight="false" outlineLevel="0" collapsed="false">
      <c r="A63" s="5" t="s">
        <v>218</v>
      </c>
      <c r="B63" s="6" t="s">
        <v>219</v>
      </c>
      <c r="C63" s="5" t="s">
        <v>220</v>
      </c>
      <c r="D63" s="5" t="s">
        <v>192</v>
      </c>
      <c r="E63" s="7" t="s">
        <v>221</v>
      </c>
    </row>
    <row r="64" customFormat="false" ht="15" hidden="false" customHeight="false" outlineLevel="0" collapsed="false">
      <c r="A64" s="5" t="s">
        <v>222</v>
      </c>
      <c r="B64" s="6" t="s">
        <v>223</v>
      </c>
      <c r="C64" s="5" t="s">
        <v>224</v>
      </c>
      <c r="D64" s="5" t="s">
        <v>192</v>
      </c>
      <c r="E64" s="8" t="s">
        <v>225</v>
      </c>
    </row>
    <row r="65" customFormat="false" ht="15" hidden="false" customHeight="false" outlineLevel="0" collapsed="false">
      <c r="A65" s="5" t="s">
        <v>226</v>
      </c>
      <c r="B65" s="6" t="s">
        <v>227</v>
      </c>
      <c r="C65" s="5" t="s">
        <v>228</v>
      </c>
      <c r="D65" s="5" t="s">
        <v>192</v>
      </c>
      <c r="E65" s="7" t="s">
        <v>229</v>
      </c>
    </row>
    <row r="66" customFormat="false" ht="15" hidden="false" customHeight="false" outlineLevel="0" collapsed="false">
      <c r="A66" s="5" t="s">
        <v>230</v>
      </c>
      <c r="B66" s="6" t="s">
        <v>231</v>
      </c>
      <c r="C66" s="5" t="s">
        <v>232</v>
      </c>
      <c r="D66" s="5" t="s">
        <v>192</v>
      </c>
      <c r="E66" s="7" t="s">
        <v>233</v>
      </c>
    </row>
    <row r="67" customFormat="false" ht="15" hidden="false" customHeight="false" outlineLevel="0" collapsed="false">
      <c r="A67" s="5" t="s">
        <v>234</v>
      </c>
      <c r="B67" s="6" t="s">
        <v>235</v>
      </c>
      <c r="C67" s="5" t="s">
        <v>236</v>
      </c>
      <c r="D67" s="5" t="s">
        <v>192</v>
      </c>
      <c r="E67" s="7" t="s">
        <v>237</v>
      </c>
    </row>
    <row r="68" customFormat="false" ht="15" hidden="false" customHeight="false" outlineLevel="0" collapsed="false">
      <c r="A68" s="5" t="s">
        <v>238</v>
      </c>
      <c r="B68" s="6" t="s">
        <v>239</v>
      </c>
      <c r="C68" s="5" t="s">
        <v>240</v>
      </c>
      <c r="D68" s="5" t="s">
        <v>192</v>
      </c>
      <c r="E68" s="7" t="s">
        <v>241</v>
      </c>
    </row>
    <row r="69" customFormat="false" ht="15" hidden="false" customHeight="false" outlineLevel="0" collapsed="false">
      <c r="A69" s="5" t="s">
        <v>242</v>
      </c>
      <c r="B69" s="6" t="s">
        <v>243</v>
      </c>
      <c r="C69" s="5" t="s">
        <v>244</v>
      </c>
      <c r="D69" s="5" t="s">
        <v>192</v>
      </c>
      <c r="E69" s="7" t="s">
        <v>245</v>
      </c>
    </row>
    <row r="70" customFormat="false" ht="15" hidden="false" customHeight="false" outlineLevel="0" collapsed="false">
      <c r="A70" s="5" t="s">
        <v>246</v>
      </c>
      <c r="B70" s="6" t="s">
        <v>247</v>
      </c>
      <c r="C70" s="5" t="s">
        <v>248</v>
      </c>
      <c r="D70" s="5" t="s">
        <v>192</v>
      </c>
      <c r="E70" s="7" t="s">
        <v>249</v>
      </c>
    </row>
    <row r="71" customFormat="false" ht="15" hidden="false" customHeight="false" outlineLevel="0" collapsed="false">
      <c r="A71" s="5" t="s">
        <v>250</v>
      </c>
      <c r="B71" s="6" t="s">
        <v>251</v>
      </c>
      <c r="C71" s="5" t="s">
        <v>252</v>
      </c>
      <c r="D71" s="5" t="s">
        <v>192</v>
      </c>
      <c r="E71" s="7" t="s">
        <v>253</v>
      </c>
    </row>
    <row r="72" customFormat="false" ht="15" hidden="false" customHeight="false" outlineLevel="0" collapsed="false">
      <c r="A72" s="5" t="s">
        <v>254</v>
      </c>
      <c r="B72" s="6" t="s">
        <v>255</v>
      </c>
      <c r="C72" s="5" t="s">
        <v>256</v>
      </c>
      <c r="D72" s="6" t="s">
        <v>52</v>
      </c>
      <c r="E72" s="7" t="s">
        <v>257</v>
      </c>
    </row>
    <row r="73" customFormat="false" ht="15" hidden="false" customHeight="false" outlineLevel="0" collapsed="false">
      <c r="A73" s="5" t="s">
        <v>258</v>
      </c>
      <c r="B73" s="6" t="s">
        <v>259</v>
      </c>
      <c r="C73" s="5" t="s">
        <v>260</v>
      </c>
      <c r="D73" s="6" t="s">
        <v>52</v>
      </c>
      <c r="E73" s="7" t="s">
        <v>261</v>
      </c>
    </row>
    <row r="74" customFormat="false" ht="15" hidden="false" customHeight="false" outlineLevel="0" collapsed="false">
      <c r="A74" s="5" t="s">
        <v>262</v>
      </c>
      <c r="B74" s="6" t="s">
        <v>263</v>
      </c>
      <c r="C74" s="5" t="s">
        <v>264</v>
      </c>
      <c r="D74" s="6" t="s">
        <v>265</v>
      </c>
      <c r="E74" s="8" t="s">
        <v>266</v>
      </c>
    </row>
  </sheetData>
  <mergeCells count="7">
    <mergeCell ref="A3:E3"/>
    <mergeCell ref="A4:E4"/>
    <mergeCell ref="A5:E5"/>
    <mergeCell ref="A6:E6"/>
    <mergeCell ref="A7:E7"/>
    <mergeCell ref="A8:E8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9"/>
    <col collapsed="false" customWidth="true" hidden="false" outlineLevel="0" max="17" min="9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9"/>
    <col collapsed="false" customWidth="true" hidden="false" outlineLevel="0" max="25" min="21" style="0" width="12"/>
    <col collapsed="false" customWidth="true" hidden="false" outlineLevel="0" max="26" min="26" style="0" width="14"/>
    <col collapsed="false" customWidth="true" hidden="false" outlineLevel="0" max="27" min="27" style="0" width="12"/>
    <col collapsed="false" customWidth="true" hidden="false" outlineLevel="0" max="28" min="28" style="0" width="14"/>
    <col collapsed="false" customWidth="true" hidden="false" outlineLevel="0" max="29" min="29" style="0" width="19"/>
    <col collapsed="false" customWidth="true" hidden="false" outlineLevel="0" max="30" min="30" style="0" width="13"/>
    <col collapsed="false" customWidth="true" hidden="false" outlineLevel="0" max="61" min="31" style="0" width="12"/>
    <col collapsed="false" customWidth="true" hidden="false" outlineLevel="0" max="62" min="62" style="0" width="26"/>
  </cols>
  <sheetData>
    <row r="1" customFormat="false" ht="48" hidden="false" customHeight="true" outlineLevel="0" collapsed="false">
      <c r="A1" s="9" t="s">
        <v>267</v>
      </c>
      <c r="B1" s="10" t="s">
        <v>268</v>
      </c>
      <c r="C1" s="10" t="s">
        <v>269</v>
      </c>
      <c r="D1" s="10" t="s">
        <v>270</v>
      </c>
      <c r="E1" s="10" t="s">
        <v>271</v>
      </c>
      <c r="F1" s="10" t="s">
        <v>272</v>
      </c>
      <c r="G1" s="9" t="s">
        <v>273</v>
      </c>
      <c r="H1" s="9" t="s">
        <v>274</v>
      </c>
      <c r="I1" s="11" t="s">
        <v>275</v>
      </c>
      <c r="J1" s="12" t="s">
        <v>276</v>
      </c>
      <c r="K1" s="12" t="s">
        <v>277</v>
      </c>
      <c r="L1" s="10" t="s">
        <v>278</v>
      </c>
      <c r="M1" s="10" t="s">
        <v>279</v>
      </c>
      <c r="N1" s="9" t="s">
        <v>280</v>
      </c>
      <c r="O1" s="9" t="s">
        <v>281</v>
      </c>
      <c r="P1" s="9" t="s">
        <v>282</v>
      </c>
      <c r="Q1" s="9" t="s">
        <v>283</v>
      </c>
      <c r="R1" s="9" t="s">
        <v>284</v>
      </c>
      <c r="S1" s="9" t="s">
        <v>285</v>
      </c>
      <c r="T1" s="9" t="s">
        <v>286</v>
      </c>
      <c r="U1" s="12" t="s">
        <v>287</v>
      </c>
      <c r="V1" s="12" t="s">
        <v>288</v>
      </c>
      <c r="W1" s="12" t="s">
        <v>289</v>
      </c>
      <c r="X1" s="12" t="s">
        <v>290</v>
      </c>
      <c r="Y1" s="12" t="s">
        <v>291</v>
      </c>
      <c r="Z1" s="9" t="s">
        <v>292</v>
      </c>
      <c r="AA1" s="13" t="s">
        <v>293</v>
      </c>
      <c r="AB1" s="13" t="s">
        <v>294</v>
      </c>
      <c r="AC1" s="13" t="s">
        <v>295</v>
      </c>
      <c r="AD1" s="9" t="s">
        <v>296</v>
      </c>
      <c r="AE1" s="9" t="s">
        <v>297</v>
      </c>
      <c r="AF1" s="11" t="s">
        <v>298</v>
      </c>
      <c r="AG1" s="11" t="s">
        <v>299</v>
      </c>
      <c r="AH1" s="9" t="s">
        <v>300</v>
      </c>
      <c r="AI1" s="11" t="s">
        <v>301</v>
      </c>
      <c r="AJ1" s="12" t="s">
        <v>302</v>
      </c>
      <c r="AK1" s="12" t="s">
        <v>303</v>
      </c>
      <c r="AL1" s="12" t="s">
        <v>304</v>
      </c>
      <c r="AM1" s="12" t="s">
        <v>305</v>
      </c>
      <c r="AN1" s="9" t="s">
        <v>306</v>
      </c>
      <c r="AO1" s="10" t="s">
        <v>307</v>
      </c>
      <c r="AP1" s="9" t="s">
        <v>308</v>
      </c>
      <c r="AQ1" s="9" t="s">
        <v>309</v>
      </c>
      <c r="AR1" s="14" t="s">
        <v>310</v>
      </c>
      <c r="AS1" s="14" t="s">
        <v>311</v>
      </c>
      <c r="AT1" s="14" t="s">
        <v>312</v>
      </c>
      <c r="AU1" s="14" t="s">
        <v>313</v>
      </c>
      <c r="AV1" s="14" t="s">
        <v>314</v>
      </c>
      <c r="AW1" s="14" t="s">
        <v>315</v>
      </c>
      <c r="AX1" s="14" t="s">
        <v>316</v>
      </c>
      <c r="AY1" s="14" t="s">
        <v>317</v>
      </c>
      <c r="AZ1" s="14" t="s">
        <v>318</v>
      </c>
      <c r="BA1" s="14" t="s">
        <v>319</v>
      </c>
      <c r="BB1" s="14" t="s">
        <v>320</v>
      </c>
      <c r="BC1" s="14" t="s">
        <v>321</v>
      </c>
      <c r="BD1" s="14" t="s">
        <v>322</v>
      </c>
      <c r="BE1" s="14" t="s">
        <v>323</v>
      </c>
      <c r="BF1" s="14" t="s">
        <v>324</v>
      </c>
      <c r="BG1" s="14" t="s">
        <v>325</v>
      </c>
      <c r="BH1" s="11" t="s">
        <v>326</v>
      </c>
      <c r="BI1" s="11" t="s">
        <v>327</v>
      </c>
      <c r="BJ1" s="15" t="s">
        <v>328</v>
      </c>
    </row>
    <row r="2" customFormat="false" ht="15" hidden="false" customHeight="false" outlineLevel="0" collapsed="false">
      <c r="A2" s="16" t="s">
        <v>329</v>
      </c>
      <c r="B2" s="16" t="s">
        <v>330</v>
      </c>
      <c r="C2" s="16"/>
      <c r="D2" s="16" t="s">
        <v>331</v>
      </c>
      <c r="E2" s="16" t="s">
        <v>332</v>
      </c>
      <c r="F2" s="16" t="s">
        <v>333</v>
      </c>
      <c r="G2" s="17" t="n">
        <v>46174.9770833333</v>
      </c>
      <c r="H2" s="17"/>
      <c r="I2" s="18" t="n">
        <f aca="false">IF(H2="",ROUND((تنظیمات!$B$7-G2)*1440,0),ROUND((H2-G2)*1440,0))</f>
        <v>173193</v>
      </c>
      <c r="J2" s="16" t="s">
        <v>334</v>
      </c>
      <c r="K2" s="16"/>
      <c r="L2" s="19" t="n">
        <v>0.995</v>
      </c>
      <c r="M2" s="19"/>
      <c r="N2" s="16" t="s">
        <v>335</v>
      </c>
      <c r="O2" s="16"/>
      <c r="P2" s="16"/>
      <c r="Q2" s="20"/>
      <c r="R2" s="16" t="s">
        <v>336</v>
      </c>
      <c r="S2" s="16" t="s">
        <v>337</v>
      </c>
      <c r="T2" s="17"/>
      <c r="U2" s="21" t="n">
        <v>1</v>
      </c>
      <c r="V2" s="21" t="n">
        <v>1</v>
      </c>
      <c r="W2" s="22" t="n">
        <v>6.8</v>
      </c>
      <c r="X2" s="16" t="s">
        <v>335</v>
      </c>
      <c r="Y2" s="16" t="s">
        <v>338</v>
      </c>
      <c r="Z2" s="16"/>
      <c r="AA2" s="16"/>
      <c r="AB2" s="23"/>
      <c r="AC2" s="17"/>
      <c r="AD2" s="16" t="s">
        <v>338</v>
      </c>
      <c r="AE2" s="16"/>
      <c r="AF2" s="16" t="str">
        <f aca="false">IF(COUNTIF(لیست_سفید!$A$2:$A$21,B2)&gt;0,"بله","خیر")</f>
        <v>خیر</v>
      </c>
      <c r="AG2" s="24" t="str">
        <f aca="false">IF(H2="","",IF(AD2="فیش مفقودی",تنظیمات!$B$6,(INT(I2/1440)*تنظیمات!$B$5+IF(MOD(I2,1440)&lt;=تنظیمات!$B$2,0,MIN(تنظیمات!$B$5,تنظیمات!$B$3+MAX(0,ROUNDUP((MOD(I2,1440)-60)/60,0))*تنظیمات!$B$4)))*INDEX(تعرفه!$B$2:$B$7,MATCH(AD2,تعرفه!$A$2:$A$7,0))))</f>
        <v/>
      </c>
      <c r="AH2" s="24"/>
      <c r="AI2" s="24" t="str">
        <f aca="false">IF(AG2="","",AH2-AG2)</f>
        <v/>
      </c>
      <c r="AJ2" s="21" t="n">
        <v>0</v>
      </c>
      <c r="AK2" s="21" t="n">
        <v>0</v>
      </c>
      <c r="AL2" s="16" t="s">
        <v>335</v>
      </c>
      <c r="AM2" s="16" t="s">
        <v>339</v>
      </c>
      <c r="AN2" s="16" t="s">
        <v>340</v>
      </c>
      <c r="AO2" s="16" t="s">
        <v>340</v>
      </c>
      <c r="AP2" s="16" t="s">
        <v>335</v>
      </c>
      <c r="AQ2" s="16"/>
      <c r="AR2" s="21" t="n">
        <f aca="false">IF(AND(T2&lt;&gt;"",H2&lt;&gt;""),IF(AND((T2-H2)*86400&gt;=0,(T2-H2)*86400&lt;تنظیمات!$B$13),1,0),0)</f>
        <v>0</v>
      </c>
      <c r="AS2" s="21" t="n">
        <f aca="false">IF(Z2="پوز",IF(OR(AB2="",COUNTIF(پوزها!$A$2:$A$5,AA2)=0),1,0),0)</f>
        <v>0</v>
      </c>
      <c r="AT2" s="21" t="n">
        <f aca="false">IF(AI2="",0,IF(AI2&gt;0,1,0))</f>
        <v>0</v>
      </c>
      <c r="AU2" s="21" t="n">
        <f aca="false">IF(AI2="",0,IF(AI2&lt;0,1,0))</f>
        <v>0</v>
      </c>
      <c r="AV2" s="21" t="n">
        <f aca="false">IF(U2&gt;V2,1,0)</f>
        <v>0</v>
      </c>
      <c r="AW2" s="21" t="n">
        <f aca="false">IF(OR(W2&gt;تنظیمات!$B$8,X2="بله"),1,0)</f>
        <v>0</v>
      </c>
      <c r="AX2" s="21" t="n">
        <f aca="false">IF(AND(N2="بله",L2&gt;تنظیمات!$B$9),1,0)</f>
        <v>0</v>
      </c>
      <c r="AY2" s="21" t="n">
        <f aca="false">IF(Y2="معکوس",1,0)</f>
        <v>0</v>
      </c>
      <c r="AZ2" s="21" t="n">
        <f aca="false">IF(ABS(AJ2)&gt;تنظیمات!$B$10,1,0)</f>
        <v>0</v>
      </c>
      <c r="BA2" s="21" t="n">
        <f aca="false">IF(AND(OR(AD2="رایگان/VIP",AD2="جانباز"),AF2="خیر"),1,0)</f>
        <v>0</v>
      </c>
      <c r="BB2" s="21" t="n">
        <f aca="false">IF(AE2="",0,IF(COUNTIF($AE$2:$AE$1001,AE2)&gt;1,1,0))</f>
        <v>0</v>
      </c>
      <c r="BC2" s="21" t="n">
        <f aca="false">IF(AND(H2="",I2&gt;تنظیمات!$B$12*60,AM2="خالی"),1,0)</f>
        <v>1</v>
      </c>
      <c r="BD2" s="21" t="n">
        <f aca="false">IF(AND(AP2="بله",I2&lt;تنظیمات!$B$14,AO2="خیر"),1,0)</f>
        <v>0</v>
      </c>
      <c r="BE2" s="21" t="n">
        <f aca="false">IF(AN2="خیر",1,0)</f>
        <v>0</v>
      </c>
      <c r="BF2" s="21" t="n">
        <f aca="false">IF(AND(AD2="فیش مفقودی",AQ2="بله",I2&gt;تنظیمات!$B$12*60),1,0)</f>
        <v>0</v>
      </c>
      <c r="BG2" s="21" t="n">
        <f aca="false">IF(AND(AK2&gt;تنظیمات!$B$11,AL2="بله"),1,0)</f>
        <v>0</v>
      </c>
      <c r="BH2" s="21" t="n">
        <f aca="false">MIN(100,AR2*تنظیمات!$B$21+AS2*تنظیمات!$B$22+AT2*تنظیمات!$B$23+AU2*تنظیمات!$B$24+AV2*تنظیمات!$B$25+AW2*تنظیمات!$B$26+AX2*تنظیمات!$B$27+AY2*تنظیمات!$B$28+AZ2*تنظیمات!$B$29+BA2*تنظیمات!$B$30+BB2*تنظیمات!$B$31+BC2*تنظیمات!$B$32+BD2*تنظیمات!$B$33+BE2*تنظیمات!$B$34+BF2*تنظیمات!$B$35+BG2*تنظیمات!$B$36)</f>
        <v>15</v>
      </c>
      <c r="BI2" s="16" t="str">
        <f aca="false">IF(BH2&gt;=60,"بحرانی",IF(BH2&gt;=30,"مشکوک",IF(BH2&gt;0,"هشدار","عادی")))</f>
        <v>هشدار</v>
      </c>
      <c r="BJ2" s="16" t="s">
        <v>341</v>
      </c>
    </row>
    <row r="3" customFormat="false" ht="15" hidden="false" customHeight="false" outlineLevel="0" collapsed="false">
      <c r="A3" s="16" t="s">
        <v>342</v>
      </c>
      <c r="B3" s="16" t="s">
        <v>343</v>
      </c>
      <c r="C3" s="16"/>
      <c r="D3" s="16" t="s">
        <v>344</v>
      </c>
      <c r="E3" s="16" t="s">
        <v>345</v>
      </c>
      <c r="F3" s="16" t="s">
        <v>333</v>
      </c>
      <c r="G3" s="17" t="n">
        <v>46176.4270833333</v>
      </c>
      <c r="H3" s="17"/>
      <c r="I3" s="18" t="n">
        <f aca="false">IF(H3="",ROUND((تنظیمات!$B$7-G3)*1440,0),ROUND((H3-G3)*1440,0))</f>
        <v>171105</v>
      </c>
      <c r="J3" s="16" t="s">
        <v>346</v>
      </c>
      <c r="K3" s="16"/>
      <c r="L3" s="19" t="n">
        <v>0.958</v>
      </c>
      <c r="M3" s="19"/>
      <c r="N3" s="16" t="s">
        <v>335</v>
      </c>
      <c r="O3" s="16"/>
      <c r="P3" s="16"/>
      <c r="Q3" s="20"/>
      <c r="R3" s="16" t="s">
        <v>347</v>
      </c>
      <c r="S3" s="16" t="s">
        <v>337</v>
      </c>
      <c r="T3" s="17"/>
      <c r="U3" s="21" t="n">
        <v>1</v>
      </c>
      <c r="V3" s="21" t="n">
        <v>1</v>
      </c>
      <c r="W3" s="22" t="n">
        <v>4.2</v>
      </c>
      <c r="X3" s="16" t="s">
        <v>335</v>
      </c>
      <c r="Y3" s="16" t="s">
        <v>338</v>
      </c>
      <c r="Z3" s="16"/>
      <c r="AA3" s="16"/>
      <c r="AB3" s="23"/>
      <c r="AC3" s="17"/>
      <c r="AD3" s="16" t="s">
        <v>338</v>
      </c>
      <c r="AE3" s="16"/>
      <c r="AF3" s="16" t="str">
        <f aca="false">IF(COUNTIF(لیست_سفید!$A$2:$A$21,B3)&gt;0,"بله","خیر")</f>
        <v>خیر</v>
      </c>
      <c r="AG3" s="24" t="str">
        <f aca="false">IF(H3="","",IF(AD3="فیش مفقودی",تنظیمات!$B$6,(INT(I3/1440)*تنظیمات!$B$5+IF(MOD(I3,1440)&lt;=تنظیمات!$B$2,0,MIN(تنظیمات!$B$5,تنظیمات!$B$3+MAX(0,ROUNDUP((MOD(I3,1440)-60)/60,0))*تنظیمات!$B$4)))*INDEX(تعرفه!$B$2:$B$7,MATCH(AD3,تعرفه!$A$2:$A$7,0))))</f>
        <v/>
      </c>
      <c r="AH3" s="24"/>
      <c r="AI3" s="24" t="str">
        <f aca="false">IF(AG3="","",AH3-AG3)</f>
        <v/>
      </c>
      <c r="AJ3" s="21" t="n">
        <v>0</v>
      </c>
      <c r="AK3" s="21" t="n">
        <v>0</v>
      </c>
      <c r="AL3" s="16" t="s">
        <v>335</v>
      </c>
      <c r="AM3" s="16" t="s">
        <v>339</v>
      </c>
      <c r="AN3" s="16" t="s">
        <v>340</v>
      </c>
      <c r="AO3" s="16" t="s">
        <v>340</v>
      </c>
      <c r="AP3" s="16" t="s">
        <v>335</v>
      </c>
      <c r="AQ3" s="16"/>
      <c r="AR3" s="21" t="n">
        <f aca="false">IF(AND(T3&lt;&gt;"",H3&lt;&gt;""),IF(AND((T3-H3)*86400&gt;=0,(T3-H3)*86400&lt;تنظیمات!$B$13),1,0),0)</f>
        <v>0</v>
      </c>
      <c r="AS3" s="21" t="n">
        <f aca="false">IF(Z3="پوز",IF(OR(AB3="",COUNTIF(پوزها!$A$2:$A$5,AA3)=0),1,0),0)</f>
        <v>0</v>
      </c>
      <c r="AT3" s="21" t="n">
        <f aca="false">IF(AI3="",0,IF(AI3&gt;0,1,0))</f>
        <v>0</v>
      </c>
      <c r="AU3" s="21" t="n">
        <f aca="false">IF(AI3="",0,IF(AI3&lt;0,1,0))</f>
        <v>0</v>
      </c>
      <c r="AV3" s="21" t="n">
        <f aca="false">IF(U3&gt;V3,1,0)</f>
        <v>0</v>
      </c>
      <c r="AW3" s="21" t="n">
        <f aca="false">IF(OR(W3&gt;تنظیمات!$B$8,X3="بله"),1,0)</f>
        <v>0</v>
      </c>
      <c r="AX3" s="21" t="n">
        <f aca="false">IF(AND(N3="بله",L3&gt;تنظیمات!$B$9),1,0)</f>
        <v>0</v>
      </c>
      <c r="AY3" s="21" t="n">
        <f aca="false">IF(Y3="معکوس",1,0)</f>
        <v>0</v>
      </c>
      <c r="AZ3" s="21" t="n">
        <f aca="false">IF(ABS(AJ3)&gt;تنظیمات!$B$10,1,0)</f>
        <v>0</v>
      </c>
      <c r="BA3" s="21" t="n">
        <f aca="false">IF(AND(OR(AD3="رایگان/VIP",AD3="جانباز"),AF3="خیر"),1,0)</f>
        <v>0</v>
      </c>
      <c r="BB3" s="21" t="n">
        <f aca="false">IF(AE3="",0,IF(COUNTIF($AE$2:$AE$1001,AE3)&gt;1,1,0))</f>
        <v>0</v>
      </c>
      <c r="BC3" s="21" t="n">
        <f aca="false">IF(AND(H3="",I3&gt;تنظیمات!$B$12*60,AM3="خالی"),1,0)</f>
        <v>1</v>
      </c>
      <c r="BD3" s="21" t="n">
        <f aca="false">IF(AND(AP3="بله",I3&lt;تنظیمات!$B$14,AO3="خیر"),1,0)</f>
        <v>0</v>
      </c>
      <c r="BE3" s="21" t="n">
        <f aca="false">IF(AN3="خیر",1,0)</f>
        <v>0</v>
      </c>
      <c r="BF3" s="21" t="n">
        <f aca="false">IF(AND(AD3="فیش مفقودی",AQ3="بله",I3&gt;تنظیمات!$B$12*60),1,0)</f>
        <v>0</v>
      </c>
      <c r="BG3" s="21" t="n">
        <f aca="false">IF(AND(AK3&gt;تنظیمات!$B$11,AL3="بله"),1,0)</f>
        <v>0</v>
      </c>
      <c r="BH3" s="21" t="n">
        <f aca="false">MIN(100,AR3*تنظیمات!$B$21+AS3*تنظیمات!$B$22+AT3*تنظیمات!$B$23+AU3*تنظیمات!$B$24+AV3*تنظیمات!$B$25+AW3*تنظیمات!$B$26+AX3*تنظیمات!$B$27+AY3*تنظیمات!$B$28+AZ3*تنظیمات!$B$29+BA3*تنظیمات!$B$30+BB3*تنظیمات!$B$31+BC3*تنظیمات!$B$32+BD3*تنظیمات!$B$33+BE3*تنظیمات!$B$34+BF3*تنظیمات!$B$35+BG3*تنظیمات!$B$36)</f>
        <v>15</v>
      </c>
      <c r="BI3" s="16" t="str">
        <f aca="false">IF(BH3&gt;=60,"بحرانی",IF(BH3&gt;=30,"مشکوک",IF(BH3&gt;0,"هشدار","عادی")))</f>
        <v>هشدار</v>
      </c>
      <c r="BJ3" s="16" t="s">
        <v>341</v>
      </c>
    </row>
    <row r="4" customFormat="false" ht="15" hidden="false" customHeight="false" outlineLevel="0" collapsed="false">
      <c r="A4" s="16" t="s">
        <v>348</v>
      </c>
      <c r="B4" s="16" t="s">
        <v>349</v>
      </c>
      <c r="C4" s="16"/>
      <c r="D4" s="16" t="s">
        <v>350</v>
      </c>
      <c r="E4" s="16" t="s">
        <v>351</v>
      </c>
      <c r="F4" s="16" t="s">
        <v>333</v>
      </c>
      <c r="G4" s="17" t="n">
        <v>46195.8861111111</v>
      </c>
      <c r="H4" s="17"/>
      <c r="I4" s="18" t="n">
        <f aca="false">IF(H4="",ROUND((تنظیمات!$B$7-G4)*1440,0),ROUND((H4-G4)*1440,0))</f>
        <v>143084</v>
      </c>
      <c r="J4" s="16" t="s">
        <v>334</v>
      </c>
      <c r="K4" s="16"/>
      <c r="L4" s="19" t="n">
        <v>0.976</v>
      </c>
      <c r="M4" s="19"/>
      <c r="N4" s="16" t="s">
        <v>335</v>
      </c>
      <c r="O4" s="16"/>
      <c r="P4" s="16"/>
      <c r="Q4" s="20"/>
      <c r="R4" s="16" t="s">
        <v>352</v>
      </c>
      <c r="S4" s="16" t="s">
        <v>337</v>
      </c>
      <c r="T4" s="17"/>
      <c r="U4" s="21" t="n">
        <v>1</v>
      </c>
      <c r="V4" s="21" t="n">
        <v>1</v>
      </c>
      <c r="W4" s="22" t="n">
        <v>6.2</v>
      </c>
      <c r="X4" s="16" t="s">
        <v>335</v>
      </c>
      <c r="Y4" s="16" t="s">
        <v>338</v>
      </c>
      <c r="Z4" s="16"/>
      <c r="AA4" s="16"/>
      <c r="AB4" s="23"/>
      <c r="AC4" s="17"/>
      <c r="AD4" s="16" t="s">
        <v>338</v>
      </c>
      <c r="AE4" s="16"/>
      <c r="AF4" s="16" t="str">
        <f aca="false">IF(COUNTIF(لیست_سفید!$A$2:$A$21,B4)&gt;0,"بله","خیر")</f>
        <v>خیر</v>
      </c>
      <c r="AG4" s="24" t="str">
        <f aca="false">IF(H4="","",IF(AD4="فیش مفقودی",تنظیمات!$B$6,(INT(I4/1440)*تنظیمات!$B$5+IF(MOD(I4,1440)&lt;=تنظیمات!$B$2,0,MIN(تنظیمات!$B$5,تنظیمات!$B$3+MAX(0,ROUNDUP((MOD(I4,1440)-60)/60,0))*تنظیمات!$B$4)))*INDEX(تعرفه!$B$2:$B$7,MATCH(AD4,تعرفه!$A$2:$A$7,0))))</f>
        <v/>
      </c>
      <c r="AH4" s="24"/>
      <c r="AI4" s="24" t="str">
        <f aca="false">IF(AG4="","",AH4-AG4)</f>
        <v/>
      </c>
      <c r="AJ4" s="21" t="n">
        <v>0</v>
      </c>
      <c r="AK4" s="21" t="n">
        <v>0</v>
      </c>
      <c r="AL4" s="16" t="s">
        <v>335</v>
      </c>
      <c r="AM4" s="16" t="s">
        <v>339</v>
      </c>
      <c r="AN4" s="16" t="s">
        <v>340</v>
      </c>
      <c r="AO4" s="16" t="s">
        <v>340</v>
      </c>
      <c r="AP4" s="16" t="s">
        <v>335</v>
      </c>
      <c r="AQ4" s="16"/>
      <c r="AR4" s="21" t="n">
        <f aca="false">IF(AND(T4&lt;&gt;"",H4&lt;&gt;""),IF(AND((T4-H4)*86400&gt;=0,(T4-H4)*86400&lt;تنظیمات!$B$13),1,0),0)</f>
        <v>0</v>
      </c>
      <c r="AS4" s="21" t="n">
        <f aca="false">IF(Z4="پوز",IF(OR(AB4="",COUNTIF(پوزها!$A$2:$A$5,AA4)=0),1,0),0)</f>
        <v>0</v>
      </c>
      <c r="AT4" s="21" t="n">
        <f aca="false">IF(AI4="",0,IF(AI4&gt;0,1,0))</f>
        <v>0</v>
      </c>
      <c r="AU4" s="21" t="n">
        <f aca="false">IF(AI4="",0,IF(AI4&lt;0,1,0))</f>
        <v>0</v>
      </c>
      <c r="AV4" s="21" t="n">
        <f aca="false">IF(U4&gt;V4,1,0)</f>
        <v>0</v>
      </c>
      <c r="AW4" s="21" t="n">
        <f aca="false">IF(OR(W4&gt;تنظیمات!$B$8,X4="بله"),1,0)</f>
        <v>0</v>
      </c>
      <c r="AX4" s="21" t="n">
        <f aca="false">IF(AND(N4="بله",L4&gt;تنظیمات!$B$9),1,0)</f>
        <v>0</v>
      </c>
      <c r="AY4" s="21" t="n">
        <f aca="false">IF(Y4="معکوس",1,0)</f>
        <v>0</v>
      </c>
      <c r="AZ4" s="21" t="n">
        <f aca="false">IF(ABS(AJ4)&gt;تنظیمات!$B$10,1,0)</f>
        <v>0</v>
      </c>
      <c r="BA4" s="21" t="n">
        <f aca="false">IF(AND(OR(AD4="رایگان/VIP",AD4="جانباز"),AF4="خیر"),1,0)</f>
        <v>0</v>
      </c>
      <c r="BB4" s="21" t="n">
        <f aca="false">IF(AE4="",0,IF(COUNTIF($AE$2:$AE$1001,AE4)&gt;1,1,0))</f>
        <v>0</v>
      </c>
      <c r="BC4" s="21" t="n">
        <f aca="false">IF(AND(H4="",I4&gt;تنظیمات!$B$12*60,AM4="خالی"),1,0)</f>
        <v>1</v>
      </c>
      <c r="BD4" s="21" t="n">
        <f aca="false">IF(AND(AP4="بله",I4&lt;تنظیمات!$B$14,AO4="خیر"),1,0)</f>
        <v>0</v>
      </c>
      <c r="BE4" s="21" t="n">
        <f aca="false">IF(AN4="خیر",1,0)</f>
        <v>0</v>
      </c>
      <c r="BF4" s="21" t="n">
        <f aca="false">IF(AND(AD4="فیش مفقودی",AQ4="بله",I4&gt;تنظیمات!$B$12*60),1,0)</f>
        <v>0</v>
      </c>
      <c r="BG4" s="21" t="n">
        <f aca="false">IF(AND(AK4&gt;تنظیمات!$B$11,AL4="بله"),1,0)</f>
        <v>0</v>
      </c>
      <c r="BH4" s="21" t="n">
        <f aca="false">MIN(100,AR4*تنظیمات!$B$21+AS4*تنظیمات!$B$22+AT4*تنظیمات!$B$23+AU4*تنظیمات!$B$24+AV4*تنظیمات!$B$25+AW4*تنظیمات!$B$26+AX4*تنظیمات!$B$27+AY4*تنظیمات!$B$28+AZ4*تنظیمات!$B$29+BA4*تنظیمات!$B$30+BB4*تنظیمات!$B$31+BC4*تنظیمات!$B$32+BD4*تنظیمات!$B$33+BE4*تنظیمات!$B$34+BF4*تنظیمات!$B$35+BG4*تنظیمات!$B$36)</f>
        <v>15</v>
      </c>
      <c r="BI4" s="16" t="str">
        <f aca="false">IF(BH4&gt;=60,"بحرانی",IF(BH4&gt;=30,"مشکوک",IF(BH4&gt;0,"هشدار","عادی")))</f>
        <v>هشدار</v>
      </c>
      <c r="BJ4" s="16" t="s">
        <v>341</v>
      </c>
    </row>
    <row r="5" customFormat="false" ht="15" hidden="false" customHeight="false" outlineLevel="0" collapsed="false">
      <c r="A5" s="16" t="s">
        <v>353</v>
      </c>
      <c r="B5" s="16" t="s">
        <v>354</v>
      </c>
      <c r="C5" s="16"/>
      <c r="D5" s="16" t="s">
        <v>350</v>
      </c>
      <c r="E5" s="16" t="s">
        <v>345</v>
      </c>
      <c r="F5" s="16" t="s">
        <v>333</v>
      </c>
      <c r="G5" s="17" t="n">
        <v>46199.2472222222</v>
      </c>
      <c r="H5" s="17"/>
      <c r="I5" s="18" t="n">
        <f aca="false">IF(H5="",ROUND((تنظیمات!$B$7-G5)*1440,0),ROUND((H5-G5)*1440,0))</f>
        <v>138244</v>
      </c>
      <c r="J5" s="16" t="s">
        <v>334</v>
      </c>
      <c r="K5" s="16"/>
      <c r="L5" s="19" t="n">
        <v>0.972</v>
      </c>
      <c r="M5" s="19"/>
      <c r="N5" s="16" t="s">
        <v>335</v>
      </c>
      <c r="O5" s="16"/>
      <c r="P5" s="16"/>
      <c r="Q5" s="20"/>
      <c r="R5" s="16" t="s">
        <v>355</v>
      </c>
      <c r="S5" s="16" t="s">
        <v>337</v>
      </c>
      <c r="T5" s="17"/>
      <c r="U5" s="21" t="n">
        <v>1</v>
      </c>
      <c r="V5" s="21" t="n">
        <v>1</v>
      </c>
      <c r="W5" s="22" t="n">
        <v>7.3</v>
      </c>
      <c r="X5" s="16" t="s">
        <v>335</v>
      </c>
      <c r="Y5" s="16" t="s">
        <v>338</v>
      </c>
      <c r="Z5" s="16"/>
      <c r="AA5" s="16"/>
      <c r="AB5" s="23"/>
      <c r="AC5" s="17"/>
      <c r="AD5" s="16" t="s">
        <v>338</v>
      </c>
      <c r="AE5" s="16"/>
      <c r="AF5" s="16" t="str">
        <f aca="false">IF(COUNTIF(لیست_سفید!$A$2:$A$21,B5)&gt;0,"بله","خیر")</f>
        <v>خیر</v>
      </c>
      <c r="AG5" s="24" t="str">
        <f aca="false">IF(H5="","",IF(AD5="فیش مفقودی",تنظیمات!$B$6,(INT(I5/1440)*تنظیمات!$B$5+IF(MOD(I5,1440)&lt;=تنظیمات!$B$2,0,MIN(تنظیمات!$B$5,تنظیمات!$B$3+MAX(0,ROUNDUP((MOD(I5,1440)-60)/60,0))*تنظیمات!$B$4)))*INDEX(تعرفه!$B$2:$B$7,MATCH(AD5,تعرفه!$A$2:$A$7,0))))</f>
        <v/>
      </c>
      <c r="AH5" s="24"/>
      <c r="AI5" s="24" t="str">
        <f aca="false">IF(AG5="","",AH5-AG5)</f>
        <v/>
      </c>
      <c r="AJ5" s="21" t="n">
        <v>-1</v>
      </c>
      <c r="AK5" s="21" t="n">
        <v>0</v>
      </c>
      <c r="AL5" s="16" t="s">
        <v>335</v>
      </c>
      <c r="AM5" s="16" t="s">
        <v>339</v>
      </c>
      <c r="AN5" s="16" t="s">
        <v>340</v>
      </c>
      <c r="AO5" s="16" t="s">
        <v>340</v>
      </c>
      <c r="AP5" s="16" t="s">
        <v>335</v>
      </c>
      <c r="AQ5" s="16"/>
      <c r="AR5" s="21" t="n">
        <f aca="false">IF(AND(T5&lt;&gt;"",H5&lt;&gt;""),IF(AND((T5-H5)*86400&gt;=0,(T5-H5)*86400&lt;تنظیمات!$B$13),1,0),0)</f>
        <v>0</v>
      </c>
      <c r="AS5" s="21" t="n">
        <f aca="false">IF(Z5="پوز",IF(OR(AB5="",COUNTIF(پوزها!$A$2:$A$5,AA5)=0),1,0),0)</f>
        <v>0</v>
      </c>
      <c r="AT5" s="21" t="n">
        <f aca="false">IF(AI5="",0,IF(AI5&gt;0,1,0))</f>
        <v>0</v>
      </c>
      <c r="AU5" s="21" t="n">
        <f aca="false">IF(AI5="",0,IF(AI5&lt;0,1,0))</f>
        <v>0</v>
      </c>
      <c r="AV5" s="21" t="n">
        <f aca="false">IF(U5&gt;V5,1,0)</f>
        <v>0</v>
      </c>
      <c r="AW5" s="21" t="n">
        <f aca="false">IF(OR(W5&gt;تنظیمات!$B$8,X5="بله"),1,0)</f>
        <v>0</v>
      </c>
      <c r="AX5" s="21" t="n">
        <f aca="false">IF(AND(N5="بله",L5&gt;تنظیمات!$B$9),1,0)</f>
        <v>0</v>
      </c>
      <c r="AY5" s="21" t="n">
        <f aca="false">IF(Y5="معکوس",1,0)</f>
        <v>0</v>
      </c>
      <c r="AZ5" s="21" t="n">
        <f aca="false">IF(ABS(AJ5)&gt;تنظیمات!$B$10,1,0)</f>
        <v>0</v>
      </c>
      <c r="BA5" s="21" t="n">
        <f aca="false">IF(AND(OR(AD5="رایگان/VIP",AD5="جانباز"),AF5="خیر"),1,0)</f>
        <v>0</v>
      </c>
      <c r="BB5" s="21" t="n">
        <f aca="false">IF(AE5="",0,IF(COUNTIF($AE$2:$AE$1001,AE5)&gt;1,1,0))</f>
        <v>0</v>
      </c>
      <c r="BC5" s="21" t="n">
        <f aca="false">IF(AND(H5="",I5&gt;تنظیمات!$B$12*60,AM5="خالی"),1,0)</f>
        <v>1</v>
      </c>
      <c r="BD5" s="21" t="n">
        <f aca="false">IF(AND(AP5="بله",I5&lt;تنظیمات!$B$14,AO5="خیر"),1,0)</f>
        <v>0</v>
      </c>
      <c r="BE5" s="21" t="n">
        <f aca="false">IF(AN5="خیر",1,0)</f>
        <v>0</v>
      </c>
      <c r="BF5" s="21" t="n">
        <f aca="false">IF(AND(AD5="فیش مفقودی",AQ5="بله",I5&gt;تنظیمات!$B$12*60),1,0)</f>
        <v>0</v>
      </c>
      <c r="BG5" s="21" t="n">
        <f aca="false">IF(AND(AK5&gt;تنظیمات!$B$11,AL5="بله"),1,0)</f>
        <v>0</v>
      </c>
      <c r="BH5" s="21" t="n">
        <f aca="false">MIN(100,AR5*تنظیمات!$B$21+AS5*تنظیمات!$B$22+AT5*تنظیمات!$B$23+AU5*تنظیمات!$B$24+AV5*تنظیمات!$B$25+AW5*تنظیمات!$B$26+AX5*تنظیمات!$B$27+AY5*تنظیمات!$B$28+AZ5*تنظیمات!$B$29+BA5*تنظیمات!$B$30+BB5*تنظیمات!$B$31+BC5*تنظیمات!$B$32+BD5*تنظیمات!$B$33+BE5*تنظیمات!$B$34+BF5*تنظیمات!$B$35+BG5*تنظیمات!$B$36)</f>
        <v>15</v>
      </c>
      <c r="BI5" s="16" t="str">
        <f aca="false">IF(BH5&gt;=60,"بحرانی",IF(BH5&gt;=30,"مشکوک",IF(BH5&gt;0,"هشدار","عادی")))</f>
        <v>هشدار</v>
      </c>
      <c r="BJ5" s="16" t="s">
        <v>341</v>
      </c>
    </row>
    <row r="6" customFormat="false" ht="15" hidden="false" customHeight="false" outlineLevel="0" collapsed="false">
      <c r="A6" s="16" t="s">
        <v>356</v>
      </c>
      <c r="B6" s="16" t="s">
        <v>357</v>
      </c>
      <c r="C6" s="16"/>
      <c r="D6" s="16" t="s">
        <v>358</v>
      </c>
      <c r="E6" s="16" t="s">
        <v>351</v>
      </c>
      <c r="F6" s="16" t="s">
        <v>359</v>
      </c>
      <c r="G6" s="17" t="n">
        <v>46202.84375</v>
      </c>
      <c r="H6" s="17"/>
      <c r="I6" s="18" t="n">
        <f aca="false">IF(H6="",ROUND((تنظیمات!$B$7-G6)*1440,0),ROUND((H6-G6)*1440,0))</f>
        <v>133065</v>
      </c>
      <c r="J6" s="16" t="s">
        <v>346</v>
      </c>
      <c r="K6" s="16"/>
      <c r="L6" s="19" t="n">
        <v>0.931</v>
      </c>
      <c r="M6" s="19"/>
      <c r="N6" s="16" t="s">
        <v>335</v>
      </c>
      <c r="O6" s="16"/>
      <c r="P6" s="16"/>
      <c r="Q6" s="20"/>
      <c r="R6" s="16" t="s">
        <v>360</v>
      </c>
      <c r="S6" s="16" t="s">
        <v>337</v>
      </c>
      <c r="T6" s="17"/>
      <c r="U6" s="21" t="n">
        <v>1</v>
      </c>
      <c r="V6" s="21" t="n">
        <v>1</v>
      </c>
      <c r="W6" s="22" t="n">
        <v>5.6</v>
      </c>
      <c r="X6" s="16" t="s">
        <v>335</v>
      </c>
      <c r="Y6" s="16" t="s">
        <v>338</v>
      </c>
      <c r="Z6" s="16"/>
      <c r="AA6" s="16"/>
      <c r="AB6" s="23"/>
      <c r="AC6" s="17"/>
      <c r="AD6" s="16" t="s">
        <v>338</v>
      </c>
      <c r="AE6" s="16"/>
      <c r="AF6" s="16" t="str">
        <f aca="false">IF(COUNTIF(لیست_سفید!$A$2:$A$21,B6)&gt;0,"بله","خیر")</f>
        <v>خیر</v>
      </c>
      <c r="AG6" s="24" t="str">
        <f aca="false">IF(H6="","",IF(AD6="فیش مفقودی",تنظیمات!$B$6,(INT(I6/1440)*تنظیمات!$B$5+IF(MOD(I6,1440)&lt;=تنظیمات!$B$2,0,MIN(تنظیمات!$B$5,تنظیمات!$B$3+MAX(0,ROUNDUP((MOD(I6,1440)-60)/60,0))*تنظیمات!$B$4)))*INDEX(تعرفه!$B$2:$B$7,MATCH(AD6,تعرفه!$A$2:$A$7,0))))</f>
        <v/>
      </c>
      <c r="AH6" s="24"/>
      <c r="AI6" s="24" t="str">
        <f aca="false">IF(AG6="","",AH6-AG6)</f>
        <v/>
      </c>
      <c r="AJ6" s="21" t="n">
        <v>1</v>
      </c>
      <c r="AK6" s="21" t="n">
        <v>0</v>
      </c>
      <c r="AL6" s="16" t="s">
        <v>335</v>
      </c>
      <c r="AM6" s="16" t="s">
        <v>339</v>
      </c>
      <c r="AN6" s="16" t="s">
        <v>340</v>
      </c>
      <c r="AO6" s="16" t="s">
        <v>340</v>
      </c>
      <c r="AP6" s="16" t="s">
        <v>335</v>
      </c>
      <c r="AQ6" s="16"/>
      <c r="AR6" s="21" t="n">
        <f aca="false">IF(AND(T6&lt;&gt;"",H6&lt;&gt;""),IF(AND((T6-H6)*86400&gt;=0,(T6-H6)*86400&lt;تنظیمات!$B$13),1,0),0)</f>
        <v>0</v>
      </c>
      <c r="AS6" s="21" t="n">
        <f aca="false">IF(Z6="پوز",IF(OR(AB6="",COUNTIF(پوزها!$A$2:$A$5,AA6)=0),1,0),0)</f>
        <v>0</v>
      </c>
      <c r="AT6" s="21" t="n">
        <f aca="false">IF(AI6="",0,IF(AI6&gt;0,1,0))</f>
        <v>0</v>
      </c>
      <c r="AU6" s="21" t="n">
        <f aca="false">IF(AI6="",0,IF(AI6&lt;0,1,0))</f>
        <v>0</v>
      </c>
      <c r="AV6" s="21" t="n">
        <f aca="false">IF(U6&gt;V6,1,0)</f>
        <v>0</v>
      </c>
      <c r="AW6" s="21" t="n">
        <f aca="false">IF(OR(W6&gt;تنظیمات!$B$8,X6="بله"),1,0)</f>
        <v>0</v>
      </c>
      <c r="AX6" s="21" t="n">
        <f aca="false">IF(AND(N6="بله",L6&gt;تنظیمات!$B$9),1,0)</f>
        <v>0</v>
      </c>
      <c r="AY6" s="21" t="n">
        <f aca="false">IF(Y6="معکوس",1,0)</f>
        <v>0</v>
      </c>
      <c r="AZ6" s="21" t="n">
        <f aca="false">IF(ABS(AJ6)&gt;تنظیمات!$B$10,1,0)</f>
        <v>0</v>
      </c>
      <c r="BA6" s="21" t="n">
        <f aca="false">IF(AND(OR(AD6="رایگان/VIP",AD6="جانباز"),AF6="خیر"),1,0)</f>
        <v>0</v>
      </c>
      <c r="BB6" s="21" t="n">
        <f aca="false">IF(AE6="",0,IF(COUNTIF($AE$2:$AE$1001,AE6)&gt;1,1,0))</f>
        <v>0</v>
      </c>
      <c r="BC6" s="21" t="n">
        <f aca="false">IF(AND(H6="",I6&gt;تنظیمات!$B$12*60,AM6="خالی"),1,0)</f>
        <v>1</v>
      </c>
      <c r="BD6" s="21" t="n">
        <f aca="false">IF(AND(AP6="بله",I6&lt;تنظیمات!$B$14,AO6="خیر"),1,0)</f>
        <v>0</v>
      </c>
      <c r="BE6" s="21" t="n">
        <f aca="false">IF(AN6="خیر",1,0)</f>
        <v>0</v>
      </c>
      <c r="BF6" s="21" t="n">
        <f aca="false">IF(AND(AD6="فیش مفقودی",AQ6="بله",I6&gt;تنظیمات!$B$12*60),1,0)</f>
        <v>0</v>
      </c>
      <c r="BG6" s="21" t="n">
        <f aca="false">IF(AND(AK6&gt;تنظیمات!$B$11,AL6="بله"),1,0)</f>
        <v>0</v>
      </c>
      <c r="BH6" s="21" t="n">
        <f aca="false">MIN(100,AR6*تنظیمات!$B$21+AS6*تنظیمات!$B$22+AT6*تنظیمات!$B$23+AU6*تنظیمات!$B$24+AV6*تنظیمات!$B$25+AW6*تنظیمات!$B$26+AX6*تنظیمات!$B$27+AY6*تنظیمات!$B$28+AZ6*تنظیمات!$B$29+BA6*تنظیمات!$B$30+BB6*تنظیمات!$B$31+BC6*تنظیمات!$B$32+BD6*تنظیمات!$B$33+BE6*تنظیمات!$B$34+BF6*تنظیمات!$B$35+BG6*تنظیمات!$B$36)</f>
        <v>15</v>
      </c>
      <c r="BI6" s="16" t="str">
        <f aca="false">IF(BH6&gt;=60,"بحرانی",IF(BH6&gt;=30,"مشکوک",IF(BH6&gt;0,"هشدار","عادی")))</f>
        <v>هشدار</v>
      </c>
      <c r="BJ6" s="16" t="s">
        <v>341</v>
      </c>
    </row>
    <row r="7" customFormat="false" ht="15" hidden="false" customHeight="false" outlineLevel="0" collapsed="false">
      <c r="A7" s="16" t="s">
        <v>361</v>
      </c>
      <c r="B7" s="16" t="s">
        <v>362</v>
      </c>
      <c r="C7" s="16"/>
      <c r="D7" s="16" t="s">
        <v>331</v>
      </c>
      <c r="E7" s="16" t="s">
        <v>363</v>
      </c>
      <c r="F7" s="16" t="s">
        <v>333</v>
      </c>
      <c r="G7" s="17" t="n">
        <v>46204.6020833333</v>
      </c>
      <c r="H7" s="17"/>
      <c r="I7" s="18" t="n">
        <f aca="false">IF(H7="",ROUND((تنظیمات!$B$7-G7)*1440,0),ROUND((H7-G7)*1440,0))</f>
        <v>130533</v>
      </c>
      <c r="J7" s="16" t="s">
        <v>346</v>
      </c>
      <c r="K7" s="16"/>
      <c r="L7" s="19" t="n">
        <v>0.927</v>
      </c>
      <c r="M7" s="19"/>
      <c r="N7" s="16" t="s">
        <v>335</v>
      </c>
      <c r="O7" s="16"/>
      <c r="P7" s="16"/>
      <c r="Q7" s="20"/>
      <c r="R7" s="16" t="s">
        <v>364</v>
      </c>
      <c r="S7" s="16" t="s">
        <v>337</v>
      </c>
      <c r="T7" s="17"/>
      <c r="U7" s="21" t="n">
        <v>1</v>
      </c>
      <c r="V7" s="21" t="n">
        <v>1</v>
      </c>
      <c r="W7" s="22" t="n">
        <v>6.2</v>
      </c>
      <c r="X7" s="16" t="s">
        <v>335</v>
      </c>
      <c r="Y7" s="16" t="s">
        <v>338</v>
      </c>
      <c r="Z7" s="16"/>
      <c r="AA7" s="16"/>
      <c r="AB7" s="23"/>
      <c r="AC7" s="17"/>
      <c r="AD7" s="16" t="s">
        <v>338</v>
      </c>
      <c r="AE7" s="16"/>
      <c r="AF7" s="16" t="str">
        <f aca="false">IF(COUNTIF(لیست_سفید!$A$2:$A$21,B7)&gt;0,"بله","خیر")</f>
        <v>خیر</v>
      </c>
      <c r="AG7" s="24" t="str">
        <f aca="false">IF(H7="","",IF(AD7="فیش مفقودی",تنظیمات!$B$6,(INT(I7/1440)*تنظیمات!$B$5+IF(MOD(I7,1440)&lt;=تنظیمات!$B$2,0,MIN(تنظیمات!$B$5,تنظیمات!$B$3+MAX(0,ROUNDUP((MOD(I7,1440)-60)/60,0))*تنظیمات!$B$4)))*INDEX(تعرفه!$B$2:$B$7,MATCH(AD7,تعرفه!$A$2:$A$7,0))))</f>
        <v/>
      </c>
      <c r="AH7" s="24"/>
      <c r="AI7" s="24" t="str">
        <f aca="false">IF(AG7="","",AH7-AG7)</f>
        <v/>
      </c>
      <c r="AJ7" s="21" t="n">
        <v>3</v>
      </c>
      <c r="AK7" s="21" t="n">
        <v>0</v>
      </c>
      <c r="AL7" s="16" t="s">
        <v>335</v>
      </c>
      <c r="AM7" s="16" t="s">
        <v>339</v>
      </c>
      <c r="AN7" s="16" t="s">
        <v>340</v>
      </c>
      <c r="AO7" s="16" t="s">
        <v>340</v>
      </c>
      <c r="AP7" s="16" t="s">
        <v>335</v>
      </c>
      <c r="AQ7" s="16"/>
      <c r="AR7" s="21" t="n">
        <f aca="false">IF(AND(T7&lt;&gt;"",H7&lt;&gt;""),IF(AND((T7-H7)*86400&gt;=0,(T7-H7)*86400&lt;تنظیمات!$B$13),1,0),0)</f>
        <v>0</v>
      </c>
      <c r="AS7" s="21" t="n">
        <f aca="false">IF(Z7="پوز",IF(OR(AB7="",COUNTIF(پوزها!$A$2:$A$5,AA7)=0),1,0),0)</f>
        <v>0</v>
      </c>
      <c r="AT7" s="21" t="n">
        <f aca="false">IF(AI7="",0,IF(AI7&gt;0,1,0))</f>
        <v>0</v>
      </c>
      <c r="AU7" s="21" t="n">
        <f aca="false">IF(AI7="",0,IF(AI7&lt;0,1,0))</f>
        <v>0</v>
      </c>
      <c r="AV7" s="21" t="n">
        <f aca="false">IF(U7&gt;V7,1,0)</f>
        <v>0</v>
      </c>
      <c r="AW7" s="21" t="n">
        <f aca="false">IF(OR(W7&gt;تنظیمات!$B$8,X7="بله"),1,0)</f>
        <v>0</v>
      </c>
      <c r="AX7" s="21" t="n">
        <f aca="false">IF(AND(N7="بله",L7&gt;تنظیمات!$B$9),1,0)</f>
        <v>0</v>
      </c>
      <c r="AY7" s="21" t="n">
        <f aca="false">IF(Y7="معکوس",1,0)</f>
        <v>0</v>
      </c>
      <c r="AZ7" s="21" t="n">
        <f aca="false">IF(ABS(AJ7)&gt;تنظیمات!$B$10,1,0)</f>
        <v>0</v>
      </c>
      <c r="BA7" s="21" t="n">
        <f aca="false">IF(AND(OR(AD7="رایگان/VIP",AD7="جانباز"),AF7="خیر"),1,0)</f>
        <v>0</v>
      </c>
      <c r="BB7" s="21" t="n">
        <f aca="false">IF(AE7="",0,IF(COUNTIF($AE$2:$AE$1001,AE7)&gt;1,1,0))</f>
        <v>0</v>
      </c>
      <c r="BC7" s="21" t="n">
        <f aca="false">IF(AND(H7="",I7&gt;تنظیمات!$B$12*60,AM7="خالی"),1,0)</f>
        <v>1</v>
      </c>
      <c r="BD7" s="21" t="n">
        <f aca="false">IF(AND(AP7="بله",I7&lt;تنظیمات!$B$14,AO7="خیر"),1,0)</f>
        <v>0</v>
      </c>
      <c r="BE7" s="21" t="n">
        <f aca="false">IF(AN7="خیر",1,0)</f>
        <v>0</v>
      </c>
      <c r="BF7" s="21" t="n">
        <f aca="false">IF(AND(AD7="فیش مفقودی",AQ7="بله",I7&gt;تنظیمات!$B$12*60),1,0)</f>
        <v>0</v>
      </c>
      <c r="BG7" s="21" t="n">
        <f aca="false">IF(AND(AK7&gt;تنظیمات!$B$11,AL7="بله"),1,0)</f>
        <v>0</v>
      </c>
      <c r="BH7" s="21" t="n">
        <f aca="false">MIN(100,AR7*تنظیمات!$B$21+AS7*تنظیمات!$B$22+AT7*تنظیمات!$B$23+AU7*تنظیمات!$B$24+AV7*تنظیمات!$B$25+AW7*تنظیمات!$B$26+AX7*تنظیمات!$B$27+AY7*تنظیمات!$B$28+AZ7*تنظیمات!$B$29+BA7*تنظیمات!$B$30+BB7*تنظیمات!$B$31+BC7*تنظیمات!$B$32+BD7*تنظیمات!$B$33+BE7*تنظیمات!$B$34+BF7*تنظیمات!$B$35+BG7*تنظیمات!$B$36)</f>
        <v>15</v>
      </c>
      <c r="BI7" s="16" t="str">
        <f aca="false">IF(BH7&gt;=60,"بحرانی",IF(BH7&gt;=30,"مشکوک",IF(BH7&gt;0,"هشدار","عادی")))</f>
        <v>هشدار</v>
      </c>
      <c r="BJ7" s="16" t="s">
        <v>341</v>
      </c>
    </row>
    <row r="8" customFormat="false" ht="15" hidden="false" customHeight="false" outlineLevel="0" collapsed="false">
      <c r="A8" s="16" t="s">
        <v>365</v>
      </c>
      <c r="B8" s="16" t="s">
        <v>366</v>
      </c>
      <c r="C8" s="16"/>
      <c r="D8" s="16" t="s">
        <v>344</v>
      </c>
      <c r="E8" s="16" t="s">
        <v>345</v>
      </c>
      <c r="F8" s="16" t="s">
        <v>333</v>
      </c>
      <c r="G8" s="17" t="n">
        <v>46204.9965277778</v>
      </c>
      <c r="H8" s="17"/>
      <c r="I8" s="18" t="n">
        <f aca="false">IF(H8="",ROUND((تنظیمات!$B$7-G8)*1440,0),ROUND((H8-G8)*1440,0))</f>
        <v>129965</v>
      </c>
      <c r="J8" s="16" t="s">
        <v>346</v>
      </c>
      <c r="K8" s="16"/>
      <c r="L8" s="19" t="n">
        <v>0.885</v>
      </c>
      <c r="M8" s="19"/>
      <c r="N8" s="16" t="s">
        <v>335</v>
      </c>
      <c r="O8" s="16"/>
      <c r="P8" s="16"/>
      <c r="Q8" s="20"/>
      <c r="R8" s="16" t="s">
        <v>367</v>
      </c>
      <c r="S8" s="16" t="s">
        <v>337</v>
      </c>
      <c r="T8" s="17"/>
      <c r="U8" s="21" t="n">
        <v>1</v>
      </c>
      <c r="V8" s="21" t="n">
        <v>1</v>
      </c>
      <c r="W8" s="22" t="n">
        <v>6.2</v>
      </c>
      <c r="X8" s="16" t="s">
        <v>335</v>
      </c>
      <c r="Y8" s="16" t="s">
        <v>338</v>
      </c>
      <c r="Z8" s="16"/>
      <c r="AA8" s="16"/>
      <c r="AB8" s="23"/>
      <c r="AC8" s="17"/>
      <c r="AD8" s="16" t="s">
        <v>338</v>
      </c>
      <c r="AE8" s="16"/>
      <c r="AF8" s="16" t="str">
        <f aca="false">IF(COUNTIF(لیست_سفید!$A$2:$A$21,B8)&gt;0,"بله","خیر")</f>
        <v>خیر</v>
      </c>
      <c r="AG8" s="24" t="str">
        <f aca="false">IF(H8="","",IF(AD8="فیش مفقودی",تنظیمات!$B$6,(INT(I8/1440)*تنظیمات!$B$5+IF(MOD(I8,1440)&lt;=تنظیمات!$B$2,0,MIN(تنظیمات!$B$5,تنظیمات!$B$3+MAX(0,ROUNDUP((MOD(I8,1440)-60)/60,0))*تنظیمات!$B$4)))*INDEX(تعرفه!$B$2:$B$7,MATCH(AD8,تعرفه!$A$2:$A$7,0))))</f>
        <v/>
      </c>
      <c r="AH8" s="24"/>
      <c r="AI8" s="24" t="str">
        <f aca="false">IF(AG8="","",AH8-AG8)</f>
        <v/>
      </c>
      <c r="AJ8" s="21" t="n">
        <v>0</v>
      </c>
      <c r="AK8" s="21" t="n">
        <v>0</v>
      </c>
      <c r="AL8" s="16" t="s">
        <v>335</v>
      </c>
      <c r="AM8" s="16" t="s">
        <v>339</v>
      </c>
      <c r="AN8" s="16" t="s">
        <v>340</v>
      </c>
      <c r="AO8" s="16" t="s">
        <v>340</v>
      </c>
      <c r="AP8" s="16" t="s">
        <v>335</v>
      </c>
      <c r="AQ8" s="16"/>
      <c r="AR8" s="21" t="n">
        <f aca="false">IF(AND(T8&lt;&gt;"",H8&lt;&gt;""),IF(AND((T8-H8)*86400&gt;=0,(T8-H8)*86400&lt;تنظیمات!$B$13),1,0),0)</f>
        <v>0</v>
      </c>
      <c r="AS8" s="21" t="n">
        <f aca="false">IF(Z8="پوز",IF(OR(AB8="",COUNTIF(پوزها!$A$2:$A$5,AA8)=0),1,0),0)</f>
        <v>0</v>
      </c>
      <c r="AT8" s="21" t="n">
        <f aca="false">IF(AI8="",0,IF(AI8&gt;0,1,0))</f>
        <v>0</v>
      </c>
      <c r="AU8" s="21" t="n">
        <f aca="false">IF(AI8="",0,IF(AI8&lt;0,1,0))</f>
        <v>0</v>
      </c>
      <c r="AV8" s="21" t="n">
        <f aca="false">IF(U8&gt;V8,1,0)</f>
        <v>0</v>
      </c>
      <c r="AW8" s="21" t="n">
        <f aca="false">IF(OR(W8&gt;تنظیمات!$B$8,X8="بله"),1,0)</f>
        <v>0</v>
      </c>
      <c r="AX8" s="21" t="n">
        <f aca="false">IF(AND(N8="بله",L8&gt;تنظیمات!$B$9),1,0)</f>
        <v>0</v>
      </c>
      <c r="AY8" s="21" t="n">
        <f aca="false">IF(Y8="معکوس",1,0)</f>
        <v>0</v>
      </c>
      <c r="AZ8" s="21" t="n">
        <f aca="false">IF(ABS(AJ8)&gt;تنظیمات!$B$10,1,0)</f>
        <v>0</v>
      </c>
      <c r="BA8" s="21" t="n">
        <f aca="false">IF(AND(OR(AD8="رایگان/VIP",AD8="جانباز"),AF8="خیر"),1,0)</f>
        <v>0</v>
      </c>
      <c r="BB8" s="21" t="n">
        <f aca="false">IF(AE8="",0,IF(COUNTIF($AE$2:$AE$1001,AE8)&gt;1,1,0))</f>
        <v>0</v>
      </c>
      <c r="BC8" s="21" t="n">
        <f aca="false">IF(AND(H8="",I8&gt;تنظیمات!$B$12*60,AM8="خالی"),1,0)</f>
        <v>1</v>
      </c>
      <c r="BD8" s="21" t="n">
        <f aca="false">IF(AND(AP8="بله",I8&lt;تنظیمات!$B$14,AO8="خیر"),1,0)</f>
        <v>0</v>
      </c>
      <c r="BE8" s="21" t="n">
        <f aca="false">IF(AN8="خیر",1,0)</f>
        <v>0</v>
      </c>
      <c r="BF8" s="21" t="n">
        <f aca="false">IF(AND(AD8="فیش مفقودی",AQ8="بله",I8&gt;تنظیمات!$B$12*60),1,0)</f>
        <v>0</v>
      </c>
      <c r="BG8" s="21" t="n">
        <f aca="false">IF(AND(AK8&gt;تنظیمات!$B$11,AL8="بله"),1,0)</f>
        <v>0</v>
      </c>
      <c r="BH8" s="21" t="n">
        <f aca="false">MIN(100,AR8*تنظیمات!$B$21+AS8*تنظیمات!$B$22+AT8*تنظیمات!$B$23+AU8*تنظیمات!$B$24+AV8*تنظیمات!$B$25+AW8*تنظیمات!$B$26+AX8*تنظیمات!$B$27+AY8*تنظیمات!$B$28+AZ8*تنظیمات!$B$29+BA8*تنظیمات!$B$30+BB8*تنظیمات!$B$31+BC8*تنظیمات!$B$32+BD8*تنظیمات!$B$33+BE8*تنظیمات!$B$34+BF8*تنظیمات!$B$35+BG8*تنظیمات!$B$36)</f>
        <v>15</v>
      </c>
      <c r="BI8" s="16" t="str">
        <f aca="false">IF(BH8&gt;=60,"بحرانی",IF(BH8&gt;=30,"مشکوک",IF(BH8&gt;0,"هشدار","عادی")))</f>
        <v>هشدار</v>
      </c>
      <c r="BJ8" s="16" t="s">
        <v>341</v>
      </c>
    </row>
    <row r="9" customFormat="false" ht="15" hidden="false" customHeight="false" outlineLevel="0" collapsed="false">
      <c r="A9" s="16" t="s">
        <v>368</v>
      </c>
      <c r="B9" s="16" t="s">
        <v>369</v>
      </c>
      <c r="C9" s="16"/>
      <c r="D9" s="16" t="s">
        <v>370</v>
      </c>
      <c r="E9" s="16" t="s">
        <v>345</v>
      </c>
      <c r="F9" s="16" t="s">
        <v>333</v>
      </c>
      <c r="G9" s="17" t="n">
        <v>46206.1354166667</v>
      </c>
      <c r="H9" s="17"/>
      <c r="I9" s="18" t="n">
        <f aca="false">IF(H9="",ROUND((تنظیمات!$B$7-G9)*1440,0),ROUND((H9-G9)*1440,0))</f>
        <v>128325</v>
      </c>
      <c r="J9" s="16" t="s">
        <v>334</v>
      </c>
      <c r="K9" s="16"/>
      <c r="L9" s="19" t="n">
        <v>0.989</v>
      </c>
      <c r="M9" s="19"/>
      <c r="N9" s="16" t="s">
        <v>335</v>
      </c>
      <c r="O9" s="16"/>
      <c r="P9" s="16"/>
      <c r="Q9" s="20"/>
      <c r="R9" s="16" t="s">
        <v>371</v>
      </c>
      <c r="S9" s="16" t="s">
        <v>337</v>
      </c>
      <c r="T9" s="17"/>
      <c r="U9" s="21" t="n">
        <v>1</v>
      </c>
      <c r="V9" s="21" t="n">
        <v>1</v>
      </c>
      <c r="W9" s="22" t="n">
        <v>4.8</v>
      </c>
      <c r="X9" s="16" t="s">
        <v>335</v>
      </c>
      <c r="Y9" s="16" t="s">
        <v>338</v>
      </c>
      <c r="Z9" s="16"/>
      <c r="AA9" s="16"/>
      <c r="AB9" s="23"/>
      <c r="AC9" s="17"/>
      <c r="AD9" s="16" t="s">
        <v>338</v>
      </c>
      <c r="AE9" s="16"/>
      <c r="AF9" s="16" t="str">
        <f aca="false">IF(COUNTIF(لیست_سفید!$A$2:$A$21,B9)&gt;0,"بله","خیر")</f>
        <v>خیر</v>
      </c>
      <c r="AG9" s="24" t="str">
        <f aca="false">IF(H9="","",IF(AD9="فیش مفقودی",تنظیمات!$B$6,(INT(I9/1440)*تنظیمات!$B$5+IF(MOD(I9,1440)&lt;=تنظیمات!$B$2,0,MIN(تنظیمات!$B$5,تنظیمات!$B$3+MAX(0,ROUNDUP((MOD(I9,1440)-60)/60,0))*تنظیمات!$B$4)))*INDEX(تعرفه!$B$2:$B$7,MATCH(AD9,تعرفه!$A$2:$A$7,0))))</f>
        <v/>
      </c>
      <c r="AH9" s="24"/>
      <c r="AI9" s="24" t="str">
        <f aca="false">IF(AG9="","",AH9-AG9)</f>
        <v/>
      </c>
      <c r="AJ9" s="21" t="n">
        <v>-3</v>
      </c>
      <c r="AK9" s="21" t="n">
        <v>0</v>
      </c>
      <c r="AL9" s="16" t="s">
        <v>335</v>
      </c>
      <c r="AM9" s="16" t="s">
        <v>339</v>
      </c>
      <c r="AN9" s="16" t="s">
        <v>340</v>
      </c>
      <c r="AO9" s="16" t="s">
        <v>340</v>
      </c>
      <c r="AP9" s="16" t="s">
        <v>335</v>
      </c>
      <c r="AQ9" s="16"/>
      <c r="AR9" s="21" t="n">
        <f aca="false">IF(AND(T9&lt;&gt;"",H9&lt;&gt;""),IF(AND((T9-H9)*86400&gt;=0,(T9-H9)*86400&lt;تنظیمات!$B$13),1,0),0)</f>
        <v>0</v>
      </c>
      <c r="AS9" s="21" t="n">
        <f aca="false">IF(Z9="پوز",IF(OR(AB9="",COUNTIF(پوزها!$A$2:$A$5,AA9)=0),1,0),0)</f>
        <v>0</v>
      </c>
      <c r="AT9" s="21" t="n">
        <f aca="false">IF(AI9="",0,IF(AI9&gt;0,1,0))</f>
        <v>0</v>
      </c>
      <c r="AU9" s="21" t="n">
        <f aca="false">IF(AI9="",0,IF(AI9&lt;0,1,0))</f>
        <v>0</v>
      </c>
      <c r="AV9" s="21" t="n">
        <f aca="false">IF(U9&gt;V9,1,0)</f>
        <v>0</v>
      </c>
      <c r="AW9" s="21" t="n">
        <f aca="false">IF(OR(W9&gt;تنظیمات!$B$8,X9="بله"),1,0)</f>
        <v>0</v>
      </c>
      <c r="AX9" s="21" t="n">
        <f aca="false">IF(AND(N9="بله",L9&gt;تنظیمات!$B$9),1,0)</f>
        <v>0</v>
      </c>
      <c r="AY9" s="21" t="n">
        <f aca="false">IF(Y9="معکوس",1,0)</f>
        <v>0</v>
      </c>
      <c r="AZ9" s="21" t="n">
        <f aca="false">IF(ABS(AJ9)&gt;تنظیمات!$B$10,1,0)</f>
        <v>0</v>
      </c>
      <c r="BA9" s="21" t="n">
        <f aca="false">IF(AND(OR(AD9="رایگان/VIP",AD9="جانباز"),AF9="خیر"),1,0)</f>
        <v>0</v>
      </c>
      <c r="BB9" s="21" t="n">
        <f aca="false">IF(AE9="",0,IF(COUNTIF($AE$2:$AE$1001,AE9)&gt;1,1,0))</f>
        <v>0</v>
      </c>
      <c r="BC9" s="21" t="n">
        <f aca="false">IF(AND(H9="",I9&gt;تنظیمات!$B$12*60,AM9="خالی"),1,0)</f>
        <v>1</v>
      </c>
      <c r="BD9" s="21" t="n">
        <f aca="false">IF(AND(AP9="بله",I9&lt;تنظیمات!$B$14,AO9="خیر"),1,0)</f>
        <v>0</v>
      </c>
      <c r="BE9" s="21" t="n">
        <f aca="false">IF(AN9="خیر",1,0)</f>
        <v>0</v>
      </c>
      <c r="BF9" s="21" t="n">
        <f aca="false">IF(AND(AD9="فیش مفقودی",AQ9="بله",I9&gt;تنظیمات!$B$12*60),1,0)</f>
        <v>0</v>
      </c>
      <c r="BG9" s="21" t="n">
        <f aca="false">IF(AND(AK9&gt;تنظیمات!$B$11,AL9="بله"),1,0)</f>
        <v>0</v>
      </c>
      <c r="BH9" s="21" t="n">
        <f aca="false">MIN(100,AR9*تنظیمات!$B$21+AS9*تنظیمات!$B$22+AT9*تنظیمات!$B$23+AU9*تنظیمات!$B$24+AV9*تنظیمات!$B$25+AW9*تنظیمات!$B$26+AX9*تنظیمات!$B$27+AY9*تنظیمات!$B$28+AZ9*تنظیمات!$B$29+BA9*تنظیمات!$B$30+BB9*تنظیمات!$B$31+BC9*تنظیمات!$B$32+BD9*تنظیمات!$B$33+BE9*تنظیمات!$B$34+BF9*تنظیمات!$B$35+BG9*تنظیمات!$B$36)</f>
        <v>15</v>
      </c>
      <c r="BI9" s="16" t="str">
        <f aca="false">IF(BH9&gt;=60,"بحرانی",IF(BH9&gt;=30,"مشکوک",IF(BH9&gt;0,"هشدار","عادی")))</f>
        <v>هشدار</v>
      </c>
      <c r="BJ9" s="16" t="s">
        <v>341</v>
      </c>
    </row>
    <row r="10" customFormat="false" ht="15" hidden="false" customHeight="false" outlineLevel="0" collapsed="false">
      <c r="A10" s="16" t="s">
        <v>372</v>
      </c>
      <c r="B10" s="16" t="s">
        <v>373</v>
      </c>
      <c r="C10" s="16"/>
      <c r="D10" s="16" t="s">
        <v>374</v>
      </c>
      <c r="E10" s="16" t="s">
        <v>375</v>
      </c>
      <c r="F10" s="16" t="s">
        <v>359</v>
      </c>
      <c r="G10" s="17" t="n">
        <v>46211.7555555556</v>
      </c>
      <c r="H10" s="17"/>
      <c r="I10" s="18" t="n">
        <f aca="false">IF(H10="",ROUND((تنظیمات!$B$7-G10)*1440,0),ROUND((H10-G10)*1440,0))</f>
        <v>120232</v>
      </c>
      <c r="J10" s="16" t="s">
        <v>346</v>
      </c>
      <c r="K10" s="16"/>
      <c r="L10" s="19" t="n">
        <v>0.995</v>
      </c>
      <c r="M10" s="19"/>
      <c r="N10" s="16" t="s">
        <v>335</v>
      </c>
      <c r="O10" s="16"/>
      <c r="P10" s="16"/>
      <c r="Q10" s="20"/>
      <c r="R10" s="16" t="s">
        <v>376</v>
      </c>
      <c r="S10" s="16" t="s">
        <v>337</v>
      </c>
      <c r="T10" s="17"/>
      <c r="U10" s="21" t="n">
        <v>1</v>
      </c>
      <c r="V10" s="21" t="n">
        <v>1</v>
      </c>
      <c r="W10" s="22" t="n">
        <v>5.9</v>
      </c>
      <c r="X10" s="16" t="s">
        <v>335</v>
      </c>
      <c r="Y10" s="16" t="s">
        <v>338</v>
      </c>
      <c r="Z10" s="16"/>
      <c r="AA10" s="16"/>
      <c r="AB10" s="23"/>
      <c r="AC10" s="17"/>
      <c r="AD10" s="16" t="s">
        <v>338</v>
      </c>
      <c r="AE10" s="16"/>
      <c r="AF10" s="16" t="str">
        <f aca="false">IF(COUNTIF(لیست_سفید!$A$2:$A$21,B10)&gt;0,"بله","خیر")</f>
        <v>خیر</v>
      </c>
      <c r="AG10" s="24" t="str">
        <f aca="false">IF(H10="","",IF(AD10="فیش مفقودی",تنظیمات!$B$6,(INT(I10/1440)*تنظیمات!$B$5+IF(MOD(I10,1440)&lt;=تنظیمات!$B$2,0,MIN(تنظیمات!$B$5,تنظیمات!$B$3+MAX(0,ROUNDUP((MOD(I10,1440)-60)/60,0))*تنظیمات!$B$4)))*INDEX(تعرفه!$B$2:$B$7,MATCH(AD10,تعرفه!$A$2:$A$7,0))))</f>
        <v/>
      </c>
      <c r="AH10" s="24"/>
      <c r="AI10" s="24" t="str">
        <f aca="false">IF(AG10="","",AH10-AG10)</f>
        <v/>
      </c>
      <c r="AJ10" s="21" t="n">
        <v>3</v>
      </c>
      <c r="AK10" s="21" t="n">
        <v>0</v>
      </c>
      <c r="AL10" s="16" t="s">
        <v>335</v>
      </c>
      <c r="AM10" s="16" t="s">
        <v>339</v>
      </c>
      <c r="AN10" s="16" t="s">
        <v>340</v>
      </c>
      <c r="AO10" s="16" t="s">
        <v>340</v>
      </c>
      <c r="AP10" s="16" t="s">
        <v>335</v>
      </c>
      <c r="AQ10" s="16"/>
      <c r="AR10" s="21" t="n">
        <f aca="false">IF(AND(T10&lt;&gt;"",H10&lt;&gt;""),IF(AND((T10-H10)*86400&gt;=0,(T10-H10)*86400&lt;تنظیمات!$B$13),1,0),0)</f>
        <v>0</v>
      </c>
      <c r="AS10" s="21" t="n">
        <f aca="false">IF(Z10="پوز",IF(OR(AB10="",COUNTIF(پوزها!$A$2:$A$5,AA10)=0),1,0),0)</f>
        <v>0</v>
      </c>
      <c r="AT10" s="21" t="n">
        <f aca="false">IF(AI10="",0,IF(AI10&gt;0,1,0))</f>
        <v>0</v>
      </c>
      <c r="AU10" s="21" t="n">
        <f aca="false">IF(AI10="",0,IF(AI10&lt;0,1,0))</f>
        <v>0</v>
      </c>
      <c r="AV10" s="21" t="n">
        <f aca="false">IF(U10&gt;V10,1,0)</f>
        <v>0</v>
      </c>
      <c r="AW10" s="21" t="n">
        <f aca="false">IF(OR(W10&gt;تنظیمات!$B$8,X10="بله"),1,0)</f>
        <v>0</v>
      </c>
      <c r="AX10" s="21" t="n">
        <f aca="false">IF(AND(N10="بله",L10&gt;تنظیمات!$B$9),1,0)</f>
        <v>0</v>
      </c>
      <c r="AY10" s="21" t="n">
        <f aca="false">IF(Y10="معکوس",1,0)</f>
        <v>0</v>
      </c>
      <c r="AZ10" s="21" t="n">
        <f aca="false">IF(ABS(AJ10)&gt;تنظیمات!$B$10,1,0)</f>
        <v>0</v>
      </c>
      <c r="BA10" s="21" t="n">
        <f aca="false">IF(AND(OR(AD10="رایگان/VIP",AD10="جانباز"),AF10="خیر"),1,0)</f>
        <v>0</v>
      </c>
      <c r="BB10" s="21" t="n">
        <f aca="false">IF(AE10="",0,IF(COUNTIF($AE$2:$AE$1001,AE10)&gt;1,1,0))</f>
        <v>0</v>
      </c>
      <c r="BC10" s="21" t="n">
        <f aca="false">IF(AND(H10="",I10&gt;تنظیمات!$B$12*60,AM10="خالی"),1,0)</f>
        <v>1</v>
      </c>
      <c r="BD10" s="21" t="n">
        <f aca="false">IF(AND(AP10="بله",I10&lt;تنظیمات!$B$14,AO10="خیر"),1,0)</f>
        <v>0</v>
      </c>
      <c r="BE10" s="21" t="n">
        <f aca="false">IF(AN10="خیر",1,0)</f>
        <v>0</v>
      </c>
      <c r="BF10" s="21" t="n">
        <f aca="false">IF(AND(AD10="فیش مفقودی",AQ10="بله",I10&gt;تنظیمات!$B$12*60),1,0)</f>
        <v>0</v>
      </c>
      <c r="BG10" s="21" t="n">
        <f aca="false">IF(AND(AK10&gt;تنظیمات!$B$11,AL10="بله"),1,0)</f>
        <v>0</v>
      </c>
      <c r="BH10" s="21" t="n">
        <f aca="false">MIN(100,AR10*تنظیمات!$B$21+AS10*تنظیمات!$B$22+AT10*تنظیمات!$B$23+AU10*تنظیمات!$B$24+AV10*تنظیمات!$B$25+AW10*تنظیمات!$B$26+AX10*تنظیمات!$B$27+AY10*تنظیمات!$B$28+AZ10*تنظیمات!$B$29+BA10*تنظیمات!$B$30+BB10*تنظیمات!$B$31+BC10*تنظیمات!$B$32+BD10*تنظیمات!$B$33+BE10*تنظیمات!$B$34+BF10*تنظیمات!$B$35+BG10*تنظیمات!$B$36)</f>
        <v>15</v>
      </c>
      <c r="BI10" s="16" t="str">
        <f aca="false">IF(BH10&gt;=60,"بحرانی",IF(BH10&gt;=30,"مشکوک",IF(BH10&gt;0,"هشدار","عادی")))</f>
        <v>هشدار</v>
      </c>
      <c r="BJ10" s="16" t="s">
        <v>341</v>
      </c>
    </row>
    <row r="11" customFormat="false" ht="15" hidden="false" customHeight="false" outlineLevel="0" collapsed="false">
      <c r="A11" s="16" t="s">
        <v>377</v>
      </c>
      <c r="B11" s="16" t="s">
        <v>378</v>
      </c>
      <c r="C11" s="16"/>
      <c r="D11" s="16" t="s">
        <v>350</v>
      </c>
      <c r="E11" s="16" t="s">
        <v>351</v>
      </c>
      <c r="F11" s="16" t="s">
        <v>333</v>
      </c>
      <c r="G11" s="17" t="n">
        <v>46230.0611111111</v>
      </c>
      <c r="H11" s="17"/>
      <c r="I11" s="18" t="n">
        <f aca="false">IF(H11="",ROUND((تنظیمات!$B$7-G11)*1440,0),ROUND((H11-G11)*1440,0))</f>
        <v>93872</v>
      </c>
      <c r="J11" s="16" t="s">
        <v>346</v>
      </c>
      <c r="K11" s="16"/>
      <c r="L11" s="19" t="n">
        <v>0.91</v>
      </c>
      <c r="M11" s="19"/>
      <c r="N11" s="16" t="s">
        <v>335</v>
      </c>
      <c r="O11" s="16"/>
      <c r="P11" s="16"/>
      <c r="Q11" s="20"/>
      <c r="R11" s="16" t="s">
        <v>379</v>
      </c>
      <c r="S11" s="16" t="s">
        <v>337</v>
      </c>
      <c r="T11" s="17"/>
      <c r="U11" s="21" t="n">
        <v>1</v>
      </c>
      <c r="V11" s="21" t="n">
        <v>1</v>
      </c>
      <c r="W11" s="22" t="n">
        <v>6.4</v>
      </c>
      <c r="X11" s="16" t="s">
        <v>335</v>
      </c>
      <c r="Y11" s="16" t="s">
        <v>338</v>
      </c>
      <c r="Z11" s="16"/>
      <c r="AA11" s="16"/>
      <c r="AB11" s="23"/>
      <c r="AC11" s="17"/>
      <c r="AD11" s="16" t="s">
        <v>338</v>
      </c>
      <c r="AE11" s="16"/>
      <c r="AF11" s="16" t="str">
        <f aca="false">IF(COUNTIF(لیست_سفید!$A$2:$A$21,B11)&gt;0,"بله","خیر")</f>
        <v>خیر</v>
      </c>
      <c r="AG11" s="24" t="str">
        <f aca="false">IF(H11="","",IF(AD11="فیش مفقودی",تنظیمات!$B$6,(INT(I11/1440)*تنظیمات!$B$5+IF(MOD(I11,1440)&lt;=تنظیمات!$B$2,0,MIN(تنظیمات!$B$5,تنظیمات!$B$3+MAX(0,ROUNDUP((MOD(I11,1440)-60)/60,0))*تنظیمات!$B$4)))*INDEX(تعرفه!$B$2:$B$7,MATCH(AD11,تعرفه!$A$2:$A$7,0))))</f>
        <v/>
      </c>
      <c r="AH11" s="24"/>
      <c r="AI11" s="24" t="str">
        <f aca="false">IF(AG11="","",AH11-AG11)</f>
        <v/>
      </c>
      <c r="AJ11" s="21" t="n">
        <v>0</v>
      </c>
      <c r="AK11" s="21" t="n">
        <v>0</v>
      </c>
      <c r="AL11" s="16" t="s">
        <v>335</v>
      </c>
      <c r="AM11" s="16" t="s">
        <v>339</v>
      </c>
      <c r="AN11" s="16" t="s">
        <v>340</v>
      </c>
      <c r="AO11" s="16" t="s">
        <v>340</v>
      </c>
      <c r="AP11" s="16" t="s">
        <v>335</v>
      </c>
      <c r="AQ11" s="16"/>
      <c r="AR11" s="21" t="n">
        <f aca="false">IF(AND(T11&lt;&gt;"",H11&lt;&gt;""),IF(AND((T11-H11)*86400&gt;=0,(T11-H11)*86400&lt;تنظیمات!$B$13),1,0),0)</f>
        <v>0</v>
      </c>
      <c r="AS11" s="21" t="n">
        <f aca="false">IF(Z11="پوز",IF(OR(AB11="",COUNTIF(پوزها!$A$2:$A$5,AA11)=0),1,0),0)</f>
        <v>0</v>
      </c>
      <c r="AT11" s="21" t="n">
        <f aca="false">IF(AI11="",0,IF(AI11&gt;0,1,0))</f>
        <v>0</v>
      </c>
      <c r="AU11" s="21" t="n">
        <f aca="false">IF(AI11="",0,IF(AI11&lt;0,1,0))</f>
        <v>0</v>
      </c>
      <c r="AV11" s="21" t="n">
        <f aca="false">IF(U11&gt;V11,1,0)</f>
        <v>0</v>
      </c>
      <c r="AW11" s="21" t="n">
        <f aca="false">IF(OR(W11&gt;تنظیمات!$B$8,X11="بله"),1,0)</f>
        <v>0</v>
      </c>
      <c r="AX11" s="21" t="n">
        <f aca="false">IF(AND(N11="بله",L11&gt;تنظیمات!$B$9),1,0)</f>
        <v>0</v>
      </c>
      <c r="AY11" s="21" t="n">
        <f aca="false">IF(Y11="معکوس",1,0)</f>
        <v>0</v>
      </c>
      <c r="AZ11" s="21" t="n">
        <f aca="false">IF(ABS(AJ11)&gt;تنظیمات!$B$10,1,0)</f>
        <v>0</v>
      </c>
      <c r="BA11" s="21" t="n">
        <f aca="false">IF(AND(OR(AD11="رایگان/VIP",AD11="جانباز"),AF11="خیر"),1,0)</f>
        <v>0</v>
      </c>
      <c r="BB11" s="21" t="n">
        <f aca="false">IF(AE11="",0,IF(COUNTIF($AE$2:$AE$1001,AE11)&gt;1,1,0))</f>
        <v>0</v>
      </c>
      <c r="BC11" s="21" t="n">
        <f aca="false">IF(AND(H11="",I11&gt;تنظیمات!$B$12*60,AM11="خالی"),1,0)</f>
        <v>1</v>
      </c>
      <c r="BD11" s="21" t="n">
        <f aca="false">IF(AND(AP11="بله",I11&lt;تنظیمات!$B$14,AO11="خیر"),1,0)</f>
        <v>0</v>
      </c>
      <c r="BE11" s="21" t="n">
        <f aca="false">IF(AN11="خیر",1,0)</f>
        <v>0</v>
      </c>
      <c r="BF11" s="21" t="n">
        <f aca="false">IF(AND(AD11="فیش مفقودی",AQ11="بله",I11&gt;تنظیمات!$B$12*60),1,0)</f>
        <v>0</v>
      </c>
      <c r="BG11" s="21" t="n">
        <f aca="false">IF(AND(AK11&gt;تنظیمات!$B$11,AL11="بله"),1,0)</f>
        <v>0</v>
      </c>
      <c r="BH11" s="21" t="n">
        <f aca="false">MIN(100,AR11*تنظیمات!$B$21+AS11*تنظیمات!$B$22+AT11*تنظیمات!$B$23+AU11*تنظیمات!$B$24+AV11*تنظیمات!$B$25+AW11*تنظیمات!$B$26+AX11*تنظیمات!$B$27+AY11*تنظیمات!$B$28+AZ11*تنظیمات!$B$29+BA11*تنظیمات!$B$30+BB11*تنظیمات!$B$31+BC11*تنظیمات!$B$32+BD11*تنظیمات!$B$33+BE11*تنظیمات!$B$34+BF11*تنظیمات!$B$35+BG11*تنظیمات!$B$36)</f>
        <v>15</v>
      </c>
      <c r="BI11" s="16" t="str">
        <f aca="false">IF(BH11&gt;=60,"بحرانی",IF(BH11&gt;=30,"مشکوک",IF(BH11&gt;0,"هشدار","عادی")))</f>
        <v>هشدار</v>
      </c>
      <c r="BJ11" s="16" t="s">
        <v>341</v>
      </c>
    </row>
    <row r="12" customFormat="false" ht="15" hidden="false" customHeight="false" outlineLevel="0" collapsed="false">
      <c r="A12" s="16" t="s">
        <v>380</v>
      </c>
      <c r="B12" s="16" t="s">
        <v>381</v>
      </c>
      <c r="C12" s="16"/>
      <c r="D12" s="16" t="s">
        <v>382</v>
      </c>
      <c r="E12" s="16" t="s">
        <v>351</v>
      </c>
      <c r="F12" s="16" t="s">
        <v>333</v>
      </c>
      <c r="G12" s="17" t="n">
        <v>46238.7402777778</v>
      </c>
      <c r="H12" s="17"/>
      <c r="I12" s="18" t="n">
        <f aca="false">IF(H12="",ROUND((تنظیمات!$B$7-G12)*1440,0),ROUND((H12-G12)*1440,0))</f>
        <v>81374</v>
      </c>
      <c r="J12" s="16" t="s">
        <v>346</v>
      </c>
      <c r="K12" s="16"/>
      <c r="L12" s="19" t="n">
        <v>0.967</v>
      </c>
      <c r="M12" s="19"/>
      <c r="N12" s="16" t="s">
        <v>335</v>
      </c>
      <c r="O12" s="16"/>
      <c r="P12" s="16"/>
      <c r="Q12" s="20"/>
      <c r="R12" s="16" t="s">
        <v>383</v>
      </c>
      <c r="S12" s="16" t="s">
        <v>337</v>
      </c>
      <c r="T12" s="17"/>
      <c r="U12" s="21" t="n">
        <v>1</v>
      </c>
      <c r="V12" s="21" t="n">
        <v>1</v>
      </c>
      <c r="W12" s="22" t="n">
        <v>4.4</v>
      </c>
      <c r="X12" s="16" t="s">
        <v>335</v>
      </c>
      <c r="Y12" s="16" t="s">
        <v>338</v>
      </c>
      <c r="Z12" s="16"/>
      <c r="AA12" s="16"/>
      <c r="AB12" s="23"/>
      <c r="AC12" s="17"/>
      <c r="AD12" s="16" t="s">
        <v>338</v>
      </c>
      <c r="AE12" s="16"/>
      <c r="AF12" s="16" t="str">
        <f aca="false">IF(COUNTIF(لیست_سفید!$A$2:$A$21,B12)&gt;0,"بله","خیر")</f>
        <v>خیر</v>
      </c>
      <c r="AG12" s="24" t="str">
        <f aca="false">IF(H12="","",IF(AD12="فیش مفقودی",تنظیمات!$B$6,(INT(I12/1440)*تنظیمات!$B$5+IF(MOD(I12,1440)&lt;=تنظیمات!$B$2,0,MIN(تنظیمات!$B$5,تنظیمات!$B$3+MAX(0,ROUNDUP((MOD(I12,1440)-60)/60,0))*تنظیمات!$B$4)))*INDEX(تعرفه!$B$2:$B$7,MATCH(AD12,تعرفه!$A$2:$A$7,0))))</f>
        <v/>
      </c>
      <c r="AH12" s="24"/>
      <c r="AI12" s="24" t="str">
        <f aca="false">IF(AG12="","",AH12-AG12)</f>
        <v/>
      </c>
      <c r="AJ12" s="21" t="n">
        <v>1</v>
      </c>
      <c r="AK12" s="21" t="n">
        <v>0</v>
      </c>
      <c r="AL12" s="16" t="s">
        <v>335</v>
      </c>
      <c r="AM12" s="16" t="s">
        <v>339</v>
      </c>
      <c r="AN12" s="16" t="s">
        <v>340</v>
      </c>
      <c r="AO12" s="16" t="s">
        <v>340</v>
      </c>
      <c r="AP12" s="16" t="s">
        <v>335</v>
      </c>
      <c r="AQ12" s="16"/>
      <c r="AR12" s="21" t="n">
        <f aca="false">IF(AND(T12&lt;&gt;"",H12&lt;&gt;""),IF(AND((T12-H12)*86400&gt;=0,(T12-H12)*86400&lt;تنظیمات!$B$13),1,0),0)</f>
        <v>0</v>
      </c>
      <c r="AS12" s="21" t="n">
        <f aca="false">IF(Z12="پوز",IF(OR(AB12="",COUNTIF(پوزها!$A$2:$A$5,AA12)=0),1,0),0)</f>
        <v>0</v>
      </c>
      <c r="AT12" s="21" t="n">
        <f aca="false">IF(AI12="",0,IF(AI12&gt;0,1,0))</f>
        <v>0</v>
      </c>
      <c r="AU12" s="21" t="n">
        <f aca="false">IF(AI12="",0,IF(AI12&lt;0,1,0))</f>
        <v>0</v>
      </c>
      <c r="AV12" s="21" t="n">
        <f aca="false">IF(U12&gt;V12,1,0)</f>
        <v>0</v>
      </c>
      <c r="AW12" s="21" t="n">
        <f aca="false">IF(OR(W12&gt;تنظیمات!$B$8,X12="بله"),1,0)</f>
        <v>0</v>
      </c>
      <c r="AX12" s="21" t="n">
        <f aca="false">IF(AND(N12="بله",L12&gt;تنظیمات!$B$9),1,0)</f>
        <v>0</v>
      </c>
      <c r="AY12" s="21" t="n">
        <f aca="false">IF(Y12="معکوس",1,0)</f>
        <v>0</v>
      </c>
      <c r="AZ12" s="21" t="n">
        <f aca="false">IF(ABS(AJ12)&gt;تنظیمات!$B$10,1,0)</f>
        <v>0</v>
      </c>
      <c r="BA12" s="21" t="n">
        <f aca="false">IF(AND(OR(AD12="رایگان/VIP",AD12="جانباز"),AF12="خیر"),1,0)</f>
        <v>0</v>
      </c>
      <c r="BB12" s="21" t="n">
        <f aca="false">IF(AE12="",0,IF(COUNTIF($AE$2:$AE$1001,AE12)&gt;1,1,0))</f>
        <v>0</v>
      </c>
      <c r="BC12" s="21" t="n">
        <f aca="false">IF(AND(H12="",I12&gt;تنظیمات!$B$12*60,AM12="خالی"),1,0)</f>
        <v>1</v>
      </c>
      <c r="BD12" s="21" t="n">
        <f aca="false">IF(AND(AP12="بله",I12&lt;تنظیمات!$B$14,AO12="خیر"),1,0)</f>
        <v>0</v>
      </c>
      <c r="BE12" s="21" t="n">
        <f aca="false">IF(AN12="خیر",1,0)</f>
        <v>0</v>
      </c>
      <c r="BF12" s="21" t="n">
        <f aca="false">IF(AND(AD12="فیش مفقودی",AQ12="بله",I12&gt;تنظیمات!$B$12*60),1,0)</f>
        <v>0</v>
      </c>
      <c r="BG12" s="21" t="n">
        <f aca="false">IF(AND(AK12&gt;تنظیمات!$B$11,AL12="بله"),1,0)</f>
        <v>0</v>
      </c>
      <c r="BH12" s="21" t="n">
        <f aca="false">MIN(100,AR12*تنظیمات!$B$21+AS12*تنظیمات!$B$22+AT12*تنظیمات!$B$23+AU12*تنظیمات!$B$24+AV12*تنظیمات!$B$25+AW12*تنظیمات!$B$26+AX12*تنظیمات!$B$27+AY12*تنظیمات!$B$28+AZ12*تنظیمات!$B$29+BA12*تنظیمات!$B$30+BB12*تنظیمات!$B$31+BC12*تنظیمات!$B$32+BD12*تنظیمات!$B$33+BE12*تنظیمات!$B$34+BF12*تنظیمات!$B$35+BG12*تنظیمات!$B$36)</f>
        <v>15</v>
      </c>
      <c r="BI12" s="16" t="str">
        <f aca="false">IF(BH12&gt;=60,"بحرانی",IF(BH12&gt;=30,"مشکوک",IF(BH12&gt;0,"هشدار","عادی")))</f>
        <v>هشدار</v>
      </c>
      <c r="BJ12" s="16" t="s">
        <v>341</v>
      </c>
    </row>
    <row r="13" customFormat="false" ht="15" hidden="false" customHeight="false" outlineLevel="0" collapsed="false">
      <c r="A13" s="16" t="s">
        <v>384</v>
      </c>
      <c r="B13" s="16" t="s">
        <v>385</v>
      </c>
      <c r="C13" s="16"/>
      <c r="D13" s="16" t="s">
        <v>386</v>
      </c>
      <c r="E13" s="16" t="s">
        <v>351</v>
      </c>
      <c r="F13" s="16" t="s">
        <v>333</v>
      </c>
      <c r="G13" s="17" t="n">
        <v>46239.8013888889</v>
      </c>
      <c r="H13" s="17"/>
      <c r="I13" s="18" t="n">
        <f aca="false">IF(H13="",ROUND((تنظیمات!$B$7-G13)*1440,0),ROUND((H13-G13)*1440,0))</f>
        <v>79846</v>
      </c>
      <c r="J13" s="16" t="s">
        <v>346</v>
      </c>
      <c r="K13" s="16"/>
      <c r="L13" s="19" t="n">
        <v>0.948</v>
      </c>
      <c r="M13" s="19"/>
      <c r="N13" s="16" t="s">
        <v>335</v>
      </c>
      <c r="O13" s="16"/>
      <c r="P13" s="16"/>
      <c r="Q13" s="20"/>
      <c r="R13" s="16" t="s">
        <v>387</v>
      </c>
      <c r="S13" s="16" t="s">
        <v>337</v>
      </c>
      <c r="T13" s="17"/>
      <c r="U13" s="21" t="n">
        <v>1</v>
      </c>
      <c r="V13" s="21" t="n">
        <v>1</v>
      </c>
      <c r="W13" s="22" t="n">
        <v>3.7</v>
      </c>
      <c r="X13" s="16" t="s">
        <v>335</v>
      </c>
      <c r="Y13" s="16" t="s">
        <v>338</v>
      </c>
      <c r="Z13" s="16"/>
      <c r="AA13" s="16"/>
      <c r="AB13" s="23"/>
      <c r="AC13" s="17"/>
      <c r="AD13" s="16" t="s">
        <v>338</v>
      </c>
      <c r="AE13" s="16"/>
      <c r="AF13" s="16" t="str">
        <f aca="false">IF(COUNTIF(لیست_سفید!$A$2:$A$21,B13)&gt;0,"بله","خیر")</f>
        <v>خیر</v>
      </c>
      <c r="AG13" s="24" t="str">
        <f aca="false">IF(H13="","",IF(AD13="فیش مفقودی",تنظیمات!$B$6,(INT(I13/1440)*تنظیمات!$B$5+IF(MOD(I13,1440)&lt;=تنظیمات!$B$2,0,MIN(تنظیمات!$B$5,تنظیمات!$B$3+MAX(0,ROUNDUP((MOD(I13,1440)-60)/60,0))*تنظیمات!$B$4)))*INDEX(تعرفه!$B$2:$B$7,MATCH(AD13,تعرفه!$A$2:$A$7,0))))</f>
        <v/>
      </c>
      <c r="AH13" s="24"/>
      <c r="AI13" s="24" t="str">
        <f aca="false">IF(AG13="","",AH13-AG13)</f>
        <v/>
      </c>
      <c r="AJ13" s="21" t="n">
        <v>-1</v>
      </c>
      <c r="AK13" s="21" t="n">
        <v>0</v>
      </c>
      <c r="AL13" s="16" t="s">
        <v>335</v>
      </c>
      <c r="AM13" s="16" t="s">
        <v>339</v>
      </c>
      <c r="AN13" s="16" t="s">
        <v>340</v>
      </c>
      <c r="AO13" s="16" t="s">
        <v>340</v>
      </c>
      <c r="AP13" s="16" t="s">
        <v>335</v>
      </c>
      <c r="AQ13" s="16"/>
      <c r="AR13" s="21" t="n">
        <f aca="false">IF(AND(T13&lt;&gt;"",H13&lt;&gt;""),IF(AND((T13-H13)*86400&gt;=0,(T13-H13)*86400&lt;تنظیمات!$B$13),1,0),0)</f>
        <v>0</v>
      </c>
      <c r="AS13" s="21" t="n">
        <f aca="false">IF(Z13="پوز",IF(OR(AB13="",COUNTIF(پوزها!$A$2:$A$5,AA13)=0),1,0),0)</f>
        <v>0</v>
      </c>
      <c r="AT13" s="21" t="n">
        <f aca="false">IF(AI13="",0,IF(AI13&gt;0,1,0))</f>
        <v>0</v>
      </c>
      <c r="AU13" s="21" t="n">
        <f aca="false">IF(AI13="",0,IF(AI13&lt;0,1,0))</f>
        <v>0</v>
      </c>
      <c r="AV13" s="21" t="n">
        <f aca="false">IF(U13&gt;V13,1,0)</f>
        <v>0</v>
      </c>
      <c r="AW13" s="21" t="n">
        <f aca="false">IF(OR(W13&gt;تنظیمات!$B$8,X13="بله"),1,0)</f>
        <v>0</v>
      </c>
      <c r="AX13" s="21" t="n">
        <f aca="false">IF(AND(N13="بله",L13&gt;تنظیمات!$B$9),1,0)</f>
        <v>0</v>
      </c>
      <c r="AY13" s="21" t="n">
        <f aca="false">IF(Y13="معکوس",1,0)</f>
        <v>0</v>
      </c>
      <c r="AZ13" s="21" t="n">
        <f aca="false">IF(ABS(AJ13)&gt;تنظیمات!$B$10,1,0)</f>
        <v>0</v>
      </c>
      <c r="BA13" s="21" t="n">
        <f aca="false">IF(AND(OR(AD13="رایگان/VIP",AD13="جانباز"),AF13="خیر"),1,0)</f>
        <v>0</v>
      </c>
      <c r="BB13" s="21" t="n">
        <f aca="false">IF(AE13="",0,IF(COUNTIF($AE$2:$AE$1001,AE13)&gt;1,1,0))</f>
        <v>0</v>
      </c>
      <c r="BC13" s="21" t="n">
        <f aca="false">IF(AND(H13="",I13&gt;تنظیمات!$B$12*60,AM13="خالی"),1,0)</f>
        <v>1</v>
      </c>
      <c r="BD13" s="21" t="n">
        <f aca="false">IF(AND(AP13="بله",I13&lt;تنظیمات!$B$14,AO13="خیر"),1,0)</f>
        <v>0</v>
      </c>
      <c r="BE13" s="21" t="n">
        <f aca="false">IF(AN13="خیر",1,0)</f>
        <v>0</v>
      </c>
      <c r="BF13" s="21" t="n">
        <f aca="false">IF(AND(AD13="فیش مفقودی",AQ13="بله",I13&gt;تنظیمات!$B$12*60),1,0)</f>
        <v>0</v>
      </c>
      <c r="BG13" s="21" t="n">
        <f aca="false">IF(AND(AK13&gt;تنظیمات!$B$11,AL13="بله"),1,0)</f>
        <v>0</v>
      </c>
      <c r="BH13" s="21" t="n">
        <f aca="false">MIN(100,AR13*تنظیمات!$B$21+AS13*تنظیمات!$B$22+AT13*تنظیمات!$B$23+AU13*تنظیمات!$B$24+AV13*تنظیمات!$B$25+AW13*تنظیمات!$B$26+AX13*تنظیمات!$B$27+AY13*تنظیمات!$B$28+AZ13*تنظیمات!$B$29+BA13*تنظیمات!$B$30+BB13*تنظیمات!$B$31+BC13*تنظیمات!$B$32+BD13*تنظیمات!$B$33+BE13*تنظیمات!$B$34+BF13*تنظیمات!$B$35+BG13*تنظیمات!$B$36)</f>
        <v>15</v>
      </c>
      <c r="BI13" s="16" t="str">
        <f aca="false">IF(BH13&gt;=60,"بحرانی",IF(BH13&gt;=30,"مشکوک",IF(BH13&gt;0,"هشدار","عادی")))</f>
        <v>هشدار</v>
      </c>
      <c r="BJ13" s="16" t="s">
        <v>341</v>
      </c>
    </row>
    <row r="14" customFormat="false" ht="15" hidden="false" customHeight="false" outlineLevel="0" collapsed="false">
      <c r="A14" s="16" t="s">
        <v>388</v>
      </c>
      <c r="B14" s="16" t="s">
        <v>389</v>
      </c>
      <c r="C14" s="16"/>
      <c r="D14" s="16" t="s">
        <v>382</v>
      </c>
      <c r="E14" s="16" t="s">
        <v>390</v>
      </c>
      <c r="F14" s="16" t="s">
        <v>333</v>
      </c>
      <c r="G14" s="17" t="n">
        <v>46246.2729166667</v>
      </c>
      <c r="H14" s="17"/>
      <c r="I14" s="18" t="n">
        <f aca="false">IF(H14="",ROUND((تنظیمات!$B$7-G14)*1440,0),ROUND((H14-G14)*1440,0))</f>
        <v>70527</v>
      </c>
      <c r="J14" s="16" t="s">
        <v>346</v>
      </c>
      <c r="K14" s="16"/>
      <c r="L14" s="19" t="n">
        <v>0.936</v>
      </c>
      <c r="M14" s="19"/>
      <c r="N14" s="16" t="s">
        <v>335</v>
      </c>
      <c r="O14" s="16"/>
      <c r="P14" s="16"/>
      <c r="Q14" s="20"/>
      <c r="R14" s="16" t="s">
        <v>391</v>
      </c>
      <c r="S14" s="16" t="s">
        <v>337</v>
      </c>
      <c r="T14" s="17"/>
      <c r="U14" s="21" t="n">
        <v>1</v>
      </c>
      <c r="V14" s="21" t="n">
        <v>1</v>
      </c>
      <c r="W14" s="22" t="n">
        <v>4.2</v>
      </c>
      <c r="X14" s="16" t="s">
        <v>335</v>
      </c>
      <c r="Y14" s="16" t="s">
        <v>338</v>
      </c>
      <c r="Z14" s="16"/>
      <c r="AA14" s="16"/>
      <c r="AB14" s="23"/>
      <c r="AC14" s="17"/>
      <c r="AD14" s="16" t="s">
        <v>338</v>
      </c>
      <c r="AE14" s="16"/>
      <c r="AF14" s="16" t="str">
        <f aca="false">IF(COUNTIF(لیست_سفید!$A$2:$A$21,B14)&gt;0,"بله","خیر")</f>
        <v>خیر</v>
      </c>
      <c r="AG14" s="24" t="str">
        <f aca="false">IF(H14="","",IF(AD14="فیش مفقودی",تنظیمات!$B$6,(INT(I14/1440)*تنظیمات!$B$5+IF(MOD(I14,1440)&lt;=تنظیمات!$B$2,0,MIN(تنظیمات!$B$5,تنظیمات!$B$3+MAX(0,ROUNDUP((MOD(I14,1440)-60)/60,0))*تنظیمات!$B$4)))*INDEX(تعرفه!$B$2:$B$7,MATCH(AD14,تعرفه!$A$2:$A$7,0))))</f>
        <v/>
      </c>
      <c r="AH14" s="24"/>
      <c r="AI14" s="24" t="str">
        <f aca="false">IF(AG14="","",AH14-AG14)</f>
        <v/>
      </c>
      <c r="AJ14" s="21" t="n">
        <v>-2</v>
      </c>
      <c r="AK14" s="21" t="n">
        <v>0</v>
      </c>
      <c r="AL14" s="16" t="s">
        <v>335</v>
      </c>
      <c r="AM14" s="16" t="s">
        <v>339</v>
      </c>
      <c r="AN14" s="16" t="s">
        <v>340</v>
      </c>
      <c r="AO14" s="16" t="s">
        <v>340</v>
      </c>
      <c r="AP14" s="16" t="s">
        <v>335</v>
      </c>
      <c r="AQ14" s="16"/>
      <c r="AR14" s="21" t="n">
        <f aca="false">IF(AND(T14&lt;&gt;"",H14&lt;&gt;""),IF(AND((T14-H14)*86400&gt;=0,(T14-H14)*86400&lt;تنظیمات!$B$13),1,0),0)</f>
        <v>0</v>
      </c>
      <c r="AS14" s="21" t="n">
        <f aca="false">IF(Z14="پوز",IF(OR(AB14="",COUNTIF(پوزها!$A$2:$A$5,AA14)=0),1,0),0)</f>
        <v>0</v>
      </c>
      <c r="AT14" s="21" t="n">
        <f aca="false">IF(AI14="",0,IF(AI14&gt;0,1,0))</f>
        <v>0</v>
      </c>
      <c r="AU14" s="21" t="n">
        <f aca="false">IF(AI14="",0,IF(AI14&lt;0,1,0))</f>
        <v>0</v>
      </c>
      <c r="AV14" s="21" t="n">
        <f aca="false">IF(U14&gt;V14,1,0)</f>
        <v>0</v>
      </c>
      <c r="AW14" s="21" t="n">
        <f aca="false">IF(OR(W14&gt;تنظیمات!$B$8,X14="بله"),1,0)</f>
        <v>0</v>
      </c>
      <c r="AX14" s="21" t="n">
        <f aca="false">IF(AND(N14="بله",L14&gt;تنظیمات!$B$9),1,0)</f>
        <v>0</v>
      </c>
      <c r="AY14" s="21" t="n">
        <f aca="false">IF(Y14="معکوس",1,0)</f>
        <v>0</v>
      </c>
      <c r="AZ14" s="21" t="n">
        <f aca="false">IF(ABS(AJ14)&gt;تنظیمات!$B$10,1,0)</f>
        <v>0</v>
      </c>
      <c r="BA14" s="21" t="n">
        <f aca="false">IF(AND(OR(AD14="رایگان/VIP",AD14="جانباز"),AF14="خیر"),1,0)</f>
        <v>0</v>
      </c>
      <c r="BB14" s="21" t="n">
        <f aca="false">IF(AE14="",0,IF(COUNTIF($AE$2:$AE$1001,AE14)&gt;1,1,0))</f>
        <v>0</v>
      </c>
      <c r="BC14" s="21" t="n">
        <f aca="false">IF(AND(H14="",I14&gt;تنظیمات!$B$12*60,AM14="خالی"),1,0)</f>
        <v>1</v>
      </c>
      <c r="BD14" s="21" t="n">
        <f aca="false">IF(AND(AP14="بله",I14&lt;تنظیمات!$B$14,AO14="خیر"),1,0)</f>
        <v>0</v>
      </c>
      <c r="BE14" s="21" t="n">
        <f aca="false">IF(AN14="خیر",1,0)</f>
        <v>0</v>
      </c>
      <c r="BF14" s="21" t="n">
        <f aca="false">IF(AND(AD14="فیش مفقودی",AQ14="بله",I14&gt;تنظیمات!$B$12*60),1,0)</f>
        <v>0</v>
      </c>
      <c r="BG14" s="21" t="n">
        <f aca="false">IF(AND(AK14&gt;تنظیمات!$B$11,AL14="بله"),1,0)</f>
        <v>0</v>
      </c>
      <c r="BH14" s="21" t="n">
        <f aca="false">MIN(100,AR14*تنظیمات!$B$21+AS14*تنظیمات!$B$22+AT14*تنظیمات!$B$23+AU14*تنظیمات!$B$24+AV14*تنظیمات!$B$25+AW14*تنظیمات!$B$26+AX14*تنظیمات!$B$27+AY14*تنظیمات!$B$28+AZ14*تنظیمات!$B$29+BA14*تنظیمات!$B$30+BB14*تنظیمات!$B$31+BC14*تنظیمات!$B$32+BD14*تنظیمات!$B$33+BE14*تنظیمات!$B$34+BF14*تنظیمات!$B$35+BG14*تنظیمات!$B$36)</f>
        <v>15</v>
      </c>
      <c r="BI14" s="16" t="str">
        <f aca="false">IF(BH14&gt;=60,"بحرانی",IF(BH14&gt;=30,"مشکوک",IF(BH14&gt;0,"هشدار","عادی")))</f>
        <v>هشدار</v>
      </c>
      <c r="BJ14" s="16" t="s">
        <v>341</v>
      </c>
    </row>
    <row r="15" customFormat="false" ht="15" hidden="false" customHeight="false" outlineLevel="0" collapsed="false">
      <c r="A15" s="16" t="s">
        <v>392</v>
      </c>
      <c r="B15" s="16" t="s">
        <v>393</v>
      </c>
      <c r="C15" s="16"/>
      <c r="D15" s="16" t="s">
        <v>386</v>
      </c>
      <c r="E15" s="16" t="s">
        <v>375</v>
      </c>
      <c r="F15" s="16" t="s">
        <v>333</v>
      </c>
      <c r="G15" s="17" t="n">
        <v>46267.8798611111</v>
      </c>
      <c r="H15" s="17"/>
      <c r="I15" s="18" t="n">
        <f aca="false">IF(H15="",ROUND((تنظیمات!$B$7-G15)*1440,0),ROUND((H15-G15)*1440,0))</f>
        <v>39413</v>
      </c>
      <c r="J15" s="16" t="s">
        <v>346</v>
      </c>
      <c r="K15" s="16"/>
      <c r="L15" s="19" t="n">
        <v>0.93</v>
      </c>
      <c r="M15" s="19"/>
      <c r="N15" s="16" t="s">
        <v>335</v>
      </c>
      <c r="O15" s="16"/>
      <c r="P15" s="16"/>
      <c r="Q15" s="20"/>
      <c r="R15" s="16" t="s">
        <v>394</v>
      </c>
      <c r="S15" s="16" t="s">
        <v>337</v>
      </c>
      <c r="T15" s="17"/>
      <c r="U15" s="21" t="n">
        <v>1</v>
      </c>
      <c r="V15" s="21" t="n">
        <v>1</v>
      </c>
      <c r="W15" s="22" t="n">
        <v>5.7</v>
      </c>
      <c r="X15" s="16" t="s">
        <v>335</v>
      </c>
      <c r="Y15" s="16" t="s">
        <v>338</v>
      </c>
      <c r="Z15" s="16"/>
      <c r="AA15" s="16"/>
      <c r="AB15" s="23"/>
      <c r="AC15" s="17"/>
      <c r="AD15" s="16" t="s">
        <v>338</v>
      </c>
      <c r="AE15" s="16"/>
      <c r="AF15" s="16" t="str">
        <f aca="false">IF(COUNTIF(لیست_سفید!$A$2:$A$21,B15)&gt;0,"بله","خیر")</f>
        <v>خیر</v>
      </c>
      <c r="AG15" s="24" t="str">
        <f aca="false">IF(H15="","",IF(AD15="فیش مفقودی",تنظیمات!$B$6,(INT(I15/1440)*تنظیمات!$B$5+IF(MOD(I15,1440)&lt;=تنظیمات!$B$2,0,MIN(تنظیمات!$B$5,تنظیمات!$B$3+MAX(0,ROUNDUP((MOD(I15,1440)-60)/60,0))*تنظیمات!$B$4)))*INDEX(تعرفه!$B$2:$B$7,MATCH(AD15,تعرفه!$A$2:$A$7,0))))</f>
        <v/>
      </c>
      <c r="AH15" s="24"/>
      <c r="AI15" s="24" t="str">
        <f aca="false">IF(AG15="","",AH15-AG15)</f>
        <v/>
      </c>
      <c r="AJ15" s="21" t="n">
        <v>0</v>
      </c>
      <c r="AK15" s="21" t="n">
        <v>0</v>
      </c>
      <c r="AL15" s="16" t="s">
        <v>335</v>
      </c>
      <c r="AM15" s="16" t="s">
        <v>339</v>
      </c>
      <c r="AN15" s="16" t="s">
        <v>340</v>
      </c>
      <c r="AO15" s="16" t="s">
        <v>340</v>
      </c>
      <c r="AP15" s="16" t="s">
        <v>335</v>
      </c>
      <c r="AQ15" s="16"/>
      <c r="AR15" s="21" t="n">
        <f aca="false">IF(AND(T15&lt;&gt;"",H15&lt;&gt;""),IF(AND((T15-H15)*86400&gt;=0,(T15-H15)*86400&lt;تنظیمات!$B$13),1,0),0)</f>
        <v>0</v>
      </c>
      <c r="AS15" s="21" t="n">
        <f aca="false">IF(Z15="پوز",IF(OR(AB15="",COUNTIF(پوزها!$A$2:$A$5,AA15)=0),1,0),0)</f>
        <v>0</v>
      </c>
      <c r="AT15" s="21" t="n">
        <f aca="false">IF(AI15="",0,IF(AI15&gt;0,1,0))</f>
        <v>0</v>
      </c>
      <c r="AU15" s="21" t="n">
        <f aca="false">IF(AI15="",0,IF(AI15&lt;0,1,0))</f>
        <v>0</v>
      </c>
      <c r="AV15" s="21" t="n">
        <f aca="false">IF(U15&gt;V15,1,0)</f>
        <v>0</v>
      </c>
      <c r="AW15" s="21" t="n">
        <f aca="false">IF(OR(W15&gt;تنظیمات!$B$8,X15="بله"),1,0)</f>
        <v>0</v>
      </c>
      <c r="AX15" s="21" t="n">
        <f aca="false">IF(AND(N15="بله",L15&gt;تنظیمات!$B$9),1,0)</f>
        <v>0</v>
      </c>
      <c r="AY15" s="21" t="n">
        <f aca="false">IF(Y15="معکوس",1,0)</f>
        <v>0</v>
      </c>
      <c r="AZ15" s="21" t="n">
        <f aca="false">IF(ABS(AJ15)&gt;تنظیمات!$B$10,1,0)</f>
        <v>0</v>
      </c>
      <c r="BA15" s="21" t="n">
        <f aca="false">IF(AND(OR(AD15="رایگان/VIP",AD15="جانباز"),AF15="خیر"),1,0)</f>
        <v>0</v>
      </c>
      <c r="BB15" s="21" t="n">
        <f aca="false">IF(AE15="",0,IF(COUNTIF($AE$2:$AE$1001,AE15)&gt;1,1,0))</f>
        <v>0</v>
      </c>
      <c r="BC15" s="21" t="n">
        <f aca="false">IF(AND(H15="",I15&gt;تنظیمات!$B$12*60,AM15="خالی"),1,0)</f>
        <v>1</v>
      </c>
      <c r="BD15" s="21" t="n">
        <f aca="false">IF(AND(AP15="بله",I15&lt;تنظیمات!$B$14,AO15="خیر"),1,0)</f>
        <v>0</v>
      </c>
      <c r="BE15" s="21" t="n">
        <f aca="false">IF(AN15="خیر",1,0)</f>
        <v>0</v>
      </c>
      <c r="BF15" s="21" t="n">
        <f aca="false">IF(AND(AD15="فیش مفقودی",AQ15="بله",I15&gt;تنظیمات!$B$12*60),1,0)</f>
        <v>0</v>
      </c>
      <c r="BG15" s="21" t="n">
        <f aca="false">IF(AND(AK15&gt;تنظیمات!$B$11,AL15="بله"),1,0)</f>
        <v>0</v>
      </c>
      <c r="BH15" s="21" t="n">
        <f aca="false">MIN(100,AR15*تنظیمات!$B$21+AS15*تنظیمات!$B$22+AT15*تنظیمات!$B$23+AU15*تنظیمات!$B$24+AV15*تنظیمات!$B$25+AW15*تنظیمات!$B$26+AX15*تنظیمات!$B$27+AY15*تنظیمات!$B$28+AZ15*تنظیمات!$B$29+BA15*تنظیمات!$B$30+BB15*تنظیمات!$B$31+BC15*تنظیمات!$B$32+BD15*تنظیمات!$B$33+BE15*تنظیمات!$B$34+BF15*تنظیمات!$B$35+BG15*تنظیمات!$B$36)</f>
        <v>15</v>
      </c>
      <c r="BI15" s="16" t="str">
        <f aca="false">IF(BH15&gt;=60,"بحرانی",IF(BH15&gt;=30,"مشکوک",IF(BH15&gt;0,"هشدار","عادی")))</f>
        <v>هشدار</v>
      </c>
      <c r="BJ15" s="16" t="s">
        <v>341</v>
      </c>
    </row>
    <row r="16" customFormat="false" ht="15" hidden="false" customHeight="false" outlineLevel="0" collapsed="false">
      <c r="A16" s="16" t="s">
        <v>395</v>
      </c>
      <c r="B16" s="16" t="s">
        <v>396</v>
      </c>
      <c r="C16" s="16"/>
      <c r="D16" s="16" t="s">
        <v>344</v>
      </c>
      <c r="E16" s="16" t="s">
        <v>345</v>
      </c>
      <c r="F16" s="16" t="s">
        <v>333</v>
      </c>
      <c r="G16" s="17" t="n">
        <v>46268.5201388889</v>
      </c>
      <c r="H16" s="17"/>
      <c r="I16" s="18" t="n">
        <f aca="false">IF(H16="",ROUND((تنظیمات!$B$7-G16)*1440,0),ROUND((H16-G16)*1440,0))</f>
        <v>38491</v>
      </c>
      <c r="J16" s="16" t="s">
        <v>334</v>
      </c>
      <c r="K16" s="16"/>
      <c r="L16" s="19" t="n">
        <v>0.931</v>
      </c>
      <c r="M16" s="19"/>
      <c r="N16" s="16" t="s">
        <v>335</v>
      </c>
      <c r="O16" s="16"/>
      <c r="P16" s="16"/>
      <c r="Q16" s="20"/>
      <c r="R16" s="16" t="s">
        <v>397</v>
      </c>
      <c r="S16" s="16" t="s">
        <v>337</v>
      </c>
      <c r="T16" s="17"/>
      <c r="U16" s="21" t="n">
        <v>1</v>
      </c>
      <c r="V16" s="21" t="n">
        <v>1</v>
      </c>
      <c r="W16" s="22" t="n">
        <v>3.4</v>
      </c>
      <c r="X16" s="16" t="s">
        <v>335</v>
      </c>
      <c r="Y16" s="16" t="s">
        <v>338</v>
      </c>
      <c r="Z16" s="16"/>
      <c r="AA16" s="16"/>
      <c r="AB16" s="23"/>
      <c r="AC16" s="17"/>
      <c r="AD16" s="16" t="s">
        <v>338</v>
      </c>
      <c r="AE16" s="16"/>
      <c r="AF16" s="16" t="str">
        <f aca="false">IF(COUNTIF(لیست_سفید!$A$2:$A$21,B16)&gt;0,"بله","خیر")</f>
        <v>خیر</v>
      </c>
      <c r="AG16" s="24" t="str">
        <f aca="false">IF(H16="","",IF(AD16="فیش مفقودی",تنظیمات!$B$6,(INT(I16/1440)*تنظیمات!$B$5+IF(MOD(I16,1440)&lt;=تنظیمات!$B$2,0,MIN(تنظیمات!$B$5,تنظیمات!$B$3+MAX(0,ROUNDUP((MOD(I16,1440)-60)/60,0))*تنظیمات!$B$4)))*INDEX(تعرفه!$B$2:$B$7,MATCH(AD16,تعرفه!$A$2:$A$7,0))))</f>
        <v/>
      </c>
      <c r="AH16" s="24"/>
      <c r="AI16" s="24" t="str">
        <f aca="false">IF(AG16="","",AH16-AG16)</f>
        <v/>
      </c>
      <c r="AJ16" s="21" t="n">
        <v>1</v>
      </c>
      <c r="AK16" s="21" t="n">
        <v>0</v>
      </c>
      <c r="AL16" s="16" t="s">
        <v>335</v>
      </c>
      <c r="AM16" s="16" t="s">
        <v>339</v>
      </c>
      <c r="AN16" s="16" t="s">
        <v>340</v>
      </c>
      <c r="AO16" s="16" t="s">
        <v>340</v>
      </c>
      <c r="AP16" s="16" t="s">
        <v>335</v>
      </c>
      <c r="AQ16" s="16"/>
      <c r="AR16" s="21" t="n">
        <f aca="false">IF(AND(T16&lt;&gt;"",H16&lt;&gt;""),IF(AND((T16-H16)*86400&gt;=0,(T16-H16)*86400&lt;تنظیمات!$B$13),1,0),0)</f>
        <v>0</v>
      </c>
      <c r="AS16" s="21" t="n">
        <f aca="false">IF(Z16="پوز",IF(OR(AB16="",COUNTIF(پوزها!$A$2:$A$5,AA16)=0),1,0),0)</f>
        <v>0</v>
      </c>
      <c r="AT16" s="21" t="n">
        <f aca="false">IF(AI16="",0,IF(AI16&gt;0,1,0))</f>
        <v>0</v>
      </c>
      <c r="AU16" s="21" t="n">
        <f aca="false">IF(AI16="",0,IF(AI16&lt;0,1,0))</f>
        <v>0</v>
      </c>
      <c r="AV16" s="21" t="n">
        <f aca="false">IF(U16&gt;V16,1,0)</f>
        <v>0</v>
      </c>
      <c r="AW16" s="21" t="n">
        <f aca="false">IF(OR(W16&gt;تنظیمات!$B$8,X16="بله"),1,0)</f>
        <v>0</v>
      </c>
      <c r="AX16" s="21" t="n">
        <f aca="false">IF(AND(N16="بله",L16&gt;تنظیمات!$B$9),1,0)</f>
        <v>0</v>
      </c>
      <c r="AY16" s="21" t="n">
        <f aca="false">IF(Y16="معکوس",1,0)</f>
        <v>0</v>
      </c>
      <c r="AZ16" s="21" t="n">
        <f aca="false">IF(ABS(AJ16)&gt;تنظیمات!$B$10,1,0)</f>
        <v>0</v>
      </c>
      <c r="BA16" s="21" t="n">
        <f aca="false">IF(AND(OR(AD16="رایگان/VIP",AD16="جانباز"),AF16="خیر"),1,0)</f>
        <v>0</v>
      </c>
      <c r="BB16" s="21" t="n">
        <f aca="false">IF(AE16="",0,IF(COUNTIF($AE$2:$AE$1001,AE16)&gt;1,1,0))</f>
        <v>0</v>
      </c>
      <c r="BC16" s="21" t="n">
        <f aca="false">IF(AND(H16="",I16&gt;تنظیمات!$B$12*60,AM16="خالی"),1,0)</f>
        <v>1</v>
      </c>
      <c r="BD16" s="21" t="n">
        <f aca="false">IF(AND(AP16="بله",I16&lt;تنظیمات!$B$14,AO16="خیر"),1,0)</f>
        <v>0</v>
      </c>
      <c r="BE16" s="21" t="n">
        <f aca="false">IF(AN16="خیر",1,0)</f>
        <v>0</v>
      </c>
      <c r="BF16" s="21" t="n">
        <f aca="false">IF(AND(AD16="فیش مفقودی",AQ16="بله",I16&gt;تنظیمات!$B$12*60),1,0)</f>
        <v>0</v>
      </c>
      <c r="BG16" s="21" t="n">
        <f aca="false">IF(AND(AK16&gt;تنظیمات!$B$11,AL16="بله"),1,0)</f>
        <v>0</v>
      </c>
      <c r="BH16" s="21" t="n">
        <f aca="false">MIN(100,AR16*تنظیمات!$B$21+AS16*تنظیمات!$B$22+AT16*تنظیمات!$B$23+AU16*تنظیمات!$B$24+AV16*تنظیمات!$B$25+AW16*تنظیمات!$B$26+AX16*تنظیمات!$B$27+AY16*تنظیمات!$B$28+AZ16*تنظیمات!$B$29+BA16*تنظیمات!$B$30+BB16*تنظیمات!$B$31+BC16*تنظیمات!$B$32+BD16*تنظیمات!$B$33+BE16*تنظیمات!$B$34+BF16*تنظیمات!$B$35+BG16*تنظیمات!$B$36)</f>
        <v>15</v>
      </c>
      <c r="BI16" s="16" t="str">
        <f aca="false">IF(BH16&gt;=60,"بحرانی",IF(BH16&gt;=30,"مشکوک",IF(BH16&gt;0,"هشدار","عادی")))</f>
        <v>هشدار</v>
      </c>
      <c r="BJ16" s="16" t="s">
        <v>341</v>
      </c>
    </row>
    <row r="17" customFormat="false" ht="15" hidden="false" customHeight="false" outlineLevel="0" collapsed="false">
      <c r="A17" s="16" t="s">
        <v>398</v>
      </c>
      <c r="B17" s="16" t="s">
        <v>399</v>
      </c>
      <c r="C17" s="16"/>
      <c r="D17" s="16" t="s">
        <v>382</v>
      </c>
      <c r="E17" s="16" t="s">
        <v>351</v>
      </c>
      <c r="F17" s="16" t="s">
        <v>333</v>
      </c>
      <c r="G17" s="17" t="n">
        <v>46278.9095486111</v>
      </c>
      <c r="H17" s="17" t="n">
        <v>46283.5039930556</v>
      </c>
      <c r="I17" s="18" t="n">
        <f aca="false">IF(H17="",ROUND((تنظیمات!$B$7-G17)*1440,0),ROUND((H17-G17)*1440,0))</f>
        <v>6616</v>
      </c>
      <c r="J17" s="16" t="s">
        <v>334</v>
      </c>
      <c r="K17" s="16" t="s">
        <v>400</v>
      </c>
      <c r="L17" s="19" t="n">
        <v>0.995</v>
      </c>
      <c r="M17" s="19" t="n">
        <v>0.958</v>
      </c>
      <c r="N17" s="16" t="s">
        <v>335</v>
      </c>
      <c r="O17" s="16" t="s">
        <v>401</v>
      </c>
      <c r="P17" s="16" t="s">
        <v>402</v>
      </c>
      <c r="Q17" s="20" t="n">
        <v>46283</v>
      </c>
      <c r="R17" s="16" t="s">
        <v>403</v>
      </c>
      <c r="S17" s="16" t="s">
        <v>404</v>
      </c>
      <c r="T17" s="17"/>
      <c r="U17" s="21" t="n">
        <v>1</v>
      </c>
      <c r="V17" s="21" t="n">
        <v>1</v>
      </c>
      <c r="W17" s="22" t="n">
        <v>4.4</v>
      </c>
      <c r="X17" s="16" t="s">
        <v>335</v>
      </c>
      <c r="Y17" s="16" t="s">
        <v>338</v>
      </c>
      <c r="Z17" s="16" t="s">
        <v>405</v>
      </c>
      <c r="AA17" s="16"/>
      <c r="AB17" s="23"/>
      <c r="AC17" s="17"/>
      <c r="AD17" s="16" t="s">
        <v>406</v>
      </c>
      <c r="AE17" s="16"/>
      <c r="AF17" s="16" t="str">
        <f aca="false">IF(COUNTIF(لیست_سفید!$A$2:$A$21,B17)&gt;0,"بله","خیر")</f>
        <v>خیر</v>
      </c>
      <c r="AG17" s="24" t="n">
        <f aca="false">IF(H17="","",IF(AD17="فیش مفقودی",تنظیمات!$B$6,(INT(I17/1440)*تنظیمات!$B$5+IF(MOD(I17,1440)&lt;=تنظیمات!$B$2,0,MIN(تنظیمات!$B$5,تنظیمات!$B$3+MAX(0,ROUNDUP((MOD(I17,1440)-60)/60,0))*تنظیمات!$B$4)))*INDEX(تعرفه!$B$2:$B$7,MATCH(AD17,تعرفه!$A$2:$A$7,0))))</f>
        <v>300000</v>
      </c>
      <c r="AH17" s="24" t="n">
        <v>300000</v>
      </c>
      <c r="AI17" s="24" t="n">
        <f aca="false">IF(AG17="","",AH17-AG17)</f>
        <v>0</v>
      </c>
      <c r="AJ17" s="21" t="n">
        <v>-4</v>
      </c>
      <c r="AK17" s="21" t="n">
        <v>0</v>
      </c>
      <c r="AL17" s="16" t="s">
        <v>335</v>
      </c>
      <c r="AM17" s="16"/>
      <c r="AN17" s="16" t="s">
        <v>340</v>
      </c>
      <c r="AO17" s="16" t="s">
        <v>340</v>
      </c>
      <c r="AP17" s="16" t="s">
        <v>335</v>
      </c>
      <c r="AQ17" s="16" t="s">
        <v>340</v>
      </c>
      <c r="AR17" s="21" t="n">
        <f aca="false">IF(AND(T17&lt;&gt;"",H17&lt;&gt;""),IF(AND((T17-H17)*86400&gt;=0,(T17-H17)*86400&lt;تنظیمات!$B$13),1,0),0)</f>
        <v>0</v>
      </c>
      <c r="AS17" s="21" t="n">
        <f aca="false">IF(Z17="پوز",IF(OR(AB17="",COUNTIF(پوزها!$A$2:$A$5,AA17)=0),1,0),0)</f>
        <v>0</v>
      </c>
      <c r="AT17" s="21" t="n">
        <f aca="false">IF(AI17="",0,IF(AI17&gt;0,1,0))</f>
        <v>0</v>
      </c>
      <c r="AU17" s="21" t="n">
        <f aca="false">IF(AI17="",0,IF(AI17&lt;0,1,0))</f>
        <v>0</v>
      </c>
      <c r="AV17" s="21" t="n">
        <f aca="false">IF(U17&gt;V17,1,0)</f>
        <v>0</v>
      </c>
      <c r="AW17" s="21" t="n">
        <f aca="false">IF(OR(W17&gt;تنظیمات!$B$8,X17="بله"),1,0)</f>
        <v>0</v>
      </c>
      <c r="AX17" s="21" t="n">
        <f aca="false">IF(AND(N17="بله",L17&gt;تنظیمات!$B$9),1,0)</f>
        <v>0</v>
      </c>
      <c r="AY17" s="21" t="n">
        <f aca="false">IF(Y17="معکوس",1,0)</f>
        <v>0</v>
      </c>
      <c r="AZ17" s="21" t="n">
        <f aca="false">IF(ABS(AJ17)&gt;تنظیمات!$B$10,1,0)</f>
        <v>0</v>
      </c>
      <c r="BA17" s="21" t="n">
        <f aca="false">IF(AND(OR(AD17="رایگان/VIP",AD17="جانباز"),AF17="خیر"),1,0)</f>
        <v>0</v>
      </c>
      <c r="BB17" s="21" t="n">
        <f aca="false">IF(AE17="",0,IF(COUNTIF($AE$2:$AE$1001,AE17)&gt;1,1,0))</f>
        <v>0</v>
      </c>
      <c r="BC17" s="21" t="n">
        <f aca="false">IF(AND(H17="",I17&gt;تنظیمات!$B$12*60,AM17="خالی"),1,0)</f>
        <v>0</v>
      </c>
      <c r="BD17" s="21" t="n">
        <f aca="false">IF(AND(AP17="بله",I17&lt;تنظیمات!$B$14,AO17="خیر"),1,0)</f>
        <v>0</v>
      </c>
      <c r="BE17" s="21" t="n">
        <f aca="false">IF(AN17="خیر",1,0)</f>
        <v>0</v>
      </c>
      <c r="BF17" s="21" t="n">
        <f aca="false">IF(AND(AD17="فیش مفقودی",AQ17="بله",I17&gt;تنظیمات!$B$12*60),1,0)</f>
        <v>1</v>
      </c>
      <c r="BG17" s="21" t="n">
        <f aca="false">IF(AND(AK17&gt;تنظیمات!$B$11,AL17="بله"),1,0)</f>
        <v>0</v>
      </c>
      <c r="BH17" s="21" t="n">
        <f aca="false">MIN(100,AR17*تنظیمات!$B$21+AS17*تنظیمات!$B$22+AT17*تنظیمات!$B$23+AU17*تنظیمات!$B$24+AV17*تنظیمات!$B$25+AW17*تنظیمات!$B$26+AX17*تنظیمات!$B$27+AY17*تنظیمات!$B$28+AZ17*تنظیمات!$B$29+BA17*تنظیمات!$B$30+BB17*تنظیمات!$B$31+BC17*تنظیمات!$B$32+BD17*تنظیمات!$B$33+BE17*تنظیمات!$B$34+BF17*تنظیمات!$B$35+BG17*تنظیمات!$B$36)</f>
        <v>30</v>
      </c>
      <c r="BI17" s="16" t="str">
        <f aca="false">IF(BH17&gt;=60,"بحرانی",IF(BH17&gt;=30,"مشکوک",IF(BH17&gt;0,"هشدار","عادی")))</f>
        <v>مشکوک</v>
      </c>
      <c r="BJ17" s="16" t="s">
        <v>407</v>
      </c>
    </row>
    <row r="18" customFormat="false" ht="15" hidden="false" customHeight="false" outlineLevel="0" collapsed="false">
      <c r="A18" s="16" t="s">
        <v>408</v>
      </c>
      <c r="B18" s="16" t="s">
        <v>409</v>
      </c>
      <c r="C18" s="16"/>
      <c r="D18" s="16" t="s">
        <v>382</v>
      </c>
      <c r="E18" s="16" t="s">
        <v>363</v>
      </c>
      <c r="F18" s="16" t="s">
        <v>333</v>
      </c>
      <c r="G18" s="17" t="n">
        <v>46279.0754282407</v>
      </c>
      <c r="H18" s="17" t="n">
        <v>46281.4462615741</v>
      </c>
      <c r="I18" s="18" t="n">
        <f aca="false">IF(H18="",ROUND((تنظیمات!$B$7-G18)*1440,0),ROUND((H18-G18)*1440,0))</f>
        <v>3414</v>
      </c>
      <c r="J18" s="16" t="s">
        <v>334</v>
      </c>
      <c r="K18" s="16" t="s">
        <v>410</v>
      </c>
      <c r="L18" s="19" t="n">
        <v>0.898</v>
      </c>
      <c r="M18" s="19" t="n">
        <v>0.991</v>
      </c>
      <c r="N18" s="16" t="s">
        <v>335</v>
      </c>
      <c r="O18" s="16" t="s">
        <v>411</v>
      </c>
      <c r="P18" s="16" t="s">
        <v>402</v>
      </c>
      <c r="Q18" s="20" t="n">
        <v>46281</v>
      </c>
      <c r="R18" s="16" t="s">
        <v>412</v>
      </c>
      <c r="S18" s="16" t="s">
        <v>404</v>
      </c>
      <c r="T18" s="17"/>
      <c r="U18" s="21" t="n">
        <v>1</v>
      </c>
      <c r="V18" s="21" t="n">
        <v>1</v>
      </c>
      <c r="W18" s="22" t="n">
        <v>6</v>
      </c>
      <c r="X18" s="16" t="s">
        <v>335</v>
      </c>
      <c r="Y18" s="16" t="s">
        <v>338</v>
      </c>
      <c r="Z18" s="16" t="s">
        <v>413</v>
      </c>
      <c r="AA18" s="16" t="s">
        <v>414</v>
      </c>
      <c r="AB18" s="23" t="s">
        <v>415</v>
      </c>
      <c r="AC18" s="17" t="n">
        <v>46281.4454861111</v>
      </c>
      <c r="AD18" s="16" t="s">
        <v>338</v>
      </c>
      <c r="AE18" s="16"/>
      <c r="AF18" s="16" t="str">
        <f aca="false">IF(COUNTIF(لیست_سفید!$A$2:$A$21,B18)&gt;0,"بله","خیر")</f>
        <v>خیر</v>
      </c>
      <c r="AG18" s="24" t="n">
        <f aca="false">IF(H18="","",IF(AD18="فیش مفقودی",تنظیمات!$B$6,(INT(I18/1440)*تنظیمات!$B$5+IF(MOD(I18,1440)&lt;=تنظیمات!$B$2,0,MIN(تنظیمات!$B$5,تنظیمات!$B$3+MAX(0,ROUNDUP((MOD(I18,1440)-60)/60,0))*تنظیمات!$B$4)))*INDEX(تعرفه!$B$2:$B$7,MATCH(AD18,تعرفه!$A$2:$A$7,0))))</f>
        <v>492000</v>
      </c>
      <c r="AH18" s="24" t="n">
        <v>492000</v>
      </c>
      <c r="AI18" s="24" t="n">
        <f aca="false">IF(AG18="","",AH18-AG18)</f>
        <v>0</v>
      </c>
      <c r="AJ18" s="21" t="n">
        <v>2</v>
      </c>
      <c r="AK18" s="21" t="n">
        <v>0</v>
      </c>
      <c r="AL18" s="16" t="s">
        <v>335</v>
      </c>
      <c r="AM18" s="16"/>
      <c r="AN18" s="16" t="s">
        <v>340</v>
      </c>
      <c r="AO18" s="16" t="s">
        <v>340</v>
      </c>
      <c r="AP18" s="16" t="s">
        <v>335</v>
      </c>
      <c r="AQ18" s="16"/>
      <c r="AR18" s="21" t="n">
        <f aca="false">IF(AND(T18&lt;&gt;"",H18&lt;&gt;""),IF(AND((T18-H18)*86400&gt;=0,(T18-H18)*86400&lt;تنظیمات!$B$13),1,0),0)</f>
        <v>0</v>
      </c>
      <c r="AS18" s="21" t="n">
        <f aca="false">IF(Z18="پوز",IF(OR(AB18="",COUNTIF(پوزها!$A$2:$A$5,AA18)=0),1,0),0)</f>
        <v>0</v>
      </c>
      <c r="AT18" s="21" t="n">
        <f aca="false">IF(AI18="",0,IF(AI18&gt;0,1,0))</f>
        <v>0</v>
      </c>
      <c r="AU18" s="21" t="n">
        <f aca="false">IF(AI18="",0,IF(AI18&lt;0,1,0))</f>
        <v>0</v>
      </c>
      <c r="AV18" s="21" t="n">
        <f aca="false">IF(U18&gt;V18,1,0)</f>
        <v>0</v>
      </c>
      <c r="AW18" s="21" t="n">
        <f aca="false">IF(OR(W18&gt;تنظیمات!$B$8,X18="بله"),1,0)</f>
        <v>0</v>
      </c>
      <c r="AX18" s="21" t="n">
        <f aca="false">IF(AND(N18="بله",L18&gt;تنظیمات!$B$9),1,0)</f>
        <v>0</v>
      </c>
      <c r="AY18" s="21" t="n">
        <f aca="false">IF(Y18="معکوس",1,0)</f>
        <v>0</v>
      </c>
      <c r="AZ18" s="21" t="n">
        <f aca="false">IF(ABS(AJ18)&gt;تنظیمات!$B$10,1,0)</f>
        <v>0</v>
      </c>
      <c r="BA18" s="21" t="n">
        <f aca="false">IF(AND(OR(AD18="رایگان/VIP",AD18="جانباز"),AF18="خیر"),1,0)</f>
        <v>0</v>
      </c>
      <c r="BB18" s="21" t="n">
        <f aca="false">IF(AE18="",0,IF(COUNTIF($AE$2:$AE$1001,AE18)&gt;1,1,0))</f>
        <v>0</v>
      </c>
      <c r="BC18" s="21" t="n">
        <f aca="false">IF(AND(H18="",I18&gt;تنظیمات!$B$12*60,AM18="خالی"),1,0)</f>
        <v>0</v>
      </c>
      <c r="BD18" s="21" t="n">
        <f aca="false">IF(AND(AP18="بله",I18&lt;تنظیمات!$B$14,AO18="خیر"),1,0)</f>
        <v>0</v>
      </c>
      <c r="BE18" s="21" t="n">
        <f aca="false">IF(AN18="خیر",1,0)</f>
        <v>0</v>
      </c>
      <c r="BF18" s="21" t="n">
        <f aca="false">IF(AND(AD18="فیش مفقودی",AQ18="بله",I18&gt;تنظیمات!$B$12*60),1,0)</f>
        <v>0</v>
      </c>
      <c r="BG18" s="21" t="n">
        <f aca="false">IF(AND(AK18&gt;تنظیمات!$B$11,AL18="بله"),1,0)</f>
        <v>0</v>
      </c>
      <c r="BH18" s="21" t="n">
        <f aca="false">MIN(100,AR18*تنظیمات!$B$21+AS18*تنظیمات!$B$22+AT18*تنظیمات!$B$23+AU18*تنظیمات!$B$24+AV18*تنظیمات!$B$25+AW18*تنظیمات!$B$26+AX18*تنظیمات!$B$27+AY18*تنظیمات!$B$28+AZ18*تنظیمات!$B$29+BA18*تنظیمات!$B$30+BB18*تنظیمات!$B$31+BC18*تنظیمات!$B$32+BD18*تنظیمات!$B$33+BE18*تنظیمات!$B$34+BF18*تنظیمات!$B$35+BG18*تنظیمات!$B$36)</f>
        <v>0</v>
      </c>
      <c r="BI18" s="16" t="str">
        <f aca="false">IF(BH18&gt;=60,"بحرانی",IF(BH18&gt;=30,"مشکوک",IF(BH18&gt;0,"هشدار","عادی")))</f>
        <v>عادی</v>
      </c>
      <c r="BJ18" s="16" t="s">
        <v>338</v>
      </c>
    </row>
    <row r="19" customFormat="false" ht="15" hidden="false" customHeight="false" outlineLevel="0" collapsed="false">
      <c r="A19" s="16" t="s">
        <v>416</v>
      </c>
      <c r="B19" s="16" t="s">
        <v>417</v>
      </c>
      <c r="C19" s="16"/>
      <c r="D19" s="16" t="s">
        <v>418</v>
      </c>
      <c r="E19" s="16" t="s">
        <v>351</v>
      </c>
      <c r="F19" s="16" t="s">
        <v>333</v>
      </c>
      <c r="G19" s="17" t="n">
        <v>46279.520474537</v>
      </c>
      <c r="H19" s="17" t="n">
        <v>46281.5982523148</v>
      </c>
      <c r="I19" s="18" t="n">
        <f aca="false">IF(H19="",ROUND((تنظیمات!$B$7-G19)*1440,0),ROUND((H19-G19)*1440,0))</f>
        <v>2992</v>
      </c>
      <c r="J19" s="16" t="s">
        <v>334</v>
      </c>
      <c r="K19" s="16" t="s">
        <v>410</v>
      </c>
      <c r="L19" s="19" t="n">
        <v>0.889</v>
      </c>
      <c r="M19" s="19" t="n">
        <v>0.954</v>
      </c>
      <c r="N19" s="16" t="s">
        <v>335</v>
      </c>
      <c r="O19" s="16" t="s">
        <v>419</v>
      </c>
      <c r="P19" s="16" t="s">
        <v>420</v>
      </c>
      <c r="Q19" s="20" t="n">
        <v>46281</v>
      </c>
      <c r="R19" s="16" t="s">
        <v>421</v>
      </c>
      <c r="S19" s="16" t="s">
        <v>404</v>
      </c>
      <c r="T19" s="17"/>
      <c r="U19" s="21" t="n">
        <v>1</v>
      </c>
      <c r="V19" s="21" t="n">
        <v>1</v>
      </c>
      <c r="W19" s="22" t="n">
        <v>4.7</v>
      </c>
      <c r="X19" s="16" t="s">
        <v>335</v>
      </c>
      <c r="Y19" s="16" t="s">
        <v>338</v>
      </c>
      <c r="Z19" s="16" t="s">
        <v>413</v>
      </c>
      <c r="AA19" s="16" t="s">
        <v>414</v>
      </c>
      <c r="AB19" s="23" t="s">
        <v>422</v>
      </c>
      <c r="AC19" s="17" t="n">
        <v>46281.5979050926</v>
      </c>
      <c r="AD19" s="16" t="s">
        <v>338</v>
      </c>
      <c r="AE19" s="16"/>
      <c r="AF19" s="16" t="str">
        <f aca="false">IF(COUNTIF(لیست_سفید!$A$2:$A$21,B19)&gt;0,"بله","خیر")</f>
        <v>خیر</v>
      </c>
      <c r="AG19" s="24" t="n">
        <f aca="false">IF(H19="","",IF(AD19="فیش مفقودی",تنظیمات!$B$6,(INT(I19/1440)*تنظیمات!$B$5+IF(MOD(I19,1440)&lt;=تنظیمات!$B$2,0,MIN(تنظیمات!$B$5,تنظیمات!$B$3+MAX(0,ROUNDUP((MOD(I19,1440)-60)/60,0))*تنظیمات!$B$4)))*INDEX(تعرفه!$B$2:$B$7,MATCH(AD19,تعرفه!$A$2:$A$7,0))))</f>
        <v>394000</v>
      </c>
      <c r="AH19" s="24" t="n">
        <v>394000</v>
      </c>
      <c r="AI19" s="24" t="n">
        <f aca="false">IF(AG19="","",AH19-AG19)</f>
        <v>0</v>
      </c>
      <c r="AJ19" s="21" t="n">
        <v>1</v>
      </c>
      <c r="AK19" s="21" t="n">
        <v>0</v>
      </c>
      <c r="AL19" s="16" t="s">
        <v>335</v>
      </c>
      <c r="AM19" s="16"/>
      <c r="AN19" s="16" t="s">
        <v>340</v>
      </c>
      <c r="AO19" s="16" t="s">
        <v>340</v>
      </c>
      <c r="AP19" s="16" t="s">
        <v>335</v>
      </c>
      <c r="AQ19" s="16"/>
      <c r="AR19" s="21" t="n">
        <f aca="false">IF(AND(T19&lt;&gt;"",H19&lt;&gt;""),IF(AND((T19-H19)*86400&gt;=0,(T19-H19)*86400&lt;تنظیمات!$B$13),1,0),0)</f>
        <v>0</v>
      </c>
      <c r="AS19" s="21" t="n">
        <f aca="false">IF(Z19="پوز",IF(OR(AB19="",COUNTIF(پوزها!$A$2:$A$5,AA19)=0),1,0),0)</f>
        <v>0</v>
      </c>
      <c r="AT19" s="21" t="n">
        <f aca="false">IF(AI19="",0,IF(AI19&gt;0,1,0))</f>
        <v>0</v>
      </c>
      <c r="AU19" s="21" t="n">
        <f aca="false">IF(AI19="",0,IF(AI19&lt;0,1,0))</f>
        <v>0</v>
      </c>
      <c r="AV19" s="21" t="n">
        <f aca="false">IF(U19&gt;V19,1,0)</f>
        <v>0</v>
      </c>
      <c r="AW19" s="21" t="n">
        <f aca="false">IF(OR(W19&gt;تنظیمات!$B$8,X19="بله"),1,0)</f>
        <v>0</v>
      </c>
      <c r="AX19" s="21" t="n">
        <f aca="false">IF(AND(N19="بله",L19&gt;تنظیمات!$B$9),1,0)</f>
        <v>0</v>
      </c>
      <c r="AY19" s="21" t="n">
        <f aca="false">IF(Y19="معکوس",1,0)</f>
        <v>0</v>
      </c>
      <c r="AZ19" s="21" t="n">
        <f aca="false">IF(ABS(AJ19)&gt;تنظیمات!$B$10,1,0)</f>
        <v>0</v>
      </c>
      <c r="BA19" s="21" t="n">
        <f aca="false">IF(AND(OR(AD19="رایگان/VIP",AD19="جانباز"),AF19="خیر"),1,0)</f>
        <v>0</v>
      </c>
      <c r="BB19" s="21" t="n">
        <f aca="false">IF(AE19="",0,IF(COUNTIF($AE$2:$AE$1001,AE19)&gt;1,1,0))</f>
        <v>0</v>
      </c>
      <c r="BC19" s="21" t="n">
        <f aca="false">IF(AND(H19="",I19&gt;تنظیمات!$B$12*60,AM19="خالی"),1,0)</f>
        <v>0</v>
      </c>
      <c r="BD19" s="21" t="n">
        <f aca="false">IF(AND(AP19="بله",I19&lt;تنظیمات!$B$14,AO19="خیر"),1,0)</f>
        <v>0</v>
      </c>
      <c r="BE19" s="21" t="n">
        <f aca="false">IF(AN19="خیر",1,0)</f>
        <v>0</v>
      </c>
      <c r="BF19" s="21" t="n">
        <f aca="false">IF(AND(AD19="فیش مفقودی",AQ19="بله",I19&gt;تنظیمات!$B$12*60),1,0)</f>
        <v>0</v>
      </c>
      <c r="BG19" s="21" t="n">
        <f aca="false">IF(AND(AK19&gt;تنظیمات!$B$11,AL19="بله"),1,0)</f>
        <v>0</v>
      </c>
      <c r="BH19" s="21" t="n">
        <f aca="false">MIN(100,AR19*تنظیمات!$B$21+AS19*تنظیمات!$B$22+AT19*تنظیمات!$B$23+AU19*تنظیمات!$B$24+AV19*تنظیمات!$B$25+AW19*تنظیمات!$B$26+AX19*تنظیمات!$B$27+AY19*تنظیمات!$B$28+AZ19*تنظیمات!$B$29+BA19*تنظیمات!$B$30+BB19*تنظیمات!$B$31+BC19*تنظیمات!$B$32+BD19*تنظیمات!$B$33+BE19*تنظیمات!$B$34+BF19*تنظیمات!$B$35+BG19*تنظیمات!$B$36)</f>
        <v>0</v>
      </c>
      <c r="BI19" s="16" t="str">
        <f aca="false">IF(BH19&gt;=60,"بحرانی",IF(BH19&gt;=30,"مشکوک",IF(BH19&gt;0,"هشدار","عادی")))</f>
        <v>عادی</v>
      </c>
      <c r="BJ19" s="16" t="s">
        <v>338</v>
      </c>
    </row>
    <row r="20" customFormat="false" ht="15" hidden="false" customHeight="false" outlineLevel="0" collapsed="false">
      <c r="A20" s="16" t="s">
        <v>423</v>
      </c>
      <c r="B20" s="16" t="s">
        <v>424</v>
      </c>
      <c r="C20" s="16"/>
      <c r="D20" s="16" t="s">
        <v>344</v>
      </c>
      <c r="E20" s="16" t="s">
        <v>345</v>
      </c>
      <c r="F20" s="16" t="s">
        <v>333</v>
      </c>
      <c r="G20" s="17" t="n">
        <v>46280.7176736111</v>
      </c>
      <c r="H20" s="17" t="n">
        <v>46282.6350347222</v>
      </c>
      <c r="I20" s="18" t="n">
        <f aca="false">IF(H20="",ROUND((تنظیمات!$B$7-G20)*1440,0),ROUND((H20-G20)*1440,0))</f>
        <v>2761</v>
      </c>
      <c r="J20" s="16" t="s">
        <v>334</v>
      </c>
      <c r="K20" s="16" t="s">
        <v>400</v>
      </c>
      <c r="L20" s="19" t="n">
        <v>0.995</v>
      </c>
      <c r="M20" s="19" t="n">
        <v>0.995</v>
      </c>
      <c r="N20" s="16" t="s">
        <v>335</v>
      </c>
      <c r="O20" s="16" t="s">
        <v>425</v>
      </c>
      <c r="P20" s="16" t="s">
        <v>420</v>
      </c>
      <c r="Q20" s="20" t="n">
        <v>46282</v>
      </c>
      <c r="R20" s="16" t="s">
        <v>426</v>
      </c>
      <c r="S20" s="16" t="s">
        <v>404</v>
      </c>
      <c r="T20" s="17"/>
      <c r="U20" s="21" t="n">
        <v>1</v>
      </c>
      <c r="V20" s="21" t="n">
        <v>1</v>
      </c>
      <c r="W20" s="22" t="n">
        <v>7.7</v>
      </c>
      <c r="X20" s="16" t="s">
        <v>335</v>
      </c>
      <c r="Y20" s="16" t="s">
        <v>338</v>
      </c>
      <c r="Z20" s="16" t="s">
        <v>413</v>
      </c>
      <c r="AA20" s="16" t="s">
        <v>427</v>
      </c>
      <c r="AB20" s="23" t="s">
        <v>428</v>
      </c>
      <c r="AC20" s="17" t="n">
        <v>46282.634212963</v>
      </c>
      <c r="AD20" s="16" t="s">
        <v>338</v>
      </c>
      <c r="AE20" s="16"/>
      <c r="AF20" s="16" t="str">
        <f aca="false">IF(COUNTIF(لیست_سفید!$A$2:$A$21,B20)&gt;0,"بله","خیر")</f>
        <v>خیر</v>
      </c>
      <c r="AG20" s="24" t="n">
        <f aca="false">IF(H20="","",IF(AD20="فیش مفقودی",تنظیمات!$B$6,(INT(I20/1440)*تنظیمات!$B$5+IF(MOD(I20,1440)&lt;=تنظیمات!$B$2,0,MIN(تنظیمات!$B$5,تنظیمات!$B$3+MAX(0,ROUNDUP((MOD(I20,1440)-60)/60,0))*تنظیمات!$B$4)))*INDEX(تعرفه!$B$2:$B$7,MATCH(AD20,تعرفه!$A$2:$A$7,0))))</f>
        <v>360000</v>
      </c>
      <c r="AH20" s="24" t="n">
        <v>360000</v>
      </c>
      <c r="AI20" s="24" t="n">
        <f aca="false">IF(AG20="","",AH20-AG20)</f>
        <v>0</v>
      </c>
      <c r="AJ20" s="21" t="n">
        <v>0</v>
      </c>
      <c r="AK20" s="21" t="n">
        <v>0</v>
      </c>
      <c r="AL20" s="16" t="s">
        <v>335</v>
      </c>
      <c r="AM20" s="16"/>
      <c r="AN20" s="16" t="s">
        <v>340</v>
      </c>
      <c r="AO20" s="16" t="s">
        <v>340</v>
      </c>
      <c r="AP20" s="16" t="s">
        <v>335</v>
      </c>
      <c r="AQ20" s="16"/>
      <c r="AR20" s="21" t="n">
        <f aca="false">IF(AND(T20&lt;&gt;"",H20&lt;&gt;""),IF(AND((T20-H20)*86400&gt;=0,(T20-H20)*86400&lt;تنظیمات!$B$13),1,0),0)</f>
        <v>0</v>
      </c>
      <c r="AS20" s="21" t="n">
        <f aca="false">IF(Z20="پوز",IF(OR(AB20="",COUNTIF(پوزها!$A$2:$A$5,AA20)=0),1,0),0)</f>
        <v>0</v>
      </c>
      <c r="AT20" s="21" t="n">
        <f aca="false">IF(AI20="",0,IF(AI20&gt;0,1,0))</f>
        <v>0</v>
      </c>
      <c r="AU20" s="21" t="n">
        <f aca="false">IF(AI20="",0,IF(AI20&lt;0,1,0))</f>
        <v>0</v>
      </c>
      <c r="AV20" s="21" t="n">
        <f aca="false">IF(U20&gt;V20,1,0)</f>
        <v>0</v>
      </c>
      <c r="AW20" s="21" t="n">
        <f aca="false">IF(OR(W20&gt;تنظیمات!$B$8,X20="بله"),1,0)</f>
        <v>0</v>
      </c>
      <c r="AX20" s="21" t="n">
        <f aca="false">IF(AND(N20="بله",L20&gt;تنظیمات!$B$9),1,0)</f>
        <v>0</v>
      </c>
      <c r="AY20" s="21" t="n">
        <f aca="false">IF(Y20="معکوس",1,0)</f>
        <v>0</v>
      </c>
      <c r="AZ20" s="21" t="n">
        <f aca="false">IF(ABS(AJ20)&gt;تنظیمات!$B$10,1,0)</f>
        <v>0</v>
      </c>
      <c r="BA20" s="21" t="n">
        <f aca="false">IF(AND(OR(AD20="رایگان/VIP",AD20="جانباز"),AF20="خیر"),1,0)</f>
        <v>0</v>
      </c>
      <c r="BB20" s="21" t="n">
        <f aca="false">IF(AE20="",0,IF(COUNTIF($AE$2:$AE$1001,AE20)&gt;1,1,0))</f>
        <v>0</v>
      </c>
      <c r="BC20" s="21" t="n">
        <f aca="false">IF(AND(H20="",I20&gt;تنظیمات!$B$12*60,AM20="خالی"),1,0)</f>
        <v>0</v>
      </c>
      <c r="BD20" s="21" t="n">
        <f aca="false">IF(AND(AP20="بله",I20&lt;تنظیمات!$B$14,AO20="خیر"),1,0)</f>
        <v>0</v>
      </c>
      <c r="BE20" s="21" t="n">
        <f aca="false">IF(AN20="خیر",1,0)</f>
        <v>0</v>
      </c>
      <c r="BF20" s="21" t="n">
        <f aca="false">IF(AND(AD20="فیش مفقودی",AQ20="بله",I20&gt;تنظیمات!$B$12*60),1,0)</f>
        <v>0</v>
      </c>
      <c r="BG20" s="21" t="n">
        <f aca="false">IF(AND(AK20&gt;تنظیمات!$B$11,AL20="بله"),1,0)</f>
        <v>0</v>
      </c>
      <c r="BH20" s="21" t="n">
        <f aca="false">MIN(100,AR20*تنظیمات!$B$21+AS20*تنظیمات!$B$22+AT20*تنظیمات!$B$23+AU20*تنظیمات!$B$24+AV20*تنظیمات!$B$25+AW20*تنظیمات!$B$26+AX20*تنظیمات!$B$27+AY20*تنظیمات!$B$28+AZ20*تنظیمات!$B$29+BA20*تنظیمات!$B$30+BB20*تنظیمات!$B$31+BC20*تنظیمات!$B$32+BD20*تنظیمات!$B$33+BE20*تنظیمات!$B$34+BF20*تنظیمات!$B$35+BG20*تنظیمات!$B$36)</f>
        <v>0</v>
      </c>
      <c r="BI20" s="16" t="str">
        <f aca="false">IF(BH20&gt;=60,"بحرانی",IF(BH20&gt;=30,"مشکوک",IF(BH20&gt;0,"هشدار","عادی")))</f>
        <v>عادی</v>
      </c>
      <c r="BJ20" s="16" t="s">
        <v>338</v>
      </c>
    </row>
    <row r="21" customFormat="false" ht="15" hidden="false" customHeight="false" outlineLevel="0" collapsed="false">
      <c r="A21" s="16" t="s">
        <v>429</v>
      </c>
      <c r="B21" s="16" t="s">
        <v>430</v>
      </c>
      <c r="C21" s="16"/>
      <c r="D21" s="16" t="s">
        <v>431</v>
      </c>
      <c r="E21" s="16" t="s">
        <v>363</v>
      </c>
      <c r="F21" s="16" t="s">
        <v>333</v>
      </c>
      <c r="G21" s="17" t="n">
        <v>46281.0384143519</v>
      </c>
      <c r="H21" s="17" t="n">
        <v>46281.5398032407</v>
      </c>
      <c r="I21" s="18" t="n">
        <f aca="false">IF(H21="",ROUND((تنظیمات!$B$7-G21)*1440,0),ROUND((H21-G21)*1440,0))</f>
        <v>722</v>
      </c>
      <c r="J21" s="16" t="s">
        <v>334</v>
      </c>
      <c r="K21" s="16" t="s">
        <v>410</v>
      </c>
      <c r="L21" s="19" t="n">
        <v>0.928</v>
      </c>
      <c r="M21" s="19" t="n">
        <v>0.918</v>
      </c>
      <c r="N21" s="16" t="s">
        <v>335</v>
      </c>
      <c r="O21" s="16" t="s">
        <v>411</v>
      </c>
      <c r="P21" s="16" t="s">
        <v>402</v>
      </c>
      <c r="Q21" s="20" t="n">
        <v>46281</v>
      </c>
      <c r="R21" s="16" t="s">
        <v>432</v>
      </c>
      <c r="S21" s="16" t="s">
        <v>404</v>
      </c>
      <c r="T21" s="17"/>
      <c r="U21" s="21" t="n">
        <v>1</v>
      </c>
      <c r="V21" s="21" t="n">
        <v>1</v>
      </c>
      <c r="W21" s="22" t="n">
        <v>3.2</v>
      </c>
      <c r="X21" s="16" t="s">
        <v>335</v>
      </c>
      <c r="Y21" s="16" t="s">
        <v>338</v>
      </c>
      <c r="Z21" s="16" t="s">
        <v>413</v>
      </c>
      <c r="AA21" s="16" t="s">
        <v>414</v>
      </c>
      <c r="AB21" s="23" t="s">
        <v>433</v>
      </c>
      <c r="AC21" s="17" t="n">
        <v>46281.5389930556</v>
      </c>
      <c r="AD21" s="16" t="s">
        <v>406</v>
      </c>
      <c r="AE21" s="16"/>
      <c r="AF21" s="16" t="str">
        <f aca="false">IF(COUNTIF(لیست_سفید!$A$2:$A$21,B21)&gt;0,"بله","خیر")</f>
        <v>خیر</v>
      </c>
      <c r="AG21" s="24" t="n">
        <f aca="false">IF(H21="","",IF(AD21="فیش مفقودی",تنظیمات!$B$6,(INT(I21/1440)*تنظیمات!$B$5+IF(MOD(I21,1440)&lt;=تنظیمات!$B$2,0,MIN(تنظیمات!$B$5,تنظیمات!$B$3+MAX(0,ROUNDUP((MOD(I21,1440)-60)/60,0))*تنظیمات!$B$4)))*INDEX(تعرفه!$B$2:$B$7,MATCH(AD21,تعرفه!$A$2:$A$7,0))))</f>
        <v>300000</v>
      </c>
      <c r="AH21" s="24" t="n">
        <v>300000</v>
      </c>
      <c r="AI21" s="24" t="n">
        <f aca="false">IF(AG21="","",AH21-AG21)</f>
        <v>0</v>
      </c>
      <c r="AJ21" s="21" t="n">
        <v>1</v>
      </c>
      <c r="AK21" s="21" t="n">
        <v>0</v>
      </c>
      <c r="AL21" s="16" t="s">
        <v>335</v>
      </c>
      <c r="AM21" s="16"/>
      <c r="AN21" s="16" t="s">
        <v>340</v>
      </c>
      <c r="AO21" s="16" t="s">
        <v>340</v>
      </c>
      <c r="AP21" s="16" t="s">
        <v>335</v>
      </c>
      <c r="AQ21" s="16" t="s">
        <v>340</v>
      </c>
      <c r="AR21" s="21" t="n">
        <f aca="false">IF(AND(T21&lt;&gt;"",H21&lt;&gt;""),IF(AND((T21-H21)*86400&gt;=0,(T21-H21)*86400&lt;تنظیمات!$B$13),1,0),0)</f>
        <v>0</v>
      </c>
      <c r="AS21" s="21" t="n">
        <f aca="false">IF(Z21="پوز",IF(OR(AB21="",COUNTIF(پوزها!$A$2:$A$5,AA21)=0),1,0),0)</f>
        <v>0</v>
      </c>
      <c r="AT21" s="21" t="n">
        <f aca="false">IF(AI21="",0,IF(AI21&gt;0,1,0))</f>
        <v>0</v>
      </c>
      <c r="AU21" s="21" t="n">
        <f aca="false">IF(AI21="",0,IF(AI21&lt;0,1,0))</f>
        <v>0</v>
      </c>
      <c r="AV21" s="21" t="n">
        <f aca="false">IF(U21&gt;V21,1,0)</f>
        <v>0</v>
      </c>
      <c r="AW21" s="21" t="n">
        <f aca="false">IF(OR(W21&gt;تنظیمات!$B$8,X21="بله"),1,0)</f>
        <v>0</v>
      </c>
      <c r="AX21" s="21" t="n">
        <f aca="false">IF(AND(N21="بله",L21&gt;تنظیمات!$B$9),1,0)</f>
        <v>0</v>
      </c>
      <c r="AY21" s="21" t="n">
        <f aca="false">IF(Y21="معکوس",1,0)</f>
        <v>0</v>
      </c>
      <c r="AZ21" s="21" t="n">
        <f aca="false">IF(ABS(AJ21)&gt;تنظیمات!$B$10,1,0)</f>
        <v>0</v>
      </c>
      <c r="BA21" s="21" t="n">
        <f aca="false">IF(AND(OR(AD21="رایگان/VIP",AD21="جانباز"),AF21="خیر"),1,0)</f>
        <v>0</v>
      </c>
      <c r="BB21" s="21" t="n">
        <f aca="false">IF(AE21="",0,IF(COUNTIF($AE$2:$AE$1001,AE21)&gt;1,1,0))</f>
        <v>0</v>
      </c>
      <c r="BC21" s="21" t="n">
        <f aca="false">IF(AND(H21="",I21&gt;تنظیمات!$B$12*60,AM21="خالی"),1,0)</f>
        <v>0</v>
      </c>
      <c r="BD21" s="21" t="n">
        <f aca="false">IF(AND(AP21="بله",I21&lt;تنظیمات!$B$14,AO21="خیر"),1,0)</f>
        <v>0</v>
      </c>
      <c r="BE21" s="21" t="n">
        <f aca="false">IF(AN21="خیر",1,0)</f>
        <v>0</v>
      </c>
      <c r="BF21" s="21" t="n">
        <f aca="false">IF(AND(AD21="فیش مفقودی",AQ21="بله",I21&gt;تنظیمات!$B$12*60),1,0)</f>
        <v>0</v>
      </c>
      <c r="BG21" s="21" t="n">
        <f aca="false">IF(AND(AK21&gt;تنظیمات!$B$11,AL21="بله"),1,0)</f>
        <v>0</v>
      </c>
      <c r="BH21" s="21" t="n">
        <f aca="false">MIN(100,AR21*تنظیمات!$B$21+AS21*تنظیمات!$B$22+AT21*تنظیمات!$B$23+AU21*تنظیمات!$B$24+AV21*تنظیمات!$B$25+AW21*تنظیمات!$B$26+AX21*تنظیمات!$B$27+AY21*تنظیمات!$B$28+AZ21*تنظیمات!$B$29+BA21*تنظیمات!$B$30+BB21*تنظیمات!$B$31+BC21*تنظیمات!$B$32+BD21*تنظیمات!$B$33+BE21*تنظیمات!$B$34+BF21*تنظیمات!$B$35+BG21*تنظیمات!$B$36)</f>
        <v>0</v>
      </c>
      <c r="BI21" s="16" t="str">
        <f aca="false">IF(BH21&gt;=60,"بحرانی",IF(BH21&gt;=30,"مشکوک",IF(BH21&gt;0,"هشدار","عادی")))</f>
        <v>عادی</v>
      </c>
      <c r="BJ21" s="16" t="s">
        <v>338</v>
      </c>
    </row>
    <row r="22" customFormat="false" ht="15" hidden="false" customHeight="false" outlineLevel="0" collapsed="false">
      <c r="A22" s="16" t="s">
        <v>434</v>
      </c>
      <c r="B22" s="16" t="s">
        <v>435</v>
      </c>
      <c r="C22" s="16"/>
      <c r="D22" s="16" t="s">
        <v>418</v>
      </c>
      <c r="E22" s="16" t="s">
        <v>345</v>
      </c>
      <c r="F22" s="16" t="s">
        <v>333</v>
      </c>
      <c r="G22" s="17" t="n">
        <v>46281.0411226852</v>
      </c>
      <c r="H22" s="17" t="n">
        <v>46281.4362615741</v>
      </c>
      <c r="I22" s="18" t="n">
        <f aca="false">IF(H22="",ROUND((تنظیمات!$B$7-G22)*1440,0),ROUND((H22-G22)*1440,0))</f>
        <v>569</v>
      </c>
      <c r="J22" s="16" t="s">
        <v>334</v>
      </c>
      <c r="K22" s="16" t="s">
        <v>410</v>
      </c>
      <c r="L22" s="19" t="n">
        <v>0.969</v>
      </c>
      <c r="M22" s="19" t="n">
        <v>0.978</v>
      </c>
      <c r="N22" s="16" t="s">
        <v>335</v>
      </c>
      <c r="O22" s="16" t="s">
        <v>411</v>
      </c>
      <c r="P22" s="16" t="s">
        <v>402</v>
      </c>
      <c r="Q22" s="20" t="n">
        <v>46281</v>
      </c>
      <c r="R22" s="16" t="s">
        <v>436</v>
      </c>
      <c r="S22" s="16" t="s">
        <v>404</v>
      </c>
      <c r="T22" s="17"/>
      <c r="U22" s="21" t="n">
        <v>1</v>
      </c>
      <c r="V22" s="21" t="n">
        <v>1</v>
      </c>
      <c r="W22" s="22" t="n">
        <v>6.4</v>
      </c>
      <c r="X22" s="16" t="s">
        <v>335</v>
      </c>
      <c r="Y22" s="16" t="s">
        <v>338</v>
      </c>
      <c r="Z22" s="16" t="s">
        <v>413</v>
      </c>
      <c r="AA22" s="16" t="s">
        <v>414</v>
      </c>
      <c r="AB22" s="23" t="s">
        <v>437</v>
      </c>
      <c r="AC22" s="17" t="n">
        <v>46281.435625</v>
      </c>
      <c r="AD22" s="16" t="s">
        <v>338</v>
      </c>
      <c r="AE22" s="16"/>
      <c r="AF22" s="16" t="str">
        <f aca="false">IF(COUNTIF(لیست_سفید!$A$2:$A$21,B22)&gt;0,"بله","خیر")</f>
        <v>خیر</v>
      </c>
      <c r="AG22" s="24" t="n">
        <f aca="false">IF(H22="","",IF(AD22="فیش مفقودی",تنظیمات!$B$6,(INT(I22/1440)*تنظیمات!$B$5+IF(MOD(I22,1440)&lt;=تنظیمات!$B$2,0,MIN(تنظیمات!$B$5,تنظیمات!$B$3+MAX(0,ROUNDUP((MOD(I22,1440)-60)/60,0))*تنظیمات!$B$4)))*INDEX(تعرفه!$B$2:$B$7,MATCH(AD22,تعرفه!$A$2:$A$7,0))))</f>
        <v>146000</v>
      </c>
      <c r="AH22" s="24" t="n">
        <v>146000</v>
      </c>
      <c r="AI22" s="24" t="n">
        <f aca="false">IF(AG22="","",AH22-AG22)</f>
        <v>0</v>
      </c>
      <c r="AJ22" s="21" t="n">
        <v>0</v>
      </c>
      <c r="AK22" s="21" t="n">
        <v>0</v>
      </c>
      <c r="AL22" s="16" t="s">
        <v>335</v>
      </c>
      <c r="AM22" s="16"/>
      <c r="AN22" s="16" t="s">
        <v>340</v>
      </c>
      <c r="AO22" s="16" t="s">
        <v>340</v>
      </c>
      <c r="AP22" s="16" t="s">
        <v>335</v>
      </c>
      <c r="AQ22" s="16"/>
      <c r="AR22" s="21" t="n">
        <f aca="false">IF(AND(T22&lt;&gt;"",H22&lt;&gt;""),IF(AND((T22-H22)*86400&gt;=0,(T22-H22)*86400&lt;تنظیمات!$B$13),1,0),0)</f>
        <v>0</v>
      </c>
      <c r="AS22" s="21" t="n">
        <f aca="false">IF(Z22="پوز",IF(OR(AB22="",COUNTIF(پوزها!$A$2:$A$5,AA22)=0),1,0),0)</f>
        <v>0</v>
      </c>
      <c r="AT22" s="21" t="n">
        <f aca="false">IF(AI22="",0,IF(AI22&gt;0,1,0))</f>
        <v>0</v>
      </c>
      <c r="AU22" s="21" t="n">
        <f aca="false">IF(AI22="",0,IF(AI22&lt;0,1,0))</f>
        <v>0</v>
      </c>
      <c r="AV22" s="21" t="n">
        <f aca="false">IF(U22&gt;V22,1,0)</f>
        <v>0</v>
      </c>
      <c r="AW22" s="21" t="n">
        <f aca="false">IF(OR(W22&gt;تنظیمات!$B$8,X22="بله"),1,0)</f>
        <v>0</v>
      </c>
      <c r="AX22" s="21" t="n">
        <f aca="false">IF(AND(N22="بله",L22&gt;تنظیمات!$B$9),1,0)</f>
        <v>0</v>
      </c>
      <c r="AY22" s="21" t="n">
        <f aca="false">IF(Y22="معکوس",1,0)</f>
        <v>0</v>
      </c>
      <c r="AZ22" s="21" t="n">
        <f aca="false">IF(ABS(AJ22)&gt;تنظیمات!$B$10,1,0)</f>
        <v>0</v>
      </c>
      <c r="BA22" s="21" t="n">
        <f aca="false">IF(AND(OR(AD22="رایگان/VIP",AD22="جانباز"),AF22="خیر"),1,0)</f>
        <v>0</v>
      </c>
      <c r="BB22" s="21" t="n">
        <f aca="false">IF(AE22="",0,IF(COUNTIF($AE$2:$AE$1001,AE22)&gt;1,1,0))</f>
        <v>0</v>
      </c>
      <c r="BC22" s="21" t="n">
        <f aca="false">IF(AND(H22="",I22&gt;تنظیمات!$B$12*60,AM22="خالی"),1,0)</f>
        <v>0</v>
      </c>
      <c r="BD22" s="21" t="n">
        <f aca="false">IF(AND(AP22="بله",I22&lt;تنظیمات!$B$14,AO22="خیر"),1,0)</f>
        <v>0</v>
      </c>
      <c r="BE22" s="21" t="n">
        <f aca="false">IF(AN22="خیر",1,0)</f>
        <v>0</v>
      </c>
      <c r="BF22" s="21" t="n">
        <f aca="false">IF(AND(AD22="فیش مفقودی",AQ22="بله",I22&gt;تنظیمات!$B$12*60),1,0)</f>
        <v>0</v>
      </c>
      <c r="BG22" s="21" t="n">
        <f aca="false">IF(AND(AK22&gt;تنظیمات!$B$11,AL22="بله"),1,0)</f>
        <v>0</v>
      </c>
      <c r="BH22" s="21" t="n">
        <f aca="false">MIN(100,AR22*تنظیمات!$B$21+AS22*تنظیمات!$B$22+AT22*تنظیمات!$B$23+AU22*تنظیمات!$B$24+AV22*تنظیمات!$B$25+AW22*تنظیمات!$B$26+AX22*تنظیمات!$B$27+AY22*تنظیمات!$B$28+AZ22*تنظیمات!$B$29+BA22*تنظیمات!$B$30+BB22*تنظیمات!$B$31+BC22*تنظیمات!$B$32+BD22*تنظیمات!$B$33+BE22*تنظیمات!$B$34+BF22*تنظیمات!$B$35+BG22*تنظیمات!$B$36)</f>
        <v>0</v>
      </c>
      <c r="BI22" s="16" t="str">
        <f aca="false">IF(BH22&gt;=60,"بحرانی",IF(BH22&gt;=30,"مشکوک",IF(BH22&gt;0,"هشدار","عادی")))</f>
        <v>عادی</v>
      </c>
      <c r="BJ22" s="16" t="s">
        <v>338</v>
      </c>
    </row>
    <row r="23" customFormat="false" ht="15" hidden="false" customHeight="false" outlineLevel="0" collapsed="false">
      <c r="A23" s="16" t="s">
        <v>438</v>
      </c>
      <c r="B23" s="16" t="s">
        <v>439</v>
      </c>
      <c r="C23" s="16"/>
      <c r="D23" s="16" t="s">
        <v>440</v>
      </c>
      <c r="E23" s="16" t="s">
        <v>345</v>
      </c>
      <c r="F23" s="16" t="s">
        <v>359</v>
      </c>
      <c r="G23" s="17" t="n">
        <v>46281.0657407407</v>
      </c>
      <c r="H23" s="17" t="n">
        <v>46281.4094907407</v>
      </c>
      <c r="I23" s="18" t="n">
        <f aca="false">IF(H23="",ROUND((تنظیمات!$B$7-G23)*1440,0),ROUND((H23-G23)*1440,0))</f>
        <v>495</v>
      </c>
      <c r="J23" s="16" t="s">
        <v>334</v>
      </c>
      <c r="K23" s="16" t="s">
        <v>400</v>
      </c>
      <c r="L23" s="19" t="n">
        <v>0.905</v>
      </c>
      <c r="M23" s="19" t="n">
        <v>0.971</v>
      </c>
      <c r="N23" s="16" t="s">
        <v>335</v>
      </c>
      <c r="O23" s="16" t="s">
        <v>441</v>
      </c>
      <c r="P23" s="16" t="s">
        <v>402</v>
      </c>
      <c r="Q23" s="20" t="n">
        <v>46281</v>
      </c>
      <c r="R23" s="16" t="s">
        <v>442</v>
      </c>
      <c r="S23" s="16" t="s">
        <v>404</v>
      </c>
      <c r="T23" s="17"/>
      <c r="U23" s="21" t="n">
        <v>1</v>
      </c>
      <c r="V23" s="21" t="n">
        <v>1</v>
      </c>
      <c r="W23" s="22" t="n">
        <v>3.5</v>
      </c>
      <c r="X23" s="16" t="s">
        <v>335</v>
      </c>
      <c r="Y23" s="16" t="s">
        <v>338</v>
      </c>
      <c r="Z23" s="16" t="s">
        <v>443</v>
      </c>
      <c r="AA23" s="16"/>
      <c r="AB23" s="23"/>
      <c r="AC23" s="17"/>
      <c r="AD23" s="16" t="s">
        <v>444</v>
      </c>
      <c r="AE23" s="16"/>
      <c r="AF23" s="16" t="str">
        <f aca="false">IF(COUNTIF(لیست_سفید!$A$2:$A$21,B23)&gt;0,"بله","خیر")</f>
        <v>خیر</v>
      </c>
      <c r="AG23" s="24" t="n">
        <f aca="false">IF(H23="","",IF(AD23="فیش مفقودی",تنظیمات!$B$6,(INT(I23/1440)*تنظیمات!$B$5+IF(MOD(I23,1440)&lt;=تنظیمات!$B$2,0,MIN(تنظیمات!$B$5,تنظیمات!$B$3+MAX(0,ROUNDUP((MOD(I23,1440)-60)/60,0))*تنظیمات!$B$4)))*INDEX(تعرفه!$B$2:$B$7,MATCH(AD23,تعرفه!$A$2:$A$7,0))))</f>
        <v>0</v>
      </c>
      <c r="AH23" s="24" t="n">
        <v>0</v>
      </c>
      <c r="AI23" s="24" t="n">
        <f aca="false">IF(AG23="","",AH23-AG23)</f>
        <v>0</v>
      </c>
      <c r="AJ23" s="21" t="n">
        <v>1</v>
      </c>
      <c r="AK23" s="21" t="n">
        <v>0</v>
      </c>
      <c r="AL23" s="16" t="s">
        <v>335</v>
      </c>
      <c r="AM23" s="16"/>
      <c r="AN23" s="16" t="s">
        <v>340</v>
      </c>
      <c r="AO23" s="16" t="s">
        <v>340</v>
      </c>
      <c r="AP23" s="16" t="s">
        <v>335</v>
      </c>
      <c r="AQ23" s="16"/>
      <c r="AR23" s="21" t="n">
        <f aca="false">IF(AND(T23&lt;&gt;"",H23&lt;&gt;""),IF(AND((T23-H23)*86400&gt;=0,(T23-H23)*86400&lt;تنظیمات!$B$13),1,0),0)</f>
        <v>0</v>
      </c>
      <c r="AS23" s="21" t="n">
        <f aca="false">IF(Z23="پوز",IF(OR(AB23="",COUNTIF(پوزها!$A$2:$A$5,AA23)=0),1,0),0)</f>
        <v>0</v>
      </c>
      <c r="AT23" s="21" t="n">
        <f aca="false">IF(AI23="",0,IF(AI23&gt;0,1,0))</f>
        <v>0</v>
      </c>
      <c r="AU23" s="21" t="n">
        <f aca="false">IF(AI23="",0,IF(AI23&lt;0,1,0))</f>
        <v>0</v>
      </c>
      <c r="AV23" s="21" t="n">
        <f aca="false">IF(U23&gt;V23,1,0)</f>
        <v>0</v>
      </c>
      <c r="AW23" s="21" t="n">
        <f aca="false">IF(OR(W23&gt;تنظیمات!$B$8,X23="بله"),1,0)</f>
        <v>0</v>
      </c>
      <c r="AX23" s="21" t="n">
        <f aca="false">IF(AND(N23="بله",L23&gt;تنظیمات!$B$9),1,0)</f>
        <v>0</v>
      </c>
      <c r="AY23" s="21" t="n">
        <f aca="false">IF(Y23="معکوس",1,0)</f>
        <v>0</v>
      </c>
      <c r="AZ23" s="21" t="n">
        <f aca="false">IF(ABS(AJ23)&gt;تنظیمات!$B$10,1,0)</f>
        <v>0</v>
      </c>
      <c r="BA23" s="21" t="n">
        <f aca="false">IF(AND(OR(AD23="رایگان/VIP",AD23="جانباز"),AF23="خیر"),1,0)</f>
        <v>0</v>
      </c>
      <c r="BB23" s="21" t="n">
        <f aca="false">IF(AE23="",0,IF(COUNTIF($AE$2:$AE$1001,AE23)&gt;1,1,0))</f>
        <v>0</v>
      </c>
      <c r="BC23" s="21" t="n">
        <f aca="false">IF(AND(H23="",I23&gt;تنظیمات!$B$12*60,AM23="خالی"),1,0)</f>
        <v>0</v>
      </c>
      <c r="BD23" s="21" t="n">
        <f aca="false">IF(AND(AP23="بله",I23&lt;تنظیمات!$B$14,AO23="خیر"),1,0)</f>
        <v>0</v>
      </c>
      <c r="BE23" s="21" t="n">
        <f aca="false">IF(AN23="خیر",1,0)</f>
        <v>0</v>
      </c>
      <c r="BF23" s="21" t="n">
        <f aca="false">IF(AND(AD23="فیش مفقودی",AQ23="بله",I23&gt;تنظیمات!$B$12*60),1,0)</f>
        <v>0</v>
      </c>
      <c r="BG23" s="21" t="n">
        <f aca="false">IF(AND(AK23&gt;تنظیمات!$B$11,AL23="بله"),1,0)</f>
        <v>0</v>
      </c>
      <c r="BH23" s="21" t="n">
        <f aca="false">MIN(100,AR23*تنظیمات!$B$21+AS23*تنظیمات!$B$22+AT23*تنظیمات!$B$23+AU23*تنظیمات!$B$24+AV23*تنظیمات!$B$25+AW23*تنظیمات!$B$26+AX23*تنظیمات!$B$27+AY23*تنظیمات!$B$28+AZ23*تنظیمات!$B$29+BA23*تنظیمات!$B$30+BB23*تنظیمات!$B$31+BC23*تنظیمات!$B$32+BD23*تنظیمات!$B$33+BE23*تنظیمات!$B$34+BF23*تنظیمات!$B$35+BG23*تنظیمات!$B$36)</f>
        <v>0</v>
      </c>
      <c r="BI23" s="16" t="str">
        <f aca="false">IF(BH23&gt;=60,"بحرانی",IF(BH23&gt;=30,"مشکوک",IF(BH23&gt;0,"هشدار","عادی")))</f>
        <v>عادی</v>
      </c>
      <c r="BJ23" s="16" t="s">
        <v>338</v>
      </c>
    </row>
    <row r="24" customFormat="false" ht="15" hidden="false" customHeight="false" outlineLevel="0" collapsed="false">
      <c r="A24" s="16" t="s">
        <v>445</v>
      </c>
      <c r="B24" s="16" t="s">
        <v>446</v>
      </c>
      <c r="C24" s="16"/>
      <c r="D24" s="16" t="s">
        <v>331</v>
      </c>
      <c r="E24" s="16" t="s">
        <v>375</v>
      </c>
      <c r="F24" s="16" t="s">
        <v>333</v>
      </c>
      <c r="G24" s="17" t="n">
        <v>46281.1035416667</v>
      </c>
      <c r="H24" s="17" t="n">
        <v>46281.5035416667</v>
      </c>
      <c r="I24" s="18" t="n">
        <f aca="false">IF(H24="",ROUND((تنظیمات!$B$7-G24)*1440,0),ROUND((H24-G24)*1440,0))</f>
        <v>576</v>
      </c>
      <c r="J24" s="16" t="s">
        <v>346</v>
      </c>
      <c r="K24" s="16" t="s">
        <v>410</v>
      </c>
      <c r="L24" s="19" t="n">
        <v>0.991</v>
      </c>
      <c r="M24" s="19" t="n">
        <v>0.891</v>
      </c>
      <c r="N24" s="16" t="s">
        <v>335</v>
      </c>
      <c r="O24" s="16" t="s">
        <v>411</v>
      </c>
      <c r="P24" s="16" t="s">
        <v>402</v>
      </c>
      <c r="Q24" s="20" t="n">
        <v>46281</v>
      </c>
      <c r="R24" s="16" t="s">
        <v>447</v>
      </c>
      <c r="S24" s="16" t="s">
        <v>404</v>
      </c>
      <c r="T24" s="17"/>
      <c r="U24" s="21" t="n">
        <v>1</v>
      </c>
      <c r="V24" s="21" t="n">
        <v>1</v>
      </c>
      <c r="W24" s="22" t="n">
        <v>6.8</v>
      </c>
      <c r="X24" s="16" t="s">
        <v>335</v>
      </c>
      <c r="Y24" s="16" t="s">
        <v>338</v>
      </c>
      <c r="Z24" s="16" t="s">
        <v>443</v>
      </c>
      <c r="AA24" s="16"/>
      <c r="AB24" s="23"/>
      <c r="AC24" s="17"/>
      <c r="AD24" s="16" t="s">
        <v>444</v>
      </c>
      <c r="AE24" s="16"/>
      <c r="AF24" s="16" t="str">
        <f aca="false">IF(COUNTIF(لیست_سفید!$A$2:$A$21,B24)&gt;0,"بله","خیر")</f>
        <v>خیر</v>
      </c>
      <c r="AG24" s="24" t="n">
        <f aca="false">IF(H24="","",IF(AD24="فیش مفقودی",تنظیمات!$B$6,(INT(I24/1440)*تنظیمات!$B$5+IF(MOD(I24,1440)&lt;=تنظیمات!$B$2,0,MIN(تنظیمات!$B$5,تنظیمات!$B$3+MAX(0,ROUNDUP((MOD(I24,1440)-60)/60,0))*تنظیمات!$B$4)))*INDEX(تعرفه!$B$2:$B$7,MATCH(AD24,تعرفه!$A$2:$A$7,0))))</f>
        <v>0</v>
      </c>
      <c r="AH24" s="24" t="n">
        <v>0</v>
      </c>
      <c r="AI24" s="24" t="n">
        <f aca="false">IF(AG24="","",AH24-AG24)</f>
        <v>0</v>
      </c>
      <c r="AJ24" s="21" t="n">
        <v>-2</v>
      </c>
      <c r="AK24" s="21" t="n">
        <v>76</v>
      </c>
      <c r="AL24" s="16" t="s">
        <v>335</v>
      </c>
      <c r="AM24" s="16"/>
      <c r="AN24" s="16" t="s">
        <v>340</v>
      </c>
      <c r="AO24" s="16" t="s">
        <v>340</v>
      </c>
      <c r="AP24" s="16" t="s">
        <v>335</v>
      </c>
      <c r="AQ24" s="16"/>
      <c r="AR24" s="21" t="n">
        <f aca="false">IF(AND(T24&lt;&gt;"",H24&lt;&gt;""),IF(AND((T24-H24)*86400&gt;=0,(T24-H24)*86400&lt;تنظیمات!$B$13),1,0),0)</f>
        <v>0</v>
      </c>
      <c r="AS24" s="21" t="n">
        <f aca="false">IF(Z24="پوز",IF(OR(AB24="",COUNTIF(پوزها!$A$2:$A$5,AA24)=0),1,0),0)</f>
        <v>0</v>
      </c>
      <c r="AT24" s="21" t="n">
        <f aca="false">IF(AI24="",0,IF(AI24&gt;0,1,0))</f>
        <v>0</v>
      </c>
      <c r="AU24" s="21" t="n">
        <f aca="false">IF(AI24="",0,IF(AI24&lt;0,1,0))</f>
        <v>0</v>
      </c>
      <c r="AV24" s="21" t="n">
        <f aca="false">IF(U24&gt;V24,1,0)</f>
        <v>0</v>
      </c>
      <c r="AW24" s="21" t="n">
        <f aca="false">IF(OR(W24&gt;تنظیمات!$B$8,X24="بله"),1,0)</f>
        <v>0</v>
      </c>
      <c r="AX24" s="21" t="n">
        <f aca="false">IF(AND(N24="بله",L24&gt;تنظیمات!$B$9),1,0)</f>
        <v>0</v>
      </c>
      <c r="AY24" s="21" t="n">
        <f aca="false">IF(Y24="معکوس",1,0)</f>
        <v>0</v>
      </c>
      <c r="AZ24" s="21" t="n">
        <f aca="false">IF(ABS(AJ24)&gt;تنظیمات!$B$10,1,0)</f>
        <v>0</v>
      </c>
      <c r="BA24" s="21" t="n">
        <f aca="false">IF(AND(OR(AD24="رایگان/VIP",AD24="جانباز"),AF24="خیر"),1,0)</f>
        <v>0</v>
      </c>
      <c r="BB24" s="21" t="n">
        <f aca="false">IF(AE24="",0,IF(COUNTIF($AE$2:$AE$1001,AE24)&gt;1,1,0))</f>
        <v>0</v>
      </c>
      <c r="BC24" s="21" t="n">
        <f aca="false">IF(AND(H24="",I24&gt;تنظیمات!$B$12*60,AM24="خالی"),1,0)</f>
        <v>0</v>
      </c>
      <c r="BD24" s="21" t="n">
        <f aca="false">IF(AND(AP24="بله",I24&lt;تنظیمات!$B$14,AO24="خیر"),1,0)</f>
        <v>0</v>
      </c>
      <c r="BE24" s="21" t="n">
        <f aca="false">IF(AN24="خیر",1,0)</f>
        <v>0</v>
      </c>
      <c r="BF24" s="21" t="n">
        <f aca="false">IF(AND(AD24="فیش مفقودی",AQ24="بله",I24&gt;تنظیمات!$B$12*60),1,0)</f>
        <v>0</v>
      </c>
      <c r="BG24" s="21" t="n">
        <f aca="false">IF(AND(AK24&gt;تنظیمات!$B$11,AL24="بله"),1,0)</f>
        <v>0</v>
      </c>
      <c r="BH24" s="21" t="n">
        <f aca="false">MIN(100,AR24*تنظیمات!$B$21+AS24*تنظیمات!$B$22+AT24*تنظیمات!$B$23+AU24*تنظیمات!$B$24+AV24*تنظیمات!$B$25+AW24*تنظیمات!$B$26+AX24*تنظیمات!$B$27+AY24*تنظیمات!$B$28+AZ24*تنظیمات!$B$29+BA24*تنظیمات!$B$30+BB24*تنظیمات!$B$31+BC24*تنظیمات!$B$32+BD24*تنظیمات!$B$33+BE24*تنظیمات!$B$34+BF24*تنظیمات!$B$35+BG24*تنظیمات!$B$36)</f>
        <v>0</v>
      </c>
      <c r="BI24" s="16" t="str">
        <f aca="false">IF(BH24&gt;=60,"بحرانی",IF(BH24&gt;=30,"مشکوک",IF(BH24&gt;0,"هشدار","عادی")))</f>
        <v>عادی</v>
      </c>
      <c r="BJ24" s="16" t="s">
        <v>338</v>
      </c>
    </row>
    <row r="25" customFormat="false" ht="15" hidden="false" customHeight="false" outlineLevel="0" collapsed="false">
      <c r="A25" s="16" t="s">
        <v>448</v>
      </c>
      <c r="B25" s="16" t="s">
        <v>449</v>
      </c>
      <c r="C25" s="16"/>
      <c r="D25" s="16" t="s">
        <v>450</v>
      </c>
      <c r="E25" s="16" t="s">
        <v>332</v>
      </c>
      <c r="F25" s="16" t="s">
        <v>333</v>
      </c>
      <c r="G25" s="17" t="n">
        <v>46281.1117013889</v>
      </c>
      <c r="H25" s="17" t="n">
        <v>46281.3860069444</v>
      </c>
      <c r="I25" s="18" t="n">
        <f aca="false">IF(H25="",ROUND((تنظیمات!$B$7-G25)*1440,0),ROUND((H25-G25)*1440,0))</f>
        <v>395</v>
      </c>
      <c r="J25" s="16" t="s">
        <v>334</v>
      </c>
      <c r="K25" s="16" t="s">
        <v>400</v>
      </c>
      <c r="L25" s="19" t="n">
        <v>0.994</v>
      </c>
      <c r="M25" s="19" t="n">
        <v>0.884</v>
      </c>
      <c r="N25" s="16" t="s">
        <v>335</v>
      </c>
      <c r="O25" s="16" t="s">
        <v>441</v>
      </c>
      <c r="P25" s="16" t="s">
        <v>402</v>
      </c>
      <c r="Q25" s="20" t="n">
        <v>46281</v>
      </c>
      <c r="R25" s="16" t="s">
        <v>451</v>
      </c>
      <c r="S25" s="16" t="s">
        <v>452</v>
      </c>
      <c r="T25" s="17" t="n">
        <v>46281.3791550926</v>
      </c>
      <c r="U25" s="21" t="n">
        <v>1</v>
      </c>
      <c r="V25" s="21" t="n">
        <v>1</v>
      </c>
      <c r="W25" s="22" t="n">
        <v>6.1</v>
      </c>
      <c r="X25" s="16" t="s">
        <v>335</v>
      </c>
      <c r="Y25" s="16" t="s">
        <v>338</v>
      </c>
      <c r="Z25" s="16" t="s">
        <v>413</v>
      </c>
      <c r="AA25" s="16" t="s">
        <v>427</v>
      </c>
      <c r="AB25" s="23" t="s">
        <v>453</v>
      </c>
      <c r="AC25" s="17" t="n">
        <v>46281.3851157407</v>
      </c>
      <c r="AD25" s="16" t="s">
        <v>338</v>
      </c>
      <c r="AE25" s="16"/>
      <c r="AF25" s="16" t="str">
        <f aca="false">IF(COUNTIF(لیست_سفید!$A$2:$A$21,B25)&gt;0,"بله","خیر")</f>
        <v>خیر</v>
      </c>
      <c r="AG25" s="24" t="n">
        <f aca="false">IF(H25="","",IF(AD25="فیش مفقودی",تنظیمات!$B$6,(INT(I25/1440)*تنظیمات!$B$5+IF(MOD(I25,1440)&lt;=تنظیمات!$B$2,0,MIN(تنظیمات!$B$5,تنظیمات!$B$3+MAX(0,ROUNDUP((MOD(I25,1440)-60)/60,0))*تنظیمات!$B$4)))*INDEX(تعرفه!$B$2:$B$7,MATCH(AD25,تعرفه!$A$2:$A$7,0))))</f>
        <v>104000</v>
      </c>
      <c r="AH25" s="24" t="n">
        <v>104000</v>
      </c>
      <c r="AI25" s="24" t="n">
        <f aca="false">IF(AG25="","",AH25-AG25)</f>
        <v>0</v>
      </c>
      <c r="AJ25" s="21" t="n">
        <v>0</v>
      </c>
      <c r="AK25" s="21" t="n">
        <v>0</v>
      </c>
      <c r="AL25" s="16" t="s">
        <v>335</v>
      </c>
      <c r="AM25" s="16"/>
      <c r="AN25" s="16" t="s">
        <v>340</v>
      </c>
      <c r="AO25" s="16" t="s">
        <v>340</v>
      </c>
      <c r="AP25" s="16" t="s">
        <v>335</v>
      </c>
      <c r="AQ25" s="16"/>
      <c r="AR25" s="21" t="n">
        <f aca="false">IF(AND(T25&lt;&gt;"",H25&lt;&gt;""),IF(AND((T25-H25)*86400&gt;=0,(T25-H25)*86400&lt;تنظیمات!$B$13),1,0),0)</f>
        <v>0</v>
      </c>
      <c r="AS25" s="21" t="n">
        <f aca="false">IF(Z25="پوز",IF(OR(AB25="",COUNTIF(پوزها!$A$2:$A$5,AA25)=0),1,0),0)</f>
        <v>0</v>
      </c>
      <c r="AT25" s="21" t="n">
        <f aca="false">IF(AI25="",0,IF(AI25&gt;0,1,0))</f>
        <v>0</v>
      </c>
      <c r="AU25" s="21" t="n">
        <f aca="false">IF(AI25="",0,IF(AI25&lt;0,1,0))</f>
        <v>0</v>
      </c>
      <c r="AV25" s="21" t="n">
        <f aca="false">IF(U25&gt;V25,1,0)</f>
        <v>0</v>
      </c>
      <c r="AW25" s="21" t="n">
        <f aca="false">IF(OR(W25&gt;تنظیمات!$B$8,X25="بله"),1,0)</f>
        <v>0</v>
      </c>
      <c r="AX25" s="21" t="n">
        <f aca="false">IF(AND(N25="بله",L25&gt;تنظیمات!$B$9),1,0)</f>
        <v>0</v>
      </c>
      <c r="AY25" s="21" t="n">
        <f aca="false">IF(Y25="معکوس",1,0)</f>
        <v>0</v>
      </c>
      <c r="AZ25" s="21" t="n">
        <f aca="false">IF(ABS(AJ25)&gt;تنظیمات!$B$10,1,0)</f>
        <v>0</v>
      </c>
      <c r="BA25" s="21" t="n">
        <f aca="false">IF(AND(OR(AD25="رایگان/VIP",AD25="جانباز"),AF25="خیر"),1,0)</f>
        <v>0</v>
      </c>
      <c r="BB25" s="21" t="n">
        <f aca="false">IF(AE25="",0,IF(COUNTIF($AE$2:$AE$1001,AE25)&gt;1,1,0))</f>
        <v>0</v>
      </c>
      <c r="BC25" s="21" t="n">
        <f aca="false">IF(AND(H25="",I25&gt;تنظیمات!$B$12*60,AM25="خالی"),1,0)</f>
        <v>0</v>
      </c>
      <c r="BD25" s="21" t="n">
        <f aca="false">IF(AND(AP25="بله",I25&lt;تنظیمات!$B$14,AO25="خیر"),1,0)</f>
        <v>0</v>
      </c>
      <c r="BE25" s="21" t="n">
        <f aca="false">IF(AN25="خیر",1,0)</f>
        <v>0</v>
      </c>
      <c r="BF25" s="21" t="n">
        <f aca="false">IF(AND(AD25="فیش مفقودی",AQ25="بله",I25&gt;تنظیمات!$B$12*60),1,0)</f>
        <v>0</v>
      </c>
      <c r="BG25" s="21" t="n">
        <f aca="false">IF(AND(AK25&gt;تنظیمات!$B$11,AL25="بله"),1,0)</f>
        <v>0</v>
      </c>
      <c r="BH25" s="21" t="n">
        <f aca="false">MIN(100,AR25*تنظیمات!$B$21+AS25*تنظیمات!$B$22+AT25*تنظیمات!$B$23+AU25*تنظیمات!$B$24+AV25*تنظیمات!$B$25+AW25*تنظیمات!$B$26+AX25*تنظیمات!$B$27+AY25*تنظیمات!$B$28+AZ25*تنظیمات!$B$29+BA25*تنظیمات!$B$30+BB25*تنظیمات!$B$31+BC25*تنظیمات!$B$32+BD25*تنظیمات!$B$33+BE25*تنظیمات!$B$34+BF25*تنظیمات!$B$35+BG25*تنظیمات!$B$36)</f>
        <v>0</v>
      </c>
      <c r="BI25" s="16" t="str">
        <f aca="false">IF(BH25&gt;=60,"بحرانی",IF(BH25&gt;=30,"مشکوک",IF(BH25&gt;0,"هشدار","عادی")))</f>
        <v>عادی</v>
      </c>
      <c r="BJ25" s="16" t="s">
        <v>338</v>
      </c>
    </row>
    <row r="26" customFormat="false" ht="15" hidden="false" customHeight="false" outlineLevel="0" collapsed="false">
      <c r="A26" s="16" t="s">
        <v>454</v>
      </c>
      <c r="B26" s="16" t="s">
        <v>455</v>
      </c>
      <c r="C26" s="16"/>
      <c r="D26" s="16" t="s">
        <v>331</v>
      </c>
      <c r="E26" s="16" t="s">
        <v>351</v>
      </c>
      <c r="F26" s="16" t="s">
        <v>333</v>
      </c>
      <c r="G26" s="17" t="n">
        <v>46281.1134490741</v>
      </c>
      <c r="H26" s="17" t="n">
        <v>46281.4412268519</v>
      </c>
      <c r="I26" s="18" t="n">
        <f aca="false">IF(H26="",ROUND((تنظیمات!$B$7-G26)*1440,0),ROUND((H26-G26)*1440,0))</f>
        <v>472</v>
      </c>
      <c r="J26" s="16" t="s">
        <v>346</v>
      </c>
      <c r="K26" s="16" t="s">
        <v>400</v>
      </c>
      <c r="L26" s="19" t="n">
        <v>0.908</v>
      </c>
      <c r="M26" s="19" t="n">
        <v>0.959</v>
      </c>
      <c r="N26" s="16" t="s">
        <v>335</v>
      </c>
      <c r="O26" s="16" t="s">
        <v>441</v>
      </c>
      <c r="P26" s="16" t="s">
        <v>402</v>
      </c>
      <c r="Q26" s="20" t="n">
        <v>46281</v>
      </c>
      <c r="R26" s="16" t="s">
        <v>456</v>
      </c>
      <c r="S26" s="16" t="s">
        <v>404</v>
      </c>
      <c r="T26" s="17"/>
      <c r="U26" s="21" t="n">
        <v>1</v>
      </c>
      <c r="V26" s="21" t="n">
        <v>1</v>
      </c>
      <c r="W26" s="22" t="n">
        <v>3.3</v>
      </c>
      <c r="X26" s="16" t="s">
        <v>335</v>
      </c>
      <c r="Y26" s="16" t="s">
        <v>338</v>
      </c>
      <c r="Z26" s="16" t="s">
        <v>413</v>
      </c>
      <c r="AA26" s="16" t="s">
        <v>427</v>
      </c>
      <c r="AB26" s="23" t="s">
        <v>457</v>
      </c>
      <c r="AC26" s="17" t="n">
        <v>46281.4409606482</v>
      </c>
      <c r="AD26" s="16" t="s">
        <v>338</v>
      </c>
      <c r="AE26" s="16"/>
      <c r="AF26" s="16" t="str">
        <f aca="false">IF(COUNTIF(لیست_سفید!$A$2:$A$21,B26)&gt;0,"بله","خیر")</f>
        <v>خیر</v>
      </c>
      <c r="AG26" s="24" t="n">
        <f aca="false">IF(H26="","",IF(AD26="فیش مفقودی",تنظیمات!$B$6,(INT(I26/1440)*تنظیمات!$B$5+IF(MOD(I26,1440)&lt;=تنظیمات!$B$2,0,MIN(تنظیمات!$B$5,تنظیمات!$B$3+MAX(0,ROUNDUP((MOD(I26,1440)-60)/60,0))*تنظیمات!$B$4)))*INDEX(تعرفه!$B$2:$B$7,MATCH(AD26,تعرفه!$A$2:$A$7,0))))</f>
        <v>118000</v>
      </c>
      <c r="AH26" s="24" t="n">
        <v>118000</v>
      </c>
      <c r="AI26" s="24" t="n">
        <f aca="false">IF(AG26="","",AH26-AG26)</f>
        <v>0</v>
      </c>
      <c r="AJ26" s="21" t="n">
        <v>-2</v>
      </c>
      <c r="AK26" s="21" t="n">
        <v>0</v>
      </c>
      <c r="AL26" s="16" t="s">
        <v>335</v>
      </c>
      <c r="AM26" s="16"/>
      <c r="AN26" s="16" t="s">
        <v>340</v>
      </c>
      <c r="AO26" s="16" t="s">
        <v>340</v>
      </c>
      <c r="AP26" s="16" t="s">
        <v>335</v>
      </c>
      <c r="AQ26" s="16"/>
      <c r="AR26" s="21" t="n">
        <f aca="false">IF(AND(T26&lt;&gt;"",H26&lt;&gt;""),IF(AND((T26-H26)*86400&gt;=0,(T26-H26)*86400&lt;تنظیمات!$B$13),1,0),0)</f>
        <v>0</v>
      </c>
      <c r="AS26" s="21" t="n">
        <f aca="false">IF(Z26="پوز",IF(OR(AB26="",COUNTIF(پوزها!$A$2:$A$5,AA26)=0),1,0),0)</f>
        <v>0</v>
      </c>
      <c r="AT26" s="21" t="n">
        <f aca="false">IF(AI26="",0,IF(AI26&gt;0,1,0))</f>
        <v>0</v>
      </c>
      <c r="AU26" s="21" t="n">
        <f aca="false">IF(AI26="",0,IF(AI26&lt;0,1,0))</f>
        <v>0</v>
      </c>
      <c r="AV26" s="21" t="n">
        <f aca="false">IF(U26&gt;V26,1,0)</f>
        <v>0</v>
      </c>
      <c r="AW26" s="21" t="n">
        <f aca="false">IF(OR(W26&gt;تنظیمات!$B$8,X26="بله"),1,0)</f>
        <v>0</v>
      </c>
      <c r="AX26" s="21" t="n">
        <f aca="false">IF(AND(N26="بله",L26&gt;تنظیمات!$B$9),1,0)</f>
        <v>0</v>
      </c>
      <c r="AY26" s="21" t="n">
        <f aca="false">IF(Y26="معکوس",1,0)</f>
        <v>0</v>
      </c>
      <c r="AZ26" s="21" t="n">
        <f aca="false">IF(ABS(AJ26)&gt;تنظیمات!$B$10,1,0)</f>
        <v>0</v>
      </c>
      <c r="BA26" s="21" t="n">
        <f aca="false">IF(AND(OR(AD26="رایگان/VIP",AD26="جانباز"),AF26="خیر"),1,0)</f>
        <v>0</v>
      </c>
      <c r="BB26" s="21" t="n">
        <f aca="false">IF(AE26="",0,IF(COUNTIF($AE$2:$AE$1001,AE26)&gt;1,1,0))</f>
        <v>0</v>
      </c>
      <c r="BC26" s="21" t="n">
        <f aca="false">IF(AND(H26="",I26&gt;تنظیمات!$B$12*60,AM26="خالی"),1,0)</f>
        <v>0</v>
      </c>
      <c r="BD26" s="21" t="n">
        <f aca="false">IF(AND(AP26="بله",I26&lt;تنظیمات!$B$14,AO26="خیر"),1,0)</f>
        <v>0</v>
      </c>
      <c r="BE26" s="21" t="n">
        <f aca="false">IF(AN26="خیر",1,0)</f>
        <v>0</v>
      </c>
      <c r="BF26" s="21" t="n">
        <f aca="false">IF(AND(AD26="فیش مفقودی",AQ26="بله",I26&gt;تنظیمات!$B$12*60),1,0)</f>
        <v>0</v>
      </c>
      <c r="BG26" s="21" t="n">
        <f aca="false">IF(AND(AK26&gt;تنظیمات!$B$11,AL26="بله"),1,0)</f>
        <v>0</v>
      </c>
      <c r="BH26" s="21" t="n">
        <f aca="false">MIN(100,AR26*تنظیمات!$B$21+AS26*تنظیمات!$B$22+AT26*تنظیمات!$B$23+AU26*تنظیمات!$B$24+AV26*تنظیمات!$B$25+AW26*تنظیمات!$B$26+AX26*تنظیمات!$B$27+AY26*تنظیمات!$B$28+AZ26*تنظیمات!$B$29+BA26*تنظیمات!$B$30+BB26*تنظیمات!$B$31+BC26*تنظیمات!$B$32+BD26*تنظیمات!$B$33+BE26*تنظیمات!$B$34+BF26*تنظیمات!$B$35+BG26*تنظیمات!$B$36)</f>
        <v>0</v>
      </c>
      <c r="BI26" s="16" t="str">
        <f aca="false">IF(BH26&gt;=60,"بحرانی",IF(BH26&gt;=30,"مشکوک",IF(BH26&gt;0,"هشدار","عادی")))</f>
        <v>عادی</v>
      </c>
      <c r="BJ26" s="16" t="s">
        <v>338</v>
      </c>
    </row>
    <row r="27" customFormat="false" ht="15" hidden="false" customHeight="false" outlineLevel="0" collapsed="false">
      <c r="A27" s="16" t="s">
        <v>458</v>
      </c>
      <c r="B27" s="16" t="s">
        <v>459</v>
      </c>
      <c r="C27" s="16"/>
      <c r="D27" s="16" t="s">
        <v>440</v>
      </c>
      <c r="E27" s="16" t="s">
        <v>345</v>
      </c>
      <c r="F27" s="16" t="s">
        <v>359</v>
      </c>
      <c r="G27" s="17" t="n">
        <v>46281.1583912037</v>
      </c>
      <c r="H27" s="17" t="n">
        <v>46281.3236689815</v>
      </c>
      <c r="I27" s="18" t="n">
        <f aca="false">IF(H27="",ROUND((تنظیمات!$B$7-G27)*1440,0),ROUND((H27-G27)*1440,0))</f>
        <v>238</v>
      </c>
      <c r="J27" s="16" t="s">
        <v>334</v>
      </c>
      <c r="K27" s="16" t="s">
        <v>400</v>
      </c>
      <c r="L27" s="19" t="n">
        <v>0.995</v>
      </c>
      <c r="M27" s="19" t="n">
        <v>0.918</v>
      </c>
      <c r="N27" s="16" t="s">
        <v>335</v>
      </c>
      <c r="O27" s="16" t="s">
        <v>441</v>
      </c>
      <c r="P27" s="16" t="s">
        <v>402</v>
      </c>
      <c r="Q27" s="20" t="n">
        <v>46281</v>
      </c>
      <c r="R27" s="16" t="s">
        <v>460</v>
      </c>
      <c r="S27" s="16" t="s">
        <v>404</v>
      </c>
      <c r="T27" s="17"/>
      <c r="U27" s="21" t="n">
        <v>1</v>
      </c>
      <c r="V27" s="21" t="n">
        <v>1</v>
      </c>
      <c r="W27" s="22" t="n">
        <v>3.7</v>
      </c>
      <c r="X27" s="16" t="s">
        <v>335</v>
      </c>
      <c r="Y27" s="16" t="s">
        <v>338</v>
      </c>
      <c r="Z27" s="16" t="s">
        <v>413</v>
      </c>
      <c r="AA27" s="16" t="s">
        <v>427</v>
      </c>
      <c r="AB27" s="23" t="s">
        <v>461</v>
      </c>
      <c r="AC27" s="17" t="n">
        <v>46281.3234143519</v>
      </c>
      <c r="AD27" s="16" t="s">
        <v>338</v>
      </c>
      <c r="AE27" s="16"/>
      <c r="AF27" s="16" t="str">
        <f aca="false">IF(COUNTIF(لیست_سفید!$A$2:$A$21,B27)&gt;0,"بله","خیر")</f>
        <v>خیر</v>
      </c>
      <c r="AG27" s="24" t="n">
        <f aca="false">IF(H27="","",IF(AD27="فیش مفقودی",تنظیمات!$B$6,(INT(I27/1440)*تنظیمات!$B$5+IF(MOD(I27,1440)&lt;=تنظیمات!$B$2,0,MIN(تنظیمات!$B$5,تنظیمات!$B$3+MAX(0,ROUNDUP((MOD(I27,1440)-60)/60,0))*تنظیمات!$B$4)))*INDEX(تعرفه!$B$2:$B$7,MATCH(AD27,تعرفه!$A$2:$A$7,0))))</f>
        <v>62000</v>
      </c>
      <c r="AH27" s="24" t="n">
        <v>62000</v>
      </c>
      <c r="AI27" s="24" t="n">
        <f aca="false">IF(AG27="","",AH27-AG27)</f>
        <v>0</v>
      </c>
      <c r="AJ27" s="21" t="n">
        <v>-5</v>
      </c>
      <c r="AK27" s="21" t="n">
        <v>0</v>
      </c>
      <c r="AL27" s="16" t="s">
        <v>335</v>
      </c>
      <c r="AM27" s="16"/>
      <c r="AN27" s="16" t="s">
        <v>340</v>
      </c>
      <c r="AO27" s="16" t="s">
        <v>340</v>
      </c>
      <c r="AP27" s="16" t="s">
        <v>335</v>
      </c>
      <c r="AQ27" s="16"/>
      <c r="AR27" s="21" t="n">
        <f aca="false">IF(AND(T27&lt;&gt;"",H27&lt;&gt;""),IF(AND((T27-H27)*86400&gt;=0,(T27-H27)*86400&lt;تنظیمات!$B$13),1,0),0)</f>
        <v>0</v>
      </c>
      <c r="AS27" s="21" t="n">
        <f aca="false">IF(Z27="پوز",IF(OR(AB27="",COUNTIF(پوزها!$A$2:$A$5,AA27)=0),1,0),0)</f>
        <v>0</v>
      </c>
      <c r="AT27" s="21" t="n">
        <f aca="false">IF(AI27="",0,IF(AI27&gt;0,1,0))</f>
        <v>0</v>
      </c>
      <c r="AU27" s="21" t="n">
        <f aca="false">IF(AI27="",0,IF(AI27&lt;0,1,0))</f>
        <v>0</v>
      </c>
      <c r="AV27" s="21" t="n">
        <f aca="false">IF(U27&gt;V27,1,0)</f>
        <v>0</v>
      </c>
      <c r="AW27" s="21" t="n">
        <f aca="false">IF(OR(W27&gt;تنظیمات!$B$8,X27="بله"),1,0)</f>
        <v>0</v>
      </c>
      <c r="AX27" s="21" t="n">
        <f aca="false">IF(AND(N27="بله",L27&gt;تنظیمات!$B$9),1,0)</f>
        <v>0</v>
      </c>
      <c r="AY27" s="21" t="n">
        <f aca="false">IF(Y27="معکوس",1,0)</f>
        <v>0</v>
      </c>
      <c r="AZ27" s="21" t="n">
        <f aca="false">IF(ABS(AJ27)&gt;تنظیمات!$B$10,1,0)</f>
        <v>0</v>
      </c>
      <c r="BA27" s="21" t="n">
        <f aca="false">IF(AND(OR(AD27="رایگان/VIP",AD27="جانباز"),AF27="خیر"),1,0)</f>
        <v>0</v>
      </c>
      <c r="BB27" s="21" t="n">
        <f aca="false">IF(AE27="",0,IF(COUNTIF($AE$2:$AE$1001,AE27)&gt;1,1,0))</f>
        <v>0</v>
      </c>
      <c r="BC27" s="21" t="n">
        <f aca="false">IF(AND(H27="",I27&gt;تنظیمات!$B$12*60,AM27="خالی"),1,0)</f>
        <v>0</v>
      </c>
      <c r="BD27" s="21" t="n">
        <f aca="false">IF(AND(AP27="بله",I27&lt;تنظیمات!$B$14,AO27="خیر"),1,0)</f>
        <v>0</v>
      </c>
      <c r="BE27" s="21" t="n">
        <f aca="false">IF(AN27="خیر",1,0)</f>
        <v>0</v>
      </c>
      <c r="BF27" s="21" t="n">
        <f aca="false">IF(AND(AD27="فیش مفقودی",AQ27="بله",I27&gt;تنظیمات!$B$12*60),1,0)</f>
        <v>0</v>
      </c>
      <c r="BG27" s="21" t="n">
        <f aca="false">IF(AND(AK27&gt;تنظیمات!$B$11,AL27="بله"),1,0)</f>
        <v>0</v>
      </c>
      <c r="BH27" s="21" t="n">
        <f aca="false">MIN(100,AR27*تنظیمات!$B$21+AS27*تنظیمات!$B$22+AT27*تنظیمات!$B$23+AU27*تنظیمات!$B$24+AV27*تنظیمات!$B$25+AW27*تنظیمات!$B$26+AX27*تنظیمات!$B$27+AY27*تنظیمات!$B$28+AZ27*تنظیمات!$B$29+BA27*تنظیمات!$B$30+BB27*تنظیمات!$B$31+BC27*تنظیمات!$B$32+BD27*تنظیمات!$B$33+BE27*تنظیمات!$B$34+BF27*تنظیمات!$B$35+BG27*تنظیمات!$B$36)</f>
        <v>0</v>
      </c>
      <c r="BI27" s="16" t="str">
        <f aca="false">IF(BH27&gt;=60,"بحرانی",IF(BH27&gt;=30,"مشکوک",IF(BH27&gt;0,"هشدار","عادی")))</f>
        <v>عادی</v>
      </c>
      <c r="BJ27" s="16" t="s">
        <v>338</v>
      </c>
    </row>
    <row r="28" customFormat="false" ht="15" hidden="false" customHeight="false" outlineLevel="0" collapsed="false">
      <c r="A28" s="16" t="s">
        <v>462</v>
      </c>
      <c r="B28" s="16" t="s">
        <v>463</v>
      </c>
      <c r="C28" s="16"/>
      <c r="D28" s="16" t="s">
        <v>440</v>
      </c>
      <c r="E28" s="16" t="s">
        <v>390</v>
      </c>
      <c r="F28" s="16" t="s">
        <v>359</v>
      </c>
      <c r="G28" s="17" t="n">
        <v>46281.1635648148</v>
      </c>
      <c r="H28" s="17" t="n">
        <v>46281.4885648148</v>
      </c>
      <c r="I28" s="18" t="n">
        <f aca="false">IF(H28="",ROUND((تنظیمات!$B$7-G28)*1440,0),ROUND((H28-G28)*1440,0))</f>
        <v>468</v>
      </c>
      <c r="J28" s="16" t="s">
        <v>346</v>
      </c>
      <c r="K28" s="16" t="s">
        <v>400</v>
      </c>
      <c r="L28" s="19" t="n">
        <v>0.914</v>
      </c>
      <c r="M28" s="19" t="n">
        <v>0.944</v>
      </c>
      <c r="N28" s="16" t="s">
        <v>335</v>
      </c>
      <c r="O28" s="16" t="s">
        <v>441</v>
      </c>
      <c r="P28" s="16" t="s">
        <v>402</v>
      </c>
      <c r="Q28" s="20" t="n">
        <v>46281</v>
      </c>
      <c r="R28" s="16" t="s">
        <v>464</v>
      </c>
      <c r="S28" s="16" t="s">
        <v>404</v>
      </c>
      <c r="T28" s="17"/>
      <c r="U28" s="21" t="n">
        <v>1</v>
      </c>
      <c r="V28" s="21" t="n">
        <v>1</v>
      </c>
      <c r="W28" s="22" t="n">
        <v>5.2</v>
      </c>
      <c r="X28" s="16" t="s">
        <v>335</v>
      </c>
      <c r="Y28" s="16" t="s">
        <v>338</v>
      </c>
      <c r="Z28" s="16" t="s">
        <v>465</v>
      </c>
      <c r="AA28" s="16"/>
      <c r="AB28" s="23"/>
      <c r="AC28" s="17"/>
      <c r="AD28" s="16" t="s">
        <v>466</v>
      </c>
      <c r="AE28" s="16"/>
      <c r="AF28" s="16" t="str">
        <f aca="false">IF(COUNTIF(لیست_سفید!$A$2:$A$21,B28)&gt;0,"بله","خیر")</f>
        <v>بله</v>
      </c>
      <c r="AG28" s="24" t="n">
        <f aca="false">IF(H28="","",IF(AD28="فیش مفقودی",تنظیمات!$B$6,(INT(I28/1440)*تنظیمات!$B$5+IF(MOD(I28,1440)&lt;=تنظیمات!$B$2,0,MIN(تنظیمات!$B$5,تنظیمات!$B$3+MAX(0,ROUNDUP((MOD(I28,1440)-60)/60,0))*تنظیمات!$B$4)))*INDEX(تعرفه!$B$2:$B$7,MATCH(AD28,تعرفه!$A$2:$A$7,0))))</f>
        <v>0</v>
      </c>
      <c r="AH28" s="24" t="n">
        <v>0</v>
      </c>
      <c r="AI28" s="24" t="n">
        <f aca="false">IF(AG28="","",AH28-AG28)</f>
        <v>0</v>
      </c>
      <c r="AJ28" s="21" t="n">
        <v>1</v>
      </c>
      <c r="AK28" s="21" t="n">
        <v>0</v>
      </c>
      <c r="AL28" s="16" t="s">
        <v>335</v>
      </c>
      <c r="AM28" s="16"/>
      <c r="AN28" s="16" t="s">
        <v>340</v>
      </c>
      <c r="AO28" s="16" t="s">
        <v>340</v>
      </c>
      <c r="AP28" s="16" t="s">
        <v>335</v>
      </c>
      <c r="AQ28" s="16"/>
      <c r="AR28" s="21" t="n">
        <f aca="false">IF(AND(T28&lt;&gt;"",H28&lt;&gt;""),IF(AND((T28-H28)*86400&gt;=0,(T28-H28)*86400&lt;تنظیمات!$B$13),1,0),0)</f>
        <v>0</v>
      </c>
      <c r="AS28" s="21" t="n">
        <f aca="false">IF(Z28="پوز",IF(OR(AB28="",COUNTIF(پوزها!$A$2:$A$5,AA28)=0),1,0),0)</f>
        <v>0</v>
      </c>
      <c r="AT28" s="21" t="n">
        <f aca="false">IF(AI28="",0,IF(AI28&gt;0,1,0))</f>
        <v>0</v>
      </c>
      <c r="AU28" s="21" t="n">
        <f aca="false">IF(AI28="",0,IF(AI28&lt;0,1,0))</f>
        <v>0</v>
      </c>
      <c r="AV28" s="21" t="n">
        <f aca="false">IF(U28&gt;V28,1,0)</f>
        <v>0</v>
      </c>
      <c r="AW28" s="21" t="n">
        <f aca="false">IF(OR(W28&gt;تنظیمات!$B$8,X28="بله"),1,0)</f>
        <v>0</v>
      </c>
      <c r="AX28" s="21" t="n">
        <f aca="false">IF(AND(N28="بله",L28&gt;تنظیمات!$B$9),1,0)</f>
        <v>0</v>
      </c>
      <c r="AY28" s="21" t="n">
        <f aca="false">IF(Y28="معکوس",1,0)</f>
        <v>0</v>
      </c>
      <c r="AZ28" s="21" t="n">
        <f aca="false">IF(ABS(AJ28)&gt;تنظیمات!$B$10,1,0)</f>
        <v>0</v>
      </c>
      <c r="BA28" s="21" t="n">
        <f aca="false">IF(AND(OR(AD28="رایگان/VIP",AD28="جانباز"),AF28="خیر"),1,0)</f>
        <v>0</v>
      </c>
      <c r="BB28" s="21" t="n">
        <f aca="false">IF(AE28="",0,IF(COUNTIF($AE$2:$AE$1001,AE28)&gt;1,1,0))</f>
        <v>0</v>
      </c>
      <c r="BC28" s="21" t="n">
        <f aca="false">IF(AND(H28="",I28&gt;تنظیمات!$B$12*60,AM28="خالی"),1,0)</f>
        <v>0</v>
      </c>
      <c r="BD28" s="21" t="n">
        <f aca="false">IF(AND(AP28="بله",I28&lt;تنظیمات!$B$14,AO28="خیر"),1,0)</f>
        <v>0</v>
      </c>
      <c r="BE28" s="21" t="n">
        <f aca="false">IF(AN28="خیر",1,0)</f>
        <v>0</v>
      </c>
      <c r="BF28" s="21" t="n">
        <f aca="false">IF(AND(AD28="فیش مفقودی",AQ28="بله",I28&gt;تنظیمات!$B$12*60),1,0)</f>
        <v>0</v>
      </c>
      <c r="BG28" s="21" t="n">
        <f aca="false">IF(AND(AK28&gt;تنظیمات!$B$11,AL28="بله"),1,0)</f>
        <v>0</v>
      </c>
      <c r="BH28" s="21" t="n">
        <f aca="false">MIN(100,AR28*تنظیمات!$B$21+AS28*تنظیمات!$B$22+AT28*تنظیمات!$B$23+AU28*تنظیمات!$B$24+AV28*تنظیمات!$B$25+AW28*تنظیمات!$B$26+AX28*تنظیمات!$B$27+AY28*تنظیمات!$B$28+AZ28*تنظیمات!$B$29+BA28*تنظیمات!$B$30+BB28*تنظیمات!$B$31+BC28*تنظیمات!$B$32+BD28*تنظیمات!$B$33+BE28*تنظیمات!$B$34+BF28*تنظیمات!$B$35+BG28*تنظیمات!$B$36)</f>
        <v>0</v>
      </c>
      <c r="BI28" s="16" t="str">
        <f aca="false">IF(BH28&gt;=60,"بحرانی",IF(BH28&gt;=30,"مشکوک",IF(BH28&gt;0,"هشدار","عادی")))</f>
        <v>عادی</v>
      </c>
      <c r="BJ28" s="16" t="s">
        <v>338</v>
      </c>
    </row>
    <row r="29" customFormat="false" ht="15" hidden="false" customHeight="false" outlineLevel="0" collapsed="false">
      <c r="A29" s="16" t="s">
        <v>467</v>
      </c>
      <c r="B29" s="16" t="s">
        <v>468</v>
      </c>
      <c r="C29" s="16"/>
      <c r="D29" s="16" t="s">
        <v>469</v>
      </c>
      <c r="E29" s="16" t="s">
        <v>375</v>
      </c>
      <c r="F29" s="16" t="s">
        <v>359</v>
      </c>
      <c r="G29" s="17" t="n">
        <v>46281.1781712963</v>
      </c>
      <c r="H29" s="17" t="n">
        <v>46281.5656712963</v>
      </c>
      <c r="I29" s="18" t="n">
        <f aca="false">IF(H29="",ROUND((تنظیمات!$B$7-G29)*1440,0),ROUND((H29-G29)*1440,0))</f>
        <v>558</v>
      </c>
      <c r="J29" s="16" t="s">
        <v>346</v>
      </c>
      <c r="K29" s="16" t="s">
        <v>410</v>
      </c>
      <c r="L29" s="19" t="n">
        <v>0.991</v>
      </c>
      <c r="M29" s="19" t="n">
        <v>0.982</v>
      </c>
      <c r="N29" s="16" t="s">
        <v>335</v>
      </c>
      <c r="O29" s="16" t="s">
        <v>411</v>
      </c>
      <c r="P29" s="16" t="s">
        <v>402</v>
      </c>
      <c r="Q29" s="20" t="n">
        <v>46281</v>
      </c>
      <c r="R29" s="16" t="s">
        <v>470</v>
      </c>
      <c r="S29" s="16" t="s">
        <v>404</v>
      </c>
      <c r="T29" s="17"/>
      <c r="U29" s="21" t="n">
        <v>1</v>
      </c>
      <c r="V29" s="21" t="n">
        <v>1</v>
      </c>
      <c r="W29" s="22" t="n">
        <v>7.1</v>
      </c>
      <c r="X29" s="16" t="s">
        <v>335</v>
      </c>
      <c r="Y29" s="16" t="s">
        <v>338</v>
      </c>
      <c r="Z29" s="16" t="s">
        <v>443</v>
      </c>
      <c r="AA29" s="16"/>
      <c r="AB29" s="23"/>
      <c r="AC29" s="17"/>
      <c r="AD29" s="16" t="s">
        <v>444</v>
      </c>
      <c r="AE29" s="16"/>
      <c r="AF29" s="16" t="str">
        <f aca="false">IF(COUNTIF(لیست_سفید!$A$2:$A$21,B29)&gt;0,"بله","خیر")</f>
        <v>خیر</v>
      </c>
      <c r="AG29" s="24" t="n">
        <f aca="false">IF(H29="","",IF(AD29="فیش مفقودی",تنظیمات!$B$6,(INT(I29/1440)*تنظیمات!$B$5+IF(MOD(I29,1440)&lt;=تنظیمات!$B$2,0,MIN(تنظیمات!$B$5,تنظیمات!$B$3+MAX(0,ROUNDUP((MOD(I29,1440)-60)/60,0))*تنظیمات!$B$4)))*INDEX(تعرفه!$B$2:$B$7,MATCH(AD29,تعرفه!$A$2:$A$7,0))))</f>
        <v>0</v>
      </c>
      <c r="AH29" s="24" t="n">
        <v>0</v>
      </c>
      <c r="AI29" s="24" t="n">
        <f aca="false">IF(AG29="","",AH29-AG29)</f>
        <v>0</v>
      </c>
      <c r="AJ29" s="21" t="n">
        <v>-5</v>
      </c>
      <c r="AK29" s="21" t="n">
        <v>0</v>
      </c>
      <c r="AL29" s="16" t="s">
        <v>335</v>
      </c>
      <c r="AM29" s="16"/>
      <c r="AN29" s="16" t="s">
        <v>340</v>
      </c>
      <c r="AO29" s="16" t="s">
        <v>340</v>
      </c>
      <c r="AP29" s="16" t="s">
        <v>335</v>
      </c>
      <c r="AQ29" s="16"/>
      <c r="AR29" s="21" t="n">
        <f aca="false">IF(AND(T29&lt;&gt;"",H29&lt;&gt;""),IF(AND((T29-H29)*86400&gt;=0,(T29-H29)*86400&lt;تنظیمات!$B$13),1,0),0)</f>
        <v>0</v>
      </c>
      <c r="AS29" s="21" t="n">
        <f aca="false">IF(Z29="پوز",IF(OR(AB29="",COUNTIF(پوزها!$A$2:$A$5,AA29)=0),1,0),0)</f>
        <v>0</v>
      </c>
      <c r="AT29" s="21" t="n">
        <f aca="false">IF(AI29="",0,IF(AI29&gt;0,1,0))</f>
        <v>0</v>
      </c>
      <c r="AU29" s="21" t="n">
        <f aca="false">IF(AI29="",0,IF(AI29&lt;0,1,0))</f>
        <v>0</v>
      </c>
      <c r="AV29" s="21" t="n">
        <f aca="false">IF(U29&gt;V29,1,0)</f>
        <v>0</v>
      </c>
      <c r="AW29" s="21" t="n">
        <f aca="false">IF(OR(W29&gt;تنظیمات!$B$8,X29="بله"),1,0)</f>
        <v>0</v>
      </c>
      <c r="AX29" s="21" t="n">
        <f aca="false">IF(AND(N29="بله",L29&gt;تنظیمات!$B$9),1,0)</f>
        <v>0</v>
      </c>
      <c r="AY29" s="21" t="n">
        <f aca="false">IF(Y29="معکوس",1,0)</f>
        <v>0</v>
      </c>
      <c r="AZ29" s="21" t="n">
        <f aca="false">IF(ABS(AJ29)&gt;تنظیمات!$B$10,1,0)</f>
        <v>0</v>
      </c>
      <c r="BA29" s="21" t="n">
        <f aca="false">IF(AND(OR(AD29="رایگان/VIP",AD29="جانباز"),AF29="خیر"),1,0)</f>
        <v>0</v>
      </c>
      <c r="BB29" s="21" t="n">
        <f aca="false">IF(AE29="",0,IF(COUNTIF($AE$2:$AE$1001,AE29)&gt;1,1,0))</f>
        <v>0</v>
      </c>
      <c r="BC29" s="21" t="n">
        <f aca="false">IF(AND(H29="",I29&gt;تنظیمات!$B$12*60,AM29="خالی"),1,0)</f>
        <v>0</v>
      </c>
      <c r="BD29" s="21" t="n">
        <f aca="false">IF(AND(AP29="بله",I29&lt;تنظیمات!$B$14,AO29="خیر"),1,0)</f>
        <v>0</v>
      </c>
      <c r="BE29" s="21" t="n">
        <f aca="false">IF(AN29="خیر",1,0)</f>
        <v>0</v>
      </c>
      <c r="BF29" s="21" t="n">
        <f aca="false">IF(AND(AD29="فیش مفقودی",AQ29="بله",I29&gt;تنظیمات!$B$12*60),1,0)</f>
        <v>0</v>
      </c>
      <c r="BG29" s="21" t="n">
        <f aca="false">IF(AND(AK29&gt;تنظیمات!$B$11,AL29="بله"),1,0)</f>
        <v>0</v>
      </c>
      <c r="BH29" s="21" t="n">
        <f aca="false">MIN(100,AR29*تنظیمات!$B$21+AS29*تنظیمات!$B$22+AT29*تنظیمات!$B$23+AU29*تنظیمات!$B$24+AV29*تنظیمات!$B$25+AW29*تنظیمات!$B$26+AX29*تنظیمات!$B$27+AY29*تنظیمات!$B$28+AZ29*تنظیمات!$B$29+BA29*تنظیمات!$B$30+BB29*تنظیمات!$B$31+BC29*تنظیمات!$B$32+BD29*تنظیمات!$B$33+BE29*تنظیمات!$B$34+BF29*تنظیمات!$B$35+BG29*تنظیمات!$B$36)</f>
        <v>0</v>
      </c>
      <c r="BI29" s="16" t="str">
        <f aca="false">IF(BH29&gt;=60,"بحرانی",IF(BH29&gt;=30,"مشکوک",IF(BH29&gt;0,"هشدار","عادی")))</f>
        <v>عادی</v>
      </c>
      <c r="BJ29" s="16" t="s">
        <v>338</v>
      </c>
    </row>
    <row r="30" customFormat="false" ht="15" hidden="false" customHeight="false" outlineLevel="0" collapsed="false">
      <c r="A30" s="16" t="s">
        <v>471</v>
      </c>
      <c r="B30" s="16" t="s">
        <v>472</v>
      </c>
      <c r="C30" s="16"/>
      <c r="D30" s="16" t="s">
        <v>331</v>
      </c>
      <c r="E30" s="16" t="s">
        <v>345</v>
      </c>
      <c r="F30" s="16" t="s">
        <v>333</v>
      </c>
      <c r="G30" s="17" t="n">
        <v>46281.182337963</v>
      </c>
      <c r="H30" s="17" t="n">
        <v>46281.3830324074</v>
      </c>
      <c r="I30" s="18" t="n">
        <f aca="false">IF(H30="",ROUND((تنظیمات!$B$7-G30)*1440,0),ROUND((H30-G30)*1440,0))</f>
        <v>289</v>
      </c>
      <c r="J30" s="16" t="s">
        <v>334</v>
      </c>
      <c r="K30" s="16" t="s">
        <v>410</v>
      </c>
      <c r="L30" s="19" t="n">
        <v>0.952</v>
      </c>
      <c r="M30" s="19" t="n">
        <v>0.974</v>
      </c>
      <c r="N30" s="16" t="s">
        <v>335</v>
      </c>
      <c r="O30" s="16" t="s">
        <v>411</v>
      </c>
      <c r="P30" s="16" t="s">
        <v>402</v>
      </c>
      <c r="Q30" s="20" t="n">
        <v>46281</v>
      </c>
      <c r="R30" s="16" t="s">
        <v>473</v>
      </c>
      <c r="S30" s="16" t="s">
        <v>404</v>
      </c>
      <c r="T30" s="17"/>
      <c r="U30" s="21" t="n">
        <v>1</v>
      </c>
      <c r="V30" s="21" t="n">
        <v>1</v>
      </c>
      <c r="W30" s="22" t="n">
        <v>3.4</v>
      </c>
      <c r="X30" s="16" t="s">
        <v>335</v>
      </c>
      <c r="Y30" s="16" t="s">
        <v>338</v>
      </c>
      <c r="Z30" s="16" t="s">
        <v>465</v>
      </c>
      <c r="AA30" s="16"/>
      <c r="AB30" s="23"/>
      <c r="AC30" s="17"/>
      <c r="AD30" s="16" t="s">
        <v>466</v>
      </c>
      <c r="AE30" s="16"/>
      <c r="AF30" s="16" t="str">
        <f aca="false">IF(COUNTIF(لیست_سفید!$A$2:$A$21,B30)&gt;0,"بله","خیر")</f>
        <v>بله</v>
      </c>
      <c r="AG30" s="24" t="n">
        <f aca="false">IF(H30="","",IF(AD30="فیش مفقودی",تنظیمات!$B$6,(INT(I30/1440)*تنظیمات!$B$5+IF(MOD(I30,1440)&lt;=تنظیمات!$B$2,0,MIN(تنظیمات!$B$5,تنظیمات!$B$3+MAX(0,ROUNDUP((MOD(I30,1440)-60)/60,0))*تنظیمات!$B$4)))*INDEX(تعرفه!$B$2:$B$7,MATCH(AD30,تعرفه!$A$2:$A$7,0))))</f>
        <v>0</v>
      </c>
      <c r="AH30" s="24" t="n">
        <v>0</v>
      </c>
      <c r="AI30" s="24" t="n">
        <f aca="false">IF(AG30="","",AH30-AG30)</f>
        <v>0</v>
      </c>
      <c r="AJ30" s="21" t="n">
        <v>0</v>
      </c>
      <c r="AK30" s="21" t="n">
        <v>0</v>
      </c>
      <c r="AL30" s="16" t="s">
        <v>335</v>
      </c>
      <c r="AM30" s="16"/>
      <c r="AN30" s="16" t="s">
        <v>340</v>
      </c>
      <c r="AO30" s="16" t="s">
        <v>340</v>
      </c>
      <c r="AP30" s="16" t="s">
        <v>335</v>
      </c>
      <c r="AQ30" s="16"/>
      <c r="AR30" s="21" t="n">
        <f aca="false">IF(AND(T30&lt;&gt;"",H30&lt;&gt;""),IF(AND((T30-H30)*86400&gt;=0,(T30-H30)*86400&lt;تنظیمات!$B$13),1,0),0)</f>
        <v>0</v>
      </c>
      <c r="AS30" s="21" t="n">
        <f aca="false">IF(Z30="پوز",IF(OR(AB30="",COUNTIF(پوزها!$A$2:$A$5,AA30)=0),1,0),0)</f>
        <v>0</v>
      </c>
      <c r="AT30" s="21" t="n">
        <f aca="false">IF(AI30="",0,IF(AI30&gt;0,1,0))</f>
        <v>0</v>
      </c>
      <c r="AU30" s="21" t="n">
        <f aca="false">IF(AI30="",0,IF(AI30&lt;0,1,0))</f>
        <v>0</v>
      </c>
      <c r="AV30" s="21" t="n">
        <f aca="false">IF(U30&gt;V30,1,0)</f>
        <v>0</v>
      </c>
      <c r="AW30" s="21" t="n">
        <f aca="false">IF(OR(W30&gt;تنظیمات!$B$8,X30="بله"),1,0)</f>
        <v>0</v>
      </c>
      <c r="AX30" s="21" t="n">
        <f aca="false">IF(AND(N30="بله",L30&gt;تنظیمات!$B$9),1,0)</f>
        <v>0</v>
      </c>
      <c r="AY30" s="21" t="n">
        <f aca="false">IF(Y30="معکوس",1,0)</f>
        <v>0</v>
      </c>
      <c r="AZ30" s="21" t="n">
        <f aca="false">IF(ABS(AJ30)&gt;تنظیمات!$B$10,1,0)</f>
        <v>0</v>
      </c>
      <c r="BA30" s="21" t="n">
        <f aca="false">IF(AND(OR(AD30="رایگان/VIP",AD30="جانباز"),AF30="خیر"),1,0)</f>
        <v>0</v>
      </c>
      <c r="BB30" s="21" t="n">
        <f aca="false">IF(AE30="",0,IF(COUNTIF($AE$2:$AE$1001,AE30)&gt;1,1,0))</f>
        <v>0</v>
      </c>
      <c r="BC30" s="21" t="n">
        <f aca="false">IF(AND(H30="",I30&gt;تنظیمات!$B$12*60,AM30="خالی"),1,0)</f>
        <v>0</v>
      </c>
      <c r="BD30" s="21" t="n">
        <f aca="false">IF(AND(AP30="بله",I30&lt;تنظیمات!$B$14,AO30="خیر"),1,0)</f>
        <v>0</v>
      </c>
      <c r="BE30" s="21" t="n">
        <f aca="false">IF(AN30="خیر",1,0)</f>
        <v>0</v>
      </c>
      <c r="BF30" s="21" t="n">
        <f aca="false">IF(AND(AD30="فیش مفقودی",AQ30="بله",I30&gt;تنظیمات!$B$12*60),1,0)</f>
        <v>0</v>
      </c>
      <c r="BG30" s="21" t="n">
        <f aca="false">IF(AND(AK30&gt;تنظیمات!$B$11,AL30="بله"),1,0)</f>
        <v>0</v>
      </c>
      <c r="BH30" s="21" t="n">
        <f aca="false">MIN(100,AR30*تنظیمات!$B$21+AS30*تنظیمات!$B$22+AT30*تنظیمات!$B$23+AU30*تنظیمات!$B$24+AV30*تنظیمات!$B$25+AW30*تنظیمات!$B$26+AX30*تنظیمات!$B$27+AY30*تنظیمات!$B$28+AZ30*تنظیمات!$B$29+BA30*تنظیمات!$B$30+BB30*تنظیمات!$B$31+BC30*تنظیمات!$B$32+BD30*تنظیمات!$B$33+BE30*تنظیمات!$B$34+BF30*تنظیمات!$B$35+BG30*تنظیمات!$B$36)</f>
        <v>0</v>
      </c>
      <c r="BI30" s="16" t="str">
        <f aca="false">IF(BH30&gt;=60,"بحرانی",IF(BH30&gt;=30,"مشکوک",IF(BH30&gt;0,"هشدار","عادی")))</f>
        <v>عادی</v>
      </c>
      <c r="BJ30" s="16" t="s">
        <v>338</v>
      </c>
    </row>
    <row r="31" customFormat="false" ht="15" hidden="false" customHeight="false" outlineLevel="0" collapsed="false">
      <c r="A31" s="16" t="s">
        <v>474</v>
      </c>
      <c r="B31" s="16" t="s">
        <v>475</v>
      </c>
      <c r="C31" s="16"/>
      <c r="D31" s="16" t="s">
        <v>431</v>
      </c>
      <c r="E31" s="16" t="s">
        <v>363</v>
      </c>
      <c r="F31" s="16" t="s">
        <v>333</v>
      </c>
      <c r="G31" s="17" t="n">
        <v>46281.1943171296</v>
      </c>
      <c r="H31" s="17" t="n">
        <v>46281.4797337963</v>
      </c>
      <c r="I31" s="18" t="n">
        <f aca="false">IF(H31="",ROUND((تنظیمات!$B$7-G31)*1440,0),ROUND((H31-G31)*1440,0))</f>
        <v>411</v>
      </c>
      <c r="J31" s="16" t="s">
        <v>334</v>
      </c>
      <c r="K31" s="16" t="s">
        <v>410</v>
      </c>
      <c r="L31" s="19" t="n">
        <v>0.99</v>
      </c>
      <c r="M31" s="19" t="n">
        <v>0.965</v>
      </c>
      <c r="N31" s="16" t="s">
        <v>335</v>
      </c>
      <c r="O31" s="16" t="s">
        <v>411</v>
      </c>
      <c r="P31" s="16" t="s">
        <v>402</v>
      </c>
      <c r="Q31" s="20" t="n">
        <v>46281</v>
      </c>
      <c r="R31" s="16" t="s">
        <v>476</v>
      </c>
      <c r="S31" s="16" t="s">
        <v>404</v>
      </c>
      <c r="T31" s="17"/>
      <c r="U31" s="21" t="n">
        <v>1</v>
      </c>
      <c r="V31" s="21" t="n">
        <v>1</v>
      </c>
      <c r="W31" s="22" t="n">
        <v>6.2</v>
      </c>
      <c r="X31" s="16" t="s">
        <v>335</v>
      </c>
      <c r="Y31" s="16" t="s">
        <v>338</v>
      </c>
      <c r="Z31" s="16" t="s">
        <v>413</v>
      </c>
      <c r="AA31" s="16" t="s">
        <v>414</v>
      </c>
      <c r="AB31" s="23" t="s">
        <v>477</v>
      </c>
      <c r="AC31" s="17" t="n">
        <v>46281.4792824074</v>
      </c>
      <c r="AD31" s="16" t="s">
        <v>338</v>
      </c>
      <c r="AE31" s="16"/>
      <c r="AF31" s="16" t="str">
        <f aca="false">IF(COUNTIF(لیست_سفید!$A$2:$A$21,B31)&gt;0,"بله","خیر")</f>
        <v>خیر</v>
      </c>
      <c r="AG31" s="24" t="n">
        <f aca="false">IF(H31="","",IF(AD31="فیش مفقودی",تنظیمات!$B$6,(INT(I31/1440)*تنظیمات!$B$5+IF(MOD(I31,1440)&lt;=تنظیمات!$B$2,0,MIN(تنظیمات!$B$5,تنظیمات!$B$3+MAX(0,ROUNDUP((MOD(I31,1440)-60)/60,0))*تنظیمات!$B$4)))*INDEX(تعرفه!$B$2:$B$7,MATCH(AD31,تعرفه!$A$2:$A$7,0))))</f>
        <v>104000</v>
      </c>
      <c r="AH31" s="24" t="n">
        <v>104000</v>
      </c>
      <c r="AI31" s="24" t="n">
        <f aca="false">IF(AG31="","",AH31-AG31)</f>
        <v>0</v>
      </c>
      <c r="AJ31" s="21" t="n">
        <v>-2</v>
      </c>
      <c r="AK31" s="21" t="n">
        <v>0</v>
      </c>
      <c r="AL31" s="16" t="s">
        <v>335</v>
      </c>
      <c r="AM31" s="16"/>
      <c r="AN31" s="16" t="s">
        <v>340</v>
      </c>
      <c r="AO31" s="16" t="s">
        <v>340</v>
      </c>
      <c r="AP31" s="16" t="s">
        <v>335</v>
      </c>
      <c r="AQ31" s="16"/>
      <c r="AR31" s="21" t="n">
        <f aca="false">IF(AND(T31&lt;&gt;"",H31&lt;&gt;""),IF(AND((T31-H31)*86400&gt;=0,(T31-H31)*86400&lt;تنظیمات!$B$13),1,0),0)</f>
        <v>0</v>
      </c>
      <c r="AS31" s="21" t="n">
        <f aca="false">IF(Z31="پوز",IF(OR(AB31="",COUNTIF(پوزها!$A$2:$A$5,AA31)=0),1,0),0)</f>
        <v>0</v>
      </c>
      <c r="AT31" s="21" t="n">
        <f aca="false">IF(AI31="",0,IF(AI31&gt;0,1,0))</f>
        <v>0</v>
      </c>
      <c r="AU31" s="21" t="n">
        <f aca="false">IF(AI31="",0,IF(AI31&lt;0,1,0))</f>
        <v>0</v>
      </c>
      <c r="AV31" s="21" t="n">
        <f aca="false">IF(U31&gt;V31,1,0)</f>
        <v>0</v>
      </c>
      <c r="AW31" s="21" t="n">
        <f aca="false">IF(OR(W31&gt;تنظیمات!$B$8,X31="بله"),1,0)</f>
        <v>0</v>
      </c>
      <c r="AX31" s="21" t="n">
        <f aca="false">IF(AND(N31="بله",L31&gt;تنظیمات!$B$9),1,0)</f>
        <v>0</v>
      </c>
      <c r="AY31" s="21" t="n">
        <f aca="false">IF(Y31="معکوس",1,0)</f>
        <v>0</v>
      </c>
      <c r="AZ31" s="21" t="n">
        <f aca="false">IF(ABS(AJ31)&gt;تنظیمات!$B$10,1,0)</f>
        <v>0</v>
      </c>
      <c r="BA31" s="21" t="n">
        <f aca="false">IF(AND(OR(AD31="رایگان/VIP",AD31="جانباز"),AF31="خیر"),1,0)</f>
        <v>0</v>
      </c>
      <c r="BB31" s="21" t="n">
        <f aca="false">IF(AE31="",0,IF(COUNTIF($AE$2:$AE$1001,AE31)&gt;1,1,0))</f>
        <v>0</v>
      </c>
      <c r="BC31" s="21" t="n">
        <f aca="false">IF(AND(H31="",I31&gt;تنظیمات!$B$12*60,AM31="خالی"),1,0)</f>
        <v>0</v>
      </c>
      <c r="BD31" s="21" t="n">
        <f aca="false">IF(AND(AP31="بله",I31&lt;تنظیمات!$B$14,AO31="خیر"),1,0)</f>
        <v>0</v>
      </c>
      <c r="BE31" s="21" t="n">
        <f aca="false">IF(AN31="خیر",1,0)</f>
        <v>0</v>
      </c>
      <c r="BF31" s="21" t="n">
        <f aca="false">IF(AND(AD31="فیش مفقودی",AQ31="بله",I31&gt;تنظیمات!$B$12*60),1,0)</f>
        <v>0</v>
      </c>
      <c r="BG31" s="21" t="n">
        <f aca="false">IF(AND(AK31&gt;تنظیمات!$B$11,AL31="بله"),1,0)</f>
        <v>0</v>
      </c>
      <c r="BH31" s="21" t="n">
        <f aca="false">MIN(100,AR31*تنظیمات!$B$21+AS31*تنظیمات!$B$22+AT31*تنظیمات!$B$23+AU31*تنظیمات!$B$24+AV31*تنظیمات!$B$25+AW31*تنظیمات!$B$26+AX31*تنظیمات!$B$27+AY31*تنظیمات!$B$28+AZ31*تنظیمات!$B$29+BA31*تنظیمات!$B$30+BB31*تنظیمات!$B$31+BC31*تنظیمات!$B$32+BD31*تنظیمات!$B$33+BE31*تنظیمات!$B$34+BF31*تنظیمات!$B$35+BG31*تنظیمات!$B$36)</f>
        <v>0</v>
      </c>
      <c r="BI31" s="16" t="str">
        <f aca="false">IF(BH31&gt;=60,"بحرانی",IF(BH31&gt;=30,"مشکوک",IF(BH31&gt;0,"هشدار","عادی")))</f>
        <v>عادی</v>
      </c>
      <c r="BJ31" s="16" t="s">
        <v>338</v>
      </c>
    </row>
    <row r="32" customFormat="false" ht="15" hidden="false" customHeight="false" outlineLevel="0" collapsed="false">
      <c r="A32" s="16" t="s">
        <v>478</v>
      </c>
      <c r="B32" s="16" t="s">
        <v>357</v>
      </c>
      <c r="C32" s="16"/>
      <c r="D32" s="16" t="s">
        <v>358</v>
      </c>
      <c r="E32" s="16" t="s">
        <v>351</v>
      </c>
      <c r="F32" s="16" t="s">
        <v>359</v>
      </c>
      <c r="G32" s="17" t="n">
        <v>46281.2266435185</v>
      </c>
      <c r="H32" s="17" t="n">
        <v>46281.4433101852</v>
      </c>
      <c r="I32" s="18" t="n">
        <f aca="false">IF(H32="",ROUND((تنظیمات!$B$7-G32)*1440,0),ROUND((H32-G32)*1440,0))</f>
        <v>312</v>
      </c>
      <c r="J32" s="16" t="s">
        <v>346</v>
      </c>
      <c r="K32" s="16" t="s">
        <v>410</v>
      </c>
      <c r="L32" s="19" t="n">
        <v>0.977</v>
      </c>
      <c r="M32" s="19" t="n">
        <v>0.958</v>
      </c>
      <c r="N32" s="16" t="s">
        <v>335</v>
      </c>
      <c r="O32" s="16" t="s">
        <v>411</v>
      </c>
      <c r="P32" s="16" t="s">
        <v>402</v>
      </c>
      <c r="Q32" s="20" t="n">
        <v>46281</v>
      </c>
      <c r="R32" s="16" t="s">
        <v>479</v>
      </c>
      <c r="S32" s="16" t="s">
        <v>404</v>
      </c>
      <c r="T32" s="17"/>
      <c r="U32" s="21" t="n">
        <v>1</v>
      </c>
      <c r="V32" s="21" t="n">
        <v>1</v>
      </c>
      <c r="W32" s="22" t="n">
        <v>5.4</v>
      </c>
      <c r="X32" s="16" t="s">
        <v>335</v>
      </c>
      <c r="Y32" s="16" t="s">
        <v>338</v>
      </c>
      <c r="Z32" s="16" t="s">
        <v>413</v>
      </c>
      <c r="AA32" s="16" t="s">
        <v>414</v>
      </c>
      <c r="AB32" s="23" t="s">
        <v>480</v>
      </c>
      <c r="AC32" s="17" t="n">
        <v>46281.4423726852</v>
      </c>
      <c r="AD32" s="16" t="s">
        <v>481</v>
      </c>
      <c r="AE32" s="16" t="s">
        <v>482</v>
      </c>
      <c r="AF32" s="16" t="str">
        <f aca="false">IF(COUNTIF(لیست_سفید!$A$2:$A$21,B32)&gt;0,"بله","خیر")</f>
        <v>خیر</v>
      </c>
      <c r="AG32" s="24" t="n">
        <f aca="false">IF(H32="","",IF(AD32="فیش مفقودی",تنظیمات!$B$6,(INT(I32/1440)*تنظیمات!$B$5+IF(MOD(I32,1440)&lt;=تنظیمات!$B$2,0,MIN(تنظیمات!$B$5,تنظیمات!$B$3+MAX(0,ROUNDUP((MOD(I32,1440)-60)/60,0))*تنظیمات!$B$4)))*INDEX(تعرفه!$B$2:$B$7,MATCH(AD32,تعرفه!$A$2:$A$7,0))))</f>
        <v>45000</v>
      </c>
      <c r="AH32" s="24" t="n">
        <v>45000</v>
      </c>
      <c r="AI32" s="24" t="n">
        <f aca="false">IF(AG32="","",AH32-AG32)</f>
        <v>0</v>
      </c>
      <c r="AJ32" s="21" t="n">
        <v>0</v>
      </c>
      <c r="AK32" s="21" t="n">
        <v>0</v>
      </c>
      <c r="AL32" s="16" t="s">
        <v>335</v>
      </c>
      <c r="AM32" s="16"/>
      <c r="AN32" s="16" t="s">
        <v>340</v>
      </c>
      <c r="AO32" s="16" t="s">
        <v>340</v>
      </c>
      <c r="AP32" s="16" t="s">
        <v>335</v>
      </c>
      <c r="AQ32" s="16"/>
      <c r="AR32" s="21" t="n">
        <f aca="false">IF(AND(T32&lt;&gt;"",H32&lt;&gt;""),IF(AND((T32-H32)*86400&gt;=0,(T32-H32)*86400&lt;تنظیمات!$B$13),1,0),0)</f>
        <v>0</v>
      </c>
      <c r="AS32" s="21" t="n">
        <f aca="false">IF(Z32="پوز",IF(OR(AB32="",COUNTIF(پوزها!$A$2:$A$5,AA32)=0),1,0),0)</f>
        <v>0</v>
      </c>
      <c r="AT32" s="21" t="n">
        <f aca="false">IF(AI32="",0,IF(AI32&gt;0,1,0))</f>
        <v>0</v>
      </c>
      <c r="AU32" s="21" t="n">
        <f aca="false">IF(AI32="",0,IF(AI32&lt;0,1,0))</f>
        <v>0</v>
      </c>
      <c r="AV32" s="21" t="n">
        <f aca="false">IF(U32&gt;V32,1,0)</f>
        <v>0</v>
      </c>
      <c r="AW32" s="21" t="n">
        <f aca="false">IF(OR(W32&gt;تنظیمات!$B$8,X32="بله"),1,0)</f>
        <v>0</v>
      </c>
      <c r="AX32" s="21" t="n">
        <f aca="false">IF(AND(N32="بله",L32&gt;تنظیمات!$B$9),1,0)</f>
        <v>0</v>
      </c>
      <c r="AY32" s="21" t="n">
        <f aca="false">IF(Y32="معکوس",1,0)</f>
        <v>0</v>
      </c>
      <c r="AZ32" s="21" t="n">
        <f aca="false">IF(ABS(AJ32)&gt;تنظیمات!$B$10,1,0)</f>
        <v>0</v>
      </c>
      <c r="BA32" s="21" t="n">
        <f aca="false">IF(AND(OR(AD32="رایگان/VIP",AD32="جانباز"),AF32="خیر"),1,0)</f>
        <v>0</v>
      </c>
      <c r="BB32" s="21" t="n">
        <f aca="false">IF(AE32="",0,IF(COUNTIF($AE$2:$AE$1001,AE32)&gt;1,1,0))</f>
        <v>0</v>
      </c>
      <c r="BC32" s="21" t="n">
        <f aca="false">IF(AND(H32="",I32&gt;تنظیمات!$B$12*60,AM32="خالی"),1,0)</f>
        <v>0</v>
      </c>
      <c r="BD32" s="21" t="n">
        <f aca="false">IF(AND(AP32="بله",I32&lt;تنظیمات!$B$14,AO32="خیر"),1,0)</f>
        <v>0</v>
      </c>
      <c r="BE32" s="21" t="n">
        <f aca="false">IF(AN32="خیر",1,0)</f>
        <v>0</v>
      </c>
      <c r="BF32" s="21" t="n">
        <f aca="false">IF(AND(AD32="فیش مفقودی",AQ32="بله",I32&gt;تنظیمات!$B$12*60),1,0)</f>
        <v>0</v>
      </c>
      <c r="BG32" s="21" t="n">
        <f aca="false">IF(AND(AK32&gt;تنظیمات!$B$11,AL32="بله"),1,0)</f>
        <v>0</v>
      </c>
      <c r="BH32" s="21" t="n">
        <f aca="false">MIN(100,AR32*تنظیمات!$B$21+AS32*تنظیمات!$B$22+AT32*تنظیمات!$B$23+AU32*تنظیمات!$B$24+AV32*تنظیمات!$B$25+AW32*تنظیمات!$B$26+AX32*تنظیمات!$B$27+AY32*تنظیمات!$B$28+AZ32*تنظیمات!$B$29+BA32*تنظیمات!$B$30+BB32*تنظیمات!$B$31+BC32*تنظیمات!$B$32+BD32*تنظیمات!$B$33+BE32*تنظیمات!$B$34+BF32*تنظیمات!$B$35+BG32*تنظیمات!$B$36)</f>
        <v>0</v>
      </c>
      <c r="BI32" s="16" t="str">
        <f aca="false">IF(BH32&gt;=60,"بحرانی",IF(BH32&gt;=30,"مشکوک",IF(BH32&gt;0,"هشدار","عادی")))</f>
        <v>عادی</v>
      </c>
      <c r="BJ32" s="16" t="s">
        <v>338</v>
      </c>
    </row>
    <row r="33" customFormat="false" ht="15" hidden="false" customHeight="false" outlineLevel="0" collapsed="false">
      <c r="A33" s="16" t="s">
        <v>483</v>
      </c>
      <c r="B33" s="16" t="s">
        <v>484</v>
      </c>
      <c r="C33" s="16"/>
      <c r="D33" s="16" t="s">
        <v>431</v>
      </c>
      <c r="E33" s="16" t="s">
        <v>332</v>
      </c>
      <c r="F33" s="16" t="s">
        <v>333</v>
      </c>
      <c r="G33" s="17" t="n">
        <v>46281.2585763889</v>
      </c>
      <c r="H33" s="17" t="n">
        <v>46281.3426041667</v>
      </c>
      <c r="I33" s="18" t="n">
        <f aca="false">IF(H33="",ROUND((تنظیمات!$B$7-G33)*1440,0),ROUND((H33-G33)*1440,0))</f>
        <v>121</v>
      </c>
      <c r="J33" s="16" t="s">
        <v>346</v>
      </c>
      <c r="K33" s="16" t="s">
        <v>410</v>
      </c>
      <c r="L33" s="19" t="n">
        <v>0.882</v>
      </c>
      <c r="M33" s="19" t="n">
        <v>0.949</v>
      </c>
      <c r="N33" s="16" t="s">
        <v>335</v>
      </c>
      <c r="O33" s="16" t="s">
        <v>411</v>
      </c>
      <c r="P33" s="16" t="s">
        <v>402</v>
      </c>
      <c r="Q33" s="20" t="n">
        <v>46281</v>
      </c>
      <c r="R33" s="16" t="s">
        <v>485</v>
      </c>
      <c r="S33" s="16" t="s">
        <v>404</v>
      </c>
      <c r="T33" s="17"/>
      <c r="U33" s="21" t="n">
        <v>1</v>
      </c>
      <c r="V33" s="21" t="n">
        <v>1</v>
      </c>
      <c r="W33" s="22" t="n">
        <v>3.9</v>
      </c>
      <c r="X33" s="16" t="s">
        <v>335</v>
      </c>
      <c r="Y33" s="16" t="s">
        <v>338</v>
      </c>
      <c r="Z33" s="16" t="s">
        <v>405</v>
      </c>
      <c r="AA33" s="16"/>
      <c r="AB33" s="23"/>
      <c r="AC33" s="17"/>
      <c r="AD33" s="16" t="s">
        <v>338</v>
      </c>
      <c r="AE33" s="16"/>
      <c r="AF33" s="16" t="str">
        <f aca="false">IF(COUNTIF(لیست_سفید!$A$2:$A$21,B33)&gt;0,"بله","خیر")</f>
        <v>خیر</v>
      </c>
      <c r="AG33" s="24" t="n">
        <f aca="false">IF(H33="","",IF(AD33="فیش مفقودی",تنظیمات!$B$6,(INT(I33/1440)*تنظیمات!$B$5+IF(MOD(I33,1440)&lt;=تنظیمات!$B$2,0,MIN(تنظیمات!$B$5,تنظیمات!$B$3+MAX(0,ROUNDUP((MOD(I33,1440)-60)/60,0))*تنظیمات!$B$4)))*INDEX(تعرفه!$B$2:$B$7,MATCH(AD33,تعرفه!$A$2:$A$7,0))))</f>
        <v>48000</v>
      </c>
      <c r="AH33" s="24" t="n">
        <v>48000</v>
      </c>
      <c r="AI33" s="24" t="n">
        <f aca="false">IF(AG33="","",AH33-AG33)</f>
        <v>0</v>
      </c>
      <c r="AJ33" s="21" t="n">
        <v>-4</v>
      </c>
      <c r="AK33" s="21" t="n">
        <v>0</v>
      </c>
      <c r="AL33" s="16" t="s">
        <v>335</v>
      </c>
      <c r="AM33" s="16"/>
      <c r="AN33" s="16" t="s">
        <v>340</v>
      </c>
      <c r="AO33" s="16" t="s">
        <v>340</v>
      </c>
      <c r="AP33" s="16" t="s">
        <v>335</v>
      </c>
      <c r="AQ33" s="16"/>
      <c r="AR33" s="21" t="n">
        <f aca="false">IF(AND(T33&lt;&gt;"",H33&lt;&gt;""),IF(AND((T33-H33)*86400&gt;=0,(T33-H33)*86400&lt;تنظیمات!$B$13),1,0),0)</f>
        <v>0</v>
      </c>
      <c r="AS33" s="21" t="n">
        <f aca="false">IF(Z33="پوز",IF(OR(AB33="",COUNTIF(پوزها!$A$2:$A$5,AA33)=0),1,0),0)</f>
        <v>0</v>
      </c>
      <c r="AT33" s="21" t="n">
        <f aca="false">IF(AI33="",0,IF(AI33&gt;0,1,0))</f>
        <v>0</v>
      </c>
      <c r="AU33" s="21" t="n">
        <f aca="false">IF(AI33="",0,IF(AI33&lt;0,1,0))</f>
        <v>0</v>
      </c>
      <c r="AV33" s="21" t="n">
        <f aca="false">IF(U33&gt;V33,1,0)</f>
        <v>0</v>
      </c>
      <c r="AW33" s="21" t="n">
        <f aca="false">IF(OR(W33&gt;تنظیمات!$B$8,X33="بله"),1,0)</f>
        <v>0</v>
      </c>
      <c r="AX33" s="21" t="n">
        <f aca="false">IF(AND(N33="بله",L33&gt;تنظیمات!$B$9),1,0)</f>
        <v>0</v>
      </c>
      <c r="AY33" s="21" t="n">
        <f aca="false">IF(Y33="معکوس",1,0)</f>
        <v>0</v>
      </c>
      <c r="AZ33" s="21" t="n">
        <f aca="false">IF(ABS(AJ33)&gt;تنظیمات!$B$10,1,0)</f>
        <v>0</v>
      </c>
      <c r="BA33" s="21" t="n">
        <f aca="false">IF(AND(OR(AD33="رایگان/VIP",AD33="جانباز"),AF33="خیر"),1,0)</f>
        <v>0</v>
      </c>
      <c r="BB33" s="21" t="n">
        <f aca="false">IF(AE33="",0,IF(COUNTIF($AE$2:$AE$1001,AE33)&gt;1,1,0))</f>
        <v>0</v>
      </c>
      <c r="BC33" s="21" t="n">
        <f aca="false">IF(AND(H33="",I33&gt;تنظیمات!$B$12*60,AM33="خالی"),1,0)</f>
        <v>0</v>
      </c>
      <c r="BD33" s="21" t="n">
        <f aca="false">IF(AND(AP33="بله",I33&lt;تنظیمات!$B$14,AO33="خیر"),1,0)</f>
        <v>0</v>
      </c>
      <c r="BE33" s="21" t="n">
        <f aca="false">IF(AN33="خیر",1,0)</f>
        <v>0</v>
      </c>
      <c r="BF33" s="21" t="n">
        <f aca="false">IF(AND(AD33="فیش مفقودی",AQ33="بله",I33&gt;تنظیمات!$B$12*60),1,0)</f>
        <v>0</v>
      </c>
      <c r="BG33" s="21" t="n">
        <f aca="false">IF(AND(AK33&gt;تنظیمات!$B$11,AL33="بله"),1,0)</f>
        <v>0</v>
      </c>
      <c r="BH33" s="21" t="n">
        <f aca="false">MIN(100,AR33*تنظیمات!$B$21+AS33*تنظیمات!$B$22+AT33*تنظیمات!$B$23+AU33*تنظیمات!$B$24+AV33*تنظیمات!$B$25+AW33*تنظیمات!$B$26+AX33*تنظیمات!$B$27+AY33*تنظیمات!$B$28+AZ33*تنظیمات!$B$29+BA33*تنظیمات!$B$30+BB33*تنظیمات!$B$31+BC33*تنظیمات!$B$32+BD33*تنظیمات!$B$33+BE33*تنظیمات!$B$34+BF33*تنظیمات!$B$35+BG33*تنظیمات!$B$36)</f>
        <v>0</v>
      </c>
      <c r="BI33" s="16" t="str">
        <f aca="false">IF(BH33&gt;=60,"بحرانی",IF(BH33&gt;=30,"مشکوک",IF(BH33&gt;0,"هشدار","عادی")))</f>
        <v>عادی</v>
      </c>
      <c r="BJ33" s="16" t="s">
        <v>338</v>
      </c>
    </row>
    <row r="34" customFormat="false" ht="15" hidden="false" customHeight="false" outlineLevel="0" collapsed="false">
      <c r="A34" s="16" t="s">
        <v>486</v>
      </c>
      <c r="B34" s="16" t="s">
        <v>487</v>
      </c>
      <c r="C34" s="16"/>
      <c r="D34" s="16" t="s">
        <v>418</v>
      </c>
      <c r="E34" s="16" t="s">
        <v>363</v>
      </c>
      <c r="F34" s="16" t="s">
        <v>333</v>
      </c>
      <c r="G34" s="17" t="n">
        <v>46281.2738541667</v>
      </c>
      <c r="H34" s="17" t="n">
        <v>46281.3356597222</v>
      </c>
      <c r="I34" s="18" t="n">
        <f aca="false">IF(H34="",ROUND((تنظیمات!$B$7-G34)*1440,0),ROUND((H34-G34)*1440,0))</f>
        <v>89</v>
      </c>
      <c r="J34" s="16" t="s">
        <v>334</v>
      </c>
      <c r="K34" s="16" t="s">
        <v>410</v>
      </c>
      <c r="L34" s="19" t="n">
        <v>0.901</v>
      </c>
      <c r="M34" s="19" t="n">
        <v>0.979</v>
      </c>
      <c r="N34" s="16" t="s">
        <v>335</v>
      </c>
      <c r="O34" s="16" t="s">
        <v>411</v>
      </c>
      <c r="P34" s="16" t="s">
        <v>402</v>
      </c>
      <c r="Q34" s="20" t="n">
        <v>46281</v>
      </c>
      <c r="R34" s="16" t="s">
        <v>488</v>
      </c>
      <c r="S34" s="16" t="s">
        <v>404</v>
      </c>
      <c r="T34" s="17"/>
      <c r="U34" s="21" t="n">
        <v>1</v>
      </c>
      <c r="V34" s="21" t="n">
        <v>1</v>
      </c>
      <c r="W34" s="22" t="n">
        <v>3.8</v>
      </c>
      <c r="X34" s="16" t="s">
        <v>335</v>
      </c>
      <c r="Y34" s="16" t="s">
        <v>338</v>
      </c>
      <c r="Z34" s="16" t="s">
        <v>413</v>
      </c>
      <c r="AA34" s="16" t="s">
        <v>414</v>
      </c>
      <c r="AB34" s="23" t="s">
        <v>489</v>
      </c>
      <c r="AC34" s="17" t="n">
        <v>46281.3346180556</v>
      </c>
      <c r="AD34" s="16" t="s">
        <v>338</v>
      </c>
      <c r="AE34" s="16"/>
      <c r="AF34" s="16" t="str">
        <f aca="false">IF(COUNTIF(لیست_سفید!$A$2:$A$21,B34)&gt;0,"بله","خیر")</f>
        <v>خیر</v>
      </c>
      <c r="AG34" s="24" t="n">
        <f aca="false">IF(H34="","",IF(AD34="فیش مفقودی",تنظیمات!$B$6,(INT(I34/1440)*تنظیمات!$B$5+IF(MOD(I34,1440)&lt;=تنظیمات!$B$2,0,MIN(تنظیمات!$B$5,تنظیمات!$B$3+MAX(0,ROUNDUP((MOD(I34,1440)-60)/60,0))*تنظیمات!$B$4)))*INDEX(تعرفه!$B$2:$B$7,MATCH(AD34,تعرفه!$A$2:$A$7,0))))</f>
        <v>34000</v>
      </c>
      <c r="AH34" s="24" t="n">
        <v>34000</v>
      </c>
      <c r="AI34" s="24" t="n">
        <f aca="false">IF(AG34="","",AH34-AG34)</f>
        <v>0</v>
      </c>
      <c r="AJ34" s="21" t="n">
        <v>-1</v>
      </c>
      <c r="AK34" s="21" t="n">
        <v>0</v>
      </c>
      <c r="AL34" s="16" t="s">
        <v>335</v>
      </c>
      <c r="AM34" s="16"/>
      <c r="AN34" s="16" t="s">
        <v>340</v>
      </c>
      <c r="AO34" s="16" t="s">
        <v>340</v>
      </c>
      <c r="AP34" s="16" t="s">
        <v>335</v>
      </c>
      <c r="AQ34" s="16"/>
      <c r="AR34" s="21" t="n">
        <f aca="false">IF(AND(T34&lt;&gt;"",H34&lt;&gt;""),IF(AND((T34-H34)*86400&gt;=0,(T34-H34)*86400&lt;تنظیمات!$B$13),1,0),0)</f>
        <v>0</v>
      </c>
      <c r="AS34" s="21" t="n">
        <f aca="false">IF(Z34="پوز",IF(OR(AB34="",COUNTIF(پوزها!$A$2:$A$5,AA34)=0),1,0),0)</f>
        <v>0</v>
      </c>
      <c r="AT34" s="21" t="n">
        <f aca="false">IF(AI34="",0,IF(AI34&gt;0,1,0))</f>
        <v>0</v>
      </c>
      <c r="AU34" s="21" t="n">
        <f aca="false">IF(AI34="",0,IF(AI34&lt;0,1,0))</f>
        <v>0</v>
      </c>
      <c r="AV34" s="21" t="n">
        <f aca="false">IF(U34&gt;V34,1,0)</f>
        <v>0</v>
      </c>
      <c r="AW34" s="21" t="n">
        <f aca="false">IF(OR(W34&gt;تنظیمات!$B$8,X34="بله"),1,0)</f>
        <v>0</v>
      </c>
      <c r="AX34" s="21" t="n">
        <f aca="false">IF(AND(N34="بله",L34&gt;تنظیمات!$B$9),1,0)</f>
        <v>0</v>
      </c>
      <c r="AY34" s="21" t="n">
        <f aca="false">IF(Y34="معکوس",1,0)</f>
        <v>0</v>
      </c>
      <c r="AZ34" s="21" t="n">
        <f aca="false">IF(ABS(AJ34)&gt;تنظیمات!$B$10,1,0)</f>
        <v>0</v>
      </c>
      <c r="BA34" s="21" t="n">
        <f aca="false">IF(AND(OR(AD34="رایگان/VIP",AD34="جانباز"),AF34="خیر"),1,0)</f>
        <v>0</v>
      </c>
      <c r="BB34" s="21" t="n">
        <f aca="false">IF(AE34="",0,IF(COUNTIF($AE$2:$AE$1001,AE34)&gt;1,1,0))</f>
        <v>0</v>
      </c>
      <c r="BC34" s="21" t="n">
        <f aca="false">IF(AND(H34="",I34&gt;تنظیمات!$B$12*60,AM34="خالی"),1,0)</f>
        <v>0</v>
      </c>
      <c r="BD34" s="21" t="n">
        <f aca="false">IF(AND(AP34="بله",I34&lt;تنظیمات!$B$14,AO34="خیر"),1,0)</f>
        <v>0</v>
      </c>
      <c r="BE34" s="21" t="n">
        <f aca="false">IF(AN34="خیر",1,0)</f>
        <v>0</v>
      </c>
      <c r="BF34" s="21" t="n">
        <f aca="false">IF(AND(AD34="فیش مفقودی",AQ34="بله",I34&gt;تنظیمات!$B$12*60),1,0)</f>
        <v>0</v>
      </c>
      <c r="BG34" s="21" t="n">
        <f aca="false">IF(AND(AK34&gt;تنظیمات!$B$11,AL34="بله"),1,0)</f>
        <v>0</v>
      </c>
      <c r="BH34" s="21" t="n">
        <f aca="false">MIN(100,AR34*تنظیمات!$B$21+AS34*تنظیمات!$B$22+AT34*تنظیمات!$B$23+AU34*تنظیمات!$B$24+AV34*تنظیمات!$B$25+AW34*تنظیمات!$B$26+AX34*تنظیمات!$B$27+AY34*تنظیمات!$B$28+AZ34*تنظیمات!$B$29+BA34*تنظیمات!$B$30+BB34*تنظیمات!$B$31+BC34*تنظیمات!$B$32+BD34*تنظیمات!$B$33+BE34*تنظیمات!$B$34+BF34*تنظیمات!$B$35+BG34*تنظیمات!$B$36)</f>
        <v>0</v>
      </c>
      <c r="BI34" s="16" t="str">
        <f aca="false">IF(BH34&gt;=60,"بحرانی",IF(BH34&gt;=30,"مشکوک",IF(BH34&gt;0,"هشدار","عادی")))</f>
        <v>عادی</v>
      </c>
      <c r="BJ34" s="16" t="s">
        <v>338</v>
      </c>
    </row>
    <row r="35" customFormat="false" ht="15" hidden="false" customHeight="false" outlineLevel="0" collapsed="false">
      <c r="A35" s="16" t="s">
        <v>490</v>
      </c>
      <c r="B35" s="16" t="s">
        <v>491</v>
      </c>
      <c r="C35" s="16"/>
      <c r="D35" s="16" t="s">
        <v>386</v>
      </c>
      <c r="E35" s="16" t="s">
        <v>351</v>
      </c>
      <c r="F35" s="16" t="s">
        <v>333</v>
      </c>
      <c r="G35" s="17" t="n">
        <v>46281.294849537</v>
      </c>
      <c r="H35" s="17" t="n">
        <v>46281.3608217593</v>
      </c>
      <c r="I35" s="18" t="n">
        <f aca="false">IF(H35="",ROUND((تنظیمات!$B$7-G35)*1440,0),ROUND((H35-G35)*1440,0))</f>
        <v>95</v>
      </c>
      <c r="J35" s="16" t="s">
        <v>346</v>
      </c>
      <c r="K35" s="16" t="s">
        <v>400</v>
      </c>
      <c r="L35" s="19" t="n">
        <v>0.995</v>
      </c>
      <c r="M35" s="19" t="n">
        <v>0.958</v>
      </c>
      <c r="N35" s="16" t="s">
        <v>335</v>
      </c>
      <c r="O35" s="16" t="s">
        <v>441</v>
      </c>
      <c r="P35" s="16" t="s">
        <v>402</v>
      </c>
      <c r="Q35" s="20" t="n">
        <v>46281</v>
      </c>
      <c r="R35" s="16" t="s">
        <v>492</v>
      </c>
      <c r="S35" s="16" t="s">
        <v>404</v>
      </c>
      <c r="T35" s="17"/>
      <c r="U35" s="21" t="n">
        <v>1</v>
      </c>
      <c r="V35" s="21" t="n">
        <v>1</v>
      </c>
      <c r="W35" s="22" t="n">
        <v>5</v>
      </c>
      <c r="X35" s="16" t="s">
        <v>335</v>
      </c>
      <c r="Y35" s="16" t="s">
        <v>338</v>
      </c>
      <c r="Z35" s="16" t="s">
        <v>413</v>
      </c>
      <c r="AA35" s="16" t="s">
        <v>427</v>
      </c>
      <c r="AB35" s="23" t="s">
        <v>493</v>
      </c>
      <c r="AC35" s="17" t="n">
        <v>46281.3599305556</v>
      </c>
      <c r="AD35" s="16" t="s">
        <v>338</v>
      </c>
      <c r="AE35" s="16"/>
      <c r="AF35" s="16" t="str">
        <f aca="false">IF(COUNTIF(لیست_سفید!$A$2:$A$21,B35)&gt;0,"بله","خیر")</f>
        <v>خیر</v>
      </c>
      <c r="AG35" s="24" t="n">
        <f aca="false">IF(H35="","",IF(AD35="فیش مفقودی",تنظیمات!$B$6,(INT(I35/1440)*تنظیمات!$B$5+IF(MOD(I35,1440)&lt;=تنظیمات!$B$2,0,MIN(تنظیمات!$B$5,تنظیمات!$B$3+MAX(0,ROUNDUP((MOD(I35,1440)-60)/60,0))*تنظیمات!$B$4)))*INDEX(تعرفه!$B$2:$B$7,MATCH(AD35,تعرفه!$A$2:$A$7,0))))</f>
        <v>34000</v>
      </c>
      <c r="AH35" s="24" t="n">
        <v>34000</v>
      </c>
      <c r="AI35" s="24" t="n">
        <f aca="false">IF(AG35="","",AH35-AG35)</f>
        <v>0</v>
      </c>
      <c r="AJ35" s="21" t="n">
        <v>0</v>
      </c>
      <c r="AK35" s="21" t="n">
        <v>0</v>
      </c>
      <c r="AL35" s="16" t="s">
        <v>335</v>
      </c>
      <c r="AM35" s="16"/>
      <c r="AN35" s="16" t="s">
        <v>340</v>
      </c>
      <c r="AO35" s="16" t="s">
        <v>340</v>
      </c>
      <c r="AP35" s="16" t="s">
        <v>335</v>
      </c>
      <c r="AQ35" s="16"/>
      <c r="AR35" s="21" t="n">
        <f aca="false">IF(AND(T35&lt;&gt;"",H35&lt;&gt;""),IF(AND((T35-H35)*86400&gt;=0,(T35-H35)*86400&lt;تنظیمات!$B$13),1,0),0)</f>
        <v>0</v>
      </c>
      <c r="AS35" s="21" t="n">
        <f aca="false">IF(Z35="پوز",IF(OR(AB35="",COUNTIF(پوزها!$A$2:$A$5,AA35)=0),1,0),0)</f>
        <v>0</v>
      </c>
      <c r="AT35" s="21" t="n">
        <f aca="false">IF(AI35="",0,IF(AI35&gt;0,1,0))</f>
        <v>0</v>
      </c>
      <c r="AU35" s="21" t="n">
        <f aca="false">IF(AI35="",0,IF(AI35&lt;0,1,0))</f>
        <v>0</v>
      </c>
      <c r="AV35" s="21" t="n">
        <f aca="false">IF(U35&gt;V35,1,0)</f>
        <v>0</v>
      </c>
      <c r="AW35" s="21" t="n">
        <f aca="false">IF(OR(W35&gt;تنظیمات!$B$8,X35="بله"),1,0)</f>
        <v>0</v>
      </c>
      <c r="AX35" s="21" t="n">
        <f aca="false">IF(AND(N35="بله",L35&gt;تنظیمات!$B$9),1,0)</f>
        <v>0</v>
      </c>
      <c r="AY35" s="21" t="n">
        <f aca="false">IF(Y35="معکوس",1,0)</f>
        <v>0</v>
      </c>
      <c r="AZ35" s="21" t="n">
        <f aca="false">IF(ABS(AJ35)&gt;تنظیمات!$B$10,1,0)</f>
        <v>0</v>
      </c>
      <c r="BA35" s="21" t="n">
        <f aca="false">IF(AND(OR(AD35="رایگان/VIP",AD35="جانباز"),AF35="خیر"),1,0)</f>
        <v>0</v>
      </c>
      <c r="BB35" s="21" t="n">
        <f aca="false">IF(AE35="",0,IF(COUNTIF($AE$2:$AE$1001,AE35)&gt;1,1,0))</f>
        <v>0</v>
      </c>
      <c r="BC35" s="21" t="n">
        <f aca="false">IF(AND(H35="",I35&gt;تنظیمات!$B$12*60,AM35="خالی"),1,0)</f>
        <v>0</v>
      </c>
      <c r="BD35" s="21" t="n">
        <f aca="false">IF(AND(AP35="بله",I35&lt;تنظیمات!$B$14,AO35="خیر"),1,0)</f>
        <v>0</v>
      </c>
      <c r="BE35" s="21" t="n">
        <f aca="false">IF(AN35="خیر",1,0)</f>
        <v>0</v>
      </c>
      <c r="BF35" s="21" t="n">
        <f aca="false">IF(AND(AD35="فیش مفقودی",AQ35="بله",I35&gt;تنظیمات!$B$12*60),1,0)</f>
        <v>0</v>
      </c>
      <c r="BG35" s="21" t="n">
        <f aca="false">IF(AND(AK35&gt;تنظیمات!$B$11,AL35="بله"),1,0)</f>
        <v>0</v>
      </c>
      <c r="BH35" s="21" t="n">
        <f aca="false">MIN(100,AR35*تنظیمات!$B$21+AS35*تنظیمات!$B$22+AT35*تنظیمات!$B$23+AU35*تنظیمات!$B$24+AV35*تنظیمات!$B$25+AW35*تنظیمات!$B$26+AX35*تنظیمات!$B$27+AY35*تنظیمات!$B$28+AZ35*تنظیمات!$B$29+BA35*تنظیمات!$B$30+BB35*تنظیمات!$B$31+BC35*تنظیمات!$B$32+BD35*تنظیمات!$B$33+BE35*تنظیمات!$B$34+BF35*تنظیمات!$B$35+BG35*تنظیمات!$B$36)</f>
        <v>0</v>
      </c>
      <c r="BI35" s="16" t="str">
        <f aca="false">IF(BH35&gt;=60,"بحرانی",IF(BH35&gt;=30,"مشکوک",IF(BH35&gt;0,"هشدار","عادی")))</f>
        <v>عادی</v>
      </c>
      <c r="BJ35" s="16" t="s">
        <v>338</v>
      </c>
    </row>
    <row r="36" customFormat="false" ht="15" hidden="false" customHeight="false" outlineLevel="0" collapsed="false">
      <c r="A36" s="16" t="s">
        <v>494</v>
      </c>
      <c r="B36" s="16" t="s">
        <v>495</v>
      </c>
      <c r="C36" s="16"/>
      <c r="D36" s="16" t="s">
        <v>344</v>
      </c>
      <c r="E36" s="16" t="s">
        <v>351</v>
      </c>
      <c r="F36" s="16" t="s">
        <v>333</v>
      </c>
      <c r="G36" s="17" t="n">
        <v>46281.3056018519</v>
      </c>
      <c r="H36" s="17" t="n">
        <v>46281.5444907407</v>
      </c>
      <c r="I36" s="18" t="n">
        <f aca="false">IF(H36="",ROUND((تنظیمات!$B$7-G36)*1440,0),ROUND((H36-G36)*1440,0))</f>
        <v>344</v>
      </c>
      <c r="J36" s="16" t="s">
        <v>334</v>
      </c>
      <c r="K36" s="16" t="s">
        <v>400</v>
      </c>
      <c r="L36" s="19" t="n">
        <v>0.985</v>
      </c>
      <c r="M36" s="19" t="n">
        <v>0.917</v>
      </c>
      <c r="N36" s="16" t="s">
        <v>335</v>
      </c>
      <c r="O36" s="16" t="s">
        <v>441</v>
      </c>
      <c r="P36" s="16" t="s">
        <v>402</v>
      </c>
      <c r="Q36" s="20" t="n">
        <v>46281</v>
      </c>
      <c r="R36" s="16" t="s">
        <v>496</v>
      </c>
      <c r="S36" s="16" t="s">
        <v>404</v>
      </c>
      <c r="T36" s="17"/>
      <c r="U36" s="21" t="n">
        <v>1</v>
      </c>
      <c r="V36" s="21" t="n">
        <v>1</v>
      </c>
      <c r="W36" s="22" t="n">
        <v>8.4</v>
      </c>
      <c r="X36" s="16" t="s">
        <v>335</v>
      </c>
      <c r="Y36" s="16" t="s">
        <v>338</v>
      </c>
      <c r="Z36" s="16" t="s">
        <v>443</v>
      </c>
      <c r="AA36" s="16"/>
      <c r="AB36" s="23"/>
      <c r="AC36" s="17"/>
      <c r="AD36" s="16" t="s">
        <v>444</v>
      </c>
      <c r="AE36" s="16"/>
      <c r="AF36" s="16" t="str">
        <f aca="false">IF(COUNTIF(لیست_سفید!$A$2:$A$21,B36)&gt;0,"بله","خیر")</f>
        <v>خیر</v>
      </c>
      <c r="AG36" s="24" t="n">
        <f aca="false">IF(H36="","",IF(AD36="فیش مفقودی",تنظیمات!$B$6,(INT(I36/1440)*تنظیمات!$B$5+IF(MOD(I36,1440)&lt;=تنظیمات!$B$2,0,MIN(تنظیمات!$B$5,تنظیمات!$B$3+MAX(0,ROUNDUP((MOD(I36,1440)-60)/60,0))*تنظیمات!$B$4)))*INDEX(تعرفه!$B$2:$B$7,MATCH(AD36,تعرفه!$A$2:$A$7,0))))</f>
        <v>0</v>
      </c>
      <c r="AH36" s="24" t="n">
        <v>0</v>
      </c>
      <c r="AI36" s="24" t="n">
        <f aca="false">IF(AG36="","",AH36-AG36)</f>
        <v>0</v>
      </c>
      <c r="AJ36" s="21" t="n">
        <v>1</v>
      </c>
      <c r="AK36" s="21" t="n">
        <v>0</v>
      </c>
      <c r="AL36" s="16" t="s">
        <v>335</v>
      </c>
      <c r="AM36" s="16"/>
      <c r="AN36" s="16" t="s">
        <v>340</v>
      </c>
      <c r="AO36" s="16" t="s">
        <v>340</v>
      </c>
      <c r="AP36" s="16" t="s">
        <v>335</v>
      </c>
      <c r="AQ36" s="16"/>
      <c r="AR36" s="21" t="n">
        <f aca="false">IF(AND(T36&lt;&gt;"",H36&lt;&gt;""),IF(AND((T36-H36)*86400&gt;=0,(T36-H36)*86400&lt;تنظیمات!$B$13),1,0),0)</f>
        <v>0</v>
      </c>
      <c r="AS36" s="21" t="n">
        <f aca="false">IF(Z36="پوز",IF(OR(AB36="",COUNTIF(پوزها!$A$2:$A$5,AA36)=0),1,0),0)</f>
        <v>0</v>
      </c>
      <c r="AT36" s="21" t="n">
        <f aca="false">IF(AI36="",0,IF(AI36&gt;0,1,0))</f>
        <v>0</v>
      </c>
      <c r="AU36" s="21" t="n">
        <f aca="false">IF(AI36="",0,IF(AI36&lt;0,1,0))</f>
        <v>0</v>
      </c>
      <c r="AV36" s="21" t="n">
        <f aca="false">IF(U36&gt;V36,1,0)</f>
        <v>0</v>
      </c>
      <c r="AW36" s="21" t="n">
        <f aca="false">IF(OR(W36&gt;تنظیمات!$B$8,X36="بله"),1,0)</f>
        <v>0</v>
      </c>
      <c r="AX36" s="21" t="n">
        <f aca="false">IF(AND(N36="بله",L36&gt;تنظیمات!$B$9),1,0)</f>
        <v>0</v>
      </c>
      <c r="AY36" s="21" t="n">
        <f aca="false">IF(Y36="معکوس",1,0)</f>
        <v>0</v>
      </c>
      <c r="AZ36" s="21" t="n">
        <f aca="false">IF(ABS(AJ36)&gt;تنظیمات!$B$10,1,0)</f>
        <v>0</v>
      </c>
      <c r="BA36" s="21" t="n">
        <f aca="false">IF(AND(OR(AD36="رایگان/VIP",AD36="جانباز"),AF36="خیر"),1,0)</f>
        <v>0</v>
      </c>
      <c r="BB36" s="21" t="n">
        <f aca="false">IF(AE36="",0,IF(COUNTIF($AE$2:$AE$1001,AE36)&gt;1,1,0))</f>
        <v>0</v>
      </c>
      <c r="BC36" s="21" t="n">
        <f aca="false">IF(AND(H36="",I36&gt;تنظیمات!$B$12*60,AM36="خالی"),1,0)</f>
        <v>0</v>
      </c>
      <c r="BD36" s="21" t="n">
        <f aca="false">IF(AND(AP36="بله",I36&lt;تنظیمات!$B$14,AO36="خیر"),1,0)</f>
        <v>0</v>
      </c>
      <c r="BE36" s="21" t="n">
        <f aca="false">IF(AN36="خیر",1,0)</f>
        <v>0</v>
      </c>
      <c r="BF36" s="21" t="n">
        <f aca="false">IF(AND(AD36="فیش مفقودی",AQ36="بله",I36&gt;تنظیمات!$B$12*60),1,0)</f>
        <v>0</v>
      </c>
      <c r="BG36" s="21" t="n">
        <f aca="false">IF(AND(AK36&gt;تنظیمات!$B$11,AL36="بله"),1,0)</f>
        <v>0</v>
      </c>
      <c r="BH36" s="21" t="n">
        <f aca="false">MIN(100,AR36*تنظیمات!$B$21+AS36*تنظیمات!$B$22+AT36*تنظیمات!$B$23+AU36*تنظیمات!$B$24+AV36*تنظیمات!$B$25+AW36*تنظیمات!$B$26+AX36*تنظیمات!$B$27+AY36*تنظیمات!$B$28+AZ36*تنظیمات!$B$29+BA36*تنظیمات!$B$30+BB36*تنظیمات!$B$31+BC36*تنظیمات!$B$32+BD36*تنظیمات!$B$33+BE36*تنظیمات!$B$34+BF36*تنظیمات!$B$35+BG36*تنظیمات!$B$36)</f>
        <v>0</v>
      </c>
      <c r="BI36" s="16" t="str">
        <f aca="false">IF(BH36&gt;=60,"بحرانی",IF(BH36&gt;=30,"مشکوک",IF(BH36&gt;0,"هشدار","عادی")))</f>
        <v>عادی</v>
      </c>
      <c r="BJ36" s="16" t="s">
        <v>338</v>
      </c>
    </row>
    <row r="37" customFormat="false" ht="15" hidden="false" customHeight="false" outlineLevel="0" collapsed="false">
      <c r="A37" s="16" t="s">
        <v>497</v>
      </c>
      <c r="B37" s="16" t="s">
        <v>498</v>
      </c>
      <c r="C37" s="16"/>
      <c r="D37" s="16" t="s">
        <v>344</v>
      </c>
      <c r="E37" s="16" t="s">
        <v>390</v>
      </c>
      <c r="F37" s="16" t="s">
        <v>333</v>
      </c>
      <c r="G37" s="17" t="n">
        <v>46281.3127662037</v>
      </c>
      <c r="H37" s="17" t="n">
        <v>46281.3842939815</v>
      </c>
      <c r="I37" s="18" t="n">
        <f aca="false">IF(H37="",ROUND((تنظیمات!$B$7-G37)*1440,0),ROUND((H37-G37)*1440,0))</f>
        <v>103</v>
      </c>
      <c r="J37" s="16" t="s">
        <v>334</v>
      </c>
      <c r="K37" s="16" t="s">
        <v>410</v>
      </c>
      <c r="L37" s="19" t="n">
        <v>0.995</v>
      </c>
      <c r="M37" s="19" t="n">
        <v>0.974</v>
      </c>
      <c r="N37" s="16" t="s">
        <v>335</v>
      </c>
      <c r="O37" s="16" t="s">
        <v>411</v>
      </c>
      <c r="P37" s="16" t="s">
        <v>402</v>
      </c>
      <c r="Q37" s="20" t="n">
        <v>46281</v>
      </c>
      <c r="R37" s="16" t="s">
        <v>499</v>
      </c>
      <c r="S37" s="16" t="s">
        <v>404</v>
      </c>
      <c r="T37" s="17"/>
      <c r="U37" s="21" t="n">
        <v>1</v>
      </c>
      <c r="V37" s="21" t="n">
        <v>1</v>
      </c>
      <c r="W37" s="22" t="n">
        <v>5</v>
      </c>
      <c r="X37" s="16" t="s">
        <v>335</v>
      </c>
      <c r="Y37" s="16" t="s">
        <v>338</v>
      </c>
      <c r="Z37" s="16" t="s">
        <v>413</v>
      </c>
      <c r="AA37" s="16" t="s">
        <v>414</v>
      </c>
      <c r="AB37" s="23" t="s">
        <v>500</v>
      </c>
      <c r="AC37" s="17" t="n">
        <v>46281.3837962963</v>
      </c>
      <c r="AD37" s="16" t="s">
        <v>338</v>
      </c>
      <c r="AE37" s="16"/>
      <c r="AF37" s="16" t="str">
        <f aca="false">IF(COUNTIF(لیست_سفید!$A$2:$A$21,B37)&gt;0,"بله","خیر")</f>
        <v>خیر</v>
      </c>
      <c r="AG37" s="24" t="n">
        <f aca="false">IF(H37="","",IF(AD37="فیش مفقودی",تنظیمات!$B$6,(INT(I37/1440)*تنظیمات!$B$5+IF(MOD(I37,1440)&lt;=تنظیمات!$B$2,0,MIN(تنظیمات!$B$5,تنظیمات!$B$3+MAX(0,ROUNDUP((MOD(I37,1440)-60)/60,0))*تنظیمات!$B$4)))*INDEX(تعرفه!$B$2:$B$7,MATCH(AD37,تعرفه!$A$2:$A$7,0))))</f>
        <v>34000</v>
      </c>
      <c r="AH37" s="24" t="n">
        <v>34000</v>
      </c>
      <c r="AI37" s="24" t="n">
        <f aca="false">IF(AG37="","",AH37-AG37)</f>
        <v>0</v>
      </c>
      <c r="AJ37" s="21" t="n">
        <v>0</v>
      </c>
      <c r="AK37" s="21" t="n">
        <v>0</v>
      </c>
      <c r="AL37" s="16" t="s">
        <v>335</v>
      </c>
      <c r="AM37" s="16"/>
      <c r="AN37" s="16" t="s">
        <v>340</v>
      </c>
      <c r="AO37" s="16" t="s">
        <v>340</v>
      </c>
      <c r="AP37" s="16" t="s">
        <v>335</v>
      </c>
      <c r="AQ37" s="16"/>
      <c r="AR37" s="21" t="n">
        <f aca="false">IF(AND(T37&lt;&gt;"",H37&lt;&gt;""),IF(AND((T37-H37)*86400&gt;=0,(T37-H37)*86400&lt;تنظیمات!$B$13),1,0),0)</f>
        <v>0</v>
      </c>
      <c r="AS37" s="21" t="n">
        <f aca="false">IF(Z37="پوز",IF(OR(AB37="",COUNTIF(پوزها!$A$2:$A$5,AA37)=0),1,0),0)</f>
        <v>0</v>
      </c>
      <c r="AT37" s="21" t="n">
        <f aca="false">IF(AI37="",0,IF(AI37&gt;0,1,0))</f>
        <v>0</v>
      </c>
      <c r="AU37" s="21" t="n">
        <f aca="false">IF(AI37="",0,IF(AI37&lt;0,1,0))</f>
        <v>0</v>
      </c>
      <c r="AV37" s="21" t="n">
        <f aca="false">IF(U37&gt;V37,1,0)</f>
        <v>0</v>
      </c>
      <c r="AW37" s="21" t="n">
        <f aca="false">IF(OR(W37&gt;تنظیمات!$B$8,X37="بله"),1,0)</f>
        <v>0</v>
      </c>
      <c r="AX37" s="21" t="n">
        <f aca="false">IF(AND(N37="بله",L37&gt;تنظیمات!$B$9),1,0)</f>
        <v>0</v>
      </c>
      <c r="AY37" s="21" t="n">
        <f aca="false">IF(Y37="معکوس",1,0)</f>
        <v>0</v>
      </c>
      <c r="AZ37" s="21" t="n">
        <f aca="false">IF(ABS(AJ37)&gt;تنظیمات!$B$10,1,0)</f>
        <v>0</v>
      </c>
      <c r="BA37" s="21" t="n">
        <f aca="false">IF(AND(OR(AD37="رایگان/VIP",AD37="جانباز"),AF37="خیر"),1,0)</f>
        <v>0</v>
      </c>
      <c r="BB37" s="21" t="n">
        <f aca="false">IF(AE37="",0,IF(COUNTIF($AE$2:$AE$1001,AE37)&gt;1,1,0))</f>
        <v>0</v>
      </c>
      <c r="BC37" s="21" t="n">
        <f aca="false">IF(AND(H37="",I37&gt;تنظیمات!$B$12*60,AM37="خالی"),1,0)</f>
        <v>0</v>
      </c>
      <c r="BD37" s="21" t="n">
        <f aca="false">IF(AND(AP37="بله",I37&lt;تنظیمات!$B$14,AO37="خیر"),1,0)</f>
        <v>0</v>
      </c>
      <c r="BE37" s="21" t="n">
        <f aca="false">IF(AN37="خیر",1,0)</f>
        <v>0</v>
      </c>
      <c r="BF37" s="21" t="n">
        <f aca="false">IF(AND(AD37="فیش مفقودی",AQ37="بله",I37&gt;تنظیمات!$B$12*60),1,0)</f>
        <v>0</v>
      </c>
      <c r="BG37" s="21" t="n">
        <f aca="false">IF(AND(AK37&gt;تنظیمات!$B$11,AL37="بله"),1,0)</f>
        <v>0</v>
      </c>
      <c r="BH37" s="21" t="n">
        <f aca="false">MIN(100,AR37*تنظیمات!$B$21+AS37*تنظیمات!$B$22+AT37*تنظیمات!$B$23+AU37*تنظیمات!$B$24+AV37*تنظیمات!$B$25+AW37*تنظیمات!$B$26+AX37*تنظیمات!$B$27+AY37*تنظیمات!$B$28+AZ37*تنظیمات!$B$29+BA37*تنظیمات!$B$30+BB37*تنظیمات!$B$31+BC37*تنظیمات!$B$32+BD37*تنظیمات!$B$33+BE37*تنظیمات!$B$34+BF37*تنظیمات!$B$35+BG37*تنظیمات!$B$36)</f>
        <v>0</v>
      </c>
      <c r="BI37" s="16" t="str">
        <f aca="false">IF(BH37&gt;=60,"بحرانی",IF(BH37&gt;=30,"مشکوک",IF(BH37&gt;0,"هشدار","عادی")))</f>
        <v>عادی</v>
      </c>
      <c r="BJ37" s="16" t="s">
        <v>338</v>
      </c>
    </row>
    <row r="38" customFormat="false" ht="15" hidden="false" customHeight="false" outlineLevel="0" collapsed="false">
      <c r="A38" s="16" t="s">
        <v>501</v>
      </c>
      <c r="B38" s="16" t="s">
        <v>389</v>
      </c>
      <c r="C38" s="16"/>
      <c r="D38" s="16" t="s">
        <v>382</v>
      </c>
      <c r="E38" s="16" t="s">
        <v>390</v>
      </c>
      <c r="F38" s="16" t="s">
        <v>333</v>
      </c>
      <c r="G38" s="17" t="n">
        <v>46281.3167939815</v>
      </c>
      <c r="H38" s="17" t="n">
        <v>46281.3820717593</v>
      </c>
      <c r="I38" s="18" t="n">
        <f aca="false">IF(H38="",ROUND((تنظیمات!$B$7-G38)*1440,0),ROUND((H38-G38)*1440,0))</f>
        <v>94</v>
      </c>
      <c r="J38" s="16" t="s">
        <v>334</v>
      </c>
      <c r="K38" s="16" t="s">
        <v>400</v>
      </c>
      <c r="L38" s="19" t="n">
        <v>0.88</v>
      </c>
      <c r="M38" s="19" t="n">
        <v>0.971</v>
      </c>
      <c r="N38" s="16" t="s">
        <v>335</v>
      </c>
      <c r="O38" s="16" t="s">
        <v>441</v>
      </c>
      <c r="P38" s="16" t="s">
        <v>402</v>
      </c>
      <c r="Q38" s="20" t="n">
        <v>46281</v>
      </c>
      <c r="R38" s="16" t="s">
        <v>502</v>
      </c>
      <c r="S38" s="16" t="s">
        <v>404</v>
      </c>
      <c r="T38" s="17"/>
      <c r="U38" s="21" t="n">
        <v>1</v>
      </c>
      <c r="V38" s="21" t="n">
        <v>1</v>
      </c>
      <c r="W38" s="22" t="n">
        <v>3.8</v>
      </c>
      <c r="X38" s="16" t="s">
        <v>335</v>
      </c>
      <c r="Y38" s="16" t="s">
        <v>338</v>
      </c>
      <c r="Z38" s="16" t="s">
        <v>413</v>
      </c>
      <c r="AA38" s="16" t="s">
        <v>427</v>
      </c>
      <c r="AB38" s="23" t="s">
        <v>503</v>
      </c>
      <c r="AC38" s="17" t="n">
        <v>46281.3812962963</v>
      </c>
      <c r="AD38" s="16" t="s">
        <v>338</v>
      </c>
      <c r="AE38" s="16"/>
      <c r="AF38" s="16" t="str">
        <f aca="false">IF(COUNTIF(لیست_سفید!$A$2:$A$21,B38)&gt;0,"بله","خیر")</f>
        <v>خیر</v>
      </c>
      <c r="AG38" s="24" t="n">
        <f aca="false">IF(H38="","",IF(AD38="فیش مفقودی",تنظیمات!$B$6,(INT(I38/1440)*تنظیمات!$B$5+IF(MOD(I38,1440)&lt;=تنظیمات!$B$2,0,MIN(تنظیمات!$B$5,تنظیمات!$B$3+MAX(0,ROUNDUP((MOD(I38,1440)-60)/60,0))*تنظیمات!$B$4)))*INDEX(تعرفه!$B$2:$B$7,MATCH(AD38,تعرفه!$A$2:$A$7,0))))</f>
        <v>34000</v>
      </c>
      <c r="AH38" s="24" t="n">
        <v>34000</v>
      </c>
      <c r="AI38" s="24" t="n">
        <f aca="false">IF(AG38="","",AH38-AG38)</f>
        <v>0</v>
      </c>
      <c r="AJ38" s="21" t="n">
        <v>-1</v>
      </c>
      <c r="AK38" s="21" t="n">
        <v>0</v>
      </c>
      <c r="AL38" s="16" t="s">
        <v>335</v>
      </c>
      <c r="AM38" s="16"/>
      <c r="AN38" s="16" t="s">
        <v>340</v>
      </c>
      <c r="AO38" s="16" t="s">
        <v>340</v>
      </c>
      <c r="AP38" s="16" t="s">
        <v>335</v>
      </c>
      <c r="AQ38" s="16"/>
      <c r="AR38" s="21" t="n">
        <f aca="false">IF(AND(T38&lt;&gt;"",H38&lt;&gt;""),IF(AND((T38-H38)*86400&gt;=0,(T38-H38)*86400&lt;تنظیمات!$B$13),1,0),0)</f>
        <v>0</v>
      </c>
      <c r="AS38" s="21" t="n">
        <f aca="false">IF(Z38="پوز",IF(OR(AB38="",COUNTIF(پوزها!$A$2:$A$5,AA38)=0),1,0),0)</f>
        <v>0</v>
      </c>
      <c r="AT38" s="21" t="n">
        <f aca="false">IF(AI38="",0,IF(AI38&gt;0,1,0))</f>
        <v>0</v>
      </c>
      <c r="AU38" s="21" t="n">
        <f aca="false">IF(AI38="",0,IF(AI38&lt;0,1,0))</f>
        <v>0</v>
      </c>
      <c r="AV38" s="21" t="n">
        <f aca="false">IF(U38&gt;V38,1,0)</f>
        <v>0</v>
      </c>
      <c r="AW38" s="21" t="n">
        <f aca="false">IF(OR(W38&gt;تنظیمات!$B$8,X38="بله"),1,0)</f>
        <v>0</v>
      </c>
      <c r="AX38" s="21" t="n">
        <f aca="false">IF(AND(N38="بله",L38&gt;تنظیمات!$B$9),1,0)</f>
        <v>0</v>
      </c>
      <c r="AY38" s="21" t="n">
        <f aca="false">IF(Y38="معکوس",1,0)</f>
        <v>0</v>
      </c>
      <c r="AZ38" s="21" t="n">
        <f aca="false">IF(ABS(AJ38)&gt;تنظیمات!$B$10,1,0)</f>
        <v>0</v>
      </c>
      <c r="BA38" s="21" t="n">
        <f aca="false">IF(AND(OR(AD38="رایگان/VIP",AD38="جانباز"),AF38="خیر"),1,0)</f>
        <v>0</v>
      </c>
      <c r="BB38" s="21" t="n">
        <f aca="false">IF(AE38="",0,IF(COUNTIF($AE$2:$AE$1001,AE38)&gt;1,1,0))</f>
        <v>0</v>
      </c>
      <c r="BC38" s="21" t="n">
        <f aca="false">IF(AND(H38="",I38&gt;تنظیمات!$B$12*60,AM38="خالی"),1,0)</f>
        <v>0</v>
      </c>
      <c r="BD38" s="21" t="n">
        <f aca="false">IF(AND(AP38="بله",I38&lt;تنظیمات!$B$14,AO38="خیر"),1,0)</f>
        <v>0</v>
      </c>
      <c r="BE38" s="21" t="n">
        <f aca="false">IF(AN38="خیر",1,0)</f>
        <v>0</v>
      </c>
      <c r="BF38" s="21" t="n">
        <f aca="false">IF(AND(AD38="فیش مفقودی",AQ38="بله",I38&gt;تنظیمات!$B$12*60),1,0)</f>
        <v>0</v>
      </c>
      <c r="BG38" s="21" t="n">
        <f aca="false">IF(AND(AK38&gt;تنظیمات!$B$11,AL38="بله"),1,0)</f>
        <v>0</v>
      </c>
      <c r="BH38" s="21" t="n">
        <f aca="false">MIN(100,AR38*تنظیمات!$B$21+AS38*تنظیمات!$B$22+AT38*تنظیمات!$B$23+AU38*تنظیمات!$B$24+AV38*تنظیمات!$B$25+AW38*تنظیمات!$B$26+AX38*تنظیمات!$B$27+AY38*تنظیمات!$B$28+AZ38*تنظیمات!$B$29+BA38*تنظیمات!$B$30+BB38*تنظیمات!$B$31+BC38*تنظیمات!$B$32+BD38*تنظیمات!$B$33+BE38*تنظیمات!$B$34+BF38*تنظیمات!$B$35+BG38*تنظیمات!$B$36)</f>
        <v>0</v>
      </c>
      <c r="BI38" s="16" t="str">
        <f aca="false">IF(BH38&gt;=60,"بحرانی",IF(BH38&gt;=30,"مشکوک",IF(BH38&gt;0,"هشدار","عادی")))</f>
        <v>عادی</v>
      </c>
      <c r="BJ38" s="16" t="s">
        <v>338</v>
      </c>
    </row>
    <row r="39" customFormat="false" ht="15" hidden="false" customHeight="false" outlineLevel="0" collapsed="false">
      <c r="A39" s="16" t="s">
        <v>504</v>
      </c>
      <c r="B39" s="16" t="s">
        <v>381</v>
      </c>
      <c r="C39" s="16"/>
      <c r="D39" s="16" t="s">
        <v>382</v>
      </c>
      <c r="E39" s="16" t="s">
        <v>351</v>
      </c>
      <c r="F39" s="16" t="s">
        <v>333</v>
      </c>
      <c r="G39" s="17" t="n">
        <v>46281.317337963</v>
      </c>
      <c r="H39" s="17" t="n">
        <v>46281.3527546296</v>
      </c>
      <c r="I39" s="18" t="n">
        <f aca="false">IF(H39="",ROUND((تنظیمات!$B$7-G39)*1440,0),ROUND((H39-G39)*1440,0))</f>
        <v>51</v>
      </c>
      <c r="J39" s="16" t="s">
        <v>334</v>
      </c>
      <c r="K39" s="16" t="s">
        <v>410</v>
      </c>
      <c r="L39" s="19" t="n">
        <v>0.962</v>
      </c>
      <c r="M39" s="19" t="n">
        <v>0.995</v>
      </c>
      <c r="N39" s="16" t="s">
        <v>335</v>
      </c>
      <c r="O39" s="16" t="s">
        <v>411</v>
      </c>
      <c r="P39" s="16" t="s">
        <v>402</v>
      </c>
      <c r="Q39" s="20" t="n">
        <v>46281</v>
      </c>
      <c r="R39" s="16" t="s">
        <v>505</v>
      </c>
      <c r="S39" s="16" t="s">
        <v>404</v>
      </c>
      <c r="T39" s="17"/>
      <c r="U39" s="21" t="n">
        <v>1</v>
      </c>
      <c r="V39" s="21" t="n">
        <v>1</v>
      </c>
      <c r="W39" s="22" t="n">
        <v>5.7</v>
      </c>
      <c r="X39" s="16" t="s">
        <v>335</v>
      </c>
      <c r="Y39" s="16" t="s">
        <v>338</v>
      </c>
      <c r="Z39" s="16" t="s">
        <v>405</v>
      </c>
      <c r="AA39" s="16"/>
      <c r="AB39" s="23"/>
      <c r="AC39" s="17"/>
      <c r="AD39" s="16" t="s">
        <v>338</v>
      </c>
      <c r="AE39" s="16"/>
      <c r="AF39" s="16" t="str">
        <f aca="false">IF(COUNTIF(لیست_سفید!$A$2:$A$21,B39)&gt;0,"بله","خیر")</f>
        <v>خیر</v>
      </c>
      <c r="AG39" s="24" t="n">
        <f aca="false">IF(H39="","",IF(AD39="فیش مفقودی",تنظیمات!$B$6,(INT(I39/1440)*تنظیمات!$B$5+IF(MOD(I39,1440)&lt;=تنظیمات!$B$2,0,MIN(تنظیمات!$B$5,تنظیمات!$B$3+MAX(0,ROUNDUP((MOD(I39,1440)-60)/60,0))*تنظیمات!$B$4)))*INDEX(تعرفه!$B$2:$B$7,MATCH(AD39,تعرفه!$A$2:$A$7,0))))</f>
        <v>20000</v>
      </c>
      <c r="AH39" s="24" t="n">
        <v>20000</v>
      </c>
      <c r="AI39" s="24" t="n">
        <f aca="false">IF(AG39="","",AH39-AG39)</f>
        <v>0</v>
      </c>
      <c r="AJ39" s="21" t="n">
        <v>1</v>
      </c>
      <c r="AK39" s="21" t="n">
        <v>0</v>
      </c>
      <c r="AL39" s="16" t="s">
        <v>335</v>
      </c>
      <c r="AM39" s="16"/>
      <c r="AN39" s="16" t="s">
        <v>340</v>
      </c>
      <c r="AO39" s="16" t="s">
        <v>340</v>
      </c>
      <c r="AP39" s="16" t="s">
        <v>335</v>
      </c>
      <c r="AQ39" s="16"/>
      <c r="AR39" s="21" t="n">
        <f aca="false">IF(AND(T39&lt;&gt;"",H39&lt;&gt;""),IF(AND((T39-H39)*86400&gt;=0,(T39-H39)*86400&lt;تنظیمات!$B$13),1,0),0)</f>
        <v>0</v>
      </c>
      <c r="AS39" s="21" t="n">
        <f aca="false">IF(Z39="پوز",IF(OR(AB39="",COUNTIF(پوزها!$A$2:$A$5,AA39)=0),1,0),0)</f>
        <v>0</v>
      </c>
      <c r="AT39" s="21" t="n">
        <f aca="false">IF(AI39="",0,IF(AI39&gt;0,1,0))</f>
        <v>0</v>
      </c>
      <c r="AU39" s="21" t="n">
        <f aca="false">IF(AI39="",0,IF(AI39&lt;0,1,0))</f>
        <v>0</v>
      </c>
      <c r="AV39" s="21" t="n">
        <f aca="false">IF(U39&gt;V39,1,0)</f>
        <v>0</v>
      </c>
      <c r="AW39" s="21" t="n">
        <f aca="false">IF(OR(W39&gt;تنظیمات!$B$8,X39="بله"),1,0)</f>
        <v>0</v>
      </c>
      <c r="AX39" s="21" t="n">
        <f aca="false">IF(AND(N39="بله",L39&gt;تنظیمات!$B$9),1,0)</f>
        <v>0</v>
      </c>
      <c r="AY39" s="21" t="n">
        <f aca="false">IF(Y39="معکوس",1,0)</f>
        <v>0</v>
      </c>
      <c r="AZ39" s="21" t="n">
        <f aca="false">IF(ABS(AJ39)&gt;تنظیمات!$B$10,1,0)</f>
        <v>0</v>
      </c>
      <c r="BA39" s="21" t="n">
        <f aca="false">IF(AND(OR(AD39="رایگان/VIP",AD39="جانباز"),AF39="خیر"),1,0)</f>
        <v>0</v>
      </c>
      <c r="BB39" s="21" t="n">
        <f aca="false">IF(AE39="",0,IF(COUNTIF($AE$2:$AE$1001,AE39)&gt;1,1,0))</f>
        <v>0</v>
      </c>
      <c r="BC39" s="21" t="n">
        <f aca="false">IF(AND(H39="",I39&gt;تنظیمات!$B$12*60,AM39="خالی"),1,0)</f>
        <v>0</v>
      </c>
      <c r="BD39" s="21" t="n">
        <f aca="false">IF(AND(AP39="بله",I39&lt;تنظیمات!$B$14,AO39="خیر"),1,0)</f>
        <v>0</v>
      </c>
      <c r="BE39" s="21" t="n">
        <f aca="false">IF(AN39="خیر",1,0)</f>
        <v>0</v>
      </c>
      <c r="BF39" s="21" t="n">
        <f aca="false">IF(AND(AD39="فیش مفقودی",AQ39="بله",I39&gt;تنظیمات!$B$12*60),1,0)</f>
        <v>0</v>
      </c>
      <c r="BG39" s="21" t="n">
        <f aca="false">IF(AND(AK39&gt;تنظیمات!$B$11,AL39="بله"),1,0)</f>
        <v>0</v>
      </c>
      <c r="BH39" s="21" t="n">
        <f aca="false">MIN(100,AR39*تنظیمات!$B$21+AS39*تنظیمات!$B$22+AT39*تنظیمات!$B$23+AU39*تنظیمات!$B$24+AV39*تنظیمات!$B$25+AW39*تنظیمات!$B$26+AX39*تنظیمات!$B$27+AY39*تنظیمات!$B$28+AZ39*تنظیمات!$B$29+BA39*تنظیمات!$B$30+BB39*تنظیمات!$B$31+BC39*تنظیمات!$B$32+BD39*تنظیمات!$B$33+BE39*تنظیمات!$B$34+BF39*تنظیمات!$B$35+BG39*تنظیمات!$B$36)</f>
        <v>0</v>
      </c>
      <c r="BI39" s="16" t="str">
        <f aca="false">IF(BH39&gt;=60,"بحرانی",IF(BH39&gt;=30,"مشکوک",IF(BH39&gt;0,"هشدار","عادی")))</f>
        <v>عادی</v>
      </c>
      <c r="BJ39" s="16" t="s">
        <v>338</v>
      </c>
    </row>
    <row r="40" customFormat="false" ht="15" hidden="false" customHeight="false" outlineLevel="0" collapsed="false">
      <c r="A40" s="16" t="s">
        <v>506</v>
      </c>
      <c r="B40" s="16" t="s">
        <v>507</v>
      </c>
      <c r="C40" s="16"/>
      <c r="D40" s="16" t="s">
        <v>508</v>
      </c>
      <c r="E40" s="16" t="s">
        <v>390</v>
      </c>
      <c r="F40" s="16" t="s">
        <v>333</v>
      </c>
      <c r="G40" s="17" t="n">
        <v>46281.3187962963</v>
      </c>
      <c r="H40" s="17" t="n">
        <v>46281.5028240741</v>
      </c>
      <c r="I40" s="18" t="n">
        <f aca="false">IF(H40="",ROUND((تنظیمات!$B$7-G40)*1440,0),ROUND((H40-G40)*1440,0))</f>
        <v>265</v>
      </c>
      <c r="J40" s="16" t="s">
        <v>346</v>
      </c>
      <c r="K40" s="16" t="s">
        <v>400</v>
      </c>
      <c r="L40" s="19" t="n">
        <v>0.88</v>
      </c>
      <c r="M40" s="19" t="n">
        <v>0.884</v>
      </c>
      <c r="N40" s="16" t="s">
        <v>335</v>
      </c>
      <c r="O40" s="16" t="s">
        <v>441</v>
      </c>
      <c r="P40" s="16" t="s">
        <v>402</v>
      </c>
      <c r="Q40" s="20" t="n">
        <v>46281</v>
      </c>
      <c r="R40" s="16" t="s">
        <v>509</v>
      </c>
      <c r="S40" s="16" t="s">
        <v>404</v>
      </c>
      <c r="T40" s="17"/>
      <c r="U40" s="21" t="n">
        <v>1</v>
      </c>
      <c r="V40" s="21" t="n">
        <v>1</v>
      </c>
      <c r="W40" s="22" t="n">
        <v>4.3</v>
      </c>
      <c r="X40" s="16" t="s">
        <v>335</v>
      </c>
      <c r="Y40" s="16" t="s">
        <v>338</v>
      </c>
      <c r="Z40" s="16" t="s">
        <v>443</v>
      </c>
      <c r="AA40" s="16"/>
      <c r="AB40" s="23"/>
      <c r="AC40" s="17"/>
      <c r="AD40" s="16" t="s">
        <v>444</v>
      </c>
      <c r="AE40" s="16"/>
      <c r="AF40" s="16" t="str">
        <f aca="false">IF(COUNTIF(لیست_سفید!$A$2:$A$21,B40)&gt;0,"بله","خیر")</f>
        <v>خیر</v>
      </c>
      <c r="AG40" s="24" t="n">
        <f aca="false">IF(H40="","",IF(AD40="فیش مفقودی",تنظیمات!$B$6,(INT(I40/1440)*تنظیمات!$B$5+IF(MOD(I40,1440)&lt;=تنظیمات!$B$2,0,MIN(تنظیمات!$B$5,تنظیمات!$B$3+MAX(0,ROUNDUP((MOD(I40,1440)-60)/60,0))*تنظیمات!$B$4)))*INDEX(تعرفه!$B$2:$B$7,MATCH(AD40,تعرفه!$A$2:$A$7,0))))</f>
        <v>0</v>
      </c>
      <c r="AH40" s="24" t="n">
        <v>0</v>
      </c>
      <c r="AI40" s="24" t="n">
        <f aca="false">IF(AG40="","",AH40-AG40)</f>
        <v>0</v>
      </c>
      <c r="AJ40" s="21" t="n">
        <v>3</v>
      </c>
      <c r="AK40" s="21" t="n">
        <v>0</v>
      </c>
      <c r="AL40" s="16" t="s">
        <v>335</v>
      </c>
      <c r="AM40" s="16"/>
      <c r="AN40" s="16" t="s">
        <v>340</v>
      </c>
      <c r="AO40" s="16" t="s">
        <v>340</v>
      </c>
      <c r="AP40" s="16" t="s">
        <v>335</v>
      </c>
      <c r="AQ40" s="16"/>
      <c r="AR40" s="21" t="n">
        <f aca="false">IF(AND(T40&lt;&gt;"",H40&lt;&gt;""),IF(AND((T40-H40)*86400&gt;=0,(T40-H40)*86400&lt;تنظیمات!$B$13),1,0),0)</f>
        <v>0</v>
      </c>
      <c r="AS40" s="21" t="n">
        <f aca="false">IF(Z40="پوز",IF(OR(AB40="",COUNTIF(پوزها!$A$2:$A$5,AA40)=0),1,0),0)</f>
        <v>0</v>
      </c>
      <c r="AT40" s="21" t="n">
        <f aca="false">IF(AI40="",0,IF(AI40&gt;0,1,0))</f>
        <v>0</v>
      </c>
      <c r="AU40" s="21" t="n">
        <f aca="false">IF(AI40="",0,IF(AI40&lt;0,1,0))</f>
        <v>0</v>
      </c>
      <c r="AV40" s="21" t="n">
        <f aca="false">IF(U40&gt;V40,1,0)</f>
        <v>0</v>
      </c>
      <c r="AW40" s="21" t="n">
        <f aca="false">IF(OR(W40&gt;تنظیمات!$B$8,X40="بله"),1,0)</f>
        <v>0</v>
      </c>
      <c r="AX40" s="21" t="n">
        <f aca="false">IF(AND(N40="بله",L40&gt;تنظیمات!$B$9),1,0)</f>
        <v>0</v>
      </c>
      <c r="AY40" s="21" t="n">
        <f aca="false">IF(Y40="معکوس",1,0)</f>
        <v>0</v>
      </c>
      <c r="AZ40" s="21" t="n">
        <f aca="false">IF(ABS(AJ40)&gt;تنظیمات!$B$10,1,0)</f>
        <v>0</v>
      </c>
      <c r="BA40" s="21" t="n">
        <f aca="false">IF(AND(OR(AD40="رایگان/VIP",AD40="جانباز"),AF40="خیر"),1,0)</f>
        <v>0</v>
      </c>
      <c r="BB40" s="21" t="n">
        <f aca="false">IF(AE40="",0,IF(COUNTIF($AE$2:$AE$1001,AE40)&gt;1,1,0))</f>
        <v>0</v>
      </c>
      <c r="BC40" s="21" t="n">
        <f aca="false">IF(AND(H40="",I40&gt;تنظیمات!$B$12*60,AM40="خالی"),1,0)</f>
        <v>0</v>
      </c>
      <c r="BD40" s="21" t="n">
        <f aca="false">IF(AND(AP40="بله",I40&lt;تنظیمات!$B$14,AO40="خیر"),1,0)</f>
        <v>0</v>
      </c>
      <c r="BE40" s="21" t="n">
        <f aca="false">IF(AN40="خیر",1,0)</f>
        <v>0</v>
      </c>
      <c r="BF40" s="21" t="n">
        <f aca="false">IF(AND(AD40="فیش مفقودی",AQ40="بله",I40&gt;تنظیمات!$B$12*60),1,0)</f>
        <v>0</v>
      </c>
      <c r="BG40" s="21" t="n">
        <f aca="false">IF(AND(AK40&gt;تنظیمات!$B$11,AL40="بله"),1,0)</f>
        <v>0</v>
      </c>
      <c r="BH40" s="21" t="n">
        <f aca="false">MIN(100,AR40*تنظیمات!$B$21+AS40*تنظیمات!$B$22+AT40*تنظیمات!$B$23+AU40*تنظیمات!$B$24+AV40*تنظیمات!$B$25+AW40*تنظیمات!$B$26+AX40*تنظیمات!$B$27+AY40*تنظیمات!$B$28+AZ40*تنظیمات!$B$29+BA40*تنظیمات!$B$30+BB40*تنظیمات!$B$31+BC40*تنظیمات!$B$32+BD40*تنظیمات!$B$33+BE40*تنظیمات!$B$34+BF40*تنظیمات!$B$35+BG40*تنظیمات!$B$36)</f>
        <v>0</v>
      </c>
      <c r="BI40" s="16" t="str">
        <f aca="false">IF(BH40&gt;=60,"بحرانی",IF(BH40&gt;=30,"مشکوک",IF(BH40&gt;0,"هشدار","عادی")))</f>
        <v>عادی</v>
      </c>
      <c r="BJ40" s="16" t="s">
        <v>338</v>
      </c>
    </row>
    <row r="41" customFormat="false" ht="15" hidden="false" customHeight="false" outlineLevel="0" collapsed="false">
      <c r="A41" s="16" t="s">
        <v>510</v>
      </c>
      <c r="B41" s="16" t="s">
        <v>511</v>
      </c>
      <c r="C41" s="16"/>
      <c r="D41" s="16" t="s">
        <v>450</v>
      </c>
      <c r="E41" s="16" t="s">
        <v>332</v>
      </c>
      <c r="F41" s="16" t="s">
        <v>333</v>
      </c>
      <c r="G41" s="17" t="n">
        <v>46281.3221643519</v>
      </c>
      <c r="H41" s="17" t="n">
        <v>46281.4228587963</v>
      </c>
      <c r="I41" s="18" t="n">
        <f aca="false">IF(H41="",ROUND((تنظیمات!$B$7-G41)*1440,0),ROUND((H41-G41)*1440,0))</f>
        <v>145</v>
      </c>
      <c r="J41" s="16" t="s">
        <v>334</v>
      </c>
      <c r="K41" s="16" t="s">
        <v>400</v>
      </c>
      <c r="L41" s="19" t="n">
        <v>0.923</v>
      </c>
      <c r="M41" s="19" t="n">
        <v>0.933</v>
      </c>
      <c r="N41" s="16" t="s">
        <v>335</v>
      </c>
      <c r="O41" s="16" t="s">
        <v>441</v>
      </c>
      <c r="P41" s="16" t="s">
        <v>402</v>
      </c>
      <c r="Q41" s="20" t="n">
        <v>46281</v>
      </c>
      <c r="R41" s="16" t="s">
        <v>512</v>
      </c>
      <c r="S41" s="16" t="s">
        <v>404</v>
      </c>
      <c r="T41" s="17"/>
      <c r="U41" s="21" t="n">
        <v>1</v>
      </c>
      <c r="V41" s="21" t="n">
        <v>1</v>
      </c>
      <c r="W41" s="22" t="n">
        <v>6.3</v>
      </c>
      <c r="X41" s="16" t="s">
        <v>335</v>
      </c>
      <c r="Y41" s="16" t="s">
        <v>338</v>
      </c>
      <c r="Z41" s="16" t="s">
        <v>413</v>
      </c>
      <c r="AA41" s="16" t="s">
        <v>427</v>
      </c>
      <c r="AB41" s="23" t="s">
        <v>513</v>
      </c>
      <c r="AC41" s="17" t="n">
        <v>46281.4218518519</v>
      </c>
      <c r="AD41" s="16" t="s">
        <v>338</v>
      </c>
      <c r="AE41" s="16"/>
      <c r="AF41" s="16" t="str">
        <f aca="false">IF(COUNTIF(لیست_سفید!$A$2:$A$21,B41)&gt;0,"بله","خیر")</f>
        <v>خیر</v>
      </c>
      <c r="AG41" s="24" t="n">
        <f aca="false">IF(H41="","",IF(AD41="فیش مفقودی",تنظیمات!$B$6,(INT(I41/1440)*تنظیمات!$B$5+IF(MOD(I41,1440)&lt;=تنظیمات!$B$2,0,MIN(تنظیمات!$B$5,تنظیمات!$B$3+MAX(0,ROUNDUP((MOD(I41,1440)-60)/60,0))*تنظیمات!$B$4)))*INDEX(تعرفه!$B$2:$B$7,MATCH(AD41,تعرفه!$A$2:$A$7,0))))</f>
        <v>48000</v>
      </c>
      <c r="AH41" s="24" t="n">
        <v>48000</v>
      </c>
      <c r="AI41" s="24" t="n">
        <f aca="false">IF(AG41="","",AH41-AG41)</f>
        <v>0</v>
      </c>
      <c r="AJ41" s="21" t="n">
        <v>2</v>
      </c>
      <c r="AK41" s="21" t="n">
        <v>0</v>
      </c>
      <c r="AL41" s="16" t="s">
        <v>335</v>
      </c>
      <c r="AM41" s="16"/>
      <c r="AN41" s="16" t="s">
        <v>340</v>
      </c>
      <c r="AO41" s="16" t="s">
        <v>340</v>
      </c>
      <c r="AP41" s="16" t="s">
        <v>335</v>
      </c>
      <c r="AQ41" s="16"/>
      <c r="AR41" s="21" t="n">
        <f aca="false">IF(AND(T41&lt;&gt;"",H41&lt;&gt;""),IF(AND((T41-H41)*86400&gt;=0,(T41-H41)*86400&lt;تنظیمات!$B$13),1,0),0)</f>
        <v>0</v>
      </c>
      <c r="AS41" s="21" t="n">
        <f aca="false">IF(Z41="پوز",IF(OR(AB41="",COUNTIF(پوزها!$A$2:$A$5,AA41)=0),1,0),0)</f>
        <v>0</v>
      </c>
      <c r="AT41" s="21" t="n">
        <f aca="false">IF(AI41="",0,IF(AI41&gt;0,1,0))</f>
        <v>0</v>
      </c>
      <c r="AU41" s="21" t="n">
        <f aca="false">IF(AI41="",0,IF(AI41&lt;0,1,0))</f>
        <v>0</v>
      </c>
      <c r="AV41" s="21" t="n">
        <f aca="false">IF(U41&gt;V41,1,0)</f>
        <v>0</v>
      </c>
      <c r="AW41" s="21" t="n">
        <f aca="false">IF(OR(W41&gt;تنظیمات!$B$8,X41="بله"),1,0)</f>
        <v>0</v>
      </c>
      <c r="AX41" s="21" t="n">
        <f aca="false">IF(AND(N41="بله",L41&gt;تنظیمات!$B$9),1,0)</f>
        <v>0</v>
      </c>
      <c r="AY41" s="21" t="n">
        <f aca="false">IF(Y41="معکوس",1,0)</f>
        <v>0</v>
      </c>
      <c r="AZ41" s="21" t="n">
        <f aca="false">IF(ABS(AJ41)&gt;تنظیمات!$B$10,1,0)</f>
        <v>0</v>
      </c>
      <c r="BA41" s="21" t="n">
        <f aca="false">IF(AND(OR(AD41="رایگان/VIP",AD41="جانباز"),AF41="خیر"),1,0)</f>
        <v>0</v>
      </c>
      <c r="BB41" s="21" t="n">
        <f aca="false">IF(AE41="",0,IF(COUNTIF($AE$2:$AE$1001,AE41)&gt;1,1,0))</f>
        <v>0</v>
      </c>
      <c r="BC41" s="21" t="n">
        <f aca="false">IF(AND(H41="",I41&gt;تنظیمات!$B$12*60,AM41="خالی"),1,0)</f>
        <v>0</v>
      </c>
      <c r="BD41" s="21" t="n">
        <f aca="false">IF(AND(AP41="بله",I41&lt;تنظیمات!$B$14,AO41="خیر"),1,0)</f>
        <v>0</v>
      </c>
      <c r="BE41" s="21" t="n">
        <f aca="false">IF(AN41="خیر",1,0)</f>
        <v>0</v>
      </c>
      <c r="BF41" s="21" t="n">
        <f aca="false">IF(AND(AD41="فیش مفقودی",AQ41="بله",I41&gt;تنظیمات!$B$12*60),1,0)</f>
        <v>0</v>
      </c>
      <c r="BG41" s="21" t="n">
        <f aca="false">IF(AND(AK41&gt;تنظیمات!$B$11,AL41="بله"),1,0)</f>
        <v>0</v>
      </c>
      <c r="BH41" s="21" t="n">
        <f aca="false">MIN(100,AR41*تنظیمات!$B$21+AS41*تنظیمات!$B$22+AT41*تنظیمات!$B$23+AU41*تنظیمات!$B$24+AV41*تنظیمات!$B$25+AW41*تنظیمات!$B$26+AX41*تنظیمات!$B$27+AY41*تنظیمات!$B$28+AZ41*تنظیمات!$B$29+BA41*تنظیمات!$B$30+BB41*تنظیمات!$B$31+BC41*تنظیمات!$B$32+BD41*تنظیمات!$B$33+BE41*تنظیمات!$B$34+BF41*تنظیمات!$B$35+BG41*تنظیمات!$B$36)</f>
        <v>0</v>
      </c>
      <c r="BI41" s="16" t="str">
        <f aca="false">IF(BH41&gt;=60,"بحرانی",IF(BH41&gt;=30,"مشکوک",IF(BH41&gt;0,"هشدار","عادی")))</f>
        <v>عادی</v>
      </c>
      <c r="BJ41" s="16" t="s">
        <v>338</v>
      </c>
    </row>
    <row r="42" customFormat="false" ht="15" hidden="false" customHeight="false" outlineLevel="0" collapsed="false">
      <c r="A42" s="16" t="s">
        <v>514</v>
      </c>
      <c r="B42" s="16" t="s">
        <v>487</v>
      </c>
      <c r="C42" s="16"/>
      <c r="D42" s="16" t="s">
        <v>418</v>
      </c>
      <c r="E42" s="16" t="s">
        <v>363</v>
      </c>
      <c r="F42" s="16" t="s">
        <v>333</v>
      </c>
      <c r="G42" s="17" t="n">
        <v>46281.3251736111</v>
      </c>
      <c r="H42" s="17" t="n">
        <v>46281.3571180556</v>
      </c>
      <c r="I42" s="18" t="n">
        <f aca="false">IF(H42="",ROUND((تنظیمات!$B$7-G42)*1440,0),ROUND((H42-G42)*1440,0))</f>
        <v>46</v>
      </c>
      <c r="J42" s="16" t="s">
        <v>346</v>
      </c>
      <c r="K42" s="16" t="s">
        <v>400</v>
      </c>
      <c r="L42" s="19" t="n">
        <v>0.995</v>
      </c>
      <c r="M42" s="19" t="n">
        <v>0.868</v>
      </c>
      <c r="N42" s="16" t="s">
        <v>335</v>
      </c>
      <c r="O42" s="16" t="s">
        <v>441</v>
      </c>
      <c r="P42" s="16" t="s">
        <v>402</v>
      </c>
      <c r="Q42" s="20" t="n">
        <v>46281</v>
      </c>
      <c r="R42" s="16" t="s">
        <v>515</v>
      </c>
      <c r="S42" s="16" t="s">
        <v>404</v>
      </c>
      <c r="T42" s="17"/>
      <c r="U42" s="21" t="n">
        <v>3</v>
      </c>
      <c r="V42" s="21" t="n">
        <v>1</v>
      </c>
      <c r="W42" s="22" t="n">
        <v>11.3</v>
      </c>
      <c r="X42" s="16" t="s">
        <v>335</v>
      </c>
      <c r="Y42" s="16" t="s">
        <v>338</v>
      </c>
      <c r="Z42" s="16" t="s">
        <v>405</v>
      </c>
      <c r="AA42" s="16"/>
      <c r="AB42" s="23"/>
      <c r="AC42" s="17"/>
      <c r="AD42" s="16" t="s">
        <v>338</v>
      </c>
      <c r="AE42" s="16"/>
      <c r="AF42" s="16" t="str">
        <f aca="false">IF(COUNTIF(لیست_سفید!$A$2:$A$21,B42)&gt;0,"بله","خیر")</f>
        <v>خیر</v>
      </c>
      <c r="AG42" s="24" t="n">
        <f aca="false">IF(H42="","",IF(AD42="فیش مفقودی",تنظیمات!$B$6,(INT(I42/1440)*تنظیمات!$B$5+IF(MOD(I42,1440)&lt;=تنظیمات!$B$2,0,MIN(تنظیمات!$B$5,تنظیمات!$B$3+MAX(0,ROUNDUP((MOD(I42,1440)-60)/60,0))*تنظیمات!$B$4)))*INDEX(تعرفه!$B$2:$B$7,MATCH(AD42,تعرفه!$A$2:$A$7,0))))</f>
        <v>20000</v>
      </c>
      <c r="AH42" s="24" t="n">
        <v>20000</v>
      </c>
      <c r="AI42" s="24" t="n">
        <f aca="false">IF(AG42="","",AH42-AG42)</f>
        <v>0</v>
      </c>
      <c r="AJ42" s="21" t="n">
        <v>0</v>
      </c>
      <c r="AK42" s="21" t="n">
        <v>0</v>
      </c>
      <c r="AL42" s="16" t="s">
        <v>335</v>
      </c>
      <c r="AM42" s="16"/>
      <c r="AN42" s="16" t="s">
        <v>340</v>
      </c>
      <c r="AO42" s="16" t="s">
        <v>340</v>
      </c>
      <c r="AP42" s="16" t="s">
        <v>335</v>
      </c>
      <c r="AQ42" s="16"/>
      <c r="AR42" s="21" t="n">
        <f aca="false">IF(AND(T42&lt;&gt;"",H42&lt;&gt;""),IF(AND((T42-H42)*86400&gt;=0,(T42-H42)*86400&lt;تنظیمات!$B$13),1,0),0)</f>
        <v>0</v>
      </c>
      <c r="AS42" s="21" t="n">
        <f aca="false">IF(Z42="پوز",IF(OR(AB42="",COUNTIF(پوزها!$A$2:$A$5,AA42)=0),1,0),0)</f>
        <v>0</v>
      </c>
      <c r="AT42" s="21" t="n">
        <f aca="false">IF(AI42="",0,IF(AI42&gt;0,1,0))</f>
        <v>0</v>
      </c>
      <c r="AU42" s="21" t="n">
        <f aca="false">IF(AI42="",0,IF(AI42&lt;0,1,0))</f>
        <v>0</v>
      </c>
      <c r="AV42" s="21" t="n">
        <f aca="false">IF(U42&gt;V42,1,0)</f>
        <v>1</v>
      </c>
      <c r="AW42" s="21" t="n">
        <f aca="false">IF(OR(W42&gt;تنظیمات!$B$8,X42="بله"),1,0)</f>
        <v>0</v>
      </c>
      <c r="AX42" s="21" t="n">
        <f aca="false">IF(AND(N42="بله",L42&gt;تنظیمات!$B$9),1,0)</f>
        <v>0</v>
      </c>
      <c r="AY42" s="21" t="n">
        <f aca="false">IF(Y42="معکوس",1,0)</f>
        <v>0</v>
      </c>
      <c r="AZ42" s="21" t="n">
        <f aca="false">IF(ABS(AJ42)&gt;تنظیمات!$B$10,1,0)</f>
        <v>0</v>
      </c>
      <c r="BA42" s="21" t="n">
        <f aca="false">IF(AND(OR(AD42="رایگان/VIP",AD42="جانباز"),AF42="خیر"),1,0)</f>
        <v>0</v>
      </c>
      <c r="BB42" s="21" t="n">
        <f aca="false">IF(AE42="",0,IF(COUNTIF($AE$2:$AE$1001,AE42)&gt;1,1,0))</f>
        <v>0</v>
      </c>
      <c r="BC42" s="21" t="n">
        <f aca="false">IF(AND(H42="",I42&gt;تنظیمات!$B$12*60,AM42="خالی"),1,0)</f>
        <v>0</v>
      </c>
      <c r="BD42" s="21" t="n">
        <f aca="false">IF(AND(AP42="بله",I42&lt;تنظیمات!$B$14,AO42="خیر"),1,0)</f>
        <v>0</v>
      </c>
      <c r="BE42" s="21" t="n">
        <f aca="false">IF(AN42="خیر",1,0)</f>
        <v>0</v>
      </c>
      <c r="BF42" s="21" t="n">
        <f aca="false">IF(AND(AD42="فیش مفقودی",AQ42="بله",I42&gt;تنظیمات!$B$12*60),1,0)</f>
        <v>0</v>
      </c>
      <c r="BG42" s="21" t="n">
        <f aca="false">IF(AND(AK42&gt;تنظیمات!$B$11,AL42="بله"),1,0)</f>
        <v>0</v>
      </c>
      <c r="BH42" s="21" t="n">
        <f aca="false">MIN(100,AR42*تنظیمات!$B$21+AS42*تنظیمات!$B$22+AT42*تنظیمات!$B$23+AU42*تنظیمات!$B$24+AV42*تنظیمات!$B$25+AW42*تنظیمات!$B$26+AX42*تنظیمات!$B$27+AY42*تنظیمات!$B$28+AZ42*تنظیمات!$B$29+BA42*تنظیمات!$B$30+BB42*تنظیمات!$B$31+BC42*تنظیمات!$B$32+BD42*تنظیمات!$B$33+BE42*تنظیمات!$B$34+BF42*تنظیمات!$B$35+BG42*تنظیمات!$B$36)</f>
        <v>30</v>
      </c>
      <c r="BI42" s="16" t="str">
        <f aca="false">IF(BH42&gt;=60,"بحرانی",IF(BH42&gt;=30,"مشکوک",IF(BH42&gt;0,"هشدار","عادی")))</f>
        <v>مشکوک</v>
      </c>
      <c r="BJ42" s="16" t="s">
        <v>516</v>
      </c>
    </row>
    <row r="43" customFormat="false" ht="15" hidden="false" customHeight="false" outlineLevel="0" collapsed="false">
      <c r="A43" s="16" t="s">
        <v>517</v>
      </c>
      <c r="B43" s="16" t="s">
        <v>518</v>
      </c>
      <c r="C43" s="16"/>
      <c r="D43" s="16" t="s">
        <v>508</v>
      </c>
      <c r="E43" s="16" t="s">
        <v>351</v>
      </c>
      <c r="F43" s="16" t="s">
        <v>333</v>
      </c>
      <c r="G43" s="17" t="n">
        <v>46281.3296180556</v>
      </c>
      <c r="H43" s="17" t="n">
        <v>46281.3907291667</v>
      </c>
      <c r="I43" s="18" t="n">
        <f aca="false">IF(H43="",ROUND((تنظیمات!$B$7-G43)*1440,0),ROUND((H43-G43)*1440,0))</f>
        <v>88</v>
      </c>
      <c r="J43" s="16" t="s">
        <v>346</v>
      </c>
      <c r="K43" s="16" t="s">
        <v>400</v>
      </c>
      <c r="L43" s="19" t="n">
        <v>0.89</v>
      </c>
      <c r="M43" s="19" t="n">
        <v>0.942</v>
      </c>
      <c r="N43" s="16" t="s">
        <v>335</v>
      </c>
      <c r="O43" s="16" t="s">
        <v>441</v>
      </c>
      <c r="P43" s="16" t="s">
        <v>402</v>
      </c>
      <c r="Q43" s="20" t="n">
        <v>46281</v>
      </c>
      <c r="R43" s="16" t="s">
        <v>519</v>
      </c>
      <c r="S43" s="16" t="s">
        <v>404</v>
      </c>
      <c r="T43" s="17"/>
      <c r="U43" s="21" t="n">
        <v>1</v>
      </c>
      <c r="V43" s="21" t="n">
        <v>1</v>
      </c>
      <c r="W43" s="22" t="n">
        <v>5.6</v>
      </c>
      <c r="X43" s="16" t="s">
        <v>335</v>
      </c>
      <c r="Y43" s="16" t="s">
        <v>338</v>
      </c>
      <c r="Z43" s="16" t="s">
        <v>413</v>
      </c>
      <c r="AA43" s="16" t="s">
        <v>427</v>
      </c>
      <c r="AB43" s="23" t="s">
        <v>520</v>
      </c>
      <c r="AC43" s="17" t="n">
        <v>46281.3896875</v>
      </c>
      <c r="AD43" s="16" t="s">
        <v>338</v>
      </c>
      <c r="AE43" s="16"/>
      <c r="AF43" s="16" t="str">
        <f aca="false">IF(COUNTIF(لیست_سفید!$A$2:$A$21,B43)&gt;0,"بله","خیر")</f>
        <v>خیر</v>
      </c>
      <c r="AG43" s="24" t="n">
        <f aca="false">IF(H43="","",IF(AD43="فیش مفقودی",تنظیمات!$B$6,(INT(I43/1440)*تنظیمات!$B$5+IF(MOD(I43,1440)&lt;=تنظیمات!$B$2,0,MIN(تنظیمات!$B$5,تنظیمات!$B$3+MAX(0,ROUNDUP((MOD(I43,1440)-60)/60,0))*تنظیمات!$B$4)))*INDEX(تعرفه!$B$2:$B$7,MATCH(AD43,تعرفه!$A$2:$A$7,0))))</f>
        <v>34000</v>
      </c>
      <c r="AH43" s="24" t="n">
        <v>34000</v>
      </c>
      <c r="AI43" s="24" t="n">
        <f aca="false">IF(AG43="","",AH43-AG43)</f>
        <v>0</v>
      </c>
      <c r="AJ43" s="21" t="n">
        <v>-1</v>
      </c>
      <c r="AK43" s="21" t="n">
        <v>75</v>
      </c>
      <c r="AL43" s="16" t="s">
        <v>335</v>
      </c>
      <c r="AM43" s="16"/>
      <c r="AN43" s="16" t="s">
        <v>340</v>
      </c>
      <c r="AO43" s="16" t="s">
        <v>340</v>
      </c>
      <c r="AP43" s="16" t="s">
        <v>335</v>
      </c>
      <c r="AQ43" s="16"/>
      <c r="AR43" s="21" t="n">
        <f aca="false">IF(AND(T43&lt;&gt;"",H43&lt;&gt;""),IF(AND((T43-H43)*86400&gt;=0,(T43-H43)*86400&lt;تنظیمات!$B$13),1,0),0)</f>
        <v>0</v>
      </c>
      <c r="AS43" s="21" t="n">
        <f aca="false">IF(Z43="پوز",IF(OR(AB43="",COUNTIF(پوزها!$A$2:$A$5,AA43)=0),1,0),0)</f>
        <v>0</v>
      </c>
      <c r="AT43" s="21" t="n">
        <f aca="false">IF(AI43="",0,IF(AI43&gt;0,1,0))</f>
        <v>0</v>
      </c>
      <c r="AU43" s="21" t="n">
        <f aca="false">IF(AI43="",0,IF(AI43&lt;0,1,0))</f>
        <v>0</v>
      </c>
      <c r="AV43" s="21" t="n">
        <f aca="false">IF(U43&gt;V43,1,0)</f>
        <v>0</v>
      </c>
      <c r="AW43" s="21" t="n">
        <f aca="false">IF(OR(W43&gt;تنظیمات!$B$8,X43="بله"),1,0)</f>
        <v>0</v>
      </c>
      <c r="AX43" s="21" t="n">
        <f aca="false">IF(AND(N43="بله",L43&gt;تنظیمات!$B$9),1,0)</f>
        <v>0</v>
      </c>
      <c r="AY43" s="21" t="n">
        <f aca="false">IF(Y43="معکوس",1,0)</f>
        <v>0</v>
      </c>
      <c r="AZ43" s="21" t="n">
        <f aca="false">IF(ABS(AJ43)&gt;تنظیمات!$B$10,1,0)</f>
        <v>0</v>
      </c>
      <c r="BA43" s="21" t="n">
        <f aca="false">IF(AND(OR(AD43="رایگان/VIP",AD43="جانباز"),AF43="خیر"),1,0)</f>
        <v>0</v>
      </c>
      <c r="BB43" s="21" t="n">
        <f aca="false">IF(AE43="",0,IF(COUNTIF($AE$2:$AE$1001,AE43)&gt;1,1,0))</f>
        <v>0</v>
      </c>
      <c r="BC43" s="21" t="n">
        <f aca="false">IF(AND(H43="",I43&gt;تنظیمات!$B$12*60,AM43="خالی"),1,0)</f>
        <v>0</v>
      </c>
      <c r="BD43" s="21" t="n">
        <f aca="false">IF(AND(AP43="بله",I43&lt;تنظیمات!$B$14,AO43="خیر"),1,0)</f>
        <v>0</v>
      </c>
      <c r="BE43" s="21" t="n">
        <f aca="false">IF(AN43="خیر",1,0)</f>
        <v>0</v>
      </c>
      <c r="BF43" s="21" t="n">
        <f aca="false">IF(AND(AD43="فیش مفقودی",AQ43="بله",I43&gt;تنظیمات!$B$12*60),1,0)</f>
        <v>0</v>
      </c>
      <c r="BG43" s="21" t="n">
        <f aca="false">IF(AND(AK43&gt;تنظیمات!$B$11,AL43="بله"),1,0)</f>
        <v>0</v>
      </c>
      <c r="BH43" s="21" t="n">
        <f aca="false">MIN(100,AR43*تنظیمات!$B$21+AS43*تنظیمات!$B$22+AT43*تنظیمات!$B$23+AU43*تنظیمات!$B$24+AV43*تنظیمات!$B$25+AW43*تنظیمات!$B$26+AX43*تنظیمات!$B$27+AY43*تنظیمات!$B$28+AZ43*تنظیمات!$B$29+BA43*تنظیمات!$B$30+BB43*تنظیمات!$B$31+BC43*تنظیمات!$B$32+BD43*تنظیمات!$B$33+BE43*تنظیمات!$B$34+BF43*تنظیمات!$B$35+BG43*تنظیمات!$B$36)</f>
        <v>0</v>
      </c>
      <c r="BI43" s="16" t="str">
        <f aca="false">IF(BH43&gt;=60,"بحرانی",IF(BH43&gt;=30,"مشکوک",IF(BH43&gt;0,"هشدار","عادی")))</f>
        <v>عادی</v>
      </c>
      <c r="BJ43" s="16" t="s">
        <v>338</v>
      </c>
    </row>
    <row r="44" customFormat="false" ht="15" hidden="false" customHeight="false" outlineLevel="0" collapsed="false">
      <c r="A44" s="16" t="s">
        <v>521</v>
      </c>
      <c r="B44" s="16" t="s">
        <v>522</v>
      </c>
      <c r="C44" s="16"/>
      <c r="D44" s="16" t="s">
        <v>523</v>
      </c>
      <c r="E44" s="16" t="s">
        <v>351</v>
      </c>
      <c r="F44" s="16" t="s">
        <v>333</v>
      </c>
      <c r="G44" s="17" t="n">
        <v>46281.3330671296</v>
      </c>
      <c r="H44" s="17" t="n">
        <v>46281.5045949074</v>
      </c>
      <c r="I44" s="18" t="n">
        <f aca="false">IF(H44="",ROUND((تنظیمات!$B$7-G44)*1440,0),ROUND((H44-G44)*1440,0))</f>
        <v>247</v>
      </c>
      <c r="J44" s="16" t="s">
        <v>334</v>
      </c>
      <c r="K44" s="16" t="s">
        <v>410</v>
      </c>
      <c r="L44" s="19" t="n">
        <v>0.937</v>
      </c>
      <c r="M44" s="19" t="n">
        <v>0.983</v>
      </c>
      <c r="N44" s="16" t="s">
        <v>335</v>
      </c>
      <c r="O44" s="16" t="s">
        <v>411</v>
      </c>
      <c r="P44" s="16" t="s">
        <v>402</v>
      </c>
      <c r="Q44" s="20" t="n">
        <v>46281</v>
      </c>
      <c r="R44" s="16" t="s">
        <v>524</v>
      </c>
      <c r="S44" s="16" t="s">
        <v>404</v>
      </c>
      <c r="T44" s="17"/>
      <c r="U44" s="21" t="n">
        <v>1</v>
      </c>
      <c r="V44" s="21" t="n">
        <v>1</v>
      </c>
      <c r="W44" s="22" t="n">
        <v>6.1</v>
      </c>
      <c r="X44" s="16" t="s">
        <v>335</v>
      </c>
      <c r="Y44" s="16" t="s">
        <v>338</v>
      </c>
      <c r="Z44" s="16" t="s">
        <v>443</v>
      </c>
      <c r="AA44" s="16"/>
      <c r="AB44" s="23"/>
      <c r="AC44" s="17"/>
      <c r="AD44" s="16" t="s">
        <v>444</v>
      </c>
      <c r="AE44" s="16"/>
      <c r="AF44" s="16" t="str">
        <f aca="false">IF(COUNTIF(لیست_سفید!$A$2:$A$21,B44)&gt;0,"بله","خیر")</f>
        <v>خیر</v>
      </c>
      <c r="AG44" s="24" t="n">
        <f aca="false">IF(H44="","",IF(AD44="فیش مفقودی",تنظیمات!$B$6,(INT(I44/1440)*تنظیمات!$B$5+IF(MOD(I44,1440)&lt;=تنظیمات!$B$2,0,MIN(تنظیمات!$B$5,تنظیمات!$B$3+MAX(0,ROUNDUP((MOD(I44,1440)-60)/60,0))*تنظیمات!$B$4)))*INDEX(تعرفه!$B$2:$B$7,MATCH(AD44,تعرفه!$A$2:$A$7,0))))</f>
        <v>0</v>
      </c>
      <c r="AH44" s="24" t="n">
        <v>0</v>
      </c>
      <c r="AI44" s="24" t="n">
        <f aca="false">IF(AG44="","",AH44-AG44)</f>
        <v>0</v>
      </c>
      <c r="AJ44" s="21" t="n">
        <v>0</v>
      </c>
      <c r="AK44" s="21" t="n">
        <v>0</v>
      </c>
      <c r="AL44" s="16" t="s">
        <v>335</v>
      </c>
      <c r="AM44" s="16"/>
      <c r="AN44" s="16" t="s">
        <v>340</v>
      </c>
      <c r="AO44" s="16" t="s">
        <v>340</v>
      </c>
      <c r="AP44" s="16" t="s">
        <v>335</v>
      </c>
      <c r="AQ44" s="16"/>
      <c r="AR44" s="21" t="n">
        <f aca="false">IF(AND(T44&lt;&gt;"",H44&lt;&gt;""),IF(AND((T44-H44)*86400&gt;=0,(T44-H44)*86400&lt;تنظیمات!$B$13),1,0),0)</f>
        <v>0</v>
      </c>
      <c r="AS44" s="21" t="n">
        <f aca="false">IF(Z44="پوز",IF(OR(AB44="",COUNTIF(پوزها!$A$2:$A$5,AA44)=0),1,0),0)</f>
        <v>0</v>
      </c>
      <c r="AT44" s="21" t="n">
        <f aca="false">IF(AI44="",0,IF(AI44&gt;0,1,0))</f>
        <v>0</v>
      </c>
      <c r="AU44" s="21" t="n">
        <f aca="false">IF(AI44="",0,IF(AI44&lt;0,1,0))</f>
        <v>0</v>
      </c>
      <c r="AV44" s="21" t="n">
        <f aca="false">IF(U44&gt;V44,1,0)</f>
        <v>0</v>
      </c>
      <c r="AW44" s="21" t="n">
        <f aca="false">IF(OR(W44&gt;تنظیمات!$B$8,X44="بله"),1,0)</f>
        <v>0</v>
      </c>
      <c r="AX44" s="21" t="n">
        <f aca="false">IF(AND(N44="بله",L44&gt;تنظیمات!$B$9),1,0)</f>
        <v>0</v>
      </c>
      <c r="AY44" s="21" t="n">
        <f aca="false">IF(Y44="معکوس",1,0)</f>
        <v>0</v>
      </c>
      <c r="AZ44" s="21" t="n">
        <f aca="false">IF(ABS(AJ44)&gt;تنظیمات!$B$10,1,0)</f>
        <v>0</v>
      </c>
      <c r="BA44" s="21" t="n">
        <f aca="false">IF(AND(OR(AD44="رایگان/VIP",AD44="جانباز"),AF44="خیر"),1,0)</f>
        <v>0</v>
      </c>
      <c r="BB44" s="21" t="n">
        <f aca="false">IF(AE44="",0,IF(COUNTIF($AE$2:$AE$1001,AE44)&gt;1,1,0))</f>
        <v>0</v>
      </c>
      <c r="BC44" s="21" t="n">
        <f aca="false">IF(AND(H44="",I44&gt;تنظیمات!$B$12*60,AM44="خالی"),1,0)</f>
        <v>0</v>
      </c>
      <c r="BD44" s="21" t="n">
        <f aca="false">IF(AND(AP44="بله",I44&lt;تنظیمات!$B$14,AO44="خیر"),1,0)</f>
        <v>0</v>
      </c>
      <c r="BE44" s="21" t="n">
        <f aca="false">IF(AN44="خیر",1,0)</f>
        <v>0</v>
      </c>
      <c r="BF44" s="21" t="n">
        <f aca="false">IF(AND(AD44="فیش مفقودی",AQ44="بله",I44&gt;تنظیمات!$B$12*60),1,0)</f>
        <v>0</v>
      </c>
      <c r="BG44" s="21" t="n">
        <f aca="false">IF(AND(AK44&gt;تنظیمات!$B$11,AL44="بله"),1,0)</f>
        <v>0</v>
      </c>
      <c r="BH44" s="21" t="n">
        <f aca="false">MIN(100,AR44*تنظیمات!$B$21+AS44*تنظیمات!$B$22+AT44*تنظیمات!$B$23+AU44*تنظیمات!$B$24+AV44*تنظیمات!$B$25+AW44*تنظیمات!$B$26+AX44*تنظیمات!$B$27+AY44*تنظیمات!$B$28+AZ44*تنظیمات!$B$29+BA44*تنظیمات!$B$30+BB44*تنظیمات!$B$31+BC44*تنظیمات!$B$32+BD44*تنظیمات!$B$33+BE44*تنظیمات!$B$34+BF44*تنظیمات!$B$35+BG44*تنظیمات!$B$36)</f>
        <v>0</v>
      </c>
      <c r="BI44" s="16" t="str">
        <f aca="false">IF(BH44&gt;=60,"بحرانی",IF(BH44&gt;=30,"مشکوک",IF(BH44&gt;0,"هشدار","عادی")))</f>
        <v>عادی</v>
      </c>
      <c r="BJ44" s="16" t="s">
        <v>338</v>
      </c>
    </row>
    <row r="45" customFormat="false" ht="15" hidden="false" customHeight="false" outlineLevel="0" collapsed="false">
      <c r="A45" s="16" t="s">
        <v>525</v>
      </c>
      <c r="B45" s="16" t="s">
        <v>526</v>
      </c>
      <c r="C45" s="16"/>
      <c r="D45" s="16" t="s">
        <v>382</v>
      </c>
      <c r="E45" s="16" t="s">
        <v>332</v>
      </c>
      <c r="F45" s="16" t="s">
        <v>333</v>
      </c>
      <c r="G45" s="17" t="n">
        <v>46281.3347800926</v>
      </c>
      <c r="H45" s="17" t="n">
        <v>46281.3896412037</v>
      </c>
      <c r="I45" s="18" t="n">
        <f aca="false">IF(H45="",ROUND((تنظیمات!$B$7-G45)*1440,0),ROUND((H45-G45)*1440,0))</f>
        <v>79</v>
      </c>
      <c r="J45" s="16" t="s">
        <v>346</v>
      </c>
      <c r="K45" s="16" t="s">
        <v>400</v>
      </c>
      <c r="L45" s="19" t="n">
        <v>0.898</v>
      </c>
      <c r="M45" s="19" t="n">
        <v>0.984</v>
      </c>
      <c r="N45" s="16" t="s">
        <v>335</v>
      </c>
      <c r="O45" s="16" t="s">
        <v>441</v>
      </c>
      <c r="P45" s="16" t="s">
        <v>402</v>
      </c>
      <c r="Q45" s="20" t="n">
        <v>46281</v>
      </c>
      <c r="R45" s="16" t="s">
        <v>527</v>
      </c>
      <c r="S45" s="16" t="s">
        <v>404</v>
      </c>
      <c r="T45" s="17"/>
      <c r="U45" s="21" t="n">
        <v>1</v>
      </c>
      <c r="V45" s="21" t="n">
        <v>1</v>
      </c>
      <c r="W45" s="22" t="n">
        <v>6.2</v>
      </c>
      <c r="X45" s="16" t="s">
        <v>335</v>
      </c>
      <c r="Y45" s="16" t="s">
        <v>338</v>
      </c>
      <c r="Z45" s="16" t="s">
        <v>413</v>
      </c>
      <c r="AA45" s="16" t="s">
        <v>427</v>
      </c>
      <c r="AB45" s="23" t="s">
        <v>528</v>
      </c>
      <c r="AC45" s="17" t="n">
        <v>46281.3887268519</v>
      </c>
      <c r="AD45" s="16" t="s">
        <v>338</v>
      </c>
      <c r="AE45" s="16"/>
      <c r="AF45" s="16" t="str">
        <f aca="false">IF(COUNTIF(لیست_سفید!$A$2:$A$21,B45)&gt;0,"بله","خیر")</f>
        <v>خیر</v>
      </c>
      <c r="AG45" s="24" t="n">
        <f aca="false">IF(H45="","",IF(AD45="فیش مفقودی",تنظیمات!$B$6,(INT(I45/1440)*تنظیمات!$B$5+IF(MOD(I45,1440)&lt;=تنظیمات!$B$2,0,MIN(تنظیمات!$B$5,تنظیمات!$B$3+MAX(0,ROUNDUP((MOD(I45,1440)-60)/60,0))*تنظیمات!$B$4)))*INDEX(تعرفه!$B$2:$B$7,MATCH(AD45,تعرفه!$A$2:$A$7,0))))</f>
        <v>34000</v>
      </c>
      <c r="AH45" s="24" t="n">
        <v>34000</v>
      </c>
      <c r="AI45" s="24" t="n">
        <f aca="false">IF(AG45="","",AH45-AG45)</f>
        <v>0</v>
      </c>
      <c r="AJ45" s="21" t="n">
        <v>0</v>
      </c>
      <c r="AK45" s="21" t="n">
        <v>0</v>
      </c>
      <c r="AL45" s="16" t="s">
        <v>335</v>
      </c>
      <c r="AM45" s="16"/>
      <c r="AN45" s="16" t="s">
        <v>340</v>
      </c>
      <c r="AO45" s="16" t="s">
        <v>340</v>
      </c>
      <c r="AP45" s="16" t="s">
        <v>335</v>
      </c>
      <c r="AQ45" s="16"/>
      <c r="AR45" s="21" t="n">
        <f aca="false">IF(AND(T45&lt;&gt;"",H45&lt;&gt;""),IF(AND((T45-H45)*86400&gt;=0,(T45-H45)*86400&lt;تنظیمات!$B$13),1,0),0)</f>
        <v>0</v>
      </c>
      <c r="AS45" s="21" t="n">
        <f aca="false">IF(Z45="پوز",IF(OR(AB45="",COUNTIF(پوزها!$A$2:$A$5,AA45)=0),1,0),0)</f>
        <v>0</v>
      </c>
      <c r="AT45" s="21" t="n">
        <f aca="false">IF(AI45="",0,IF(AI45&gt;0,1,0))</f>
        <v>0</v>
      </c>
      <c r="AU45" s="21" t="n">
        <f aca="false">IF(AI45="",0,IF(AI45&lt;0,1,0))</f>
        <v>0</v>
      </c>
      <c r="AV45" s="21" t="n">
        <f aca="false">IF(U45&gt;V45,1,0)</f>
        <v>0</v>
      </c>
      <c r="AW45" s="21" t="n">
        <f aca="false">IF(OR(W45&gt;تنظیمات!$B$8,X45="بله"),1,0)</f>
        <v>0</v>
      </c>
      <c r="AX45" s="21" t="n">
        <f aca="false">IF(AND(N45="بله",L45&gt;تنظیمات!$B$9),1,0)</f>
        <v>0</v>
      </c>
      <c r="AY45" s="21" t="n">
        <f aca="false">IF(Y45="معکوس",1,0)</f>
        <v>0</v>
      </c>
      <c r="AZ45" s="21" t="n">
        <f aca="false">IF(ABS(AJ45)&gt;تنظیمات!$B$10,1,0)</f>
        <v>0</v>
      </c>
      <c r="BA45" s="21" t="n">
        <f aca="false">IF(AND(OR(AD45="رایگان/VIP",AD45="جانباز"),AF45="خیر"),1,0)</f>
        <v>0</v>
      </c>
      <c r="BB45" s="21" t="n">
        <f aca="false">IF(AE45="",0,IF(COUNTIF($AE$2:$AE$1001,AE45)&gt;1,1,0))</f>
        <v>0</v>
      </c>
      <c r="BC45" s="21" t="n">
        <f aca="false">IF(AND(H45="",I45&gt;تنظیمات!$B$12*60,AM45="خالی"),1,0)</f>
        <v>0</v>
      </c>
      <c r="BD45" s="21" t="n">
        <f aca="false">IF(AND(AP45="بله",I45&lt;تنظیمات!$B$14,AO45="خیر"),1,0)</f>
        <v>0</v>
      </c>
      <c r="BE45" s="21" t="n">
        <f aca="false">IF(AN45="خیر",1,0)</f>
        <v>0</v>
      </c>
      <c r="BF45" s="21" t="n">
        <f aca="false">IF(AND(AD45="فیش مفقودی",AQ45="بله",I45&gt;تنظیمات!$B$12*60),1,0)</f>
        <v>0</v>
      </c>
      <c r="BG45" s="21" t="n">
        <f aca="false">IF(AND(AK45&gt;تنظیمات!$B$11,AL45="بله"),1,0)</f>
        <v>0</v>
      </c>
      <c r="BH45" s="21" t="n">
        <f aca="false">MIN(100,AR45*تنظیمات!$B$21+AS45*تنظیمات!$B$22+AT45*تنظیمات!$B$23+AU45*تنظیمات!$B$24+AV45*تنظیمات!$B$25+AW45*تنظیمات!$B$26+AX45*تنظیمات!$B$27+AY45*تنظیمات!$B$28+AZ45*تنظیمات!$B$29+BA45*تنظیمات!$B$30+BB45*تنظیمات!$B$31+BC45*تنظیمات!$B$32+BD45*تنظیمات!$B$33+BE45*تنظیمات!$B$34+BF45*تنظیمات!$B$35+BG45*تنظیمات!$B$36)</f>
        <v>0</v>
      </c>
      <c r="BI45" s="16" t="str">
        <f aca="false">IF(BH45&gt;=60,"بحرانی",IF(BH45&gt;=30,"مشکوک",IF(BH45&gt;0,"هشدار","عادی")))</f>
        <v>عادی</v>
      </c>
      <c r="BJ45" s="16" t="s">
        <v>338</v>
      </c>
    </row>
    <row r="46" customFormat="false" ht="15" hidden="false" customHeight="false" outlineLevel="0" collapsed="false">
      <c r="A46" s="16" t="s">
        <v>529</v>
      </c>
      <c r="B46" s="16" t="s">
        <v>530</v>
      </c>
      <c r="C46" s="16"/>
      <c r="D46" s="16" t="s">
        <v>531</v>
      </c>
      <c r="E46" s="16" t="s">
        <v>390</v>
      </c>
      <c r="F46" s="16" t="s">
        <v>333</v>
      </c>
      <c r="G46" s="17" t="n">
        <v>46281.3492361111</v>
      </c>
      <c r="H46" s="17" t="n">
        <v>46281.5346527778</v>
      </c>
      <c r="I46" s="18" t="n">
        <f aca="false">IF(H46="",ROUND((تنظیمات!$B$7-G46)*1440,0),ROUND((H46-G46)*1440,0))</f>
        <v>267</v>
      </c>
      <c r="J46" s="16" t="s">
        <v>334</v>
      </c>
      <c r="K46" s="16" t="s">
        <v>400</v>
      </c>
      <c r="L46" s="19" t="n">
        <v>0.952</v>
      </c>
      <c r="M46" s="19" t="n">
        <v>0.942</v>
      </c>
      <c r="N46" s="16" t="s">
        <v>335</v>
      </c>
      <c r="O46" s="16" t="s">
        <v>441</v>
      </c>
      <c r="P46" s="16" t="s">
        <v>402</v>
      </c>
      <c r="Q46" s="20" t="n">
        <v>46281</v>
      </c>
      <c r="R46" s="16" t="s">
        <v>532</v>
      </c>
      <c r="S46" s="16" t="s">
        <v>404</v>
      </c>
      <c r="T46" s="17"/>
      <c r="U46" s="21" t="n">
        <v>1</v>
      </c>
      <c r="V46" s="21" t="n">
        <v>1</v>
      </c>
      <c r="W46" s="22" t="n">
        <v>5.9</v>
      </c>
      <c r="X46" s="16" t="s">
        <v>335</v>
      </c>
      <c r="Y46" s="16" t="s">
        <v>338</v>
      </c>
      <c r="Z46" s="16" t="s">
        <v>413</v>
      </c>
      <c r="AA46" s="16" t="s">
        <v>427</v>
      </c>
      <c r="AB46" s="23" t="s">
        <v>533</v>
      </c>
      <c r="AC46" s="17" t="n">
        <v>46281.5339930556</v>
      </c>
      <c r="AD46" s="16" t="s">
        <v>338</v>
      </c>
      <c r="AE46" s="16"/>
      <c r="AF46" s="16" t="str">
        <f aca="false">IF(COUNTIF(لیست_سفید!$A$2:$A$21,B46)&gt;0,"بله","خیر")</f>
        <v>خیر</v>
      </c>
      <c r="AG46" s="24" t="n">
        <f aca="false">IF(H46="","",IF(AD46="فیش مفقودی",تنظیمات!$B$6,(INT(I46/1440)*تنظیمات!$B$5+IF(MOD(I46,1440)&lt;=تنظیمات!$B$2,0,MIN(تنظیمات!$B$5,تنظیمات!$B$3+MAX(0,ROUNDUP((MOD(I46,1440)-60)/60,0))*تنظیمات!$B$4)))*INDEX(تعرفه!$B$2:$B$7,MATCH(AD46,تعرفه!$A$2:$A$7,0))))</f>
        <v>76000</v>
      </c>
      <c r="AH46" s="24" t="n">
        <v>76000</v>
      </c>
      <c r="AI46" s="24" t="n">
        <f aca="false">IF(AG46="","",AH46-AG46)</f>
        <v>0</v>
      </c>
      <c r="AJ46" s="21" t="n">
        <v>-1</v>
      </c>
      <c r="AK46" s="21" t="n">
        <v>0</v>
      </c>
      <c r="AL46" s="16" t="s">
        <v>335</v>
      </c>
      <c r="AM46" s="16"/>
      <c r="AN46" s="16" t="s">
        <v>340</v>
      </c>
      <c r="AO46" s="16" t="s">
        <v>340</v>
      </c>
      <c r="AP46" s="16" t="s">
        <v>335</v>
      </c>
      <c r="AQ46" s="16"/>
      <c r="AR46" s="21" t="n">
        <f aca="false">IF(AND(T46&lt;&gt;"",H46&lt;&gt;""),IF(AND((T46-H46)*86400&gt;=0,(T46-H46)*86400&lt;تنظیمات!$B$13),1,0),0)</f>
        <v>0</v>
      </c>
      <c r="AS46" s="21" t="n">
        <f aca="false">IF(Z46="پوز",IF(OR(AB46="",COUNTIF(پوزها!$A$2:$A$5,AA46)=0),1,0),0)</f>
        <v>0</v>
      </c>
      <c r="AT46" s="21" t="n">
        <f aca="false">IF(AI46="",0,IF(AI46&gt;0,1,0))</f>
        <v>0</v>
      </c>
      <c r="AU46" s="21" t="n">
        <f aca="false">IF(AI46="",0,IF(AI46&lt;0,1,0))</f>
        <v>0</v>
      </c>
      <c r="AV46" s="21" t="n">
        <f aca="false">IF(U46&gt;V46,1,0)</f>
        <v>0</v>
      </c>
      <c r="AW46" s="21" t="n">
        <f aca="false">IF(OR(W46&gt;تنظیمات!$B$8,X46="بله"),1,0)</f>
        <v>0</v>
      </c>
      <c r="AX46" s="21" t="n">
        <f aca="false">IF(AND(N46="بله",L46&gt;تنظیمات!$B$9),1,0)</f>
        <v>0</v>
      </c>
      <c r="AY46" s="21" t="n">
        <f aca="false">IF(Y46="معکوس",1,0)</f>
        <v>0</v>
      </c>
      <c r="AZ46" s="21" t="n">
        <f aca="false">IF(ABS(AJ46)&gt;تنظیمات!$B$10,1,0)</f>
        <v>0</v>
      </c>
      <c r="BA46" s="21" t="n">
        <f aca="false">IF(AND(OR(AD46="رایگان/VIP",AD46="جانباز"),AF46="خیر"),1,0)</f>
        <v>0</v>
      </c>
      <c r="BB46" s="21" t="n">
        <f aca="false">IF(AE46="",0,IF(COUNTIF($AE$2:$AE$1001,AE46)&gt;1,1,0))</f>
        <v>0</v>
      </c>
      <c r="BC46" s="21" t="n">
        <f aca="false">IF(AND(H46="",I46&gt;تنظیمات!$B$12*60,AM46="خالی"),1,0)</f>
        <v>0</v>
      </c>
      <c r="BD46" s="21" t="n">
        <f aca="false">IF(AND(AP46="بله",I46&lt;تنظیمات!$B$14,AO46="خیر"),1,0)</f>
        <v>0</v>
      </c>
      <c r="BE46" s="21" t="n">
        <f aca="false">IF(AN46="خیر",1,0)</f>
        <v>0</v>
      </c>
      <c r="BF46" s="21" t="n">
        <f aca="false">IF(AND(AD46="فیش مفقودی",AQ46="بله",I46&gt;تنظیمات!$B$12*60),1,0)</f>
        <v>0</v>
      </c>
      <c r="BG46" s="21" t="n">
        <f aca="false">IF(AND(AK46&gt;تنظیمات!$B$11,AL46="بله"),1,0)</f>
        <v>0</v>
      </c>
      <c r="BH46" s="21" t="n">
        <f aca="false">MIN(100,AR46*تنظیمات!$B$21+AS46*تنظیمات!$B$22+AT46*تنظیمات!$B$23+AU46*تنظیمات!$B$24+AV46*تنظیمات!$B$25+AW46*تنظیمات!$B$26+AX46*تنظیمات!$B$27+AY46*تنظیمات!$B$28+AZ46*تنظیمات!$B$29+BA46*تنظیمات!$B$30+BB46*تنظیمات!$B$31+BC46*تنظیمات!$B$32+BD46*تنظیمات!$B$33+BE46*تنظیمات!$B$34+BF46*تنظیمات!$B$35+BG46*تنظیمات!$B$36)</f>
        <v>0</v>
      </c>
      <c r="BI46" s="16" t="str">
        <f aca="false">IF(BH46&gt;=60,"بحرانی",IF(BH46&gt;=30,"مشکوک",IF(BH46&gt;0,"هشدار","عادی")))</f>
        <v>عادی</v>
      </c>
      <c r="BJ46" s="16" t="s">
        <v>338</v>
      </c>
    </row>
    <row r="47" customFormat="false" ht="15" hidden="false" customHeight="false" outlineLevel="0" collapsed="false">
      <c r="A47" s="16" t="s">
        <v>534</v>
      </c>
      <c r="B47" s="16" t="s">
        <v>535</v>
      </c>
      <c r="C47" s="16"/>
      <c r="D47" s="16" t="s">
        <v>350</v>
      </c>
      <c r="E47" s="16" t="s">
        <v>351</v>
      </c>
      <c r="F47" s="16" t="s">
        <v>333</v>
      </c>
      <c r="G47" s="17" t="n">
        <v>46281.3550810185</v>
      </c>
      <c r="H47" s="17" t="n">
        <v>46281.4064699074</v>
      </c>
      <c r="I47" s="18" t="n">
        <f aca="false">IF(H47="",ROUND((تنظیمات!$B$7-G47)*1440,0),ROUND((H47-G47)*1440,0))</f>
        <v>74</v>
      </c>
      <c r="J47" s="16" t="s">
        <v>334</v>
      </c>
      <c r="K47" s="16" t="s">
        <v>400</v>
      </c>
      <c r="L47" s="19" t="n">
        <v>0.994</v>
      </c>
      <c r="M47" s="19" t="n">
        <v>0.919</v>
      </c>
      <c r="N47" s="16" t="s">
        <v>335</v>
      </c>
      <c r="O47" s="16" t="s">
        <v>441</v>
      </c>
      <c r="P47" s="16" t="s">
        <v>402</v>
      </c>
      <c r="Q47" s="20" t="n">
        <v>46281</v>
      </c>
      <c r="R47" s="16" t="s">
        <v>536</v>
      </c>
      <c r="S47" s="16" t="s">
        <v>404</v>
      </c>
      <c r="T47" s="17"/>
      <c r="U47" s="21" t="n">
        <v>1</v>
      </c>
      <c r="V47" s="21" t="n">
        <v>1</v>
      </c>
      <c r="W47" s="22" t="n">
        <v>4.5</v>
      </c>
      <c r="X47" s="16" t="s">
        <v>335</v>
      </c>
      <c r="Y47" s="16" t="s">
        <v>338</v>
      </c>
      <c r="Z47" s="16" t="s">
        <v>413</v>
      </c>
      <c r="AA47" s="16" t="s">
        <v>427</v>
      </c>
      <c r="AB47" s="23" t="s">
        <v>537</v>
      </c>
      <c r="AC47" s="17" t="n">
        <v>46281.4054976852</v>
      </c>
      <c r="AD47" s="16" t="s">
        <v>338</v>
      </c>
      <c r="AE47" s="16"/>
      <c r="AF47" s="16" t="str">
        <f aca="false">IF(COUNTIF(لیست_سفید!$A$2:$A$21,B47)&gt;0,"بله","خیر")</f>
        <v>خیر</v>
      </c>
      <c r="AG47" s="24" t="n">
        <f aca="false">IF(H47="","",IF(AD47="فیش مفقودی",تنظیمات!$B$6,(INT(I47/1440)*تنظیمات!$B$5+IF(MOD(I47,1440)&lt;=تنظیمات!$B$2,0,MIN(تنظیمات!$B$5,تنظیمات!$B$3+MAX(0,ROUNDUP((MOD(I47,1440)-60)/60,0))*تنظیمات!$B$4)))*INDEX(تعرفه!$B$2:$B$7,MATCH(AD47,تعرفه!$A$2:$A$7,0))))</f>
        <v>34000</v>
      </c>
      <c r="AH47" s="24" t="n">
        <v>34000</v>
      </c>
      <c r="AI47" s="24" t="n">
        <f aca="false">IF(AG47="","",AH47-AG47)</f>
        <v>0</v>
      </c>
      <c r="AJ47" s="21" t="n">
        <v>0</v>
      </c>
      <c r="AK47" s="21" t="n">
        <v>0</v>
      </c>
      <c r="AL47" s="16" t="s">
        <v>335</v>
      </c>
      <c r="AM47" s="16"/>
      <c r="AN47" s="16" t="s">
        <v>340</v>
      </c>
      <c r="AO47" s="16" t="s">
        <v>340</v>
      </c>
      <c r="AP47" s="16" t="s">
        <v>335</v>
      </c>
      <c r="AQ47" s="16"/>
      <c r="AR47" s="21" t="n">
        <f aca="false">IF(AND(T47&lt;&gt;"",H47&lt;&gt;""),IF(AND((T47-H47)*86400&gt;=0,(T47-H47)*86400&lt;تنظیمات!$B$13),1,0),0)</f>
        <v>0</v>
      </c>
      <c r="AS47" s="21" t="n">
        <f aca="false">IF(Z47="پوز",IF(OR(AB47="",COUNTIF(پوزها!$A$2:$A$5,AA47)=0),1,0),0)</f>
        <v>0</v>
      </c>
      <c r="AT47" s="21" t="n">
        <f aca="false">IF(AI47="",0,IF(AI47&gt;0,1,0))</f>
        <v>0</v>
      </c>
      <c r="AU47" s="21" t="n">
        <f aca="false">IF(AI47="",0,IF(AI47&lt;0,1,0))</f>
        <v>0</v>
      </c>
      <c r="AV47" s="21" t="n">
        <f aca="false">IF(U47&gt;V47,1,0)</f>
        <v>0</v>
      </c>
      <c r="AW47" s="21" t="n">
        <f aca="false">IF(OR(W47&gt;تنظیمات!$B$8,X47="بله"),1,0)</f>
        <v>0</v>
      </c>
      <c r="AX47" s="21" t="n">
        <f aca="false">IF(AND(N47="بله",L47&gt;تنظیمات!$B$9),1,0)</f>
        <v>0</v>
      </c>
      <c r="AY47" s="21" t="n">
        <f aca="false">IF(Y47="معکوس",1,0)</f>
        <v>0</v>
      </c>
      <c r="AZ47" s="21" t="n">
        <f aca="false">IF(ABS(AJ47)&gt;تنظیمات!$B$10,1,0)</f>
        <v>0</v>
      </c>
      <c r="BA47" s="21" t="n">
        <f aca="false">IF(AND(OR(AD47="رایگان/VIP",AD47="جانباز"),AF47="خیر"),1,0)</f>
        <v>0</v>
      </c>
      <c r="BB47" s="21" t="n">
        <f aca="false">IF(AE47="",0,IF(COUNTIF($AE$2:$AE$1001,AE47)&gt;1,1,0))</f>
        <v>0</v>
      </c>
      <c r="BC47" s="21" t="n">
        <f aca="false">IF(AND(H47="",I47&gt;تنظیمات!$B$12*60,AM47="خالی"),1,0)</f>
        <v>0</v>
      </c>
      <c r="BD47" s="21" t="n">
        <f aca="false">IF(AND(AP47="بله",I47&lt;تنظیمات!$B$14,AO47="خیر"),1,0)</f>
        <v>0</v>
      </c>
      <c r="BE47" s="21" t="n">
        <f aca="false">IF(AN47="خیر",1,0)</f>
        <v>0</v>
      </c>
      <c r="BF47" s="21" t="n">
        <f aca="false">IF(AND(AD47="فیش مفقودی",AQ47="بله",I47&gt;تنظیمات!$B$12*60),1,0)</f>
        <v>0</v>
      </c>
      <c r="BG47" s="21" t="n">
        <f aca="false">IF(AND(AK47&gt;تنظیمات!$B$11,AL47="بله"),1,0)</f>
        <v>0</v>
      </c>
      <c r="BH47" s="21" t="n">
        <f aca="false">MIN(100,AR47*تنظیمات!$B$21+AS47*تنظیمات!$B$22+AT47*تنظیمات!$B$23+AU47*تنظیمات!$B$24+AV47*تنظیمات!$B$25+AW47*تنظیمات!$B$26+AX47*تنظیمات!$B$27+AY47*تنظیمات!$B$28+AZ47*تنظیمات!$B$29+BA47*تنظیمات!$B$30+BB47*تنظیمات!$B$31+BC47*تنظیمات!$B$32+BD47*تنظیمات!$B$33+BE47*تنظیمات!$B$34+BF47*تنظیمات!$B$35+BG47*تنظیمات!$B$36)</f>
        <v>0</v>
      </c>
      <c r="BI47" s="16" t="str">
        <f aca="false">IF(BH47&gt;=60,"بحرانی",IF(BH47&gt;=30,"مشکوک",IF(BH47&gt;0,"هشدار","عادی")))</f>
        <v>عادی</v>
      </c>
      <c r="BJ47" s="16" t="s">
        <v>338</v>
      </c>
    </row>
    <row r="48" customFormat="false" ht="15" hidden="false" customHeight="false" outlineLevel="0" collapsed="false">
      <c r="A48" s="16" t="s">
        <v>538</v>
      </c>
      <c r="B48" s="16" t="s">
        <v>539</v>
      </c>
      <c r="C48" s="16"/>
      <c r="D48" s="16" t="s">
        <v>540</v>
      </c>
      <c r="E48" s="16" t="s">
        <v>351</v>
      </c>
      <c r="F48" s="16" t="s">
        <v>359</v>
      </c>
      <c r="G48" s="17" t="n">
        <v>46281.3569444444</v>
      </c>
      <c r="H48" s="17" t="n">
        <v>46281.5152777778</v>
      </c>
      <c r="I48" s="18" t="n">
        <f aca="false">IF(H48="",ROUND((تنظیمات!$B$7-G48)*1440,0),ROUND((H48-G48)*1440,0))</f>
        <v>228</v>
      </c>
      <c r="J48" s="16" t="s">
        <v>346</v>
      </c>
      <c r="K48" s="16" t="s">
        <v>400</v>
      </c>
      <c r="L48" s="19" t="n">
        <v>0.959</v>
      </c>
      <c r="M48" s="19" t="n">
        <v>0.923</v>
      </c>
      <c r="N48" s="16" t="s">
        <v>335</v>
      </c>
      <c r="O48" s="16" t="s">
        <v>441</v>
      </c>
      <c r="P48" s="16" t="s">
        <v>402</v>
      </c>
      <c r="Q48" s="20" t="n">
        <v>46281</v>
      </c>
      <c r="R48" s="16" t="s">
        <v>541</v>
      </c>
      <c r="S48" s="16" t="s">
        <v>404</v>
      </c>
      <c r="T48" s="17"/>
      <c r="U48" s="21" t="n">
        <v>1</v>
      </c>
      <c r="V48" s="21" t="n">
        <v>1</v>
      </c>
      <c r="W48" s="22" t="n">
        <v>4.3</v>
      </c>
      <c r="X48" s="16" t="s">
        <v>335</v>
      </c>
      <c r="Y48" s="16" t="s">
        <v>338</v>
      </c>
      <c r="Z48" s="16" t="s">
        <v>405</v>
      </c>
      <c r="AA48" s="16"/>
      <c r="AB48" s="23"/>
      <c r="AC48" s="17"/>
      <c r="AD48" s="16" t="s">
        <v>338</v>
      </c>
      <c r="AE48" s="16"/>
      <c r="AF48" s="16" t="str">
        <f aca="false">IF(COUNTIF(لیست_سفید!$A$2:$A$21,B48)&gt;0,"بله","خیر")</f>
        <v>خیر</v>
      </c>
      <c r="AG48" s="24" t="n">
        <f aca="false">IF(H48="","",IF(AD48="فیش مفقودی",تنظیمات!$B$6,(INT(I48/1440)*تنظیمات!$B$5+IF(MOD(I48,1440)&lt;=تنظیمات!$B$2,0,MIN(تنظیمات!$B$5,تنظیمات!$B$3+MAX(0,ROUNDUP((MOD(I48,1440)-60)/60,0))*تنظیمات!$B$4)))*INDEX(تعرفه!$B$2:$B$7,MATCH(AD48,تعرفه!$A$2:$A$7,0))))</f>
        <v>62000</v>
      </c>
      <c r="AH48" s="24" t="n">
        <v>62000</v>
      </c>
      <c r="AI48" s="24" t="n">
        <f aca="false">IF(AG48="","",AH48-AG48)</f>
        <v>0</v>
      </c>
      <c r="AJ48" s="21" t="n">
        <v>0</v>
      </c>
      <c r="AK48" s="21" t="n">
        <v>0</v>
      </c>
      <c r="AL48" s="16" t="s">
        <v>335</v>
      </c>
      <c r="AM48" s="16"/>
      <c r="AN48" s="16" t="s">
        <v>340</v>
      </c>
      <c r="AO48" s="16" t="s">
        <v>340</v>
      </c>
      <c r="AP48" s="16" t="s">
        <v>335</v>
      </c>
      <c r="AQ48" s="16"/>
      <c r="AR48" s="21" t="n">
        <f aca="false">IF(AND(T48&lt;&gt;"",H48&lt;&gt;""),IF(AND((T48-H48)*86400&gt;=0,(T48-H48)*86400&lt;تنظیمات!$B$13),1,0),0)</f>
        <v>0</v>
      </c>
      <c r="AS48" s="21" t="n">
        <f aca="false">IF(Z48="پوز",IF(OR(AB48="",COUNTIF(پوزها!$A$2:$A$5,AA48)=0),1,0),0)</f>
        <v>0</v>
      </c>
      <c r="AT48" s="21" t="n">
        <f aca="false">IF(AI48="",0,IF(AI48&gt;0,1,0))</f>
        <v>0</v>
      </c>
      <c r="AU48" s="21" t="n">
        <f aca="false">IF(AI48="",0,IF(AI48&lt;0,1,0))</f>
        <v>0</v>
      </c>
      <c r="AV48" s="21" t="n">
        <f aca="false">IF(U48&gt;V48,1,0)</f>
        <v>0</v>
      </c>
      <c r="AW48" s="21" t="n">
        <f aca="false">IF(OR(W48&gt;تنظیمات!$B$8,X48="بله"),1,0)</f>
        <v>0</v>
      </c>
      <c r="AX48" s="21" t="n">
        <f aca="false">IF(AND(N48="بله",L48&gt;تنظیمات!$B$9),1,0)</f>
        <v>0</v>
      </c>
      <c r="AY48" s="21" t="n">
        <f aca="false">IF(Y48="معکوس",1,0)</f>
        <v>0</v>
      </c>
      <c r="AZ48" s="21" t="n">
        <f aca="false">IF(ABS(AJ48)&gt;تنظیمات!$B$10,1,0)</f>
        <v>0</v>
      </c>
      <c r="BA48" s="21" t="n">
        <f aca="false">IF(AND(OR(AD48="رایگان/VIP",AD48="جانباز"),AF48="خیر"),1,0)</f>
        <v>0</v>
      </c>
      <c r="BB48" s="21" t="n">
        <f aca="false">IF(AE48="",0,IF(COUNTIF($AE$2:$AE$1001,AE48)&gt;1,1,0))</f>
        <v>0</v>
      </c>
      <c r="BC48" s="21" t="n">
        <f aca="false">IF(AND(H48="",I48&gt;تنظیمات!$B$12*60,AM48="خالی"),1,0)</f>
        <v>0</v>
      </c>
      <c r="BD48" s="21" t="n">
        <f aca="false">IF(AND(AP48="بله",I48&lt;تنظیمات!$B$14,AO48="خیر"),1,0)</f>
        <v>0</v>
      </c>
      <c r="BE48" s="21" t="n">
        <f aca="false">IF(AN48="خیر",1,0)</f>
        <v>0</v>
      </c>
      <c r="BF48" s="21" t="n">
        <f aca="false">IF(AND(AD48="فیش مفقودی",AQ48="بله",I48&gt;تنظیمات!$B$12*60),1,0)</f>
        <v>0</v>
      </c>
      <c r="BG48" s="21" t="n">
        <f aca="false">IF(AND(AK48&gt;تنظیمات!$B$11,AL48="بله"),1,0)</f>
        <v>0</v>
      </c>
      <c r="BH48" s="21" t="n">
        <f aca="false">MIN(100,AR48*تنظیمات!$B$21+AS48*تنظیمات!$B$22+AT48*تنظیمات!$B$23+AU48*تنظیمات!$B$24+AV48*تنظیمات!$B$25+AW48*تنظیمات!$B$26+AX48*تنظیمات!$B$27+AY48*تنظیمات!$B$28+AZ48*تنظیمات!$B$29+BA48*تنظیمات!$B$30+BB48*تنظیمات!$B$31+BC48*تنظیمات!$B$32+BD48*تنظیمات!$B$33+BE48*تنظیمات!$B$34+BF48*تنظیمات!$B$35+BG48*تنظیمات!$B$36)</f>
        <v>0</v>
      </c>
      <c r="BI48" s="16" t="str">
        <f aca="false">IF(BH48&gt;=60,"بحرانی",IF(BH48&gt;=30,"مشکوک",IF(BH48&gt;0,"هشدار","عادی")))</f>
        <v>عادی</v>
      </c>
      <c r="BJ48" s="16" t="s">
        <v>338</v>
      </c>
    </row>
    <row r="49" customFormat="false" ht="15" hidden="false" customHeight="false" outlineLevel="0" collapsed="false">
      <c r="A49" s="16" t="s">
        <v>542</v>
      </c>
      <c r="B49" s="16" t="s">
        <v>543</v>
      </c>
      <c r="C49" s="16"/>
      <c r="D49" s="16" t="s">
        <v>431</v>
      </c>
      <c r="E49" s="16" t="s">
        <v>332</v>
      </c>
      <c r="F49" s="16" t="s">
        <v>333</v>
      </c>
      <c r="G49" s="17" t="n">
        <v>46281.3646180556</v>
      </c>
      <c r="H49" s="17" t="n">
        <v>46281.3910069445</v>
      </c>
      <c r="I49" s="18" t="n">
        <f aca="false">IF(H49="",ROUND((تنظیمات!$B$7-G49)*1440,0),ROUND((H49-G49)*1440,0))</f>
        <v>38</v>
      </c>
      <c r="J49" s="16" t="s">
        <v>334</v>
      </c>
      <c r="K49" s="16" t="s">
        <v>400</v>
      </c>
      <c r="L49" s="19" t="n">
        <v>0.994</v>
      </c>
      <c r="M49" s="19" t="n">
        <v>0.945</v>
      </c>
      <c r="N49" s="16" t="s">
        <v>335</v>
      </c>
      <c r="O49" s="16" t="s">
        <v>441</v>
      </c>
      <c r="P49" s="16" t="s">
        <v>402</v>
      </c>
      <c r="Q49" s="20" t="n">
        <v>46281</v>
      </c>
      <c r="R49" s="16" t="s">
        <v>544</v>
      </c>
      <c r="S49" s="16" t="s">
        <v>404</v>
      </c>
      <c r="T49" s="17"/>
      <c r="U49" s="21" t="n">
        <v>1</v>
      </c>
      <c r="V49" s="21" t="n">
        <v>1</v>
      </c>
      <c r="W49" s="22" t="n">
        <v>4.7</v>
      </c>
      <c r="X49" s="16" t="s">
        <v>335</v>
      </c>
      <c r="Y49" s="16" t="s">
        <v>338</v>
      </c>
      <c r="Z49" s="16" t="s">
        <v>413</v>
      </c>
      <c r="AA49" s="16" t="s">
        <v>427</v>
      </c>
      <c r="AB49" s="23" t="s">
        <v>545</v>
      </c>
      <c r="AC49" s="17" t="n">
        <v>46281.3902662037</v>
      </c>
      <c r="AD49" s="16" t="s">
        <v>338</v>
      </c>
      <c r="AE49" s="16"/>
      <c r="AF49" s="16" t="str">
        <f aca="false">IF(COUNTIF(لیست_سفید!$A$2:$A$21,B49)&gt;0,"بله","خیر")</f>
        <v>خیر</v>
      </c>
      <c r="AG49" s="24" t="n">
        <f aca="false">IF(H49="","",IF(AD49="فیش مفقودی",تنظیمات!$B$6,(INT(I49/1440)*تنظیمات!$B$5+IF(MOD(I49,1440)&lt;=تنظیمات!$B$2,0,MIN(تنظیمات!$B$5,تنظیمات!$B$3+MAX(0,ROUNDUP((MOD(I49,1440)-60)/60,0))*تنظیمات!$B$4)))*INDEX(تعرفه!$B$2:$B$7,MATCH(AD49,تعرفه!$A$2:$A$7,0))))</f>
        <v>20000</v>
      </c>
      <c r="AH49" s="24" t="n">
        <v>20000</v>
      </c>
      <c r="AI49" s="24" t="n">
        <f aca="false">IF(AG49="","",AH49-AG49)</f>
        <v>0</v>
      </c>
      <c r="AJ49" s="21" t="n">
        <v>0</v>
      </c>
      <c r="AK49" s="21" t="n">
        <v>0</v>
      </c>
      <c r="AL49" s="16" t="s">
        <v>335</v>
      </c>
      <c r="AM49" s="16"/>
      <c r="AN49" s="16" t="s">
        <v>340</v>
      </c>
      <c r="AO49" s="16" t="s">
        <v>340</v>
      </c>
      <c r="AP49" s="16" t="s">
        <v>335</v>
      </c>
      <c r="AQ49" s="16"/>
      <c r="AR49" s="21" t="n">
        <f aca="false">IF(AND(T49&lt;&gt;"",H49&lt;&gt;""),IF(AND((T49-H49)*86400&gt;=0,(T49-H49)*86400&lt;تنظیمات!$B$13),1,0),0)</f>
        <v>0</v>
      </c>
      <c r="AS49" s="21" t="n">
        <f aca="false">IF(Z49="پوز",IF(OR(AB49="",COUNTIF(پوزها!$A$2:$A$5,AA49)=0),1,0),0)</f>
        <v>0</v>
      </c>
      <c r="AT49" s="21" t="n">
        <f aca="false">IF(AI49="",0,IF(AI49&gt;0,1,0))</f>
        <v>0</v>
      </c>
      <c r="AU49" s="21" t="n">
        <f aca="false">IF(AI49="",0,IF(AI49&lt;0,1,0))</f>
        <v>0</v>
      </c>
      <c r="AV49" s="21" t="n">
        <f aca="false">IF(U49&gt;V49,1,0)</f>
        <v>0</v>
      </c>
      <c r="AW49" s="21" t="n">
        <f aca="false">IF(OR(W49&gt;تنظیمات!$B$8,X49="بله"),1,0)</f>
        <v>0</v>
      </c>
      <c r="AX49" s="21" t="n">
        <f aca="false">IF(AND(N49="بله",L49&gt;تنظیمات!$B$9),1,0)</f>
        <v>0</v>
      </c>
      <c r="AY49" s="21" t="n">
        <f aca="false">IF(Y49="معکوس",1,0)</f>
        <v>0</v>
      </c>
      <c r="AZ49" s="21" t="n">
        <f aca="false">IF(ABS(AJ49)&gt;تنظیمات!$B$10,1,0)</f>
        <v>0</v>
      </c>
      <c r="BA49" s="21" t="n">
        <f aca="false">IF(AND(OR(AD49="رایگان/VIP",AD49="جانباز"),AF49="خیر"),1,0)</f>
        <v>0</v>
      </c>
      <c r="BB49" s="21" t="n">
        <f aca="false">IF(AE49="",0,IF(COUNTIF($AE$2:$AE$1001,AE49)&gt;1,1,0))</f>
        <v>0</v>
      </c>
      <c r="BC49" s="21" t="n">
        <f aca="false">IF(AND(H49="",I49&gt;تنظیمات!$B$12*60,AM49="خالی"),1,0)</f>
        <v>0</v>
      </c>
      <c r="BD49" s="21" t="n">
        <f aca="false">IF(AND(AP49="بله",I49&lt;تنظیمات!$B$14,AO49="خیر"),1,0)</f>
        <v>0</v>
      </c>
      <c r="BE49" s="21" t="n">
        <f aca="false">IF(AN49="خیر",1,0)</f>
        <v>0</v>
      </c>
      <c r="BF49" s="21" t="n">
        <f aca="false">IF(AND(AD49="فیش مفقودی",AQ49="بله",I49&gt;تنظیمات!$B$12*60),1,0)</f>
        <v>0</v>
      </c>
      <c r="BG49" s="21" t="n">
        <f aca="false">IF(AND(AK49&gt;تنظیمات!$B$11,AL49="بله"),1,0)</f>
        <v>0</v>
      </c>
      <c r="BH49" s="21" t="n">
        <f aca="false">MIN(100,AR49*تنظیمات!$B$21+AS49*تنظیمات!$B$22+AT49*تنظیمات!$B$23+AU49*تنظیمات!$B$24+AV49*تنظیمات!$B$25+AW49*تنظیمات!$B$26+AX49*تنظیمات!$B$27+AY49*تنظیمات!$B$28+AZ49*تنظیمات!$B$29+BA49*تنظیمات!$B$30+BB49*تنظیمات!$B$31+BC49*تنظیمات!$B$32+BD49*تنظیمات!$B$33+BE49*تنظیمات!$B$34+BF49*تنظیمات!$B$35+BG49*تنظیمات!$B$36)</f>
        <v>0</v>
      </c>
      <c r="BI49" s="16" t="str">
        <f aca="false">IF(BH49&gt;=60,"بحرانی",IF(BH49&gt;=30,"مشکوک",IF(BH49&gt;0,"هشدار","عادی")))</f>
        <v>عادی</v>
      </c>
      <c r="BJ49" s="16" t="s">
        <v>338</v>
      </c>
    </row>
    <row r="50" customFormat="false" ht="15" hidden="false" customHeight="false" outlineLevel="0" collapsed="false">
      <c r="A50" s="16" t="s">
        <v>546</v>
      </c>
      <c r="B50" s="16" t="s">
        <v>547</v>
      </c>
      <c r="C50" s="16"/>
      <c r="D50" s="16" t="s">
        <v>508</v>
      </c>
      <c r="E50" s="16" t="s">
        <v>375</v>
      </c>
      <c r="F50" s="16" t="s">
        <v>333</v>
      </c>
      <c r="G50" s="17" t="n">
        <v>46281.4068634259</v>
      </c>
      <c r="H50" s="17" t="n">
        <v>46281.4603356482</v>
      </c>
      <c r="I50" s="18" t="n">
        <f aca="false">IF(H50="",ROUND((تنظیمات!$B$7-G50)*1440,0),ROUND((H50-G50)*1440,0))</f>
        <v>77</v>
      </c>
      <c r="J50" s="16" t="s">
        <v>346</v>
      </c>
      <c r="K50" s="16" t="s">
        <v>400</v>
      </c>
      <c r="L50" s="19" t="n">
        <v>0.846</v>
      </c>
      <c r="M50" s="19" t="n">
        <v>0.948</v>
      </c>
      <c r="N50" s="16" t="s">
        <v>335</v>
      </c>
      <c r="O50" s="16" t="s">
        <v>441</v>
      </c>
      <c r="P50" s="16" t="s">
        <v>402</v>
      </c>
      <c r="Q50" s="20" t="n">
        <v>46281</v>
      </c>
      <c r="R50" s="16" t="s">
        <v>548</v>
      </c>
      <c r="S50" s="16" t="s">
        <v>404</v>
      </c>
      <c r="T50" s="17"/>
      <c r="U50" s="21" t="n">
        <v>1</v>
      </c>
      <c r="V50" s="21" t="n">
        <v>1</v>
      </c>
      <c r="W50" s="22" t="n">
        <v>6.1</v>
      </c>
      <c r="X50" s="16" t="s">
        <v>335</v>
      </c>
      <c r="Y50" s="16" t="s">
        <v>338</v>
      </c>
      <c r="Z50" s="16" t="s">
        <v>413</v>
      </c>
      <c r="AA50" s="16" t="s">
        <v>427</v>
      </c>
      <c r="AB50" s="23" t="s">
        <v>549</v>
      </c>
      <c r="AC50" s="17" t="n">
        <v>46281.4595601852</v>
      </c>
      <c r="AD50" s="16" t="s">
        <v>338</v>
      </c>
      <c r="AE50" s="16"/>
      <c r="AF50" s="16" t="str">
        <f aca="false">IF(COUNTIF(لیست_سفید!$A$2:$A$21,B50)&gt;0,"بله","خیر")</f>
        <v>خیر</v>
      </c>
      <c r="AG50" s="24" t="n">
        <f aca="false">IF(H50="","",IF(AD50="فیش مفقودی",تنظیمات!$B$6,(INT(I50/1440)*تنظیمات!$B$5+IF(MOD(I50,1440)&lt;=تنظیمات!$B$2,0,MIN(تنظیمات!$B$5,تنظیمات!$B$3+MAX(0,ROUNDUP((MOD(I50,1440)-60)/60,0))*تنظیمات!$B$4)))*INDEX(تعرفه!$B$2:$B$7,MATCH(AD50,تعرفه!$A$2:$A$7,0))))</f>
        <v>34000</v>
      </c>
      <c r="AH50" s="24" t="n">
        <v>34000</v>
      </c>
      <c r="AI50" s="24" t="n">
        <f aca="false">IF(AG50="","",AH50-AG50)</f>
        <v>0</v>
      </c>
      <c r="AJ50" s="21" t="n">
        <v>-4</v>
      </c>
      <c r="AK50" s="21" t="n">
        <v>0</v>
      </c>
      <c r="AL50" s="16" t="s">
        <v>335</v>
      </c>
      <c r="AM50" s="16"/>
      <c r="AN50" s="16" t="s">
        <v>340</v>
      </c>
      <c r="AO50" s="16" t="s">
        <v>340</v>
      </c>
      <c r="AP50" s="16" t="s">
        <v>335</v>
      </c>
      <c r="AQ50" s="16"/>
      <c r="AR50" s="21" t="n">
        <f aca="false">IF(AND(T50&lt;&gt;"",H50&lt;&gt;""),IF(AND((T50-H50)*86400&gt;=0,(T50-H50)*86400&lt;تنظیمات!$B$13),1,0),0)</f>
        <v>0</v>
      </c>
      <c r="AS50" s="21" t="n">
        <f aca="false">IF(Z50="پوز",IF(OR(AB50="",COUNTIF(پوزها!$A$2:$A$5,AA50)=0),1,0),0)</f>
        <v>0</v>
      </c>
      <c r="AT50" s="21" t="n">
        <f aca="false">IF(AI50="",0,IF(AI50&gt;0,1,0))</f>
        <v>0</v>
      </c>
      <c r="AU50" s="21" t="n">
        <f aca="false">IF(AI50="",0,IF(AI50&lt;0,1,0))</f>
        <v>0</v>
      </c>
      <c r="AV50" s="21" t="n">
        <f aca="false">IF(U50&gt;V50,1,0)</f>
        <v>0</v>
      </c>
      <c r="AW50" s="21" t="n">
        <f aca="false">IF(OR(W50&gt;تنظیمات!$B$8,X50="بله"),1,0)</f>
        <v>0</v>
      </c>
      <c r="AX50" s="21" t="n">
        <f aca="false">IF(AND(N50="بله",L50&gt;تنظیمات!$B$9),1,0)</f>
        <v>0</v>
      </c>
      <c r="AY50" s="21" t="n">
        <f aca="false">IF(Y50="معکوس",1,0)</f>
        <v>0</v>
      </c>
      <c r="AZ50" s="21" t="n">
        <f aca="false">IF(ABS(AJ50)&gt;تنظیمات!$B$10,1,0)</f>
        <v>0</v>
      </c>
      <c r="BA50" s="21" t="n">
        <f aca="false">IF(AND(OR(AD50="رایگان/VIP",AD50="جانباز"),AF50="خیر"),1,0)</f>
        <v>0</v>
      </c>
      <c r="BB50" s="21" t="n">
        <f aca="false">IF(AE50="",0,IF(COUNTIF($AE$2:$AE$1001,AE50)&gt;1,1,0))</f>
        <v>0</v>
      </c>
      <c r="BC50" s="21" t="n">
        <f aca="false">IF(AND(H50="",I50&gt;تنظیمات!$B$12*60,AM50="خالی"),1,0)</f>
        <v>0</v>
      </c>
      <c r="BD50" s="21" t="n">
        <f aca="false">IF(AND(AP50="بله",I50&lt;تنظیمات!$B$14,AO50="خیر"),1,0)</f>
        <v>0</v>
      </c>
      <c r="BE50" s="21" t="n">
        <f aca="false">IF(AN50="خیر",1,0)</f>
        <v>0</v>
      </c>
      <c r="BF50" s="21" t="n">
        <f aca="false">IF(AND(AD50="فیش مفقودی",AQ50="بله",I50&gt;تنظیمات!$B$12*60),1,0)</f>
        <v>0</v>
      </c>
      <c r="BG50" s="21" t="n">
        <f aca="false">IF(AND(AK50&gt;تنظیمات!$B$11,AL50="بله"),1,0)</f>
        <v>0</v>
      </c>
      <c r="BH50" s="21" t="n">
        <f aca="false">MIN(100,AR50*تنظیمات!$B$21+AS50*تنظیمات!$B$22+AT50*تنظیمات!$B$23+AU50*تنظیمات!$B$24+AV50*تنظیمات!$B$25+AW50*تنظیمات!$B$26+AX50*تنظیمات!$B$27+AY50*تنظیمات!$B$28+AZ50*تنظیمات!$B$29+BA50*تنظیمات!$B$30+BB50*تنظیمات!$B$31+BC50*تنظیمات!$B$32+BD50*تنظیمات!$B$33+BE50*تنظیمات!$B$34+BF50*تنظیمات!$B$35+BG50*تنظیمات!$B$36)</f>
        <v>0</v>
      </c>
      <c r="BI50" s="16" t="str">
        <f aca="false">IF(BH50&gt;=60,"بحرانی",IF(BH50&gt;=30,"مشکوک",IF(BH50&gt;0,"هشدار","عادی")))</f>
        <v>عادی</v>
      </c>
      <c r="BJ50" s="16" t="s">
        <v>338</v>
      </c>
    </row>
    <row r="51" customFormat="false" ht="15" hidden="false" customHeight="false" outlineLevel="0" collapsed="false">
      <c r="A51" s="16" t="s">
        <v>550</v>
      </c>
      <c r="B51" s="16" t="s">
        <v>551</v>
      </c>
      <c r="C51" s="16"/>
      <c r="D51" s="16" t="s">
        <v>350</v>
      </c>
      <c r="E51" s="16" t="s">
        <v>332</v>
      </c>
      <c r="F51" s="16" t="s">
        <v>333</v>
      </c>
      <c r="G51" s="17" t="n">
        <v>46281.4132291667</v>
      </c>
      <c r="H51" s="17" t="n">
        <v>46281.4403125</v>
      </c>
      <c r="I51" s="18" t="n">
        <f aca="false">IF(H51="",ROUND((تنظیمات!$B$7-G51)*1440,0),ROUND((H51-G51)*1440,0))</f>
        <v>39</v>
      </c>
      <c r="J51" s="16" t="s">
        <v>346</v>
      </c>
      <c r="K51" s="16" t="s">
        <v>400</v>
      </c>
      <c r="L51" s="19" t="n">
        <v>0.965</v>
      </c>
      <c r="M51" s="19" t="n">
        <v>0.865</v>
      </c>
      <c r="N51" s="16" t="s">
        <v>335</v>
      </c>
      <c r="O51" s="16" t="s">
        <v>441</v>
      </c>
      <c r="P51" s="16" t="s">
        <v>402</v>
      </c>
      <c r="Q51" s="20" t="n">
        <v>46281</v>
      </c>
      <c r="R51" s="16" t="s">
        <v>552</v>
      </c>
      <c r="S51" s="16" t="s">
        <v>404</v>
      </c>
      <c r="T51" s="17"/>
      <c r="U51" s="21" t="n">
        <v>1</v>
      </c>
      <c r="V51" s="21" t="n">
        <v>1</v>
      </c>
      <c r="W51" s="22" t="n">
        <v>6.9</v>
      </c>
      <c r="X51" s="16" t="s">
        <v>335</v>
      </c>
      <c r="Y51" s="16" t="s">
        <v>338</v>
      </c>
      <c r="Z51" s="16" t="s">
        <v>413</v>
      </c>
      <c r="AA51" s="16" t="s">
        <v>427</v>
      </c>
      <c r="AB51" s="23" t="s">
        <v>553</v>
      </c>
      <c r="AC51" s="17" t="n">
        <v>46281.4397569444</v>
      </c>
      <c r="AD51" s="16" t="s">
        <v>338</v>
      </c>
      <c r="AE51" s="16"/>
      <c r="AF51" s="16" t="str">
        <f aca="false">IF(COUNTIF(لیست_سفید!$A$2:$A$21,B51)&gt;0,"بله","خیر")</f>
        <v>خیر</v>
      </c>
      <c r="AG51" s="24" t="n">
        <f aca="false">IF(H51="","",IF(AD51="فیش مفقودی",تنظیمات!$B$6,(INT(I51/1440)*تنظیمات!$B$5+IF(MOD(I51,1440)&lt;=تنظیمات!$B$2,0,MIN(تنظیمات!$B$5,تنظیمات!$B$3+MAX(0,ROUNDUP((MOD(I51,1440)-60)/60,0))*تنظیمات!$B$4)))*INDEX(تعرفه!$B$2:$B$7,MATCH(AD51,تعرفه!$A$2:$A$7,0))))</f>
        <v>20000</v>
      </c>
      <c r="AH51" s="24" t="n">
        <v>20000</v>
      </c>
      <c r="AI51" s="24" t="n">
        <f aca="false">IF(AG51="","",AH51-AG51)</f>
        <v>0</v>
      </c>
      <c r="AJ51" s="21" t="n">
        <v>1</v>
      </c>
      <c r="AK51" s="21" t="n">
        <v>0</v>
      </c>
      <c r="AL51" s="16" t="s">
        <v>335</v>
      </c>
      <c r="AM51" s="16"/>
      <c r="AN51" s="16" t="s">
        <v>340</v>
      </c>
      <c r="AO51" s="16" t="s">
        <v>340</v>
      </c>
      <c r="AP51" s="16" t="s">
        <v>335</v>
      </c>
      <c r="AQ51" s="16"/>
      <c r="AR51" s="21" t="n">
        <f aca="false">IF(AND(T51&lt;&gt;"",H51&lt;&gt;""),IF(AND((T51-H51)*86400&gt;=0,(T51-H51)*86400&lt;تنظیمات!$B$13),1,0),0)</f>
        <v>0</v>
      </c>
      <c r="AS51" s="21" t="n">
        <f aca="false">IF(Z51="پوز",IF(OR(AB51="",COUNTIF(پوزها!$A$2:$A$5,AA51)=0),1,0),0)</f>
        <v>0</v>
      </c>
      <c r="AT51" s="21" t="n">
        <f aca="false">IF(AI51="",0,IF(AI51&gt;0,1,0))</f>
        <v>0</v>
      </c>
      <c r="AU51" s="21" t="n">
        <f aca="false">IF(AI51="",0,IF(AI51&lt;0,1,0))</f>
        <v>0</v>
      </c>
      <c r="AV51" s="21" t="n">
        <f aca="false">IF(U51&gt;V51,1,0)</f>
        <v>0</v>
      </c>
      <c r="AW51" s="21" t="n">
        <f aca="false">IF(OR(W51&gt;تنظیمات!$B$8,X51="بله"),1,0)</f>
        <v>0</v>
      </c>
      <c r="AX51" s="21" t="n">
        <f aca="false">IF(AND(N51="بله",L51&gt;تنظیمات!$B$9),1,0)</f>
        <v>0</v>
      </c>
      <c r="AY51" s="21" t="n">
        <f aca="false">IF(Y51="معکوس",1,0)</f>
        <v>0</v>
      </c>
      <c r="AZ51" s="21" t="n">
        <f aca="false">IF(ABS(AJ51)&gt;تنظیمات!$B$10,1,0)</f>
        <v>0</v>
      </c>
      <c r="BA51" s="21" t="n">
        <f aca="false">IF(AND(OR(AD51="رایگان/VIP",AD51="جانباز"),AF51="خیر"),1,0)</f>
        <v>0</v>
      </c>
      <c r="BB51" s="21" t="n">
        <f aca="false">IF(AE51="",0,IF(COUNTIF($AE$2:$AE$1001,AE51)&gt;1,1,0))</f>
        <v>0</v>
      </c>
      <c r="BC51" s="21" t="n">
        <f aca="false">IF(AND(H51="",I51&gt;تنظیمات!$B$12*60,AM51="خالی"),1,0)</f>
        <v>0</v>
      </c>
      <c r="BD51" s="21" t="n">
        <f aca="false">IF(AND(AP51="بله",I51&lt;تنظیمات!$B$14,AO51="خیر"),1,0)</f>
        <v>0</v>
      </c>
      <c r="BE51" s="21" t="n">
        <f aca="false">IF(AN51="خیر",1,0)</f>
        <v>0</v>
      </c>
      <c r="BF51" s="21" t="n">
        <f aca="false">IF(AND(AD51="فیش مفقودی",AQ51="بله",I51&gt;تنظیمات!$B$12*60),1,0)</f>
        <v>0</v>
      </c>
      <c r="BG51" s="21" t="n">
        <f aca="false">IF(AND(AK51&gt;تنظیمات!$B$11,AL51="بله"),1,0)</f>
        <v>0</v>
      </c>
      <c r="BH51" s="21" t="n">
        <f aca="false">MIN(100,AR51*تنظیمات!$B$21+AS51*تنظیمات!$B$22+AT51*تنظیمات!$B$23+AU51*تنظیمات!$B$24+AV51*تنظیمات!$B$25+AW51*تنظیمات!$B$26+AX51*تنظیمات!$B$27+AY51*تنظیمات!$B$28+AZ51*تنظیمات!$B$29+BA51*تنظیمات!$B$30+BB51*تنظیمات!$B$31+BC51*تنظیمات!$B$32+BD51*تنظیمات!$B$33+BE51*تنظیمات!$B$34+BF51*تنظیمات!$B$35+BG51*تنظیمات!$B$36)</f>
        <v>0</v>
      </c>
      <c r="BI51" s="16" t="str">
        <f aca="false">IF(BH51&gt;=60,"بحرانی",IF(BH51&gt;=30,"مشکوک",IF(BH51&gt;0,"هشدار","عادی")))</f>
        <v>عادی</v>
      </c>
      <c r="BJ51" s="16" t="s">
        <v>338</v>
      </c>
    </row>
    <row r="52" customFormat="false" ht="15" hidden="false" customHeight="false" outlineLevel="0" collapsed="false">
      <c r="A52" s="16" t="s">
        <v>554</v>
      </c>
      <c r="B52" s="16" t="s">
        <v>555</v>
      </c>
      <c r="C52" s="16"/>
      <c r="D52" s="16" t="s">
        <v>450</v>
      </c>
      <c r="E52" s="16" t="s">
        <v>332</v>
      </c>
      <c r="F52" s="16" t="s">
        <v>333</v>
      </c>
      <c r="G52" s="17" t="n">
        <v>46281.4528009259</v>
      </c>
      <c r="H52" s="17" t="n">
        <v>46281.507662037</v>
      </c>
      <c r="I52" s="18" t="n">
        <f aca="false">IF(H52="",ROUND((تنظیمات!$B$7-G52)*1440,0),ROUND((H52-G52)*1440,0))</f>
        <v>79</v>
      </c>
      <c r="J52" s="16" t="s">
        <v>334</v>
      </c>
      <c r="K52" s="16" t="s">
        <v>410</v>
      </c>
      <c r="L52" s="19" t="n">
        <v>0.974</v>
      </c>
      <c r="M52" s="19" t="n">
        <v>0.938</v>
      </c>
      <c r="N52" s="16" t="s">
        <v>335</v>
      </c>
      <c r="O52" s="16" t="s">
        <v>411</v>
      </c>
      <c r="P52" s="16" t="s">
        <v>402</v>
      </c>
      <c r="Q52" s="20" t="n">
        <v>46281</v>
      </c>
      <c r="R52" s="16" t="s">
        <v>556</v>
      </c>
      <c r="S52" s="16" t="s">
        <v>404</v>
      </c>
      <c r="T52" s="17"/>
      <c r="U52" s="21" t="n">
        <v>1</v>
      </c>
      <c r="V52" s="21" t="n">
        <v>1</v>
      </c>
      <c r="W52" s="22" t="n">
        <v>5.8</v>
      </c>
      <c r="X52" s="16" t="s">
        <v>335</v>
      </c>
      <c r="Y52" s="16" t="s">
        <v>338</v>
      </c>
      <c r="Z52" s="16" t="s">
        <v>413</v>
      </c>
      <c r="AA52" s="16" t="s">
        <v>414</v>
      </c>
      <c r="AB52" s="23" t="s">
        <v>557</v>
      </c>
      <c r="AC52" s="17" t="n">
        <v>46281.5072106482</v>
      </c>
      <c r="AD52" s="16" t="s">
        <v>481</v>
      </c>
      <c r="AE52" s="16" t="s">
        <v>558</v>
      </c>
      <c r="AF52" s="16" t="str">
        <f aca="false">IF(COUNTIF(لیست_سفید!$A$2:$A$21,B52)&gt;0,"بله","خیر")</f>
        <v>خیر</v>
      </c>
      <c r="AG52" s="24" t="n">
        <f aca="false">IF(H52="","",IF(AD52="فیش مفقودی",تنظیمات!$B$6,(INT(I52/1440)*تنظیمات!$B$5+IF(MOD(I52,1440)&lt;=تنظیمات!$B$2,0,MIN(تنظیمات!$B$5,تنظیمات!$B$3+MAX(0,ROUNDUP((MOD(I52,1440)-60)/60,0))*تنظیمات!$B$4)))*INDEX(تعرفه!$B$2:$B$7,MATCH(AD52,تعرفه!$A$2:$A$7,0))))</f>
        <v>17000</v>
      </c>
      <c r="AH52" s="24" t="n">
        <v>17000</v>
      </c>
      <c r="AI52" s="24" t="n">
        <f aca="false">IF(AG52="","",AH52-AG52)</f>
        <v>0</v>
      </c>
      <c r="AJ52" s="21" t="n">
        <v>2</v>
      </c>
      <c r="AK52" s="21" t="n">
        <v>0</v>
      </c>
      <c r="AL52" s="16" t="s">
        <v>335</v>
      </c>
      <c r="AM52" s="16"/>
      <c r="AN52" s="16" t="s">
        <v>340</v>
      </c>
      <c r="AO52" s="16" t="s">
        <v>340</v>
      </c>
      <c r="AP52" s="16" t="s">
        <v>335</v>
      </c>
      <c r="AQ52" s="16"/>
      <c r="AR52" s="21" t="n">
        <f aca="false">IF(AND(T52&lt;&gt;"",H52&lt;&gt;""),IF(AND((T52-H52)*86400&gt;=0,(T52-H52)*86400&lt;تنظیمات!$B$13),1,0),0)</f>
        <v>0</v>
      </c>
      <c r="AS52" s="21" t="n">
        <f aca="false">IF(Z52="پوز",IF(OR(AB52="",COUNTIF(پوزها!$A$2:$A$5,AA52)=0),1,0),0)</f>
        <v>0</v>
      </c>
      <c r="AT52" s="21" t="n">
        <f aca="false">IF(AI52="",0,IF(AI52&gt;0,1,0))</f>
        <v>0</v>
      </c>
      <c r="AU52" s="21" t="n">
        <f aca="false">IF(AI52="",0,IF(AI52&lt;0,1,0))</f>
        <v>0</v>
      </c>
      <c r="AV52" s="21" t="n">
        <f aca="false">IF(U52&gt;V52,1,0)</f>
        <v>0</v>
      </c>
      <c r="AW52" s="21" t="n">
        <f aca="false">IF(OR(W52&gt;تنظیمات!$B$8,X52="بله"),1,0)</f>
        <v>0</v>
      </c>
      <c r="AX52" s="21" t="n">
        <f aca="false">IF(AND(N52="بله",L52&gt;تنظیمات!$B$9),1,0)</f>
        <v>0</v>
      </c>
      <c r="AY52" s="21" t="n">
        <f aca="false">IF(Y52="معکوس",1,0)</f>
        <v>0</v>
      </c>
      <c r="AZ52" s="21" t="n">
        <f aca="false">IF(ABS(AJ52)&gt;تنظیمات!$B$10,1,0)</f>
        <v>0</v>
      </c>
      <c r="BA52" s="21" t="n">
        <f aca="false">IF(AND(OR(AD52="رایگان/VIP",AD52="جانباز"),AF52="خیر"),1,0)</f>
        <v>0</v>
      </c>
      <c r="BB52" s="21" t="n">
        <f aca="false">IF(AE52="",0,IF(COUNTIF($AE$2:$AE$1001,AE52)&gt;1,1,0))</f>
        <v>0</v>
      </c>
      <c r="BC52" s="21" t="n">
        <f aca="false">IF(AND(H52="",I52&gt;تنظیمات!$B$12*60,AM52="خالی"),1,0)</f>
        <v>0</v>
      </c>
      <c r="BD52" s="21" t="n">
        <f aca="false">IF(AND(AP52="بله",I52&lt;تنظیمات!$B$14,AO52="خیر"),1,0)</f>
        <v>0</v>
      </c>
      <c r="BE52" s="21" t="n">
        <f aca="false">IF(AN52="خیر",1,0)</f>
        <v>0</v>
      </c>
      <c r="BF52" s="21" t="n">
        <f aca="false">IF(AND(AD52="فیش مفقودی",AQ52="بله",I52&gt;تنظیمات!$B$12*60),1,0)</f>
        <v>0</v>
      </c>
      <c r="BG52" s="21" t="n">
        <f aca="false">IF(AND(AK52&gt;تنظیمات!$B$11,AL52="بله"),1,0)</f>
        <v>0</v>
      </c>
      <c r="BH52" s="21" t="n">
        <f aca="false">MIN(100,AR52*تنظیمات!$B$21+AS52*تنظیمات!$B$22+AT52*تنظیمات!$B$23+AU52*تنظیمات!$B$24+AV52*تنظیمات!$B$25+AW52*تنظیمات!$B$26+AX52*تنظیمات!$B$27+AY52*تنظیمات!$B$28+AZ52*تنظیمات!$B$29+BA52*تنظیمات!$B$30+BB52*تنظیمات!$B$31+BC52*تنظیمات!$B$32+BD52*تنظیمات!$B$33+BE52*تنظیمات!$B$34+BF52*تنظیمات!$B$35+BG52*تنظیمات!$B$36)</f>
        <v>0</v>
      </c>
      <c r="BI52" s="16" t="str">
        <f aca="false">IF(BH52&gt;=60,"بحرانی",IF(BH52&gt;=30,"مشکوک",IF(BH52&gt;0,"هشدار","عادی")))</f>
        <v>عادی</v>
      </c>
      <c r="BJ52" s="16" t="s">
        <v>338</v>
      </c>
    </row>
    <row r="53" customFormat="false" ht="15" hidden="false" customHeight="false" outlineLevel="0" collapsed="false">
      <c r="A53" s="16" t="s">
        <v>559</v>
      </c>
      <c r="B53" s="16" t="s">
        <v>560</v>
      </c>
      <c r="C53" s="16"/>
      <c r="D53" s="16" t="s">
        <v>350</v>
      </c>
      <c r="E53" s="16" t="s">
        <v>390</v>
      </c>
      <c r="F53" s="16" t="s">
        <v>333</v>
      </c>
      <c r="G53" s="17" t="n">
        <v>46281.4622106482</v>
      </c>
      <c r="H53" s="17" t="n">
        <v>46281.5684606481</v>
      </c>
      <c r="I53" s="18" t="n">
        <f aca="false">IF(H53="",ROUND((تنظیمات!$B$7-G53)*1440,0),ROUND((H53-G53)*1440,0))</f>
        <v>153</v>
      </c>
      <c r="J53" s="16" t="s">
        <v>334</v>
      </c>
      <c r="K53" s="16" t="s">
        <v>410</v>
      </c>
      <c r="L53" s="19" t="n">
        <v>0.942</v>
      </c>
      <c r="M53" s="19" t="n">
        <v>0.972</v>
      </c>
      <c r="N53" s="16" t="s">
        <v>335</v>
      </c>
      <c r="O53" s="16" t="s">
        <v>411</v>
      </c>
      <c r="P53" s="16" t="s">
        <v>402</v>
      </c>
      <c r="Q53" s="20" t="n">
        <v>46281</v>
      </c>
      <c r="R53" s="16" t="s">
        <v>561</v>
      </c>
      <c r="S53" s="16" t="s">
        <v>404</v>
      </c>
      <c r="T53" s="17"/>
      <c r="U53" s="21" t="n">
        <v>1</v>
      </c>
      <c r="V53" s="21" t="n">
        <v>1</v>
      </c>
      <c r="W53" s="22" t="n">
        <v>4.2</v>
      </c>
      <c r="X53" s="16" t="s">
        <v>335</v>
      </c>
      <c r="Y53" s="16" t="s">
        <v>338</v>
      </c>
      <c r="Z53" s="16" t="s">
        <v>413</v>
      </c>
      <c r="AA53" s="16" t="s">
        <v>414</v>
      </c>
      <c r="AB53" s="23" t="s">
        <v>562</v>
      </c>
      <c r="AC53" s="17" t="n">
        <v>46281.5681828704</v>
      </c>
      <c r="AD53" s="16" t="s">
        <v>338</v>
      </c>
      <c r="AE53" s="16"/>
      <c r="AF53" s="16" t="str">
        <f aca="false">IF(COUNTIF(لیست_سفید!$A$2:$A$21,B53)&gt;0,"بله","خیر")</f>
        <v>خیر</v>
      </c>
      <c r="AG53" s="24" t="n">
        <f aca="false">IF(H53="","",IF(AD53="فیش مفقودی",تنظیمات!$B$6,(INT(I53/1440)*تنظیمات!$B$5+IF(MOD(I53,1440)&lt;=تنظیمات!$B$2,0,MIN(تنظیمات!$B$5,تنظیمات!$B$3+MAX(0,ROUNDUP((MOD(I53,1440)-60)/60,0))*تنظیمات!$B$4)))*INDEX(تعرفه!$B$2:$B$7,MATCH(AD53,تعرفه!$A$2:$A$7,0))))</f>
        <v>48000</v>
      </c>
      <c r="AH53" s="24" t="n">
        <v>48000</v>
      </c>
      <c r="AI53" s="24" t="n">
        <f aca="false">IF(AG53="","",AH53-AG53)</f>
        <v>0</v>
      </c>
      <c r="AJ53" s="21" t="n">
        <v>-1</v>
      </c>
      <c r="AK53" s="21" t="n">
        <v>0</v>
      </c>
      <c r="AL53" s="16" t="s">
        <v>335</v>
      </c>
      <c r="AM53" s="16"/>
      <c r="AN53" s="16" t="s">
        <v>340</v>
      </c>
      <c r="AO53" s="16" t="s">
        <v>340</v>
      </c>
      <c r="AP53" s="16" t="s">
        <v>335</v>
      </c>
      <c r="AQ53" s="16"/>
      <c r="AR53" s="21" t="n">
        <f aca="false">IF(AND(T53&lt;&gt;"",H53&lt;&gt;""),IF(AND((T53-H53)*86400&gt;=0,(T53-H53)*86400&lt;تنظیمات!$B$13),1,0),0)</f>
        <v>0</v>
      </c>
      <c r="AS53" s="21" t="n">
        <f aca="false">IF(Z53="پوز",IF(OR(AB53="",COUNTIF(پوزها!$A$2:$A$5,AA53)=0),1,0),0)</f>
        <v>0</v>
      </c>
      <c r="AT53" s="21" t="n">
        <f aca="false">IF(AI53="",0,IF(AI53&gt;0,1,0))</f>
        <v>0</v>
      </c>
      <c r="AU53" s="21" t="n">
        <f aca="false">IF(AI53="",0,IF(AI53&lt;0,1,0))</f>
        <v>0</v>
      </c>
      <c r="AV53" s="21" t="n">
        <f aca="false">IF(U53&gt;V53,1,0)</f>
        <v>0</v>
      </c>
      <c r="AW53" s="21" t="n">
        <f aca="false">IF(OR(W53&gt;تنظیمات!$B$8,X53="بله"),1,0)</f>
        <v>0</v>
      </c>
      <c r="AX53" s="21" t="n">
        <f aca="false">IF(AND(N53="بله",L53&gt;تنظیمات!$B$9),1,0)</f>
        <v>0</v>
      </c>
      <c r="AY53" s="21" t="n">
        <f aca="false">IF(Y53="معکوس",1,0)</f>
        <v>0</v>
      </c>
      <c r="AZ53" s="21" t="n">
        <f aca="false">IF(ABS(AJ53)&gt;تنظیمات!$B$10,1,0)</f>
        <v>0</v>
      </c>
      <c r="BA53" s="21" t="n">
        <f aca="false">IF(AND(OR(AD53="رایگان/VIP",AD53="جانباز"),AF53="خیر"),1,0)</f>
        <v>0</v>
      </c>
      <c r="BB53" s="21" t="n">
        <f aca="false">IF(AE53="",0,IF(COUNTIF($AE$2:$AE$1001,AE53)&gt;1,1,0))</f>
        <v>0</v>
      </c>
      <c r="BC53" s="21" t="n">
        <f aca="false">IF(AND(H53="",I53&gt;تنظیمات!$B$12*60,AM53="خالی"),1,0)</f>
        <v>0</v>
      </c>
      <c r="BD53" s="21" t="n">
        <f aca="false">IF(AND(AP53="بله",I53&lt;تنظیمات!$B$14,AO53="خیر"),1,0)</f>
        <v>0</v>
      </c>
      <c r="BE53" s="21" t="n">
        <f aca="false">IF(AN53="خیر",1,0)</f>
        <v>0</v>
      </c>
      <c r="BF53" s="21" t="n">
        <f aca="false">IF(AND(AD53="فیش مفقودی",AQ53="بله",I53&gt;تنظیمات!$B$12*60),1,0)</f>
        <v>0</v>
      </c>
      <c r="BG53" s="21" t="n">
        <f aca="false">IF(AND(AK53&gt;تنظیمات!$B$11,AL53="بله"),1,0)</f>
        <v>0</v>
      </c>
      <c r="BH53" s="21" t="n">
        <f aca="false">MIN(100,AR53*تنظیمات!$B$21+AS53*تنظیمات!$B$22+AT53*تنظیمات!$B$23+AU53*تنظیمات!$B$24+AV53*تنظیمات!$B$25+AW53*تنظیمات!$B$26+AX53*تنظیمات!$B$27+AY53*تنظیمات!$B$28+AZ53*تنظیمات!$B$29+BA53*تنظیمات!$B$30+BB53*تنظیمات!$B$31+BC53*تنظیمات!$B$32+BD53*تنظیمات!$B$33+BE53*تنظیمات!$B$34+BF53*تنظیمات!$B$35+BG53*تنظیمات!$B$36)</f>
        <v>0</v>
      </c>
      <c r="BI53" s="16" t="str">
        <f aca="false">IF(BH53&gt;=60,"بحرانی",IF(BH53&gt;=30,"مشکوک",IF(BH53&gt;0,"هشدار","عادی")))</f>
        <v>عادی</v>
      </c>
      <c r="BJ53" s="16" t="s">
        <v>338</v>
      </c>
    </row>
    <row r="54" customFormat="false" ht="15" hidden="false" customHeight="false" outlineLevel="0" collapsed="false">
      <c r="A54" s="16" t="s">
        <v>563</v>
      </c>
      <c r="B54" s="16" t="s">
        <v>560</v>
      </c>
      <c r="C54" s="16"/>
      <c r="D54" s="16" t="s">
        <v>350</v>
      </c>
      <c r="E54" s="16" t="s">
        <v>390</v>
      </c>
      <c r="F54" s="16" t="s">
        <v>333</v>
      </c>
      <c r="G54" s="17" t="n">
        <v>46281.4693981482</v>
      </c>
      <c r="H54" s="17" t="n">
        <v>46281.5353703704</v>
      </c>
      <c r="I54" s="18" t="n">
        <f aca="false">IF(H54="",ROUND((تنظیمات!$B$7-G54)*1440,0),ROUND((H54-G54)*1440,0))</f>
        <v>95</v>
      </c>
      <c r="J54" s="16" t="s">
        <v>334</v>
      </c>
      <c r="K54" s="16" t="s">
        <v>410</v>
      </c>
      <c r="L54" s="19" t="n">
        <v>0.938</v>
      </c>
      <c r="M54" s="19" t="n">
        <v>0.961</v>
      </c>
      <c r="N54" s="16" t="s">
        <v>335</v>
      </c>
      <c r="O54" s="16" t="s">
        <v>411</v>
      </c>
      <c r="P54" s="16" t="s">
        <v>402</v>
      </c>
      <c r="Q54" s="20" t="n">
        <v>46281</v>
      </c>
      <c r="R54" s="16" t="s">
        <v>564</v>
      </c>
      <c r="S54" s="16" t="s">
        <v>404</v>
      </c>
      <c r="T54" s="17"/>
      <c r="U54" s="21" t="n">
        <v>1</v>
      </c>
      <c r="V54" s="21" t="n">
        <v>1</v>
      </c>
      <c r="W54" s="22" t="n">
        <v>4.7</v>
      </c>
      <c r="X54" s="16" t="s">
        <v>335</v>
      </c>
      <c r="Y54" s="16" t="s">
        <v>338</v>
      </c>
      <c r="Z54" s="16" t="s">
        <v>413</v>
      </c>
      <c r="AA54" s="16" t="s">
        <v>414</v>
      </c>
      <c r="AB54" s="23" t="s">
        <v>565</v>
      </c>
      <c r="AC54" s="17" t="n">
        <v>46281.5346412037</v>
      </c>
      <c r="AD54" s="16" t="s">
        <v>338</v>
      </c>
      <c r="AE54" s="16"/>
      <c r="AF54" s="16" t="str">
        <f aca="false">IF(COUNTIF(لیست_سفید!$A$2:$A$21,B54)&gt;0,"بله","خیر")</f>
        <v>خیر</v>
      </c>
      <c r="AG54" s="24" t="n">
        <f aca="false">IF(H54="","",IF(AD54="فیش مفقودی",تنظیمات!$B$6,(INT(I54/1440)*تنظیمات!$B$5+IF(MOD(I54,1440)&lt;=تنظیمات!$B$2,0,MIN(تنظیمات!$B$5,تنظیمات!$B$3+MAX(0,ROUNDUP((MOD(I54,1440)-60)/60,0))*تنظیمات!$B$4)))*INDEX(تعرفه!$B$2:$B$7,MATCH(AD54,تعرفه!$A$2:$A$7,0))))</f>
        <v>34000</v>
      </c>
      <c r="AH54" s="24" t="n">
        <v>34000</v>
      </c>
      <c r="AI54" s="24" t="n">
        <f aca="false">IF(AG54="","",AH54-AG54)</f>
        <v>0</v>
      </c>
      <c r="AJ54" s="21" t="n">
        <v>0</v>
      </c>
      <c r="AK54" s="21" t="n">
        <v>0</v>
      </c>
      <c r="AL54" s="16" t="s">
        <v>335</v>
      </c>
      <c r="AM54" s="16"/>
      <c r="AN54" s="16" t="s">
        <v>340</v>
      </c>
      <c r="AO54" s="16" t="s">
        <v>340</v>
      </c>
      <c r="AP54" s="16" t="s">
        <v>335</v>
      </c>
      <c r="AQ54" s="16"/>
      <c r="AR54" s="21" t="n">
        <f aca="false">IF(AND(T54&lt;&gt;"",H54&lt;&gt;""),IF(AND((T54-H54)*86400&gt;=0,(T54-H54)*86400&lt;تنظیمات!$B$13),1,0),0)</f>
        <v>0</v>
      </c>
      <c r="AS54" s="21" t="n">
        <f aca="false">IF(Z54="پوز",IF(OR(AB54="",COUNTIF(پوزها!$A$2:$A$5,AA54)=0),1,0),0)</f>
        <v>0</v>
      </c>
      <c r="AT54" s="21" t="n">
        <f aca="false">IF(AI54="",0,IF(AI54&gt;0,1,0))</f>
        <v>0</v>
      </c>
      <c r="AU54" s="21" t="n">
        <f aca="false">IF(AI54="",0,IF(AI54&lt;0,1,0))</f>
        <v>0</v>
      </c>
      <c r="AV54" s="21" t="n">
        <f aca="false">IF(U54&gt;V54,1,0)</f>
        <v>0</v>
      </c>
      <c r="AW54" s="21" t="n">
        <f aca="false">IF(OR(W54&gt;تنظیمات!$B$8,X54="بله"),1,0)</f>
        <v>0</v>
      </c>
      <c r="AX54" s="21" t="n">
        <f aca="false">IF(AND(N54="بله",L54&gt;تنظیمات!$B$9),1,0)</f>
        <v>0</v>
      </c>
      <c r="AY54" s="21" t="n">
        <f aca="false">IF(Y54="معکوس",1,0)</f>
        <v>0</v>
      </c>
      <c r="AZ54" s="21" t="n">
        <f aca="false">IF(ABS(AJ54)&gt;تنظیمات!$B$10,1,0)</f>
        <v>0</v>
      </c>
      <c r="BA54" s="21" t="n">
        <f aca="false">IF(AND(OR(AD54="رایگان/VIP",AD54="جانباز"),AF54="خیر"),1,0)</f>
        <v>0</v>
      </c>
      <c r="BB54" s="21" t="n">
        <f aca="false">IF(AE54="",0,IF(COUNTIF($AE$2:$AE$1001,AE54)&gt;1,1,0))</f>
        <v>0</v>
      </c>
      <c r="BC54" s="21" t="n">
        <f aca="false">IF(AND(H54="",I54&gt;تنظیمات!$B$12*60,AM54="خالی"),1,0)</f>
        <v>0</v>
      </c>
      <c r="BD54" s="21" t="n">
        <f aca="false">IF(AND(AP54="بله",I54&lt;تنظیمات!$B$14,AO54="خیر"),1,0)</f>
        <v>0</v>
      </c>
      <c r="BE54" s="21" t="n">
        <f aca="false">IF(AN54="خیر",1,0)</f>
        <v>0</v>
      </c>
      <c r="BF54" s="21" t="n">
        <f aca="false">IF(AND(AD54="فیش مفقودی",AQ54="بله",I54&gt;تنظیمات!$B$12*60),1,0)</f>
        <v>0</v>
      </c>
      <c r="BG54" s="21" t="n">
        <f aca="false">IF(AND(AK54&gt;تنظیمات!$B$11,AL54="بله"),1,0)</f>
        <v>0</v>
      </c>
      <c r="BH54" s="21" t="n">
        <f aca="false">MIN(100,AR54*تنظیمات!$B$21+AS54*تنظیمات!$B$22+AT54*تنظیمات!$B$23+AU54*تنظیمات!$B$24+AV54*تنظیمات!$B$25+AW54*تنظیمات!$B$26+AX54*تنظیمات!$B$27+AY54*تنظیمات!$B$28+AZ54*تنظیمات!$B$29+BA54*تنظیمات!$B$30+BB54*تنظیمات!$B$31+BC54*تنظیمات!$B$32+BD54*تنظیمات!$B$33+BE54*تنظیمات!$B$34+BF54*تنظیمات!$B$35+BG54*تنظیمات!$B$36)</f>
        <v>0</v>
      </c>
      <c r="BI54" s="16" t="str">
        <f aca="false">IF(BH54&gt;=60,"بحرانی",IF(BH54&gt;=30,"مشکوک",IF(BH54&gt;0,"هشدار","عادی")))</f>
        <v>عادی</v>
      </c>
      <c r="BJ54" s="16" t="s">
        <v>338</v>
      </c>
    </row>
    <row r="55" customFormat="false" ht="15" hidden="false" customHeight="false" outlineLevel="0" collapsed="false">
      <c r="A55" s="16" t="s">
        <v>566</v>
      </c>
      <c r="B55" s="16" t="s">
        <v>567</v>
      </c>
      <c r="C55" s="16"/>
      <c r="D55" s="16" t="s">
        <v>331</v>
      </c>
      <c r="E55" s="16" t="s">
        <v>390</v>
      </c>
      <c r="F55" s="16" t="s">
        <v>333</v>
      </c>
      <c r="G55" s="17" t="n">
        <v>46281.4901736111</v>
      </c>
      <c r="H55" s="17" t="n">
        <v>46281.7186458333</v>
      </c>
      <c r="I55" s="18" t="n">
        <f aca="false">IF(H55="",ROUND((تنظیمات!$B$7-G55)*1440,0),ROUND((H55-G55)*1440,0))</f>
        <v>329</v>
      </c>
      <c r="J55" s="16" t="s">
        <v>334</v>
      </c>
      <c r="K55" s="16" t="s">
        <v>400</v>
      </c>
      <c r="L55" s="19" t="n">
        <v>0.964</v>
      </c>
      <c r="M55" s="19" t="n">
        <v>0.963</v>
      </c>
      <c r="N55" s="16" t="s">
        <v>335</v>
      </c>
      <c r="O55" s="16" t="s">
        <v>401</v>
      </c>
      <c r="P55" s="16" t="s">
        <v>420</v>
      </c>
      <c r="Q55" s="20" t="n">
        <v>46281</v>
      </c>
      <c r="R55" s="16" t="s">
        <v>568</v>
      </c>
      <c r="S55" s="16" t="s">
        <v>404</v>
      </c>
      <c r="T55" s="17"/>
      <c r="U55" s="21" t="n">
        <v>1</v>
      </c>
      <c r="V55" s="21" t="n">
        <v>1</v>
      </c>
      <c r="W55" s="22" t="n">
        <v>4.3</v>
      </c>
      <c r="X55" s="16" t="s">
        <v>335</v>
      </c>
      <c r="Y55" s="16" t="s">
        <v>338</v>
      </c>
      <c r="Z55" s="16" t="s">
        <v>465</v>
      </c>
      <c r="AA55" s="16"/>
      <c r="AB55" s="23"/>
      <c r="AC55" s="17"/>
      <c r="AD55" s="16" t="s">
        <v>466</v>
      </c>
      <c r="AE55" s="16"/>
      <c r="AF55" s="16" t="str">
        <f aca="false">IF(COUNTIF(لیست_سفید!$A$2:$A$21,B55)&gt;0,"بله","خیر")</f>
        <v>بله</v>
      </c>
      <c r="AG55" s="24" t="n">
        <f aca="false">IF(H55="","",IF(AD55="فیش مفقودی",تنظیمات!$B$6,(INT(I55/1440)*تنظیمات!$B$5+IF(MOD(I55,1440)&lt;=تنظیمات!$B$2,0,MIN(تنظیمات!$B$5,تنظیمات!$B$3+MAX(0,ROUNDUP((MOD(I55,1440)-60)/60,0))*تنظیمات!$B$4)))*INDEX(تعرفه!$B$2:$B$7,MATCH(AD55,تعرفه!$A$2:$A$7,0))))</f>
        <v>0</v>
      </c>
      <c r="AH55" s="24" t="n">
        <v>0</v>
      </c>
      <c r="AI55" s="24" t="n">
        <f aca="false">IF(AG55="","",AH55-AG55)</f>
        <v>0</v>
      </c>
      <c r="AJ55" s="21" t="n">
        <v>3</v>
      </c>
      <c r="AK55" s="21" t="n">
        <v>0</v>
      </c>
      <c r="AL55" s="16" t="s">
        <v>335</v>
      </c>
      <c r="AM55" s="16"/>
      <c r="AN55" s="16" t="s">
        <v>340</v>
      </c>
      <c r="AO55" s="16" t="s">
        <v>340</v>
      </c>
      <c r="AP55" s="16" t="s">
        <v>335</v>
      </c>
      <c r="AQ55" s="16"/>
      <c r="AR55" s="21" t="n">
        <f aca="false">IF(AND(T55&lt;&gt;"",H55&lt;&gt;""),IF(AND((T55-H55)*86400&gt;=0,(T55-H55)*86400&lt;تنظیمات!$B$13),1,0),0)</f>
        <v>0</v>
      </c>
      <c r="AS55" s="21" t="n">
        <f aca="false">IF(Z55="پوز",IF(OR(AB55="",COUNTIF(پوزها!$A$2:$A$5,AA55)=0),1,0),0)</f>
        <v>0</v>
      </c>
      <c r="AT55" s="21" t="n">
        <f aca="false">IF(AI55="",0,IF(AI55&gt;0,1,0))</f>
        <v>0</v>
      </c>
      <c r="AU55" s="21" t="n">
        <f aca="false">IF(AI55="",0,IF(AI55&lt;0,1,0))</f>
        <v>0</v>
      </c>
      <c r="AV55" s="21" t="n">
        <f aca="false">IF(U55&gt;V55,1,0)</f>
        <v>0</v>
      </c>
      <c r="AW55" s="21" t="n">
        <f aca="false">IF(OR(W55&gt;تنظیمات!$B$8,X55="بله"),1,0)</f>
        <v>0</v>
      </c>
      <c r="AX55" s="21" t="n">
        <f aca="false">IF(AND(N55="بله",L55&gt;تنظیمات!$B$9),1,0)</f>
        <v>0</v>
      </c>
      <c r="AY55" s="21" t="n">
        <f aca="false">IF(Y55="معکوس",1,0)</f>
        <v>0</v>
      </c>
      <c r="AZ55" s="21" t="n">
        <f aca="false">IF(ABS(AJ55)&gt;تنظیمات!$B$10,1,0)</f>
        <v>0</v>
      </c>
      <c r="BA55" s="21" t="n">
        <f aca="false">IF(AND(OR(AD55="رایگان/VIP",AD55="جانباز"),AF55="خیر"),1,0)</f>
        <v>0</v>
      </c>
      <c r="BB55" s="21" t="n">
        <f aca="false">IF(AE55="",0,IF(COUNTIF($AE$2:$AE$1001,AE55)&gt;1,1,0))</f>
        <v>0</v>
      </c>
      <c r="BC55" s="21" t="n">
        <f aca="false">IF(AND(H55="",I55&gt;تنظیمات!$B$12*60,AM55="خالی"),1,0)</f>
        <v>0</v>
      </c>
      <c r="BD55" s="21" t="n">
        <f aca="false">IF(AND(AP55="بله",I55&lt;تنظیمات!$B$14,AO55="خیر"),1,0)</f>
        <v>0</v>
      </c>
      <c r="BE55" s="21" t="n">
        <f aca="false">IF(AN55="خیر",1,0)</f>
        <v>0</v>
      </c>
      <c r="BF55" s="21" t="n">
        <f aca="false">IF(AND(AD55="فیش مفقودی",AQ55="بله",I55&gt;تنظیمات!$B$12*60),1,0)</f>
        <v>0</v>
      </c>
      <c r="BG55" s="21" t="n">
        <f aca="false">IF(AND(AK55&gt;تنظیمات!$B$11,AL55="بله"),1,0)</f>
        <v>0</v>
      </c>
      <c r="BH55" s="21" t="n">
        <f aca="false">MIN(100,AR55*تنظیمات!$B$21+AS55*تنظیمات!$B$22+AT55*تنظیمات!$B$23+AU55*تنظیمات!$B$24+AV55*تنظیمات!$B$25+AW55*تنظیمات!$B$26+AX55*تنظیمات!$B$27+AY55*تنظیمات!$B$28+AZ55*تنظیمات!$B$29+BA55*تنظیمات!$B$30+BB55*تنظیمات!$B$31+BC55*تنظیمات!$B$32+BD55*تنظیمات!$B$33+BE55*تنظیمات!$B$34+BF55*تنظیمات!$B$35+BG55*تنظیمات!$B$36)</f>
        <v>0</v>
      </c>
      <c r="BI55" s="16" t="str">
        <f aca="false">IF(BH55&gt;=60,"بحرانی",IF(BH55&gt;=30,"مشکوک",IF(BH55&gt;0,"هشدار","عادی")))</f>
        <v>عادی</v>
      </c>
      <c r="BJ55" s="16" t="s">
        <v>338</v>
      </c>
    </row>
    <row r="56" customFormat="false" ht="15" hidden="false" customHeight="false" outlineLevel="0" collapsed="false">
      <c r="A56" s="16" t="s">
        <v>569</v>
      </c>
      <c r="B56" s="16" t="s">
        <v>570</v>
      </c>
      <c r="C56" s="16"/>
      <c r="D56" s="16" t="s">
        <v>386</v>
      </c>
      <c r="E56" s="16" t="s">
        <v>390</v>
      </c>
      <c r="F56" s="16" t="s">
        <v>333</v>
      </c>
      <c r="G56" s="17" t="n">
        <v>46281.4911111111</v>
      </c>
      <c r="H56" s="17" t="n">
        <v>46281.8056944445</v>
      </c>
      <c r="I56" s="18" t="n">
        <f aca="false">IF(H56="",ROUND((تنظیمات!$B$7-G56)*1440,0),ROUND((H56-G56)*1440,0))</f>
        <v>453</v>
      </c>
      <c r="J56" s="16" t="s">
        <v>346</v>
      </c>
      <c r="K56" s="16" t="s">
        <v>410</v>
      </c>
      <c r="L56" s="19" t="n">
        <v>0.981</v>
      </c>
      <c r="M56" s="19" t="n">
        <v>0.966</v>
      </c>
      <c r="N56" s="16" t="s">
        <v>335</v>
      </c>
      <c r="O56" s="16" t="s">
        <v>419</v>
      </c>
      <c r="P56" s="16" t="s">
        <v>420</v>
      </c>
      <c r="Q56" s="20" t="n">
        <v>46281</v>
      </c>
      <c r="R56" s="16" t="s">
        <v>571</v>
      </c>
      <c r="S56" s="16" t="s">
        <v>404</v>
      </c>
      <c r="T56" s="17"/>
      <c r="U56" s="21" t="n">
        <v>1</v>
      </c>
      <c r="V56" s="21" t="n">
        <v>1</v>
      </c>
      <c r="W56" s="22" t="n">
        <v>4.7</v>
      </c>
      <c r="X56" s="16" t="s">
        <v>335</v>
      </c>
      <c r="Y56" s="16" t="s">
        <v>338</v>
      </c>
      <c r="Z56" s="16" t="s">
        <v>443</v>
      </c>
      <c r="AA56" s="16"/>
      <c r="AB56" s="23"/>
      <c r="AC56" s="17"/>
      <c r="AD56" s="16" t="s">
        <v>444</v>
      </c>
      <c r="AE56" s="16"/>
      <c r="AF56" s="16" t="str">
        <f aca="false">IF(COUNTIF(لیست_سفید!$A$2:$A$21,B56)&gt;0,"بله","خیر")</f>
        <v>خیر</v>
      </c>
      <c r="AG56" s="24" t="n">
        <f aca="false">IF(H56="","",IF(AD56="فیش مفقودی",تنظیمات!$B$6,(INT(I56/1440)*تنظیمات!$B$5+IF(MOD(I56,1440)&lt;=تنظیمات!$B$2,0,MIN(تنظیمات!$B$5,تنظیمات!$B$3+MAX(0,ROUNDUP((MOD(I56,1440)-60)/60,0))*تنظیمات!$B$4)))*INDEX(تعرفه!$B$2:$B$7,MATCH(AD56,تعرفه!$A$2:$A$7,0))))</f>
        <v>0</v>
      </c>
      <c r="AH56" s="24" t="n">
        <v>0</v>
      </c>
      <c r="AI56" s="24" t="n">
        <f aca="false">IF(AG56="","",AH56-AG56)</f>
        <v>0</v>
      </c>
      <c r="AJ56" s="21" t="n">
        <v>0</v>
      </c>
      <c r="AK56" s="21" t="n">
        <v>0</v>
      </c>
      <c r="AL56" s="16" t="s">
        <v>335</v>
      </c>
      <c r="AM56" s="16"/>
      <c r="AN56" s="16" t="s">
        <v>340</v>
      </c>
      <c r="AO56" s="16" t="s">
        <v>340</v>
      </c>
      <c r="AP56" s="16" t="s">
        <v>335</v>
      </c>
      <c r="AQ56" s="16"/>
      <c r="AR56" s="21" t="n">
        <f aca="false">IF(AND(T56&lt;&gt;"",H56&lt;&gt;""),IF(AND((T56-H56)*86400&gt;=0,(T56-H56)*86400&lt;تنظیمات!$B$13),1,0),0)</f>
        <v>0</v>
      </c>
      <c r="AS56" s="21" t="n">
        <f aca="false">IF(Z56="پوز",IF(OR(AB56="",COUNTIF(پوزها!$A$2:$A$5,AA56)=0),1,0),0)</f>
        <v>0</v>
      </c>
      <c r="AT56" s="21" t="n">
        <f aca="false">IF(AI56="",0,IF(AI56&gt;0,1,0))</f>
        <v>0</v>
      </c>
      <c r="AU56" s="21" t="n">
        <f aca="false">IF(AI56="",0,IF(AI56&lt;0,1,0))</f>
        <v>0</v>
      </c>
      <c r="AV56" s="21" t="n">
        <f aca="false">IF(U56&gt;V56,1,0)</f>
        <v>0</v>
      </c>
      <c r="AW56" s="21" t="n">
        <f aca="false">IF(OR(W56&gt;تنظیمات!$B$8,X56="بله"),1,0)</f>
        <v>0</v>
      </c>
      <c r="AX56" s="21" t="n">
        <f aca="false">IF(AND(N56="بله",L56&gt;تنظیمات!$B$9),1,0)</f>
        <v>0</v>
      </c>
      <c r="AY56" s="21" t="n">
        <f aca="false">IF(Y56="معکوس",1,0)</f>
        <v>0</v>
      </c>
      <c r="AZ56" s="21" t="n">
        <f aca="false">IF(ABS(AJ56)&gt;تنظیمات!$B$10,1,0)</f>
        <v>0</v>
      </c>
      <c r="BA56" s="21" t="n">
        <f aca="false">IF(AND(OR(AD56="رایگان/VIP",AD56="جانباز"),AF56="خیر"),1,0)</f>
        <v>0</v>
      </c>
      <c r="BB56" s="21" t="n">
        <f aca="false">IF(AE56="",0,IF(COUNTIF($AE$2:$AE$1001,AE56)&gt;1,1,0))</f>
        <v>0</v>
      </c>
      <c r="BC56" s="21" t="n">
        <f aca="false">IF(AND(H56="",I56&gt;تنظیمات!$B$12*60,AM56="خالی"),1,0)</f>
        <v>0</v>
      </c>
      <c r="BD56" s="21" t="n">
        <f aca="false">IF(AND(AP56="بله",I56&lt;تنظیمات!$B$14,AO56="خیر"),1,0)</f>
        <v>0</v>
      </c>
      <c r="BE56" s="21" t="n">
        <f aca="false">IF(AN56="خیر",1,0)</f>
        <v>0</v>
      </c>
      <c r="BF56" s="21" t="n">
        <f aca="false">IF(AND(AD56="فیش مفقودی",AQ56="بله",I56&gt;تنظیمات!$B$12*60),1,0)</f>
        <v>0</v>
      </c>
      <c r="BG56" s="21" t="n">
        <f aca="false">IF(AND(AK56&gt;تنظیمات!$B$11,AL56="بله"),1,0)</f>
        <v>0</v>
      </c>
      <c r="BH56" s="21" t="n">
        <f aca="false">MIN(100,AR56*تنظیمات!$B$21+AS56*تنظیمات!$B$22+AT56*تنظیمات!$B$23+AU56*تنظیمات!$B$24+AV56*تنظیمات!$B$25+AW56*تنظیمات!$B$26+AX56*تنظیمات!$B$27+AY56*تنظیمات!$B$28+AZ56*تنظیمات!$B$29+BA56*تنظیمات!$B$30+BB56*تنظیمات!$B$31+BC56*تنظیمات!$B$32+BD56*تنظیمات!$B$33+BE56*تنظیمات!$B$34+BF56*تنظیمات!$B$35+BG56*تنظیمات!$B$36)</f>
        <v>0</v>
      </c>
      <c r="BI56" s="16" t="str">
        <f aca="false">IF(BH56&gt;=60,"بحرانی",IF(BH56&gt;=30,"مشکوک",IF(BH56&gt;0,"هشدار","عادی")))</f>
        <v>عادی</v>
      </c>
      <c r="BJ56" s="16" t="s">
        <v>338</v>
      </c>
    </row>
    <row r="57" customFormat="false" ht="15" hidden="false" customHeight="false" outlineLevel="0" collapsed="false">
      <c r="A57" s="16" t="s">
        <v>572</v>
      </c>
      <c r="B57" s="16" t="s">
        <v>484</v>
      </c>
      <c r="C57" s="16"/>
      <c r="D57" s="16" t="s">
        <v>431</v>
      </c>
      <c r="E57" s="16" t="s">
        <v>332</v>
      </c>
      <c r="F57" s="16" t="s">
        <v>333</v>
      </c>
      <c r="G57" s="17" t="n">
        <v>46281.4933333333</v>
      </c>
      <c r="H57" s="17" t="n">
        <v>46281.5558333333</v>
      </c>
      <c r="I57" s="18" t="n">
        <f aca="false">IF(H57="",ROUND((تنظیمات!$B$7-G57)*1440,0),ROUND((H57-G57)*1440,0))</f>
        <v>90</v>
      </c>
      <c r="J57" s="16" t="s">
        <v>346</v>
      </c>
      <c r="K57" s="16" t="s">
        <v>400</v>
      </c>
      <c r="L57" s="19" t="n">
        <v>0.958</v>
      </c>
      <c r="M57" s="19" t="n">
        <v>0.938</v>
      </c>
      <c r="N57" s="16" t="s">
        <v>335</v>
      </c>
      <c r="O57" s="16" t="s">
        <v>441</v>
      </c>
      <c r="P57" s="16" t="s">
        <v>402</v>
      </c>
      <c r="Q57" s="20" t="n">
        <v>46281</v>
      </c>
      <c r="R57" s="16" t="s">
        <v>573</v>
      </c>
      <c r="S57" s="16" t="s">
        <v>404</v>
      </c>
      <c r="T57" s="17"/>
      <c r="U57" s="21" t="n">
        <v>1</v>
      </c>
      <c r="V57" s="21" t="n">
        <v>1</v>
      </c>
      <c r="W57" s="22" t="n">
        <v>5.7</v>
      </c>
      <c r="X57" s="16" t="s">
        <v>335</v>
      </c>
      <c r="Y57" s="16" t="s">
        <v>338</v>
      </c>
      <c r="Z57" s="16" t="s">
        <v>405</v>
      </c>
      <c r="AA57" s="16"/>
      <c r="AB57" s="23"/>
      <c r="AC57" s="17"/>
      <c r="AD57" s="16" t="s">
        <v>338</v>
      </c>
      <c r="AE57" s="16"/>
      <c r="AF57" s="16" t="str">
        <f aca="false">IF(COUNTIF(لیست_سفید!$A$2:$A$21,B57)&gt;0,"بله","خیر")</f>
        <v>خیر</v>
      </c>
      <c r="AG57" s="24" t="n">
        <f aca="false">IF(H57="","",IF(AD57="فیش مفقودی",تنظیمات!$B$6,(INT(I57/1440)*تنظیمات!$B$5+IF(MOD(I57,1440)&lt;=تنظیمات!$B$2,0,MIN(تنظیمات!$B$5,تنظیمات!$B$3+MAX(0,ROUNDUP((MOD(I57,1440)-60)/60,0))*تنظیمات!$B$4)))*INDEX(تعرفه!$B$2:$B$7,MATCH(AD57,تعرفه!$A$2:$A$7,0))))</f>
        <v>34000</v>
      </c>
      <c r="AH57" s="24" t="n">
        <v>34000</v>
      </c>
      <c r="AI57" s="24" t="n">
        <f aca="false">IF(AG57="","",AH57-AG57)</f>
        <v>0</v>
      </c>
      <c r="AJ57" s="21" t="n">
        <v>-4</v>
      </c>
      <c r="AK57" s="21" t="n">
        <v>0</v>
      </c>
      <c r="AL57" s="16" t="s">
        <v>335</v>
      </c>
      <c r="AM57" s="16"/>
      <c r="AN57" s="16" t="s">
        <v>340</v>
      </c>
      <c r="AO57" s="16" t="s">
        <v>340</v>
      </c>
      <c r="AP57" s="16" t="s">
        <v>335</v>
      </c>
      <c r="AQ57" s="16"/>
      <c r="AR57" s="21" t="n">
        <f aca="false">IF(AND(T57&lt;&gt;"",H57&lt;&gt;""),IF(AND((T57-H57)*86400&gt;=0,(T57-H57)*86400&lt;تنظیمات!$B$13),1,0),0)</f>
        <v>0</v>
      </c>
      <c r="AS57" s="21" t="n">
        <f aca="false">IF(Z57="پوز",IF(OR(AB57="",COUNTIF(پوزها!$A$2:$A$5,AA57)=0),1,0),0)</f>
        <v>0</v>
      </c>
      <c r="AT57" s="21" t="n">
        <f aca="false">IF(AI57="",0,IF(AI57&gt;0,1,0))</f>
        <v>0</v>
      </c>
      <c r="AU57" s="21" t="n">
        <f aca="false">IF(AI57="",0,IF(AI57&lt;0,1,0))</f>
        <v>0</v>
      </c>
      <c r="AV57" s="21" t="n">
        <f aca="false">IF(U57&gt;V57,1,0)</f>
        <v>0</v>
      </c>
      <c r="AW57" s="21" t="n">
        <f aca="false">IF(OR(W57&gt;تنظیمات!$B$8,X57="بله"),1,0)</f>
        <v>0</v>
      </c>
      <c r="AX57" s="21" t="n">
        <f aca="false">IF(AND(N57="بله",L57&gt;تنظیمات!$B$9),1,0)</f>
        <v>0</v>
      </c>
      <c r="AY57" s="21" t="n">
        <f aca="false">IF(Y57="معکوس",1,0)</f>
        <v>0</v>
      </c>
      <c r="AZ57" s="21" t="n">
        <f aca="false">IF(ABS(AJ57)&gt;تنظیمات!$B$10,1,0)</f>
        <v>0</v>
      </c>
      <c r="BA57" s="21" t="n">
        <f aca="false">IF(AND(OR(AD57="رایگان/VIP",AD57="جانباز"),AF57="خیر"),1,0)</f>
        <v>0</v>
      </c>
      <c r="BB57" s="21" t="n">
        <f aca="false">IF(AE57="",0,IF(COUNTIF($AE$2:$AE$1001,AE57)&gt;1,1,0))</f>
        <v>0</v>
      </c>
      <c r="BC57" s="21" t="n">
        <f aca="false">IF(AND(H57="",I57&gt;تنظیمات!$B$12*60,AM57="خالی"),1,0)</f>
        <v>0</v>
      </c>
      <c r="BD57" s="21" t="n">
        <f aca="false">IF(AND(AP57="بله",I57&lt;تنظیمات!$B$14,AO57="خیر"),1,0)</f>
        <v>0</v>
      </c>
      <c r="BE57" s="21" t="n">
        <f aca="false">IF(AN57="خیر",1,0)</f>
        <v>0</v>
      </c>
      <c r="BF57" s="21" t="n">
        <f aca="false">IF(AND(AD57="فیش مفقودی",AQ57="بله",I57&gt;تنظیمات!$B$12*60),1,0)</f>
        <v>0</v>
      </c>
      <c r="BG57" s="21" t="n">
        <f aca="false">IF(AND(AK57&gt;تنظیمات!$B$11,AL57="بله"),1,0)</f>
        <v>0</v>
      </c>
      <c r="BH57" s="21" t="n">
        <f aca="false">MIN(100,AR57*تنظیمات!$B$21+AS57*تنظیمات!$B$22+AT57*تنظیمات!$B$23+AU57*تنظیمات!$B$24+AV57*تنظیمات!$B$25+AW57*تنظیمات!$B$26+AX57*تنظیمات!$B$27+AY57*تنظیمات!$B$28+AZ57*تنظیمات!$B$29+BA57*تنظیمات!$B$30+BB57*تنظیمات!$B$31+BC57*تنظیمات!$B$32+BD57*تنظیمات!$B$33+BE57*تنظیمات!$B$34+BF57*تنظیمات!$B$35+BG57*تنظیمات!$B$36)</f>
        <v>0</v>
      </c>
      <c r="BI57" s="16" t="str">
        <f aca="false">IF(BH57&gt;=60,"بحرانی",IF(BH57&gt;=30,"مشکوک",IF(BH57&gt;0,"هشدار","عادی")))</f>
        <v>عادی</v>
      </c>
      <c r="BJ57" s="16" t="s">
        <v>338</v>
      </c>
    </row>
    <row r="58" customFormat="false" ht="15" hidden="false" customHeight="false" outlineLevel="0" collapsed="false">
      <c r="A58" s="16" t="s">
        <v>574</v>
      </c>
      <c r="B58" s="16" t="s">
        <v>575</v>
      </c>
      <c r="C58" s="16"/>
      <c r="D58" s="16" t="s">
        <v>370</v>
      </c>
      <c r="E58" s="16" t="s">
        <v>363</v>
      </c>
      <c r="F58" s="16" t="s">
        <v>333</v>
      </c>
      <c r="G58" s="17" t="n">
        <v>46281.4943865741</v>
      </c>
      <c r="H58" s="17" t="n">
        <v>46281.5666087963</v>
      </c>
      <c r="I58" s="18" t="n">
        <f aca="false">IF(H58="",ROUND((تنظیمات!$B$7-G58)*1440,0),ROUND((H58-G58)*1440,0))</f>
        <v>104</v>
      </c>
      <c r="J58" s="16" t="s">
        <v>346</v>
      </c>
      <c r="K58" s="16" t="s">
        <v>410</v>
      </c>
      <c r="L58" s="19" t="n">
        <v>0.969</v>
      </c>
      <c r="M58" s="19" t="n">
        <v>0.988</v>
      </c>
      <c r="N58" s="16" t="s">
        <v>335</v>
      </c>
      <c r="O58" s="16" t="s">
        <v>411</v>
      </c>
      <c r="P58" s="16" t="s">
        <v>402</v>
      </c>
      <c r="Q58" s="20" t="n">
        <v>46281</v>
      </c>
      <c r="R58" s="16" t="s">
        <v>576</v>
      </c>
      <c r="S58" s="16" t="s">
        <v>404</v>
      </c>
      <c r="T58" s="17"/>
      <c r="U58" s="21" t="n">
        <v>1</v>
      </c>
      <c r="V58" s="21" t="n">
        <v>1</v>
      </c>
      <c r="W58" s="22" t="n">
        <v>4.4</v>
      </c>
      <c r="X58" s="16" t="s">
        <v>335</v>
      </c>
      <c r="Y58" s="16" t="s">
        <v>338</v>
      </c>
      <c r="Z58" s="16" t="s">
        <v>413</v>
      </c>
      <c r="AA58" s="16" t="s">
        <v>414</v>
      </c>
      <c r="AB58" s="23" t="s">
        <v>577</v>
      </c>
      <c r="AC58" s="17" t="n">
        <v>46281.5659606482</v>
      </c>
      <c r="AD58" s="16" t="s">
        <v>338</v>
      </c>
      <c r="AE58" s="16"/>
      <c r="AF58" s="16" t="str">
        <f aca="false">IF(COUNTIF(لیست_سفید!$A$2:$A$21,B58)&gt;0,"بله","خیر")</f>
        <v>خیر</v>
      </c>
      <c r="AG58" s="24" t="n">
        <f aca="false">IF(H58="","",IF(AD58="فیش مفقودی",تنظیمات!$B$6,(INT(I58/1440)*تنظیمات!$B$5+IF(MOD(I58,1440)&lt;=تنظیمات!$B$2,0,MIN(تنظیمات!$B$5,تنظیمات!$B$3+MAX(0,ROUNDUP((MOD(I58,1440)-60)/60,0))*تنظیمات!$B$4)))*INDEX(تعرفه!$B$2:$B$7,MATCH(AD58,تعرفه!$A$2:$A$7,0))))</f>
        <v>34000</v>
      </c>
      <c r="AH58" s="24" t="n">
        <v>34000</v>
      </c>
      <c r="AI58" s="24" t="n">
        <f aca="false">IF(AG58="","",AH58-AG58)</f>
        <v>0</v>
      </c>
      <c r="AJ58" s="21" t="n">
        <v>-1</v>
      </c>
      <c r="AK58" s="21" t="n">
        <v>0</v>
      </c>
      <c r="AL58" s="16" t="s">
        <v>335</v>
      </c>
      <c r="AM58" s="16"/>
      <c r="AN58" s="16" t="s">
        <v>340</v>
      </c>
      <c r="AO58" s="16" t="s">
        <v>340</v>
      </c>
      <c r="AP58" s="16" t="s">
        <v>335</v>
      </c>
      <c r="AQ58" s="16"/>
      <c r="AR58" s="21" t="n">
        <f aca="false">IF(AND(T58&lt;&gt;"",H58&lt;&gt;""),IF(AND((T58-H58)*86400&gt;=0,(T58-H58)*86400&lt;تنظیمات!$B$13),1,0),0)</f>
        <v>0</v>
      </c>
      <c r="AS58" s="21" t="n">
        <f aca="false">IF(Z58="پوز",IF(OR(AB58="",COUNTIF(پوزها!$A$2:$A$5,AA58)=0),1,0),0)</f>
        <v>0</v>
      </c>
      <c r="AT58" s="21" t="n">
        <f aca="false">IF(AI58="",0,IF(AI58&gt;0,1,0))</f>
        <v>0</v>
      </c>
      <c r="AU58" s="21" t="n">
        <f aca="false">IF(AI58="",0,IF(AI58&lt;0,1,0))</f>
        <v>0</v>
      </c>
      <c r="AV58" s="21" t="n">
        <f aca="false">IF(U58&gt;V58,1,0)</f>
        <v>0</v>
      </c>
      <c r="AW58" s="21" t="n">
        <f aca="false">IF(OR(W58&gt;تنظیمات!$B$8,X58="بله"),1,0)</f>
        <v>0</v>
      </c>
      <c r="AX58" s="21" t="n">
        <f aca="false">IF(AND(N58="بله",L58&gt;تنظیمات!$B$9),1,0)</f>
        <v>0</v>
      </c>
      <c r="AY58" s="21" t="n">
        <f aca="false">IF(Y58="معکوس",1,0)</f>
        <v>0</v>
      </c>
      <c r="AZ58" s="21" t="n">
        <f aca="false">IF(ABS(AJ58)&gt;تنظیمات!$B$10,1,0)</f>
        <v>0</v>
      </c>
      <c r="BA58" s="21" t="n">
        <f aca="false">IF(AND(OR(AD58="رایگان/VIP",AD58="جانباز"),AF58="خیر"),1,0)</f>
        <v>0</v>
      </c>
      <c r="BB58" s="21" t="n">
        <f aca="false">IF(AE58="",0,IF(COUNTIF($AE$2:$AE$1001,AE58)&gt;1,1,0))</f>
        <v>0</v>
      </c>
      <c r="BC58" s="21" t="n">
        <f aca="false">IF(AND(H58="",I58&gt;تنظیمات!$B$12*60,AM58="خالی"),1,0)</f>
        <v>0</v>
      </c>
      <c r="BD58" s="21" t="n">
        <f aca="false">IF(AND(AP58="بله",I58&lt;تنظیمات!$B$14,AO58="خیر"),1,0)</f>
        <v>0</v>
      </c>
      <c r="BE58" s="21" t="n">
        <f aca="false">IF(AN58="خیر",1,0)</f>
        <v>0</v>
      </c>
      <c r="BF58" s="21" t="n">
        <f aca="false">IF(AND(AD58="فیش مفقودی",AQ58="بله",I58&gt;تنظیمات!$B$12*60),1,0)</f>
        <v>0</v>
      </c>
      <c r="BG58" s="21" t="n">
        <f aca="false">IF(AND(AK58&gt;تنظیمات!$B$11,AL58="بله"),1,0)</f>
        <v>0</v>
      </c>
      <c r="BH58" s="21" t="n">
        <f aca="false">MIN(100,AR58*تنظیمات!$B$21+AS58*تنظیمات!$B$22+AT58*تنظیمات!$B$23+AU58*تنظیمات!$B$24+AV58*تنظیمات!$B$25+AW58*تنظیمات!$B$26+AX58*تنظیمات!$B$27+AY58*تنظیمات!$B$28+AZ58*تنظیمات!$B$29+BA58*تنظیمات!$B$30+BB58*تنظیمات!$B$31+BC58*تنظیمات!$B$32+BD58*تنظیمات!$B$33+BE58*تنظیمات!$B$34+BF58*تنظیمات!$B$35+BG58*تنظیمات!$B$36)</f>
        <v>0</v>
      </c>
      <c r="BI58" s="16" t="str">
        <f aca="false">IF(BH58&gt;=60,"بحرانی",IF(BH58&gt;=30,"مشکوک",IF(BH58&gt;0,"هشدار","عادی")))</f>
        <v>عادی</v>
      </c>
      <c r="BJ58" s="16" t="s">
        <v>338</v>
      </c>
    </row>
    <row r="59" customFormat="false" ht="15" hidden="false" customHeight="false" outlineLevel="0" collapsed="false">
      <c r="A59" s="16" t="s">
        <v>578</v>
      </c>
      <c r="B59" s="16" t="s">
        <v>579</v>
      </c>
      <c r="C59" s="16"/>
      <c r="D59" s="16" t="s">
        <v>350</v>
      </c>
      <c r="E59" s="16" t="s">
        <v>375</v>
      </c>
      <c r="F59" s="16" t="s">
        <v>333</v>
      </c>
      <c r="G59" s="17" t="n">
        <v>46281.5073842593</v>
      </c>
      <c r="H59" s="17" t="n">
        <v>46281.5684953704</v>
      </c>
      <c r="I59" s="18" t="n">
        <f aca="false">IF(H59="",ROUND((تنظیمات!$B$7-G59)*1440,0),ROUND((H59-G59)*1440,0))</f>
        <v>88</v>
      </c>
      <c r="J59" s="16" t="s">
        <v>346</v>
      </c>
      <c r="K59" s="16" t="s">
        <v>400</v>
      </c>
      <c r="L59" s="19" t="n">
        <v>0.979</v>
      </c>
      <c r="M59" s="19" t="n">
        <v>0.886</v>
      </c>
      <c r="N59" s="16" t="s">
        <v>335</v>
      </c>
      <c r="O59" s="16" t="s">
        <v>441</v>
      </c>
      <c r="P59" s="16" t="s">
        <v>402</v>
      </c>
      <c r="Q59" s="20" t="n">
        <v>46281</v>
      </c>
      <c r="R59" s="16" t="s">
        <v>580</v>
      </c>
      <c r="S59" s="16" t="s">
        <v>404</v>
      </c>
      <c r="T59" s="17"/>
      <c r="U59" s="21" t="n">
        <v>1</v>
      </c>
      <c r="V59" s="21" t="n">
        <v>1</v>
      </c>
      <c r="W59" s="22" t="n">
        <v>5.4</v>
      </c>
      <c r="X59" s="16" t="s">
        <v>335</v>
      </c>
      <c r="Y59" s="16" t="s">
        <v>338</v>
      </c>
      <c r="Z59" s="16" t="s">
        <v>413</v>
      </c>
      <c r="AA59" s="16" t="s">
        <v>427</v>
      </c>
      <c r="AB59" s="23" t="s">
        <v>581</v>
      </c>
      <c r="AC59" s="17" t="n">
        <v>46281.5675347222</v>
      </c>
      <c r="AD59" s="16" t="s">
        <v>338</v>
      </c>
      <c r="AE59" s="16"/>
      <c r="AF59" s="16" t="str">
        <f aca="false">IF(COUNTIF(لیست_سفید!$A$2:$A$21,B59)&gt;0,"بله","خیر")</f>
        <v>خیر</v>
      </c>
      <c r="AG59" s="24" t="n">
        <f aca="false">IF(H59="","",IF(AD59="فیش مفقودی",تنظیمات!$B$6,(INT(I59/1440)*تنظیمات!$B$5+IF(MOD(I59,1440)&lt;=تنظیمات!$B$2,0,MIN(تنظیمات!$B$5,تنظیمات!$B$3+MAX(0,ROUNDUP((MOD(I59,1440)-60)/60,0))*تنظیمات!$B$4)))*INDEX(تعرفه!$B$2:$B$7,MATCH(AD59,تعرفه!$A$2:$A$7,0))))</f>
        <v>34000</v>
      </c>
      <c r="AH59" s="24" t="n">
        <v>34000</v>
      </c>
      <c r="AI59" s="24" t="n">
        <f aca="false">IF(AG59="","",AH59-AG59)</f>
        <v>0</v>
      </c>
      <c r="AJ59" s="21" t="n">
        <v>0</v>
      </c>
      <c r="AK59" s="21" t="n">
        <v>0</v>
      </c>
      <c r="AL59" s="16" t="s">
        <v>335</v>
      </c>
      <c r="AM59" s="16"/>
      <c r="AN59" s="16" t="s">
        <v>340</v>
      </c>
      <c r="AO59" s="16" t="s">
        <v>340</v>
      </c>
      <c r="AP59" s="16" t="s">
        <v>335</v>
      </c>
      <c r="AQ59" s="16"/>
      <c r="AR59" s="21" t="n">
        <f aca="false">IF(AND(T59&lt;&gt;"",H59&lt;&gt;""),IF(AND((T59-H59)*86400&gt;=0,(T59-H59)*86400&lt;تنظیمات!$B$13),1,0),0)</f>
        <v>0</v>
      </c>
      <c r="AS59" s="21" t="n">
        <f aca="false">IF(Z59="پوز",IF(OR(AB59="",COUNTIF(پوزها!$A$2:$A$5,AA59)=0),1,0),0)</f>
        <v>0</v>
      </c>
      <c r="AT59" s="21" t="n">
        <f aca="false">IF(AI59="",0,IF(AI59&gt;0,1,0))</f>
        <v>0</v>
      </c>
      <c r="AU59" s="21" t="n">
        <f aca="false">IF(AI59="",0,IF(AI59&lt;0,1,0))</f>
        <v>0</v>
      </c>
      <c r="AV59" s="21" t="n">
        <f aca="false">IF(U59&gt;V59,1,0)</f>
        <v>0</v>
      </c>
      <c r="AW59" s="21" t="n">
        <f aca="false">IF(OR(W59&gt;تنظیمات!$B$8,X59="بله"),1,0)</f>
        <v>0</v>
      </c>
      <c r="AX59" s="21" t="n">
        <f aca="false">IF(AND(N59="بله",L59&gt;تنظیمات!$B$9),1,0)</f>
        <v>0</v>
      </c>
      <c r="AY59" s="21" t="n">
        <f aca="false">IF(Y59="معکوس",1,0)</f>
        <v>0</v>
      </c>
      <c r="AZ59" s="21" t="n">
        <f aca="false">IF(ABS(AJ59)&gt;تنظیمات!$B$10,1,0)</f>
        <v>0</v>
      </c>
      <c r="BA59" s="21" t="n">
        <f aca="false">IF(AND(OR(AD59="رایگان/VIP",AD59="جانباز"),AF59="خیر"),1,0)</f>
        <v>0</v>
      </c>
      <c r="BB59" s="21" t="n">
        <f aca="false">IF(AE59="",0,IF(COUNTIF($AE$2:$AE$1001,AE59)&gt;1,1,0))</f>
        <v>0</v>
      </c>
      <c r="BC59" s="21" t="n">
        <f aca="false">IF(AND(H59="",I59&gt;تنظیمات!$B$12*60,AM59="خالی"),1,0)</f>
        <v>0</v>
      </c>
      <c r="BD59" s="21" t="n">
        <f aca="false">IF(AND(AP59="بله",I59&lt;تنظیمات!$B$14,AO59="خیر"),1,0)</f>
        <v>0</v>
      </c>
      <c r="BE59" s="21" t="n">
        <f aca="false">IF(AN59="خیر",1,0)</f>
        <v>0</v>
      </c>
      <c r="BF59" s="21" t="n">
        <f aca="false">IF(AND(AD59="فیش مفقودی",AQ59="بله",I59&gt;تنظیمات!$B$12*60),1,0)</f>
        <v>0</v>
      </c>
      <c r="BG59" s="21" t="n">
        <f aca="false">IF(AND(AK59&gt;تنظیمات!$B$11,AL59="بله"),1,0)</f>
        <v>0</v>
      </c>
      <c r="BH59" s="21" t="n">
        <f aca="false">MIN(100,AR59*تنظیمات!$B$21+AS59*تنظیمات!$B$22+AT59*تنظیمات!$B$23+AU59*تنظیمات!$B$24+AV59*تنظیمات!$B$25+AW59*تنظیمات!$B$26+AX59*تنظیمات!$B$27+AY59*تنظیمات!$B$28+AZ59*تنظیمات!$B$29+BA59*تنظیمات!$B$30+BB59*تنظیمات!$B$31+BC59*تنظیمات!$B$32+BD59*تنظیمات!$B$33+BE59*تنظیمات!$B$34+BF59*تنظیمات!$B$35+BG59*تنظیمات!$B$36)</f>
        <v>0</v>
      </c>
      <c r="BI59" s="16" t="str">
        <f aca="false">IF(BH59&gt;=60,"بحرانی",IF(BH59&gt;=30,"مشکوک",IF(BH59&gt;0,"هشدار","عادی")))</f>
        <v>عادی</v>
      </c>
      <c r="BJ59" s="16" t="s">
        <v>338</v>
      </c>
    </row>
    <row r="60" customFormat="false" ht="15" hidden="false" customHeight="false" outlineLevel="0" collapsed="false">
      <c r="A60" s="16" t="s">
        <v>582</v>
      </c>
      <c r="B60" s="16" t="s">
        <v>583</v>
      </c>
      <c r="C60" s="16"/>
      <c r="D60" s="16" t="s">
        <v>331</v>
      </c>
      <c r="E60" s="16" t="s">
        <v>363</v>
      </c>
      <c r="F60" s="16" t="s">
        <v>333</v>
      </c>
      <c r="G60" s="17" t="n">
        <v>46281.5097569445</v>
      </c>
      <c r="H60" s="17" t="n">
        <v>46281.8014236111</v>
      </c>
      <c r="I60" s="18" t="n">
        <f aca="false">IF(H60="",ROUND((تنظیمات!$B$7-G60)*1440,0),ROUND((H60-G60)*1440,0))</f>
        <v>420</v>
      </c>
      <c r="J60" s="16" t="s">
        <v>346</v>
      </c>
      <c r="K60" s="16" t="s">
        <v>400</v>
      </c>
      <c r="L60" s="19" t="n">
        <v>0.934</v>
      </c>
      <c r="M60" s="19" t="n">
        <v>0.876</v>
      </c>
      <c r="N60" s="16" t="s">
        <v>335</v>
      </c>
      <c r="O60" s="16" t="s">
        <v>401</v>
      </c>
      <c r="P60" s="16" t="s">
        <v>420</v>
      </c>
      <c r="Q60" s="20" t="n">
        <v>46281</v>
      </c>
      <c r="R60" s="16" t="s">
        <v>584</v>
      </c>
      <c r="S60" s="16" t="s">
        <v>404</v>
      </c>
      <c r="T60" s="17"/>
      <c r="U60" s="21" t="n">
        <v>1</v>
      </c>
      <c r="V60" s="21" t="n">
        <v>1</v>
      </c>
      <c r="W60" s="22" t="n">
        <v>5.1</v>
      </c>
      <c r="X60" s="16" t="s">
        <v>335</v>
      </c>
      <c r="Y60" s="16" t="s">
        <v>338</v>
      </c>
      <c r="Z60" s="16" t="s">
        <v>443</v>
      </c>
      <c r="AA60" s="16"/>
      <c r="AB60" s="23"/>
      <c r="AC60" s="17"/>
      <c r="AD60" s="16" t="s">
        <v>444</v>
      </c>
      <c r="AE60" s="16"/>
      <c r="AF60" s="16" t="str">
        <f aca="false">IF(COUNTIF(لیست_سفید!$A$2:$A$21,B60)&gt;0,"بله","خیر")</f>
        <v>خیر</v>
      </c>
      <c r="AG60" s="24" t="n">
        <f aca="false">IF(H60="","",IF(AD60="فیش مفقودی",تنظیمات!$B$6,(INT(I60/1440)*تنظیمات!$B$5+IF(MOD(I60,1440)&lt;=تنظیمات!$B$2,0,MIN(تنظیمات!$B$5,تنظیمات!$B$3+MAX(0,ROUNDUP((MOD(I60,1440)-60)/60,0))*تنظیمات!$B$4)))*INDEX(تعرفه!$B$2:$B$7,MATCH(AD60,تعرفه!$A$2:$A$7,0))))</f>
        <v>0</v>
      </c>
      <c r="AH60" s="24" t="n">
        <v>0</v>
      </c>
      <c r="AI60" s="24" t="n">
        <f aca="false">IF(AG60="","",AH60-AG60)</f>
        <v>0</v>
      </c>
      <c r="AJ60" s="21" t="n">
        <v>2</v>
      </c>
      <c r="AK60" s="21" t="n">
        <v>0</v>
      </c>
      <c r="AL60" s="16" t="s">
        <v>335</v>
      </c>
      <c r="AM60" s="16"/>
      <c r="AN60" s="16" t="s">
        <v>340</v>
      </c>
      <c r="AO60" s="16" t="s">
        <v>340</v>
      </c>
      <c r="AP60" s="16" t="s">
        <v>335</v>
      </c>
      <c r="AQ60" s="16"/>
      <c r="AR60" s="21" t="n">
        <f aca="false">IF(AND(T60&lt;&gt;"",H60&lt;&gt;""),IF(AND((T60-H60)*86400&gt;=0,(T60-H60)*86400&lt;تنظیمات!$B$13),1,0),0)</f>
        <v>0</v>
      </c>
      <c r="AS60" s="21" t="n">
        <f aca="false">IF(Z60="پوز",IF(OR(AB60="",COUNTIF(پوزها!$A$2:$A$5,AA60)=0),1,0),0)</f>
        <v>0</v>
      </c>
      <c r="AT60" s="21" t="n">
        <f aca="false">IF(AI60="",0,IF(AI60&gt;0,1,0))</f>
        <v>0</v>
      </c>
      <c r="AU60" s="21" t="n">
        <f aca="false">IF(AI60="",0,IF(AI60&lt;0,1,0))</f>
        <v>0</v>
      </c>
      <c r="AV60" s="21" t="n">
        <f aca="false">IF(U60&gt;V60,1,0)</f>
        <v>0</v>
      </c>
      <c r="AW60" s="21" t="n">
        <f aca="false">IF(OR(W60&gt;تنظیمات!$B$8,X60="بله"),1,0)</f>
        <v>0</v>
      </c>
      <c r="AX60" s="21" t="n">
        <f aca="false">IF(AND(N60="بله",L60&gt;تنظیمات!$B$9),1,0)</f>
        <v>0</v>
      </c>
      <c r="AY60" s="21" t="n">
        <f aca="false">IF(Y60="معکوس",1,0)</f>
        <v>0</v>
      </c>
      <c r="AZ60" s="21" t="n">
        <f aca="false">IF(ABS(AJ60)&gt;تنظیمات!$B$10,1,0)</f>
        <v>0</v>
      </c>
      <c r="BA60" s="21" t="n">
        <f aca="false">IF(AND(OR(AD60="رایگان/VIP",AD60="جانباز"),AF60="خیر"),1,0)</f>
        <v>0</v>
      </c>
      <c r="BB60" s="21" t="n">
        <f aca="false">IF(AE60="",0,IF(COUNTIF($AE$2:$AE$1001,AE60)&gt;1,1,0))</f>
        <v>0</v>
      </c>
      <c r="BC60" s="21" t="n">
        <f aca="false">IF(AND(H60="",I60&gt;تنظیمات!$B$12*60,AM60="خالی"),1,0)</f>
        <v>0</v>
      </c>
      <c r="BD60" s="21" t="n">
        <f aca="false">IF(AND(AP60="بله",I60&lt;تنظیمات!$B$14,AO60="خیر"),1,0)</f>
        <v>0</v>
      </c>
      <c r="BE60" s="21" t="n">
        <f aca="false">IF(AN60="خیر",1,0)</f>
        <v>0</v>
      </c>
      <c r="BF60" s="21" t="n">
        <f aca="false">IF(AND(AD60="فیش مفقودی",AQ60="بله",I60&gt;تنظیمات!$B$12*60),1,0)</f>
        <v>0</v>
      </c>
      <c r="BG60" s="21" t="n">
        <f aca="false">IF(AND(AK60&gt;تنظیمات!$B$11,AL60="بله"),1,0)</f>
        <v>0</v>
      </c>
      <c r="BH60" s="21" t="n">
        <f aca="false">MIN(100,AR60*تنظیمات!$B$21+AS60*تنظیمات!$B$22+AT60*تنظیمات!$B$23+AU60*تنظیمات!$B$24+AV60*تنظیمات!$B$25+AW60*تنظیمات!$B$26+AX60*تنظیمات!$B$27+AY60*تنظیمات!$B$28+AZ60*تنظیمات!$B$29+BA60*تنظیمات!$B$30+BB60*تنظیمات!$B$31+BC60*تنظیمات!$B$32+BD60*تنظیمات!$B$33+BE60*تنظیمات!$B$34+BF60*تنظیمات!$B$35+BG60*تنظیمات!$B$36)</f>
        <v>0</v>
      </c>
      <c r="BI60" s="16" t="str">
        <f aca="false">IF(BH60&gt;=60,"بحرانی",IF(BH60&gt;=30,"مشکوک",IF(BH60&gt;0,"هشدار","عادی")))</f>
        <v>عادی</v>
      </c>
      <c r="BJ60" s="16" t="s">
        <v>338</v>
      </c>
    </row>
    <row r="61" customFormat="false" ht="15" hidden="false" customHeight="false" outlineLevel="0" collapsed="false">
      <c r="A61" s="16" t="s">
        <v>585</v>
      </c>
      <c r="B61" s="16" t="s">
        <v>586</v>
      </c>
      <c r="C61" s="16"/>
      <c r="D61" s="16" t="s">
        <v>382</v>
      </c>
      <c r="E61" s="16" t="s">
        <v>345</v>
      </c>
      <c r="F61" s="16" t="s">
        <v>333</v>
      </c>
      <c r="G61" s="17" t="n">
        <v>46281.5142824074</v>
      </c>
      <c r="H61" s="17" t="n">
        <v>46281.563587963</v>
      </c>
      <c r="I61" s="18" t="n">
        <f aca="false">IF(H61="",ROUND((تنظیمات!$B$7-G61)*1440,0),ROUND((H61-G61)*1440,0))</f>
        <v>71</v>
      </c>
      <c r="J61" s="16" t="s">
        <v>346</v>
      </c>
      <c r="K61" s="16" t="s">
        <v>410</v>
      </c>
      <c r="L61" s="19" t="n">
        <v>0.915</v>
      </c>
      <c r="M61" s="19" t="n">
        <v>0.898</v>
      </c>
      <c r="N61" s="16" t="s">
        <v>335</v>
      </c>
      <c r="O61" s="16" t="s">
        <v>411</v>
      </c>
      <c r="P61" s="16" t="s">
        <v>402</v>
      </c>
      <c r="Q61" s="20" t="n">
        <v>46281</v>
      </c>
      <c r="R61" s="16" t="s">
        <v>587</v>
      </c>
      <c r="S61" s="16" t="s">
        <v>404</v>
      </c>
      <c r="T61" s="17"/>
      <c r="U61" s="21" t="n">
        <v>1</v>
      </c>
      <c r="V61" s="21" t="n">
        <v>1</v>
      </c>
      <c r="W61" s="22" t="n">
        <v>4.7</v>
      </c>
      <c r="X61" s="16" t="s">
        <v>335</v>
      </c>
      <c r="Y61" s="16" t="s">
        <v>338</v>
      </c>
      <c r="Z61" s="16" t="s">
        <v>413</v>
      </c>
      <c r="AA61" s="16" t="s">
        <v>414</v>
      </c>
      <c r="AB61" s="23" t="s">
        <v>588</v>
      </c>
      <c r="AC61" s="17" t="n">
        <v>46281.5629976852</v>
      </c>
      <c r="AD61" s="16" t="s">
        <v>338</v>
      </c>
      <c r="AE61" s="16"/>
      <c r="AF61" s="16" t="str">
        <f aca="false">IF(COUNTIF(لیست_سفید!$A$2:$A$21,B61)&gt;0,"بله","خیر")</f>
        <v>خیر</v>
      </c>
      <c r="AG61" s="24" t="n">
        <f aca="false">IF(H61="","",IF(AD61="فیش مفقودی",تنظیمات!$B$6,(INT(I61/1440)*تنظیمات!$B$5+IF(MOD(I61,1440)&lt;=تنظیمات!$B$2,0,MIN(تنظیمات!$B$5,تنظیمات!$B$3+MAX(0,ROUNDUP((MOD(I61,1440)-60)/60,0))*تنظیمات!$B$4)))*INDEX(تعرفه!$B$2:$B$7,MATCH(AD61,تعرفه!$A$2:$A$7,0))))</f>
        <v>34000</v>
      </c>
      <c r="AH61" s="24" t="n">
        <v>34000</v>
      </c>
      <c r="AI61" s="24" t="n">
        <f aca="false">IF(AG61="","",AH61-AG61)</f>
        <v>0</v>
      </c>
      <c r="AJ61" s="21" t="n">
        <v>0</v>
      </c>
      <c r="AK61" s="21" t="n">
        <v>0</v>
      </c>
      <c r="AL61" s="16" t="s">
        <v>335</v>
      </c>
      <c r="AM61" s="16"/>
      <c r="AN61" s="16" t="s">
        <v>340</v>
      </c>
      <c r="AO61" s="16" t="s">
        <v>340</v>
      </c>
      <c r="AP61" s="16" t="s">
        <v>335</v>
      </c>
      <c r="AQ61" s="16"/>
      <c r="AR61" s="21" t="n">
        <f aca="false">IF(AND(T61&lt;&gt;"",H61&lt;&gt;""),IF(AND((T61-H61)*86400&gt;=0,(T61-H61)*86400&lt;تنظیمات!$B$13),1,0),0)</f>
        <v>0</v>
      </c>
      <c r="AS61" s="21" t="n">
        <f aca="false">IF(Z61="پوز",IF(OR(AB61="",COUNTIF(پوزها!$A$2:$A$5,AA61)=0),1,0),0)</f>
        <v>0</v>
      </c>
      <c r="AT61" s="21" t="n">
        <f aca="false">IF(AI61="",0,IF(AI61&gt;0,1,0))</f>
        <v>0</v>
      </c>
      <c r="AU61" s="21" t="n">
        <f aca="false">IF(AI61="",0,IF(AI61&lt;0,1,0))</f>
        <v>0</v>
      </c>
      <c r="AV61" s="21" t="n">
        <f aca="false">IF(U61&gt;V61,1,0)</f>
        <v>0</v>
      </c>
      <c r="AW61" s="21" t="n">
        <f aca="false">IF(OR(W61&gt;تنظیمات!$B$8,X61="بله"),1,0)</f>
        <v>0</v>
      </c>
      <c r="AX61" s="21" t="n">
        <f aca="false">IF(AND(N61="بله",L61&gt;تنظیمات!$B$9),1,0)</f>
        <v>0</v>
      </c>
      <c r="AY61" s="21" t="n">
        <f aca="false">IF(Y61="معکوس",1,0)</f>
        <v>0</v>
      </c>
      <c r="AZ61" s="21" t="n">
        <f aca="false">IF(ABS(AJ61)&gt;تنظیمات!$B$10,1,0)</f>
        <v>0</v>
      </c>
      <c r="BA61" s="21" t="n">
        <f aca="false">IF(AND(OR(AD61="رایگان/VIP",AD61="جانباز"),AF61="خیر"),1,0)</f>
        <v>0</v>
      </c>
      <c r="BB61" s="21" t="n">
        <f aca="false">IF(AE61="",0,IF(COUNTIF($AE$2:$AE$1001,AE61)&gt;1,1,0))</f>
        <v>0</v>
      </c>
      <c r="BC61" s="21" t="n">
        <f aca="false">IF(AND(H61="",I61&gt;تنظیمات!$B$12*60,AM61="خالی"),1,0)</f>
        <v>0</v>
      </c>
      <c r="BD61" s="21" t="n">
        <f aca="false">IF(AND(AP61="بله",I61&lt;تنظیمات!$B$14,AO61="خیر"),1,0)</f>
        <v>0</v>
      </c>
      <c r="BE61" s="21" t="n">
        <f aca="false">IF(AN61="خیر",1,0)</f>
        <v>0</v>
      </c>
      <c r="BF61" s="21" t="n">
        <f aca="false">IF(AND(AD61="فیش مفقودی",AQ61="بله",I61&gt;تنظیمات!$B$12*60),1,0)</f>
        <v>0</v>
      </c>
      <c r="BG61" s="21" t="n">
        <f aca="false">IF(AND(AK61&gt;تنظیمات!$B$11,AL61="بله"),1,0)</f>
        <v>0</v>
      </c>
      <c r="BH61" s="21" t="n">
        <f aca="false">MIN(100,AR61*تنظیمات!$B$21+AS61*تنظیمات!$B$22+AT61*تنظیمات!$B$23+AU61*تنظیمات!$B$24+AV61*تنظیمات!$B$25+AW61*تنظیمات!$B$26+AX61*تنظیمات!$B$27+AY61*تنظیمات!$B$28+AZ61*تنظیمات!$B$29+BA61*تنظیمات!$B$30+BB61*تنظیمات!$B$31+BC61*تنظیمات!$B$32+BD61*تنظیمات!$B$33+BE61*تنظیمات!$B$34+BF61*تنظیمات!$B$35+BG61*تنظیمات!$B$36)</f>
        <v>0</v>
      </c>
      <c r="BI61" s="16" t="str">
        <f aca="false">IF(BH61&gt;=60,"بحرانی",IF(BH61&gt;=30,"مشکوک",IF(BH61&gt;0,"هشدار","عادی")))</f>
        <v>عادی</v>
      </c>
      <c r="BJ61" s="16" t="s">
        <v>338</v>
      </c>
    </row>
    <row r="62" customFormat="false" ht="15" hidden="false" customHeight="false" outlineLevel="0" collapsed="false">
      <c r="A62" s="16" t="s">
        <v>589</v>
      </c>
      <c r="B62" s="16" t="s">
        <v>590</v>
      </c>
      <c r="C62" s="16"/>
      <c r="D62" s="16" t="s">
        <v>450</v>
      </c>
      <c r="E62" s="16" t="s">
        <v>390</v>
      </c>
      <c r="F62" s="16" t="s">
        <v>333</v>
      </c>
      <c r="G62" s="17" t="n">
        <v>46281.5162152778</v>
      </c>
      <c r="H62" s="17" t="n">
        <v>46281.5557986111</v>
      </c>
      <c r="I62" s="18" t="n">
        <f aca="false">IF(H62="",ROUND((تنظیمات!$B$7-G62)*1440,0),ROUND((H62-G62)*1440,0))</f>
        <v>57</v>
      </c>
      <c r="J62" s="16" t="s">
        <v>334</v>
      </c>
      <c r="K62" s="16" t="s">
        <v>410</v>
      </c>
      <c r="L62" s="19" t="n">
        <v>0.949</v>
      </c>
      <c r="M62" s="19" t="n">
        <v>0.992</v>
      </c>
      <c r="N62" s="16" t="s">
        <v>335</v>
      </c>
      <c r="O62" s="16" t="s">
        <v>411</v>
      </c>
      <c r="P62" s="16" t="s">
        <v>402</v>
      </c>
      <c r="Q62" s="20" t="n">
        <v>46281</v>
      </c>
      <c r="R62" s="16" t="s">
        <v>591</v>
      </c>
      <c r="S62" s="16" t="s">
        <v>404</v>
      </c>
      <c r="T62" s="17"/>
      <c r="U62" s="21" t="n">
        <v>1</v>
      </c>
      <c r="V62" s="21" t="n">
        <v>1</v>
      </c>
      <c r="W62" s="22" t="n">
        <v>6.8</v>
      </c>
      <c r="X62" s="16" t="s">
        <v>335</v>
      </c>
      <c r="Y62" s="16" t="s">
        <v>338</v>
      </c>
      <c r="Z62" s="16" t="s">
        <v>413</v>
      </c>
      <c r="AA62" s="16" t="s">
        <v>414</v>
      </c>
      <c r="AB62" s="23" t="s">
        <v>592</v>
      </c>
      <c r="AC62" s="17" t="n">
        <v>46281.5552083333</v>
      </c>
      <c r="AD62" s="16" t="s">
        <v>338</v>
      </c>
      <c r="AE62" s="16"/>
      <c r="AF62" s="16" t="str">
        <f aca="false">IF(COUNTIF(لیست_سفید!$A$2:$A$21,B62)&gt;0,"بله","خیر")</f>
        <v>خیر</v>
      </c>
      <c r="AG62" s="24" t="n">
        <f aca="false">IF(H62="","",IF(AD62="فیش مفقودی",تنظیمات!$B$6,(INT(I62/1440)*تنظیمات!$B$5+IF(MOD(I62,1440)&lt;=تنظیمات!$B$2,0,MIN(تنظیمات!$B$5,تنظیمات!$B$3+MAX(0,ROUNDUP((MOD(I62,1440)-60)/60,0))*تنظیمات!$B$4)))*INDEX(تعرفه!$B$2:$B$7,MATCH(AD62,تعرفه!$A$2:$A$7,0))))</f>
        <v>20000</v>
      </c>
      <c r="AH62" s="24" t="n">
        <v>20000</v>
      </c>
      <c r="AI62" s="24" t="n">
        <f aca="false">IF(AG62="","",AH62-AG62)</f>
        <v>0</v>
      </c>
      <c r="AJ62" s="21" t="n">
        <v>-1</v>
      </c>
      <c r="AK62" s="21" t="n">
        <v>0</v>
      </c>
      <c r="AL62" s="16" t="s">
        <v>335</v>
      </c>
      <c r="AM62" s="16"/>
      <c r="AN62" s="16" t="s">
        <v>340</v>
      </c>
      <c r="AO62" s="16" t="s">
        <v>340</v>
      </c>
      <c r="AP62" s="16" t="s">
        <v>335</v>
      </c>
      <c r="AQ62" s="16"/>
      <c r="AR62" s="21" t="n">
        <f aca="false">IF(AND(T62&lt;&gt;"",H62&lt;&gt;""),IF(AND((T62-H62)*86400&gt;=0,(T62-H62)*86400&lt;تنظیمات!$B$13),1,0),0)</f>
        <v>0</v>
      </c>
      <c r="AS62" s="21" t="n">
        <f aca="false">IF(Z62="پوز",IF(OR(AB62="",COUNTIF(پوزها!$A$2:$A$5,AA62)=0),1,0),0)</f>
        <v>0</v>
      </c>
      <c r="AT62" s="21" t="n">
        <f aca="false">IF(AI62="",0,IF(AI62&gt;0,1,0))</f>
        <v>0</v>
      </c>
      <c r="AU62" s="21" t="n">
        <f aca="false">IF(AI62="",0,IF(AI62&lt;0,1,0))</f>
        <v>0</v>
      </c>
      <c r="AV62" s="21" t="n">
        <f aca="false">IF(U62&gt;V62,1,0)</f>
        <v>0</v>
      </c>
      <c r="AW62" s="21" t="n">
        <f aca="false">IF(OR(W62&gt;تنظیمات!$B$8,X62="بله"),1,0)</f>
        <v>0</v>
      </c>
      <c r="AX62" s="21" t="n">
        <f aca="false">IF(AND(N62="بله",L62&gt;تنظیمات!$B$9),1,0)</f>
        <v>0</v>
      </c>
      <c r="AY62" s="21" t="n">
        <f aca="false">IF(Y62="معکوس",1,0)</f>
        <v>0</v>
      </c>
      <c r="AZ62" s="21" t="n">
        <f aca="false">IF(ABS(AJ62)&gt;تنظیمات!$B$10,1,0)</f>
        <v>0</v>
      </c>
      <c r="BA62" s="21" t="n">
        <f aca="false">IF(AND(OR(AD62="رایگان/VIP",AD62="جانباز"),AF62="خیر"),1,0)</f>
        <v>0</v>
      </c>
      <c r="BB62" s="21" t="n">
        <f aca="false">IF(AE62="",0,IF(COUNTIF($AE$2:$AE$1001,AE62)&gt;1,1,0))</f>
        <v>0</v>
      </c>
      <c r="BC62" s="21" t="n">
        <f aca="false">IF(AND(H62="",I62&gt;تنظیمات!$B$12*60,AM62="خالی"),1,0)</f>
        <v>0</v>
      </c>
      <c r="BD62" s="21" t="n">
        <f aca="false">IF(AND(AP62="بله",I62&lt;تنظیمات!$B$14,AO62="خیر"),1,0)</f>
        <v>0</v>
      </c>
      <c r="BE62" s="21" t="n">
        <f aca="false">IF(AN62="خیر",1,0)</f>
        <v>0</v>
      </c>
      <c r="BF62" s="21" t="n">
        <f aca="false">IF(AND(AD62="فیش مفقودی",AQ62="بله",I62&gt;تنظیمات!$B$12*60),1,0)</f>
        <v>0</v>
      </c>
      <c r="BG62" s="21" t="n">
        <f aca="false">IF(AND(AK62&gt;تنظیمات!$B$11,AL62="بله"),1,0)</f>
        <v>0</v>
      </c>
      <c r="BH62" s="21" t="n">
        <f aca="false">MIN(100,AR62*تنظیمات!$B$21+AS62*تنظیمات!$B$22+AT62*تنظیمات!$B$23+AU62*تنظیمات!$B$24+AV62*تنظیمات!$B$25+AW62*تنظیمات!$B$26+AX62*تنظیمات!$B$27+AY62*تنظیمات!$B$28+AZ62*تنظیمات!$B$29+BA62*تنظیمات!$B$30+BB62*تنظیمات!$B$31+BC62*تنظیمات!$B$32+BD62*تنظیمات!$B$33+BE62*تنظیمات!$B$34+BF62*تنظیمات!$B$35+BG62*تنظیمات!$B$36)</f>
        <v>0</v>
      </c>
      <c r="BI62" s="16" t="str">
        <f aca="false">IF(BH62&gt;=60,"بحرانی",IF(BH62&gt;=30,"مشکوک",IF(BH62&gt;0,"هشدار","عادی")))</f>
        <v>عادی</v>
      </c>
      <c r="BJ62" s="16" t="s">
        <v>338</v>
      </c>
    </row>
    <row r="63" customFormat="false" ht="15" hidden="false" customHeight="false" outlineLevel="0" collapsed="false">
      <c r="A63" s="16" t="s">
        <v>593</v>
      </c>
      <c r="B63" s="16" t="s">
        <v>594</v>
      </c>
      <c r="C63" s="16"/>
      <c r="D63" s="16" t="s">
        <v>431</v>
      </c>
      <c r="E63" s="16" t="s">
        <v>375</v>
      </c>
      <c r="F63" s="16" t="s">
        <v>333</v>
      </c>
      <c r="G63" s="17" t="n">
        <v>46281.5256597222</v>
      </c>
      <c r="H63" s="17" t="n">
        <v>46281.5721875</v>
      </c>
      <c r="I63" s="18" t="n">
        <f aca="false">IF(H63="",ROUND((تنظیمات!$B$7-G63)*1440,0),ROUND((H63-G63)*1440,0))</f>
        <v>67</v>
      </c>
      <c r="J63" s="16" t="s">
        <v>334</v>
      </c>
      <c r="K63" s="16" t="s">
        <v>410</v>
      </c>
      <c r="L63" s="19" t="n">
        <v>0.88</v>
      </c>
      <c r="M63" s="19" t="n">
        <v>0.99</v>
      </c>
      <c r="N63" s="16" t="s">
        <v>335</v>
      </c>
      <c r="O63" s="16" t="s">
        <v>411</v>
      </c>
      <c r="P63" s="16" t="s">
        <v>402</v>
      </c>
      <c r="Q63" s="20" t="n">
        <v>46281</v>
      </c>
      <c r="R63" s="16" t="s">
        <v>595</v>
      </c>
      <c r="S63" s="16" t="s">
        <v>404</v>
      </c>
      <c r="T63" s="17"/>
      <c r="U63" s="21" t="n">
        <v>1</v>
      </c>
      <c r="V63" s="21" t="n">
        <v>1</v>
      </c>
      <c r="W63" s="22" t="n">
        <v>6.1</v>
      </c>
      <c r="X63" s="16" t="s">
        <v>335</v>
      </c>
      <c r="Y63" s="16" t="s">
        <v>338</v>
      </c>
      <c r="Z63" s="16" t="s">
        <v>405</v>
      </c>
      <c r="AA63" s="16"/>
      <c r="AB63" s="23"/>
      <c r="AC63" s="17"/>
      <c r="AD63" s="16" t="s">
        <v>338</v>
      </c>
      <c r="AE63" s="16"/>
      <c r="AF63" s="16" t="str">
        <f aca="false">IF(COUNTIF(لیست_سفید!$A$2:$A$21,B63)&gt;0,"بله","خیر")</f>
        <v>خیر</v>
      </c>
      <c r="AG63" s="24" t="n">
        <f aca="false">IF(H63="","",IF(AD63="فیش مفقودی",تنظیمات!$B$6,(INT(I63/1440)*تنظیمات!$B$5+IF(MOD(I63,1440)&lt;=تنظیمات!$B$2,0,MIN(تنظیمات!$B$5,تنظیمات!$B$3+MAX(0,ROUNDUP((MOD(I63,1440)-60)/60,0))*تنظیمات!$B$4)))*INDEX(تعرفه!$B$2:$B$7,MATCH(AD63,تعرفه!$A$2:$A$7,0))))</f>
        <v>34000</v>
      </c>
      <c r="AH63" s="24" t="n">
        <v>34000</v>
      </c>
      <c r="AI63" s="24" t="n">
        <f aca="false">IF(AG63="","",AH63-AG63)</f>
        <v>0</v>
      </c>
      <c r="AJ63" s="21" t="n">
        <v>-3</v>
      </c>
      <c r="AK63" s="21" t="n">
        <v>0</v>
      </c>
      <c r="AL63" s="16" t="s">
        <v>335</v>
      </c>
      <c r="AM63" s="16"/>
      <c r="AN63" s="16" t="s">
        <v>340</v>
      </c>
      <c r="AO63" s="16" t="s">
        <v>340</v>
      </c>
      <c r="AP63" s="16" t="s">
        <v>335</v>
      </c>
      <c r="AQ63" s="16"/>
      <c r="AR63" s="21" t="n">
        <f aca="false">IF(AND(T63&lt;&gt;"",H63&lt;&gt;""),IF(AND((T63-H63)*86400&gt;=0,(T63-H63)*86400&lt;تنظیمات!$B$13),1,0),0)</f>
        <v>0</v>
      </c>
      <c r="AS63" s="21" t="n">
        <f aca="false">IF(Z63="پوز",IF(OR(AB63="",COUNTIF(پوزها!$A$2:$A$5,AA63)=0),1,0),0)</f>
        <v>0</v>
      </c>
      <c r="AT63" s="21" t="n">
        <f aca="false">IF(AI63="",0,IF(AI63&gt;0,1,0))</f>
        <v>0</v>
      </c>
      <c r="AU63" s="21" t="n">
        <f aca="false">IF(AI63="",0,IF(AI63&lt;0,1,0))</f>
        <v>0</v>
      </c>
      <c r="AV63" s="21" t="n">
        <f aca="false">IF(U63&gt;V63,1,0)</f>
        <v>0</v>
      </c>
      <c r="AW63" s="21" t="n">
        <f aca="false">IF(OR(W63&gt;تنظیمات!$B$8,X63="بله"),1,0)</f>
        <v>0</v>
      </c>
      <c r="AX63" s="21" t="n">
        <f aca="false">IF(AND(N63="بله",L63&gt;تنظیمات!$B$9),1,0)</f>
        <v>0</v>
      </c>
      <c r="AY63" s="21" t="n">
        <f aca="false">IF(Y63="معکوس",1,0)</f>
        <v>0</v>
      </c>
      <c r="AZ63" s="21" t="n">
        <f aca="false">IF(ABS(AJ63)&gt;تنظیمات!$B$10,1,0)</f>
        <v>0</v>
      </c>
      <c r="BA63" s="21" t="n">
        <f aca="false">IF(AND(OR(AD63="رایگان/VIP",AD63="جانباز"),AF63="خیر"),1,0)</f>
        <v>0</v>
      </c>
      <c r="BB63" s="21" t="n">
        <f aca="false">IF(AE63="",0,IF(COUNTIF($AE$2:$AE$1001,AE63)&gt;1,1,0))</f>
        <v>0</v>
      </c>
      <c r="BC63" s="21" t="n">
        <f aca="false">IF(AND(H63="",I63&gt;تنظیمات!$B$12*60,AM63="خالی"),1,0)</f>
        <v>0</v>
      </c>
      <c r="BD63" s="21" t="n">
        <f aca="false">IF(AND(AP63="بله",I63&lt;تنظیمات!$B$14,AO63="خیر"),1,0)</f>
        <v>0</v>
      </c>
      <c r="BE63" s="21" t="n">
        <f aca="false">IF(AN63="خیر",1,0)</f>
        <v>0</v>
      </c>
      <c r="BF63" s="21" t="n">
        <f aca="false">IF(AND(AD63="فیش مفقودی",AQ63="بله",I63&gt;تنظیمات!$B$12*60),1,0)</f>
        <v>0</v>
      </c>
      <c r="BG63" s="21" t="n">
        <f aca="false">IF(AND(AK63&gt;تنظیمات!$B$11,AL63="بله"),1,0)</f>
        <v>0</v>
      </c>
      <c r="BH63" s="21" t="n">
        <f aca="false">MIN(100,AR63*تنظیمات!$B$21+AS63*تنظیمات!$B$22+AT63*تنظیمات!$B$23+AU63*تنظیمات!$B$24+AV63*تنظیمات!$B$25+AW63*تنظیمات!$B$26+AX63*تنظیمات!$B$27+AY63*تنظیمات!$B$28+AZ63*تنظیمات!$B$29+BA63*تنظیمات!$B$30+BB63*تنظیمات!$B$31+BC63*تنظیمات!$B$32+BD63*تنظیمات!$B$33+BE63*تنظیمات!$B$34+BF63*تنظیمات!$B$35+BG63*تنظیمات!$B$36)</f>
        <v>0</v>
      </c>
      <c r="BI63" s="16" t="str">
        <f aca="false">IF(BH63&gt;=60,"بحرانی",IF(BH63&gt;=30,"مشکوک",IF(BH63&gt;0,"هشدار","عادی")))</f>
        <v>عادی</v>
      </c>
      <c r="BJ63" s="16" t="s">
        <v>338</v>
      </c>
    </row>
    <row r="64" customFormat="false" ht="15" hidden="false" customHeight="false" outlineLevel="0" collapsed="false">
      <c r="A64" s="16" t="s">
        <v>596</v>
      </c>
      <c r="B64" s="16" t="s">
        <v>597</v>
      </c>
      <c r="C64" s="16"/>
      <c r="D64" s="16" t="s">
        <v>523</v>
      </c>
      <c r="E64" s="16" t="s">
        <v>375</v>
      </c>
      <c r="F64" s="16" t="s">
        <v>333</v>
      </c>
      <c r="G64" s="17" t="n">
        <v>46281.5447106482</v>
      </c>
      <c r="H64" s="17" t="n">
        <v>46281.6127662037</v>
      </c>
      <c r="I64" s="18" t="n">
        <f aca="false">IF(H64="",ROUND((تنظیمات!$B$7-G64)*1440,0),ROUND((H64-G64)*1440,0))</f>
        <v>98</v>
      </c>
      <c r="J64" s="16" t="s">
        <v>346</v>
      </c>
      <c r="K64" s="16" t="s">
        <v>410</v>
      </c>
      <c r="L64" s="19" t="n">
        <v>0.995</v>
      </c>
      <c r="M64" s="19" t="n">
        <v>0.901</v>
      </c>
      <c r="N64" s="16" t="s">
        <v>335</v>
      </c>
      <c r="O64" s="16" t="s">
        <v>419</v>
      </c>
      <c r="P64" s="16" t="s">
        <v>420</v>
      </c>
      <c r="Q64" s="20" t="n">
        <v>46281</v>
      </c>
      <c r="R64" s="16" t="s">
        <v>598</v>
      </c>
      <c r="S64" s="16" t="s">
        <v>404</v>
      </c>
      <c r="T64" s="17"/>
      <c r="U64" s="21" t="n">
        <v>1</v>
      </c>
      <c r="V64" s="21" t="n">
        <v>1</v>
      </c>
      <c r="W64" s="22" t="n">
        <v>6.7</v>
      </c>
      <c r="X64" s="16" t="s">
        <v>335</v>
      </c>
      <c r="Y64" s="16" t="s">
        <v>338</v>
      </c>
      <c r="Z64" s="16" t="s">
        <v>405</v>
      </c>
      <c r="AA64" s="16"/>
      <c r="AB64" s="23"/>
      <c r="AC64" s="17"/>
      <c r="AD64" s="16" t="s">
        <v>338</v>
      </c>
      <c r="AE64" s="16"/>
      <c r="AF64" s="16" t="str">
        <f aca="false">IF(COUNTIF(لیست_سفید!$A$2:$A$21,B64)&gt;0,"بله","خیر")</f>
        <v>خیر</v>
      </c>
      <c r="AG64" s="24" t="n">
        <f aca="false">IF(H64="","",IF(AD64="فیش مفقودی",تنظیمات!$B$6,(INT(I64/1440)*تنظیمات!$B$5+IF(MOD(I64,1440)&lt;=تنظیمات!$B$2,0,MIN(تنظیمات!$B$5,تنظیمات!$B$3+MAX(0,ROUNDUP((MOD(I64,1440)-60)/60,0))*تنظیمات!$B$4)))*INDEX(تعرفه!$B$2:$B$7,MATCH(AD64,تعرفه!$A$2:$A$7,0))))</f>
        <v>34000</v>
      </c>
      <c r="AH64" s="24" t="n">
        <v>34000</v>
      </c>
      <c r="AI64" s="24" t="n">
        <f aca="false">IF(AG64="","",AH64-AG64)</f>
        <v>0</v>
      </c>
      <c r="AJ64" s="21" t="n">
        <v>2</v>
      </c>
      <c r="AK64" s="21" t="n">
        <v>0</v>
      </c>
      <c r="AL64" s="16" t="s">
        <v>335</v>
      </c>
      <c r="AM64" s="16"/>
      <c r="AN64" s="16" t="s">
        <v>340</v>
      </c>
      <c r="AO64" s="16" t="s">
        <v>340</v>
      </c>
      <c r="AP64" s="16" t="s">
        <v>335</v>
      </c>
      <c r="AQ64" s="16"/>
      <c r="AR64" s="21" t="n">
        <f aca="false">IF(AND(T64&lt;&gt;"",H64&lt;&gt;""),IF(AND((T64-H64)*86400&gt;=0,(T64-H64)*86400&lt;تنظیمات!$B$13),1,0),0)</f>
        <v>0</v>
      </c>
      <c r="AS64" s="21" t="n">
        <f aca="false">IF(Z64="پوز",IF(OR(AB64="",COUNTIF(پوزها!$A$2:$A$5,AA64)=0),1,0),0)</f>
        <v>0</v>
      </c>
      <c r="AT64" s="21" t="n">
        <f aca="false">IF(AI64="",0,IF(AI64&gt;0,1,0))</f>
        <v>0</v>
      </c>
      <c r="AU64" s="21" t="n">
        <f aca="false">IF(AI64="",0,IF(AI64&lt;0,1,0))</f>
        <v>0</v>
      </c>
      <c r="AV64" s="21" t="n">
        <f aca="false">IF(U64&gt;V64,1,0)</f>
        <v>0</v>
      </c>
      <c r="AW64" s="21" t="n">
        <f aca="false">IF(OR(W64&gt;تنظیمات!$B$8,X64="بله"),1,0)</f>
        <v>0</v>
      </c>
      <c r="AX64" s="21" t="n">
        <f aca="false">IF(AND(N64="بله",L64&gt;تنظیمات!$B$9),1,0)</f>
        <v>0</v>
      </c>
      <c r="AY64" s="21" t="n">
        <f aca="false">IF(Y64="معکوس",1,0)</f>
        <v>0</v>
      </c>
      <c r="AZ64" s="21" t="n">
        <f aca="false">IF(ABS(AJ64)&gt;تنظیمات!$B$10,1,0)</f>
        <v>0</v>
      </c>
      <c r="BA64" s="21" t="n">
        <f aca="false">IF(AND(OR(AD64="رایگان/VIP",AD64="جانباز"),AF64="خیر"),1,0)</f>
        <v>0</v>
      </c>
      <c r="BB64" s="21" t="n">
        <f aca="false">IF(AE64="",0,IF(COUNTIF($AE$2:$AE$1001,AE64)&gt;1,1,0))</f>
        <v>0</v>
      </c>
      <c r="BC64" s="21" t="n">
        <f aca="false">IF(AND(H64="",I64&gt;تنظیمات!$B$12*60,AM64="خالی"),1,0)</f>
        <v>0</v>
      </c>
      <c r="BD64" s="21" t="n">
        <f aca="false">IF(AND(AP64="بله",I64&lt;تنظیمات!$B$14,AO64="خیر"),1,0)</f>
        <v>0</v>
      </c>
      <c r="BE64" s="21" t="n">
        <f aca="false">IF(AN64="خیر",1,0)</f>
        <v>0</v>
      </c>
      <c r="BF64" s="21" t="n">
        <f aca="false">IF(AND(AD64="فیش مفقودی",AQ64="بله",I64&gt;تنظیمات!$B$12*60),1,0)</f>
        <v>0</v>
      </c>
      <c r="BG64" s="21" t="n">
        <f aca="false">IF(AND(AK64&gt;تنظیمات!$B$11,AL64="بله"),1,0)</f>
        <v>0</v>
      </c>
      <c r="BH64" s="21" t="n">
        <f aca="false">MIN(100,AR64*تنظیمات!$B$21+AS64*تنظیمات!$B$22+AT64*تنظیمات!$B$23+AU64*تنظیمات!$B$24+AV64*تنظیمات!$B$25+AW64*تنظیمات!$B$26+AX64*تنظیمات!$B$27+AY64*تنظیمات!$B$28+AZ64*تنظیمات!$B$29+BA64*تنظیمات!$B$30+BB64*تنظیمات!$B$31+BC64*تنظیمات!$B$32+BD64*تنظیمات!$B$33+BE64*تنظیمات!$B$34+BF64*تنظیمات!$B$35+BG64*تنظیمات!$B$36)</f>
        <v>0</v>
      </c>
      <c r="BI64" s="16" t="str">
        <f aca="false">IF(BH64&gt;=60,"بحرانی",IF(BH64&gt;=30,"مشکوک",IF(BH64&gt;0,"هشدار","عادی")))</f>
        <v>عادی</v>
      </c>
      <c r="BJ64" s="16" t="s">
        <v>338</v>
      </c>
    </row>
    <row r="65" customFormat="false" ht="15" hidden="false" customHeight="false" outlineLevel="0" collapsed="false">
      <c r="A65" s="16" t="s">
        <v>599</v>
      </c>
      <c r="B65" s="16" t="s">
        <v>600</v>
      </c>
      <c r="C65" s="16"/>
      <c r="D65" s="16" t="s">
        <v>382</v>
      </c>
      <c r="E65" s="16" t="s">
        <v>351</v>
      </c>
      <c r="F65" s="16" t="s">
        <v>333</v>
      </c>
      <c r="G65" s="17" t="n">
        <v>46281.5456712963</v>
      </c>
      <c r="H65" s="17" t="n">
        <v>46281.643587963</v>
      </c>
      <c r="I65" s="18" t="n">
        <f aca="false">IF(H65="",ROUND((تنظیمات!$B$7-G65)*1440,0),ROUND((H65-G65)*1440,0))</f>
        <v>141</v>
      </c>
      <c r="J65" s="16" t="s">
        <v>346</v>
      </c>
      <c r="K65" s="16" t="s">
        <v>400</v>
      </c>
      <c r="L65" s="19" t="n">
        <v>0.955</v>
      </c>
      <c r="M65" s="19" t="n">
        <v>0.974</v>
      </c>
      <c r="N65" s="16" t="s">
        <v>335</v>
      </c>
      <c r="O65" s="16" t="s">
        <v>401</v>
      </c>
      <c r="P65" s="16" t="s">
        <v>420</v>
      </c>
      <c r="Q65" s="20" t="n">
        <v>46281</v>
      </c>
      <c r="R65" s="16" t="s">
        <v>601</v>
      </c>
      <c r="S65" s="16" t="s">
        <v>404</v>
      </c>
      <c r="T65" s="17"/>
      <c r="U65" s="21" t="n">
        <v>1</v>
      </c>
      <c r="V65" s="21" t="n">
        <v>1</v>
      </c>
      <c r="W65" s="22" t="n">
        <v>7.4</v>
      </c>
      <c r="X65" s="16" t="s">
        <v>335</v>
      </c>
      <c r="Y65" s="16" t="s">
        <v>338</v>
      </c>
      <c r="Z65" s="16" t="s">
        <v>465</v>
      </c>
      <c r="AA65" s="16"/>
      <c r="AB65" s="23"/>
      <c r="AC65" s="17"/>
      <c r="AD65" s="16" t="s">
        <v>602</v>
      </c>
      <c r="AE65" s="16"/>
      <c r="AF65" s="16" t="str">
        <f aca="false">IF(COUNTIF(لیست_سفید!$A$2:$A$21,B65)&gt;0,"بله","خیر")</f>
        <v>بله</v>
      </c>
      <c r="AG65" s="24" t="n">
        <f aca="false">IF(H65="","",IF(AD65="فیش مفقودی",تنظیمات!$B$6,(INT(I65/1440)*تنظیمات!$B$5+IF(MOD(I65,1440)&lt;=تنظیمات!$B$2,0,MIN(تنظیمات!$B$5,تنظیمات!$B$3+MAX(0,ROUNDUP((MOD(I65,1440)-60)/60,0))*تنظیمات!$B$4)))*INDEX(تعرفه!$B$2:$B$7,MATCH(AD65,تعرفه!$A$2:$A$7,0))))</f>
        <v>0</v>
      </c>
      <c r="AH65" s="24" t="n">
        <v>0</v>
      </c>
      <c r="AI65" s="24" t="n">
        <f aca="false">IF(AG65="","",AH65-AG65)</f>
        <v>0</v>
      </c>
      <c r="AJ65" s="21" t="n">
        <v>1</v>
      </c>
      <c r="AK65" s="21" t="n">
        <v>0</v>
      </c>
      <c r="AL65" s="16" t="s">
        <v>335</v>
      </c>
      <c r="AM65" s="16"/>
      <c r="AN65" s="16" t="s">
        <v>340</v>
      </c>
      <c r="AO65" s="16" t="s">
        <v>340</v>
      </c>
      <c r="AP65" s="16" t="s">
        <v>335</v>
      </c>
      <c r="AQ65" s="16"/>
      <c r="AR65" s="21" t="n">
        <f aca="false">IF(AND(T65&lt;&gt;"",H65&lt;&gt;""),IF(AND((T65-H65)*86400&gt;=0,(T65-H65)*86400&lt;تنظیمات!$B$13),1,0),0)</f>
        <v>0</v>
      </c>
      <c r="AS65" s="21" t="n">
        <f aca="false">IF(Z65="پوز",IF(OR(AB65="",COUNTIF(پوزها!$A$2:$A$5,AA65)=0),1,0),0)</f>
        <v>0</v>
      </c>
      <c r="AT65" s="21" t="n">
        <f aca="false">IF(AI65="",0,IF(AI65&gt;0,1,0))</f>
        <v>0</v>
      </c>
      <c r="AU65" s="21" t="n">
        <f aca="false">IF(AI65="",0,IF(AI65&lt;0,1,0))</f>
        <v>0</v>
      </c>
      <c r="AV65" s="21" t="n">
        <f aca="false">IF(U65&gt;V65,1,0)</f>
        <v>0</v>
      </c>
      <c r="AW65" s="21" t="n">
        <f aca="false">IF(OR(W65&gt;تنظیمات!$B$8,X65="بله"),1,0)</f>
        <v>0</v>
      </c>
      <c r="AX65" s="21" t="n">
        <f aca="false">IF(AND(N65="بله",L65&gt;تنظیمات!$B$9),1,0)</f>
        <v>0</v>
      </c>
      <c r="AY65" s="21" t="n">
        <f aca="false">IF(Y65="معکوس",1,0)</f>
        <v>0</v>
      </c>
      <c r="AZ65" s="21" t="n">
        <f aca="false">IF(ABS(AJ65)&gt;تنظیمات!$B$10,1,0)</f>
        <v>0</v>
      </c>
      <c r="BA65" s="21" t="n">
        <f aca="false">IF(AND(OR(AD65="رایگان/VIP",AD65="جانباز"),AF65="خیر"),1,0)</f>
        <v>0</v>
      </c>
      <c r="BB65" s="21" t="n">
        <f aca="false">IF(AE65="",0,IF(COUNTIF($AE$2:$AE$1001,AE65)&gt;1,1,0))</f>
        <v>0</v>
      </c>
      <c r="BC65" s="21" t="n">
        <f aca="false">IF(AND(H65="",I65&gt;تنظیمات!$B$12*60,AM65="خالی"),1,0)</f>
        <v>0</v>
      </c>
      <c r="BD65" s="21" t="n">
        <f aca="false">IF(AND(AP65="بله",I65&lt;تنظیمات!$B$14,AO65="خیر"),1,0)</f>
        <v>0</v>
      </c>
      <c r="BE65" s="21" t="n">
        <f aca="false">IF(AN65="خیر",1,0)</f>
        <v>0</v>
      </c>
      <c r="BF65" s="21" t="n">
        <f aca="false">IF(AND(AD65="فیش مفقودی",AQ65="بله",I65&gt;تنظیمات!$B$12*60),1,0)</f>
        <v>0</v>
      </c>
      <c r="BG65" s="21" t="n">
        <f aca="false">IF(AND(AK65&gt;تنظیمات!$B$11,AL65="بله"),1,0)</f>
        <v>0</v>
      </c>
      <c r="BH65" s="21" t="n">
        <f aca="false">MIN(100,AR65*تنظیمات!$B$21+AS65*تنظیمات!$B$22+AT65*تنظیمات!$B$23+AU65*تنظیمات!$B$24+AV65*تنظیمات!$B$25+AW65*تنظیمات!$B$26+AX65*تنظیمات!$B$27+AY65*تنظیمات!$B$28+AZ65*تنظیمات!$B$29+BA65*تنظیمات!$B$30+BB65*تنظیمات!$B$31+BC65*تنظیمات!$B$32+BD65*تنظیمات!$B$33+BE65*تنظیمات!$B$34+BF65*تنظیمات!$B$35+BG65*تنظیمات!$B$36)</f>
        <v>0</v>
      </c>
      <c r="BI65" s="16" t="str">
        <f aca="false">IF(BH65&gt;=60,"بحرانی",IF(BH65&gt;=30,"مشکوک",IF(BH65&gt;0,"هشدار","عادی")))</f>
        <v>عادی</v>
      </c>
      <c r="BJ65" s="16" t="s">
        <v>338</v>
      </c>
    </row>
    <row r="66" customFormat="false" ht="15" hidden="false" customHeight="false" outlineLevel="0" collapsed="false">
      <c r="A66" s="16" t="s">
        <v>603</v>
      </c>
      <c r="B66" s="16" t="s">
        <v>604</v>
      </c>
      <c r="C66" s="16"/>
      <c r="D66" s="16" t="s">
        <v>344</v>
      </c>
      <c r="E66" s="16" t="s">
        <v>363</v>
      </c>
      <c r="F66" s="16" t="s">
        <v>333</v>
      </c>
      <c r="G66" s="17" t="n">
        <v>46281.585462963</v>
      </c>
      <c r="H66" s="17" t="n">
        <v>46281.6278240741</v>
      </c>
      <c r="I66" s="18" t="n">
        <f aca="false">IF(H66="",ROUND((تنظیمات!$B$7-G66)*1440,0),ROUND((H66-G66)*1440,0))</f>
        <v>61</v>
      </c>
      <c r="J66" s="16" t="s">
        <v>346</v>
      </c>
      <c r="K66" s="16" t="s">
        <v>400</v>
      </c>
      <c r="L66" s="19" t="n">
        <v>0.944</v>
      </c>
      <c r="M66" s="19" t="n">
        <v>0.991</v>
      </c>
      <c r="N66" s="16" t="s">
        <v>335</v>
      </c>
      <c r="O66" s="16" t="s">
        <v>401</v>
      </c>
      <c r="P66" s="16" t="s">
        <v>420</v>
      </c>
      <c r="Q66" s="20" t="n">
        <v>46281</v>
      </c>
      <c r="R66" s="16" t="s">
        <v>605</v>
      </c>
      <c r="S66" s="16" t="s">
        <v>606</v>
      </c>
      <c r="T66" s="17" t="n">
        <v>46281.6290162037</v>
      </c>
      <c r="U66" s="21" t="n">
        <v>1</v>
      </c>
      <c r="V66" s="21" t="n">
        <v>1</v>
      </c>
      <c r="W66" s="22" t="n">
        <v>5</v>
      </c>
      <c r="X66" s="16" t="s">
        <v>335</v>
      </c>
      <c r="Y66" s="16" t="s">
        <v>338</v>
      </c>
      <c r="Z66" s="16" t="s">
        <v>405</v>
      </c>
      <c r="AA66" s="16"/>
      <c r="AB66" s="23"/>
      <c r="AC66" s="17"/>
      <c r="AD66" s="16" t="s">
        <v>338</v>
      </c>
      <c r="AE66" s="16"/>
      <c r="AF66" s="16" t="str">
        <f aca="false">IF(COUNTIF(لیست_سفید!$A$2:$A$21,B66)&gt;0,"بله","خیر")</f>
        <v>خیر</v>
      </c>
      <c r="AG66" s="24" t="n">
        <f aca="false">IF(H66="","",IF(AD66="فیش مفقودی",تنظیمات!$B$6,(INT(I66/1440)*تنظیمات!$B$5+IF(MOD(I66,1440)&lt;=تنظیمات!$B$2,0,MIN(تنظیمات!$B$5,تنظیمات!$B$3+MAX(0,ROUNDUP((MOD(I66,1440)-60)/60,0))*تنظیمات!$B$4)))*INDEX(تعرفه!$B$2:$B$7,MATCH(AD66,تعرفه!$A$2:$A$7,0))))</f>
        <v>34000</v>
      </c>
      <c r="AH66" s="24" t="n">
        <v>0</v>
      </c>
      <c r="AI66" s="24" t="n">
        <f aca="false">IF(AG66="","",AH66-AG66)</f>
        <v>-34000</v>
      </c>
      <c r="AJ66" s="21" t="n">
        <v>2</v>
      </c>
      <c r="AK66" s="21" t="n">
        <v>0</v>
      </c>
      <c r="AL66" s="16" t="s">
        <v>335</v>
      </c>
      <c r="AM66" s="16"/>
      <c r="AN66" s="16" t="s">
        <v>340</v>
      </c>
      <c r="AO66" s="16" t="s">
        <v>340</v>
      </c>
      <c r="AP66" s="16" t="s">
        <v>335</v>
      </c>
      <c r="AQ66" s="16"/>
      <c r="AR66" s="21" t="n">
        <f aca="false">IF(AND(T66&lt;&gt;"",H66&lt;&gt;""),IF(AND((T66-H66)*86400&gt;=0,(T66-H66)*86400&lt;تنظیمات!$B$13),1,0),0)</f>
        <v>1</v>
      </c>
      <c r="AS66" s="21" t="n">
        <f aca="false">IF(Z66="پوز",IF(OR(AB66="",COUNTIF(پوزها!$A$2:$A$5,AA66)=0),1,0),0)</f>
        <v>0</v>
      </c>
      <c r="AT66" s="21" t="n">
        <f aca="false">IF(AI66="",0,IF(AI66&gt;0,1,0))</f>
        <v>0</v>
      </c>
      <c r="AU66" s="21" t="n">
        <f aca="false">IF(AI66="",0,IF(AI66&lt;0,1,0))</f>
        <v>1</v>
      </c>
      <c r="AV66" s="21" t="n">
        <f aca="false">IF(U66&gt;V66,1,0)</f>
        <v>0</v>
      </c>
      <c r="AW66" s="21" t="n">
        <f aca="false">IF(OR(W66&gt;تنظیمات!$B$8,X66="بله"),1,0)</f>
        <v>0</v>
      </c>
      <c r="AX66" s="21" t="n">
        <f aca="false">IF(AND(N66="بله",L66&gt;تنظیمات!$B$9),1,0)</f>
        <v>0</v>
      </c>
      <c r="AY66" s="21" t="n">
        <f aca="false">IF(Y66="معکوس",1,0)</f>
        <v>0</v>
      </c>
      <c r="AZ66" s="21" t="n">
        <f aca="false">IF(ABS(AJ66)&gt;تنظیمات!$B$10,1,0)</f>
        <v>0</v>
      </c>
      <c r="BA66" s="21" t="n">
        <f aca="false">IF(AND(OR(AD66="رایگان/VIP",AD66="جانباز"),AF66="خیر"),1,0)</f>
        <v>0</v>
      </c>
      <c r="BB66" s="21" t="n">
        <f aca="false">IF(AE66="",0,IF(COUNTIF($AE$2:$AE$1001,AE66)&gt;1,1,0))</f>
        <v>0</v>
      </c>
      <c r="BC66" s="21" t="n">
        <f aca="false">IF(AND(H66="",I66&gt;تنظیمات!$B$12*60,AM66="خالی"),1,0)</f>
        <v>0</v>
      </c>
      <c r="BD66" s="21" t="n">
        <f aca="false">IF(AND(AP66="بله",I66&lt;تنظیمات!$B$14,AO66="خیر"),1,0)</f>
        <v>0</v>
      </c>
      <c r="BE66" s="21" t="n">
        <f aca="false">IF(AN66="خیر",1,0)</f>
        <v>0</v>
      </c>
      <c r="BF66" s="21" t="n">
        <f aca="false">IF(AND(AD66="فیش مفقودی",AQ66="بله",I66&gt;تنظیمات!$B$12*60),1,0)</f>
        <v>0</v>
      </c>
      <c r="BG66" s="21" t="n">
        <f aca="false">IF(AND(AK66&gt;تنظیمات!$B$11,AL66="بله"),1,0)</f>
        <v>0</v>
      </c>
      <c r="BH66" s="21" t="n">
        <f aca="false">MIN(100,AR66*تنظیمات!$B$21+AS66*تنظیمات!$B$22+AT66*تنظیمات!$B$23+AU66*تنظیمات!$B$24+AV66*تنظیمات!$B$25+AW66*تنظیمات!$B$26+AX66*تنظیمات!$B$27+AY66*تنظیمات!$B$28+AZ66*تنظیمات!$B$29+BA66*تنظیمات!$B$30+BB66*تنظیمات!$B$31+BC66*تنظیمات!$B$32+BD66*تنظیمات!$B$33+BE66*تنظیمات!$B$34+BF66*تنظیمات!$B$35+BG66*تنظیمات!$B$36)</f>
        <v>65</v>
      </c>
      <c r="BI66" s="16" t="str">
        <f aca="false">IF(BH66&gt;=60,"بحرانی",IF(BH66&gt;=30,"مشکوک",IF(BH66&gt;0,"هشدار","عادی")))</f>
        <v>بحرانی</v>
      </c>
      <c r="BJ66" s="16" t="s">
        <v>607</v>
      </c>
    </row>
    <row r="67" customFormat="false" ht="15" hidden="false" customHeight="false" outlineLevel="0" collapsed="false">
      <c r="A67" s="16" t="s">
        <v>608</v>
      </c>
      <c r="B67" s="16" t="s">
        <v>586</v>
      </c>
      <c r="C67" s="16"/>
      <c r="D67" s="16" t="s">
        <v>382</v>
      </c>
      <c r="E67" s="16" t="s">
        <v>345</v>
      </c>
      <c r="F67" s="16" t="s">
        <v>333</v>
      </c>
      <c r="G67" s="17" t="n">
        <v>46281.6154166667</v>
      </c>
      <c r="H67" s="17" t="n">
        <v>46281.6890277778</v>
      </c>
      <c r="I67" s="18" t="n">
        <f aca="false">IF(H67="",ROUND((تنظیمات!$B$7-G67)*1440,0),ROUND((H67-G67)*1440,0))</f>
        <v>106</v>
      </c>
      <c r="J67" s="16" t="s">
        <v>346</v>
      </c>
      <c r="K67" s="16" t="s">
        <v>400</v>
      </c>
      <c r="L67" s="19" t="n">
        <v>0.938</v>
      </c>
      <c r="M67" s="19" t="n">
        <v>0.918</v>
      </c>
      <c r="N67" s="16" t="s">
        <v>335</v>
      </c>
      <c r="O67" s="16" t="s">
        <v>401</v>
      </c>
      <c r="P67" s="16" t="s">
        <v>420</v>
      </c>
      <c r="Q67" s="20" t="n">
        <v>46281</v>
      </c>
      <c r="R67" s="16" t="s">
        <v>609</v>
      </c>
      <c r="S67" s="16" t="s">
        <v>404</v>
      </c>
      <c r="T67" s="17"/>
      <c r="U67" s="21" t="n">
        <v>1</v>
      </c>
      <c r="V67" s="21" t="n">
        <v>1</v>
      </c>
      <c r="W67" s="22" t="n">
        <v>6.8</v>
      </c>
      <c r="X67" s="16" t="s">
        <v>335</v>
      </c>
      <c r="Y67" s="16" t="s">
        <v>338</v>
      </c>
      <c r="Z67" s="16" t="s">
        <v>405</v>
      </c>
      <c r="AA67" s="16"/>
      <c r="AB67" s="23"/>
      <c r="AC67" s="17"/>
      <c r="AD67" s="16" t="s">
        <v>338</v>
      </c>
      <c r="AE67" s="16"/>
      <c r="AF67" s="16" t="str">
        <f aca="false">IF(COUNTIF(لیست_سفید!$A$2:$A$21,B67)&gt;0,"بله","خیر")</f>
        <v>خیر</v>
      </c>
      <c r="AG67" s="24" t="n">
        <f aca="false">IF(H67="","",IF(AD67="فیش مفقودی",تنظیمات!$B$6,(INT(I67/1440)*تنظیمات!$B$5+IF(MOD(I67,1440)&lt;=تنظیمات!$B$2,0,MIN(تنظیمات!$B$5,تنظیمات!$B$3+MAX(0,ROUNDUP((MOD(I67,1440)-60)/60,0))*تنظیمات!$B$4)))*INDEX(تعرفه!$B$2:$B$7,MATCH(AD67,تعرفه!$A$2:$A$7,0))))</f>
        <v>34000</v>
      </c>
      <c r="AH67" s="24" t="n">
        <v>20000</v>
      </c>
      <c r="AI67" s="24" t="n">
        <f aca="false">IF(AG67="","",AH67-AG67)</f>
        <v>-14000</v>
      </c>
      <c r="AJ67" s="21" t="n">
        <v>0</v>
      </c>
      <c r="AK67" s="21" t="n">
        <v>0</v>
      </c>
      <c r="AL67" s="16" t="s">
        <v>335</v>
      </c>
      <c r="AM67" s="16"/>
      <c r="AN67" s="16" t="s">
        <v>340</v>
      </c>
      <c r="AO67" s="16" t="s">
        <v>340</v>
      </c>
      <c r="AP67" s="16" t="s">
        <v>335</v>
      </c>
      <c r="AQ67" s="16"/>
      <c r="AR67" s="21" t="n">
        <f aca="false">IF(AND(T67&lt;&gt;"",H67&lt;&gt;""),IF(AND((T67-H67)*86400&gt;=0,(T67-H67)*86400&lt;تنظیمات!$B$13),1,0),0)</f>
        <v>0</v>
      </c>
      <c r="AS67" s="21" t="n">
        <f aca="false">IF(Z67="پوز",IF(OR(AB67="",COUNTIF(پوزها!$A$2:$A$5,AA67)=0),1,0),0)</f>
        <v>0</v>
      </c>
      <c r="AT67" s="21" t="n">
        <f aca="false">IF(AI67="",0,IF(AI67&gt;0,1,0))</f>
        <v>0</v>
      </c>
      <c r="AU67" s="21" t="n">
        <f aca="false">IF(AI67="",0,IF(AI67&lt;0,1,0))</f>
        <v>1</v>
      </c>
      <c r="AV67" s="21" t="n">
        <f aca="false">IF(U67&gt;V67,1,0)</f>
        <v>0</v>
      </c>
      <c r="AW67" s="21" t="n">
        <f aca="false">IF(OR(W67&gt;تنظیمات!$B$8,X67="بله"),1,0)</f>
        <v>0</v>
      </c>
      <c r="AX67" s="21" t="n">
        <f aca="false">IF(AND(N67="بله",L67&gt;تنظیمات!$B$9),1,0)</f>
        <v>0</v>
      </c>
      <c r="AY67" s="21" t="n">
        <f aca="false">IF(Y67="معکوس",1,0)</f>
        <v>0</v>
      </c>
      <c r="AZ67" s="21" t="n">
        <f aca="false">IF(ABS(AJ67)&gt;تنظیمات!$B$10,1,0)</f>
        <v>0</v>
      </c>
      <c r="BA67" s="21" t="n">
        <f aca="false">IF(AND(OR(AD67="رایگان/VIP",AD67="جانباز"),AF67="خیر"),1,0)</f>
        <v>0</v>
      </c>
      <c r="BB67" s="21" t="n">
        <f aca="false">IF(AE67="",0,IF(COUNTIF($AE$2:$AE$1001,AE67)&gt;1,1,0))</f>
        <v>0</v>
      </c>
      <c r="BC67" s="21" t="n">
        <f aca="false">IF(AND(H67="",I67&gt;تنظیمات!$B$12*60,AM67="خالی"),1,0)</f>
        <v>0</v>
      </c>
      <c r="BD67" s="21" t="n">
        <f aca="false">IF(AND(AP67="بله",I67&lt;تنظیمات!$B$14,AO67="خیر"),1,0)</f>
        <v>0</v>
      </c>
      <c r="BE67" s="21" t="n">
        <f aca="false">IF(AN67="خیر",1,0)</f>
        <v>0</v>
      </c>
      <c r="BF67" s="21" t="n">
        <f aca="false">IF(AND(AD67="فیش مفقودی",AQ67="بله",I67&gt;تنظیمات!$B$12*60),1,0)</f>
        <v>0</v>
      </c>
      <c r="BG67" s="21" t="n">
        <f aca="false">IF(AND(AK67&gt;تنظیمات!$B$11,AL67="بله"),1,0)</f>
        <v>0</v>
      </c>
      <c r="BH67" s="21" t="n">
        <f aca="false">MIN(100,AR67*تنظیمات!$B$21+AS67*تنظیمات!$B$22+AT67*تنظیمات!$B$23+AU67*تنظیمات!$B$24+AV67*تنظیمات!$B$25+AW67*تنظیمات!$B$26+AX67*تنظیمات!$B$27+AY67*تنظیمات!$B$28+AZ67*تنظیمات!$B$29+BA67*تنظیمات!$B$30+BB67*تنظیمات!$B$31+BC67*تنظیمات!$B$32+BD67*تنظیمات!$B$33+BE67*تنظیمات!$B$34+BF67*تنظیمات!$B$35+BG67*تنظیمات!$B$36)</f>
        <v>25</v>
      </c>
      <c r="BI67" s="16" t="str">
        <f aca="false">IF(BH67&gt;=60,"بحرانی",IF(BH67&gt;=30,"مشکوک",IF(BH67&gt;0,"هشدار","عادی")))</f>
        <v>هشدار</v>
      </c>
      <c r="BJ67" s="16" t="s">
        <v>610</v>
      </c>
    </row>
    <row r="68" customFormat="false" ht="15" hidden="false" customHeight="false" outlineLevel="0" collapsed="false">
      <c r="A68" s="16" t="s">
        <v>611</v>
      </c>
      <c r="B68" s="16" t="s">
        <v>612</v>
      </c>
      <c r="C68" s="16"/>
      <c r="D68" s="16" t="s">
        <v>450</v>
      </c>
      <c r="E68" s="16" t="s">
        <v>351</v>
      </c>
      <c r="F68" s="16" t="s">
        <v>333</v>
      </c>
      <c r="G68" s="17" t="n">
        <v>46281.6299537037</v>
      </c>
      <c r="H68" s="17" t="n">
        <v>46281.6452314815</v>
      </c>
      <c r="I68" s="18" t="n">
        <f aca="false">IF(H68="",ROUND((تنظیمات!$B$7-G68)*1440,0),ROUND((H68-G68)*1440,0))</f>
        <v>22</v>
      </c>
      <c r="J68" s="16" t="s">
        <v>334</v>
      </c>
      <c r="K68" s="16" t="s">
        <v>410</v>
      </c>
      <c r="L68" s="19" t="n">
        <v>0.995</v>
      </c>
      <c r="M68" s="19" t="n">
        <v>0.941</v>
      </c>
      <c r="N68" s="16" t="s">
        <v>335</v>
      </c>
      <c r="O68" s="16" t="s">
        <v>419</v>
      </c>
      <c r="P68" s="16" t="s">
        <v>420</v>
      </c>
      <c r="Q68" s="20" t="n">
        <v>46281</v>
      </c>
      <c r="R68" s="16" t="s">
        <v>613</v>
      </c>
      <c r="S68" s="16" t="s">
        <v>404</v>
      </c>
      <c r="T68" s="17"/>
      <c r="U68" s="21" t="n">
        <v>1</v>
      </c>
      <c r="V68" s="21" t="n">
        <v>1</v>
      </c>
      <c r="W68" s="22" t="n">
        <v>5.1</v>
      </c>
      <c r="X68" s="16" t="s">
        <v>335</v>
      </c>
      <c r="Y68" s="16" t="s">
        <v>338</v>
      </c>
      <c r="Z68" s="16" t="s">
        <v>413</v>
      </c>
      <c r="AA68" s="16" t="s">
        <v>414</v>
      </c>
      <c r="AB68" s="23" t="s">
        <v>614</v>
      </c>
      <c r="AC68" s="17" t="n">
        <v>46281.6446064815</v>
      </c>
      <c r="AD68" s="16" t="s">
        <v>338</v>
      </c>
      <c r="AE68" s="16"/>
      <c r="AF68" s="16" t="str">
        <f aca="false">IF(COUNTIF(لیست_سفید!$A$2:$A$21,B68)&gt;0,"بله","خیر")</f>
        <v>خیر</v>
      </c>
      <c r="AG68" s="24" t="n">
        <f aca="false">IF(H68="","",IF(AD68="فیش مفقودی",تنظیمات!$B$6,(INT(I68/1440)*تنظیمات!$B$5+IF(MOD(I68,1440)&lt;=تنظیمات!$B$2,0,MIN(تنظیمات!$B$5,تنظیمات!$B$3+MAX(0,ROUNDUP((MOD(I68,1440)-60)/60,0))*تنظیمات!$B$4)))*INDEX(تعرفه!$B$2:$B$7,MATCH(AD68,تعرفه!$A$2:$A$7,0))))</f>
        <v>20000</v>
      </c>
      <c r="AH68" s="24" t="n">
        <v>20000</v>
      </c>
      <c r="AI68" s="24" t="n">
        <f aca="false">IF(AG68="","",AH68-AG68)</f>
        <v>0</v>
      </c>
      <c r="AJ68" s="21" t="n">
        <v>-1</v>
      </c>
      <c r="AK68" s="21" t="n">
        <v>0</v>
      </c>
      <c r="AL68" s="16" t="s">
        <v>335</v>
      </c>
      <c r="AM68" s="16"/>
      <c r="AN68" s="16" t="s">
        <v>340</v>
      </c>
      <c r="AO68" s="16" t="s">
        <v>340</v>
      </c>
      <c r="AP68" s="16" t="s">
        <v>335</v>
      </c>
      <c r="AQ68" s="16"/>
      <c r="AR68" s="21" t="n">
        <f aca="false">IF(AND(T68&lt;&gt;"",H68&lt;&gt;""),IF(AND((T68-H68)*86400&gt;=0,(T68-H68)*86400&lt;تنظیمات!$B$13),1,0),0)</f>
        <v>0</v>
      </c>
      <c r="AS68" s="21" t="n">
        <f aca="false">IF(Z68="پوز",IF(OR(AB68="",COUNTIF(پوزها!$A$2:$A$5,AA68)=0),1,0),0)</f>
        <v>0</v>
      </c>
      <c r="AT68" s="21" t="n">
        <f aca="false">IF(AI68="",0,IF(AI68&gt;0,1,0))</f>
        <v>0</v>
      </c>
      <c r="AU68" s="21" t="n">
        <f aca="false">IF(AI68="",0,IF(AI68&lt;0,1,0))</f>
        <v>0</v>
      </c>
      <c r="AV68" s="21" t="n">
        <f aca="false">IF(U68&gt;V68,1,0)</f>
        <v>0</v>
      </c>
      <c r="AW68" s="21" t="n">
        <f aca="false">IF(OR(W68&gt;تنظیمات!$B$8,X68="بله"),1,0)</f>
        <v>0</v>
      </c>
      <c r="AX68" s="21" t="n">
        <f aca="false">IF(AND(N68="بله",L68&gt;تنظیمات!$B$9),1,0)</f>
        <v>0</v>
      </c>
      <c r="AY68" s="21" t="n">
        <f aca="false">IF(Y68="معکوس",1,0)</f>
        <v>0</v>
      </c>
      <c r="AZ68" s="21" t="n">
        <f aca="false">IF(ABS(AJ68)&gt;تنظیمات!$B$10,1,0)</f>
        <v>0</v>
      </c>
      <c r="BA68" s="21" t="n">
        <f aca="false">IF(AND(OR(AD68="رایگان/VIP",AD68="جانباز"),AF68="خیر"),1,0)</f>
        <v>0</v>
      </c>
      <c r="BB68" s="21" t="n">
        <f aca="false">IF(AE68="",0,IF(COUNTIF($AE$2:$AE$1001,AE68)&gt;1,1,0))</f>
        <v>0</v>
      </c>
      <c r="BC68" s="21" t="n">
        <f aca="false">IF(AND(H68="",I68&gt;تنظیمات!$B$12*60,AM68="خالی"),1,0)</f>
        <v>0</v>
      </c>
      <c r="BD68" s="21" t="n">
        <f aca="false">IF(AND(AP68="بله",I68&lt;تنظیمات!$B$14,AO68="خیر"),1,0)</f>
        <v>0</v>
      </c>
      <c r="BE68" s="21" t="n">
        <f aca="false">IF(AN68="خیر",1,0)</f>
        <v>0</v>
      </c>
      <c r="BF68" s="21" t="n">
        <f aca="false">IF(AND(AD68="فیش مفقودی",AQ68="بله",I68&gt;تنظیمات!$B$12*60),1,0)</f>
        <v>0</v>
      </c>
      <c r="BG68" s="21" t="n">
        <f aca="false">IF(AND(AK68&gt;تنظیمات!$B$11,AL68="بله"),1,0)</f>
        <v>0</v>
      </c>
      <c r="BH68" s="21" t="n">
        <f aca="false">MIN(100,AR68*تنظیمات!$B$21+AS68*تنظیمات!$B$22+AT68*تنظیمات!$B$23+AU68*تنظیمات!$B$24+AV68*تنظیمات!$B$25+AW68*تنظیمات!$B$26+AX68*تنظیمات!$B$27+AY68*تنظیمات!$B$28+AZ68*تنظیمات!$B$29+BA68*تنظیمات!$B$30+BB68*تنظیمات!$B$31+BC68*تنظیمات!$B$32+BD68*تنظیمات!$B$33+BE68*تنظیمات!$B$34+BF68*تنظیمات!$B$35+BG68*تنظیمات!$B$36)</f>
        <v>0</v>
      </c>
      <c r="BI68" s="16" t="str">
        <f aca="false">IF(BH68&gt;=60,"بحرانی",IF(BH68&gt;=30,"مشکوک",IF(BH68&gt;0,"هشدار","عادی")))</f>
        <v>عادی</v>
      </c>
      <c r="BJ68" s="16" t="s">
        <v>338</v>
      </c>
    </row>
    <row r="69" customFormat="false" ht="15" hidden="false" customHeight="false" outlineLevel="0" collapsed="false">
      <c r="A69" s="16" t="s">
        <v>615</v>
      </c>
      <c r="B69" s="16" t="s">
        <v>616</v>
      </c>
      <c r="C69" s="16"/>
      <c r="D69" s="16" t="s">
        <v>370</v>
      </c>
      <c r="E69" s="16" t="s">
        <v>390</v>
      </c>
      <c r="F69" s="16" t="s">
        <v>333</v>
      </c>
      <c r="G69" s="17" t="n">
        <v>46281.6996990741</v>
      </c>
      <c r="H69" s="17" t="n">
        <v>46281.7656712963</v>
      </c>
      <c r="I69" s="18" t="n">
        <f aca="false">IF(H69="",ROUND((تنظیمات!$B$7-G69)*1440,0),ROUND((H69-G69)*1440,0))</f>
        <v>95</v>
      </c>
      <c r="J69" s="16" t="s">
        <v>346</v>
      </c>
      <c r="K69" s="16" t="s">
        <v>400</v>
      </c>
      <c r="L69" s="19" t="n">
        <v>0.91</v>
      </c>
      <c r="M69" s="19" t="n">
        <v>0.972</v>
      </c>
      <c r="N69" s="16" t="s">
        <v>335</v>
      </c>
      <c r="O69" s="16" t="s">
        <v>401</v>
      </c>
      <c r="P69" s="16" t="s">
        <v>420</v>
      </c>
      <c r="Q69" s="20" t="n">
        <v>46281</v>
      </c>
      <c r="R69" s="16" t="s">
        <v>617</v>
      </c>
      <c r="S69" s="16" t="s">
        <v>404</v>
      </c>
      <c r="T69" s="17"/>
      <c r="U69" s="21" t="n">
        <v>1</v>
      </c>
      <c r="V69" s="21" t="n">
        <v>1</v>
      </c>
      <c r="W69" s="22" t="n">
        <v>6</v>
      </c>
      <c r="X69" s="16" t="s">
        <v>335</v>
      </c>
      <c r="Y69" s="16" t="s">
        <v>338</v>
      </c>
      <c r="Z69" s="16" t="s">
        <v>405</v>
      </c>
      <c r="AA69" s="16"/>
      <c r="AB69" s="23"/>
      <c r="AC69" s="17"/>
      <c r="AD69" s="16" t="s">
        <v>338</v>
      </c>
      <c r="AE69" s="16"/>
      <c r="AF69" s="16" t="str">
        <f aca="false">IF(COUNTIF(لیست_سفید!$A$2:$A$21,B69)&gt;0,"بله","خیر")</f>
        <v>خیر</v>
      </c>
      <c r="AG69" s="24" t="n">
        <f aca="false">IF(H69="","",IF(AD69="فیش مفقودی",تنظیمات!$B$6,(INT(I69/1440)*تنظیمات!$B$5+IF(MOD(I69,1440)&lt;=تنظیمات!$B$2,0,MIN(تنظیمات!$B$5,تنظیمات!$B$3+MAX(0,ROUNDUP((MOD(I69,1440)-60)/60,0))*تنظیمات!$B$4)))*INDEX(تعرفه!$B$2:$B$7,MATCH(AD69,تعرفه!$A$2:$A$7,0))))</f>
        <v>34000</v>
      </c>
      <c r="AH69" s="24" t="n">
        <v>21000</v>
      </c>
      <c r="AI69" s="24" t="n">
        <f aca="false">IF(AG69="","",AH69-AG69)</f>
        <v>-13000</v>
      </c>
      <c r="AJ69" s="21" t="n">
        <v>5</v>
      </c>
      <c r="AK69" s="21" t="n">
        <v>0</v>
      </c>
      <c r="AL69" s="16" t="s">
        <v>335</v>
      </c>
      <c r="AM69" s="16"/>
      <c r="AN69" s="16" t="s">
        <v>340</v>
      </c>
      <c r="AO69" s="16" t="s">
        <v>340</v>
      </c>
      <c r="AP69" s="16" t="s">
        <v>335</v>
      </c>
      <c r="AQ69" s="16"/>
      <c r="AR69" s="21" t="n">
        <f aca="false">IF(AND(T69&lt;&gt;"",H69&lt;&gt;""),IF(AND((T69-H69)*86400&gt;=0,(T69-H69)*86400&lt;تنظیمات!$B$13),1,0),0)</f>
        <v>0</v>
      </c>
      <c r="AS69" s="21" t="n">
        <f aca="false">IF(Z69="پوز",IF(OR(AB69="",COUNTIF(پوزها!$A$2:$A$5,AA69)=0),1,0),0)</f>
        <v>0</v>
      </c>
      <c r="AT69" s="21" t="n">
        <f aca="false">IF(AI69="",0,IF(AI69&gt;0,1,0))</f>
        <v>0</v>
      </c>
      <c r="AU69" s="21" t="n">
        <f aca="false">IF(AI69="",0,IF(AI69&lt;0,1,0))</f>
        <v>1</v>
      </c>
      <c r="AV69" s="21" t="n">
        <f aca="false">IF(U69&gt;V69,1,0)</f>
        <v>0</v>
      </c>
      <c r="AW69" s="21" t="n">
        <f aca="false">IF(OR(W69&gt;تنظیمات!$B$8,X69="بله"),1,0)</f>
        <v>0</v>
      </c>
      <c r="AX69" s="21" t="n">
        <f aca="false">IF(AND(N69="بله",L69&gt;تنظیمات!$B$9),1,0)</f>
        <v>0</v>
      </c>
      <c r="AY69" s="21" t="n">
        <f aca="false">IF(Y69="معکوس",1,0)</f>
        <v>0</v>
      </c>
      <c r="AZ69" s="21" t="n">
        <f aca="false">IF(ABS(AJ69)&gt;تنظیمات!$B$10,1,0)</f>
        <v>0</v>
      </c>
      <c r="BA69" s="21" t="n">
        <f aca="false">IF(AND(OR(AD69="رایگان/VIP",AD69="جانباز"),AF69="خیر"),1,0)</f>
        <v>0</v>
      </c>
      <c r="BB69" s="21" t="n">
        <f aca="false">IF(AE69="",0,IF(COUNTIF($AE$2:$AE$1001,AE69)&gt;1,1,0))</f>
        <v>0</v>
      </c>
      <c r="BC69" s="21" t="n">
        <f aca="false">IF(AND(H69="",I69&gt;تنظیمات!$B$12*60,AM69="خالی"),1,0)</f>
        <v>0</v>
      </c>
      <c r="BD69" s="21" t="n">
        <f aca="false">IF(AND(AP69="بله",I69&lt;تنظیمات!$B$14,AO69="خیر"),1,0)</f>
        <v>0</v>
      </c>
      <c r="BE69" s="21" t="n">
        <f aca="false">IF(AN69="خیر",1,0)</f>
        <v>0</v>
      </c>
      <c r="BF69" s="21" t="n">
        <f aca="false">IF(AND(AD69="فیش مفقودی",AQ69="بله",I69&gt;تنظیمات!$B$12*60),1,0)</f>
        <v>0</v>
      </c>
      <c r="BG69" s="21" t="n">
        <f aca="false">IF(AND(AK69&gt;تنظیمات!$B$11,AL69="بله"),1,0)</f>
        <v>0</v>
      </c>
      <c r="BH69" s="21" t="n">
        <f aca="false">MIN(100,AR69*تنظیمات!$B$21+AS69*تنظیمات!$B$22+AT69*تنظیمات!$B$23+AU69*تنظیمات!$B$24+AV69*تنظیمات!$B$25+AW69*تنظیمات!$B$26+AX69*تنظیمات!$B$27+AY69*تنظیمات!$B$28+AZ69*تنظیمات!$B$29+BA69*تنظیمات!$B$30+BB69*تنظیمات!$B$31+BC69*تنظیمات!$B$32+BD69*تنظیمات!$B$33+BE69*تنظیمات!$B$34+BF69*تنظیمات!$B$35+BG69*تنظیمات!$B$36)</f>
        <v>25</v>
      </c>
      <c r="BI69" s="16" t="str">
        <f aca="false">IF(BH69&gt;=60,"بحرانی",IF(BH69&gt;=30,"مشکوک",IF(BH69&gt;0,"هشدار","عادی")))</f>
        <v>هشدار</v>
      </c>
      <c r="BJ69" s="16" t="s">
        <v>610</v>
      </c>
    </row>
    <row r="70" customFormat="false" ht="15" hidden="false" customHeight="false" outlineLevel="0" collapsed="false">
      <c r="A70" s="16" t="s">
        <v>618</v>
      </c>
      <c r="B70" s="16" t="s">
        <v>619</v>
      </c>
      <c r="C70" s="16" t="s">
        <v>620</v>
      </c>
      <c r="D70" s="16" t="s">
        <v>531</v>
      </c>
      <c r="E70" s="16" t="s">
        <v>332</v>
      </c>
      <c r="F70" s="16" t="s">
        <v>333</v>
      </c>
      <c r="G70" s="17" t="n">
        <v>46281.7106018519</v>
      </c>
      <c r="H70" s="17" t="n">
        <v>46281.7258796296</v>
      </c>
      <c r="I70" s="18" t="n">
        <f aca="false">IF(H70="",ROUND((تنظیمات!$B$7-G70)*1440,0),ROUND((H70-G70)*1440,0))</f>
        <v>22</v>
      </c>
      <c r="J70" s="16" t="s">
        <v>334</v>
      </c>
      <c r="K70" s="16" t="s">
        <v>400</v>
      </c>
      <c r="L70" s="19" t="n">
        <v>0.964</v>
      </c>
      <c r="M70" s="19" t="n">
        <v>0.941</v>
      </c>
      <c r="N70" s="16" t="s">
        <v>340</v>
      </c>
      <c r="O70" s="16" t="s">
        <v>401</v>
      </c>
      <c r="P70" s="16" t="s">
        <v>420</v>
      </c>
      <c r="Q70" s="20" t="n">
        <v>46281</v>
      </c>
      <c r="R70" s="16" t="s">
        <v>621</v>
      </c>
      <c r="S70" s="16" t="s">
        <v>404</v>
      </c>
      <c r="T70" s="17"/>
      <c r="U70" s="21" t="n">
        <v>1</v>
      </c>
      <c r="V70" s="21" t="n">
        <v>1</v>
      </c>
      <c r="W70" s="22" t="n">
        <v>4.6</v>
      </c>
      <c r="X70" s="16" t="s">
        <v>335</v>
      </c>
      <c r="Y70" s="16" t="s">
        <v>338</v>
      </c>
      <c r="Z70" s="16" t="s">
        <v>405</v>
      </c>
      <c r="AA70" s="16"/>
      <c r="AB70" s="23"/>
      <c r="AC70" s="17"/>
      <c r="AD70" s="16" t="s">
        <v>338</v>
      </c>
      <c r="AE70" s="16"/>
      <c r="AF70" s="16" t="str">
        <f aca="false">IF(COUNTIF(لیست_سفید!$A$2:$A$21,B70)&gt;0,"بله","خیر")</f>
        <v>خیر</v>
      </c>
      <c r="AG70" s="24" t="n">
        <f aca="false">IF(H70="","",IF(AD70="فیش مفقودی",تنظیمات!$B$6,(INT(I70/1440)*تنظیمات!$B$5+IF(MOD(I70,1440)&lt;=تنظیمات!$B$2,0,MIN(تنظیمات!$B$5,تنظیمات!$B$3+MAX(0,ROUNDUP((MOD(I70,1440)-60)/60,0))*تنظیمات!$B$4)))*INDEX(تعرفه!$B$2:$B$7,MATCH(AD70,تعرفه!$A$2:$A$7,0))))</f>
        <v>20000</v>
      </c>
      <c r="AH70" s="24" t="n">
        <v>20000</v>
      </c>
      <c r="AI70" s="24" t="n">
        <f aca="false">IF(AG70="","",AH70-AG70)</f>
        <v>0</v>
      </c>
      <c r="AJ70" s="21" t="n">
        <v>-1</v>
      </c>
      <c r="AK70" s="21" t="n">
        <v>0</v>
      </c>
      <c r="AL70" s="16" t="s">
        <v>335</v>
      </c>
      <c r="AM70" s="16"/>
      <c r="AN70" s="16" t="s">
        <v>340</v>
      </c>
      <c r="AO70" s="16" t="s">
        <v>340</v>
      </c>
      <c r="AP70" s="16" t="s">
        <v>335</v>
      </c>
      <c r="AQ70" s="16"/>
      <c r="AR70" s="21" t="n">
        <f aca="false">IF(AND(T70&lt;&gt;"",H70&lt;&gt;""),IF(AND((T70-H70)*86400&gt;=0,(T70-H70)*86400&lt;تنظیمات!$B$13),1,0),0)</f>
        <v>0</v>
      </c>
      <c r="AS70" s="21" t="n">
        <f aca="false">IF(Z70="پوز",IF(OR(AB70="",COUNTIF(پوزها!$A$2:$A$5,AA70)=0),1,0),0)</f>
        <v>0</v>
      </c>
      <c r="AT70" s="21" t="n">
        <f aca="false">IF(AI70="",0,IF(AI70&gt;0,1,0))</f>
        <v>0</v>
      </c>
      <c r="AU70" s="21" t="n">
        <f aca="false">IF(AI70="",0,IF(AI70&lt;0,1,0))</f>
        <v>0</v>
      </c>
      <c r="AV70" s="21" t="n">
        <f aca="false">IF(U70&gt;V70,1,0)</f>
        <v>0</v>
      </c>
      <c r="AW70" s="21" t="n">
        <f aca="false">IF(OR(W70&gt;تنظیمات!$B$8,X70="بله"),1,0)</f>
        <v>0</v>
      </c>
      <c r="AX70" s="21" t="n">
        <f aca="false">IF(AND(N70="بله",L70&gt;تنظیمات!$B$9),1,0)</f>
        <v>1</v>
      </c>
      <c r="AY70" s="21" t="n">
        <f aca="false">IF(Y70="معکوس",1,0)</f>
        <v>0</v>
      </c>
      <c r="AZ70" s="21" t="n">
        <f aca="false">IF(ABS(AJ70)&gt;تنظیمات!$B$10,1,0)</f>
        <v>0</v>
      </c>
      <c r="BA70" s="21" t="n">
        <f aca="false">IF(AND(OR(AD70="رایگان/VIP",AD70="جانباز"),AF70="خیر"),1,0)</f>
        <v>0</v>
      </c>
      <c r="BB70" s="21" t="n">
        <f aca="false">IF(AE70="",0,IF(COUNTIF($AE$2:$AE$1001,AE70)&gt;1,1,0))</f>
        <v>0</v>
      </c>
      <c r="BC70" s="21" t="n">
        <f aca="false">IF(AND(H70="",I70&gt;تنظیمات!$B$12*60,AM70="خالی"),1,0)</f>
        <v>0</v>
      </c>
      <c r="BD70" s="21" t="n">
        <f aca="false">IF(AND(AP70="بله",I70&lt;تنظیمات!$B$14,AO70="خیر"),1,0)</f>
        <v>0</v>
      </c>
      <c r="BE70" s="21" t="n">
        <f aca="false">IF(AN70="خیر",1,0)</f>
        <v>0</v>
      </c>
      <c r="BF70" s="21" t="n">
        <f aca="false">IF(AND(AD70="فیش مفقودی",AQ70="بله",I70&gt;تنظیمات!$B$12*60),1,0)</f>
        <v>0</v>
      </c>
      <c r="BG70" s="21" t="n">
        <f aca="false">IF(AND(AK70&gt;تنظیمات!$B$11,AL70="بله"),1,0)</f>
        <v>0</v>
      </c>
      <c r="BH70" s="21" t="n">
        <f aca="false">MIN(100,AR70*تنظیمات!$B$21+AS70*تنظیمات!$B$22+AT70*تنظیمات!$B$23+AU70*تنظیمات!$B$24+AV70*تنظیمات!$B$25+AW70*تنظیمات!$B$26+AX70*تنظیمات!$B$27+AY70*تنظیمات!$B$28+AZ70*تنظیمات!$B$29+BA70*تنظیمات!$B$30+BB70*تنظیمات!$B$31+BC70*تنظیمات!$B$32+BD70*تنظیمات!$B$33+BE70*تنظیمات!$B$34+BF70*تنظیمات!$B$35+BG70*تنظیمات!$B$36)</f>
        <v>30</v>
      </c>
      <c r="BI70" s="16" t="str">
        <f aca="false">IF(BH70&gt;=60,"بحرانی",IF(BH70&gt;=30,"مشکوک",IF(BH70&gt;0,"هشدار","عادی")))</f>
        <v>مشکوک</v>
      </c>
      <c r="BJ70" s="16" t="s">
        <v>622</v>
      </c>
    </row>
    <row r="71" customFormat="false" ht="15" hidden="false" customHeight="false" outlineLevel="0" collapsed="false">
      <c r="A71" s="16" t="s">
        <v>623</v>
      </c>
      <c r="B71" s="16" t="s">
        <v>624</v>
      </c>
      <c r="C71" s="16"/>
      <c r="D71" s="16" t="s">
        <v>469</v>
      </c>
      <c r="E71" s="16" t="s">
        <v>332</v>
      </c>
      <c r="F71" s="16" t="s">
        <v>359</v>
      </c>
      <c r="G71" s="17" t="n">
        <v>46281.7221180556</v>
      </c>
      <c r="H71" s="17" t="n">
        <v>46281.7360069445</v>
      </c>
      <c r="I71" s="18" t="n">
        <f aca="false">IF(H71="",ROUND((تنظیمات!$B$7-G71)*1440,0),ROUND((H71-G71)*1440,0))</f>
        <v>20</v>
      </c>
      <c r="J71" s="16" t="s">
        <v>334</v>
      </c>
      <c r="K71" s="16" t="s">
        <v>400</v>
      </c>
      <c r="L71" s="19" t="n">
        <v>0.919</v>
      </c>
      <c r="M71" s="19" t="n">
        <v>0.903</v>
      </c>
      <c r="N71" s="16" t="s">
        <v>335</v>
      </c>
      <c r="O71" s="16" t="s">
        <v>401</v>
      </c>
      <c r="P71" s="16" t="s">
        <v>420</v>
      </c>
      <c r="Q71" s="20" t="n">
        <v>46281</v>
      </c>
      <c r="R71" s="16" t="s">
        <v>625</v>
      </c>
      <c r="S71" s="16" t="s">
        <v>606</v>
      </c>
      <c r="T71" s="17" t="n">
        <v>46281.7373726852</v>
      </c>
      <c r="U71" s="21" t="n">
        <v>1</v>
      </c>
      <c r="V71" s="21" t="n">
        <v>1</v>
      </c>
      <c r="W71" s="22" t="n">
        <v>5.8</v>
      </c>
      <c r="X71" s="16" t="s">
        <v>335</v>
      </c>
      <c r="Y71" s="16" t="s">
        <v>338</v>
      </c>
      <c r="Z71" s="16" t="s">
        <v>405</v>
      </c>
      <c r="AA71" s="16"/>
      <c r="AB71" s="23"/>
      <c r="AC71" s="17"/>
      <c r="AD71" s="16" t="s">
        <v>338</v>
      </c>
      <c r="AE71" s="16"/>
      <c r="AF71" s="16" t="str">
        <f aca="false">IF(COUNTIF(لیست_سفید!$A$2:$A$21,B71)&gt;0,"بله","خیر")</f>
        <v>خیر</v>
      </c>
      <c r="AG71" s="24" t="n">
        <f aca="false">IF(H71="","",IF(AD71="فیش مفقودی",تنظیمات!$B$6,(INT(I71/1440)*تنظیمات!$B$5+IF(MOD(I71,1440)&lt;=تنظیمات!$B$2,0,MIN(تنظیمات!$B$5,تنظیمات!$B$3+MAX(0,ROUNDUP((MOD(I71,1440)-60)/60,0))*تنظیمات!$B$4)))*INDEX(تعرفه!$B$2:$B$7,MATCH(AD71,تعرفه!$A$2:$A$7,0))))</f>
        <v>20000</v>
      </c>
      <c r="AH71" s="24" t="n">
        <v>0</v>
      </c>
      <c r="AI71" s="24" t="n">
        <f aca="false">IF(AG71="","",AH71-AG71)</f>
        <v>-20000</v>
      </c>
      <c r="AJ71" s="21" t="n">
        <v>-4</v>
      </c>
      <c r="AK71" s="21" t="n">
        <v>0</v>
      </c>
      <c r="AL71" s="16" t="s">
        <v>335</v>
      </c>
      <c r="AM71" s="16"/>
      <c r="AN71" s="16" t="s">
        <v>340</v>
      </c>
      <c r="AO71" s="16" t="s">
        <v>340</v>
      </c>
      <c r="AP71" s="16" t="s">
        <v>335</v>
      </c>
      <c r="AQ71" s="16"/>
      <c r="AR71" s="21" t="n">
        <f aca="false">IF(AND(T71&lt;&gt;"",H71&lt;&gt;""),IF(AND((T71-H71)*86400&gt;=0,(T71-H71)*86400&lt;تنظیمات!$B$13),1,0),0)</f>
        <v>1</v>
      </c>
      <c r="AS71" s="21" t="n">
        <f aca="false">IF(Z71="پوز",IF(OR(AB71="",COUNTIF(پوزها!$A$2:$A$5,AA71)=0),1,0),0)</f>
        <v>0</v>
      </c>
      <c r="AT71" s="21" t="n">
        <f aca="false">IF(AI71="",0,IF(AI71&gt;0,1,0))</f>
        <v>0</v>
      </c>
      <c r="AU71" s="21" t="n">
        <f aca="false">IF(AI71="",0,IF(AI71&lt;0,1,0))</f>
        <v>1</v>
      </c>
      <c r="AV71" s="21" t="n">
        <f aca="false">IF(U71&gt;V71,1,0)</f>
        <v>0</v>
      </c>
      <c r="AW71" s="21" t="n">
        <f aca="false">IF(OR(W71&gt;تنظیمات!$B$8,X71="بله"),1,0)</f>
        <v>0</v>
      </c>
      <c r="AX71" s="21" t="n">
        <f aca="false">IF(AND(N71="بله",L71&gt;تنظیمات!$B$9),1,0)</f>
        <v>0</v>
      </c>
      <c r="AY71" s="21" t="n">
        <f aca="false">IF(Y71="معکوس",1,0)</f>
        <v>0</v>
      </c>
      <c r="AZ71" s="21" t="n">
        <f aca="false">IF(ABS(AJ71)&gt;تنظیمات!$B$10,1,0)</f>
        <v>0</v>
      </c>
      <c r="BA71" s="21" t="n">
        <f aca="false">IF(AND(OR(AD71="رایگان/VIP",AD71="جانباز"),AF71="خیر"),1,0)</f>
        <v>0</v>
      </c>
      <c r="BB71" s="21" t="n">
        <f aca="false">IF(AE71="",0,IF(COUNTIF($AE$2:$AE$1001,AE71)&gt;1,1,0))</f>
        <v>0</v>
      </c>
      <c r="BC71" s="21" t="n">
        <f aca="false">IF(AND(H71="",I71&gt;تنظیمات!$B$12*60,AM71="خالی"),1,0)</f>
        <v>0</v>
      </c>
      <c r="BD71" s="21" t="n">
        <f aca="false">IF(AND(AP71="بله",I71&lt;تنظیمات!$B$14,AO71="خیر"),1,0)</f>
        <v>0</v>
      </c>
      <c r="BE71" s="21" t="n">
        <f aca="false">IF(AN71="خیر",1,0)</f>
        <v>0</v>
      </c>
      <c r="BF71" s="21" t="n">
        <f aca="false">IF(AND(AD71="فیش مفقودی",AQ71="بله",I71&gt;تنظیمات!$B$12*60),1,0)</f>
        <v>0</v>
      </c>
      <c r="BG71" s="21" t="n">
        <f aca="false">IF(AND(AK71&gt;تنظیمات!$B$11,AL71="بله"),1,0)</f>
        <v>0</v>
      </c>
      <c r="BH71" s="21" t="n">
        <f aca="false">MIN(100,AR71*تنظیمات!$B$21+AS71*تنظیمات!$B$22+AT71*تنظیمات!$B$23+AU71*تنظیمات!$B$24+AV71*تنظیمات!$B$25+AW71*تنظیمات!$B$26+AX71*تنظیمات!$B$27+AY71*تنظیمات!$B$28+AZ71*تنظیمات!$B$29+BA71*تنظیمات!$B$30+BB71*تنظیمات!$B$31+BC71*تنظیمات!$B$32+BD71*تنظیمات!$B$33+BE71*تنظیمات!$B$34+BF71*تنظیمات!$B$35+BG71*تنظیمات!$B$36)</f>
        <v>65</v>
      </c>
      <c r="BI71" s="16" t="str">
        <f aca="false">IF(BH71&gt;=60,"بحرانی",IF(BH71&gt;=30,"مشکوک",IF(BH71&gt;0,"هشدار","عادی")))</f>
        <v>بحرانی</v>
      </c>
      <c r="BJ71" s="16" t="s">
        <v>607</v>
      </c>
    </row>
    <row r="72" customFormat="false" ht="15" hidden="false" customHeight="false" outlineLevel="0" collapsed="false">
      <c r="A72" s="16" t="s">
        <v>626</v>
      </c>
      <c r="B72" s="16" t="s">
        <v>475</v>
      </c>
      <c r="C72" s="16"/>
      <c r="D72" s="16" t="s">
        <v>431</v>
      </c>
      <c r="E72" s="16" t="s">
        <v>363</v>
      </c>
      <c r="F72" s="16" t="s">
        <v>333</v>
      </c>
      <c r="G72" s="17" t="n">
        <v>46281.730150463</v>
      </c>
      <c r="H72" s="17" t="n">
        <v>46281.7357060185</v>
      </c>
      <c r="I72" s="18" t="n">
        <f aca="false">IF(H72="",ROUND((تنظیمات!$B$7-G72)*1440,0),ROUND((H72-G72)*1440,0))</f>
        <v>8</v>
      </c>
      <c r="J72" s="16" t="s">
        <v>334</v>
      </c>
      <c r="K72" s="16" t="s">
        <v>400</v>
      </c>
      <c r="L72" s="19" t="n">
        <v>0.89</v>
      </c>
      <c r="M72" s="19" t="n">
        <v>0.943</v>
      </c>
      <c r="N72" s="16" t="s">
        <v>335</v>
      </c>
      <c r="O72" s="16" t="s">
        <v>401</v>
      </c>
      <c r="P72" s="16" t="s">
        <v>420</v>
      </c>
      <c r="Q72" s="20" t="n">
        <v>46281</v>
      </c>
      <c r="R72" s="16" t="s">
        <v>627</v>
      </c>
      <c r="S72" s="16" t="s">
        <v>404</v>
      </c>
      <c r="T72" s="17"/>
      <c r="U72" s="21" t="n">
        <v>1</v>
      </c>
      <c r="V72" s="21" t="n">
        <v>1</v>
      </c>
      <c r="W72" s="22" t="n">
        <v>3</v>
      </c>
      <c r="X72" s="16" t="s">
        <v>335</v>
      </c>
      <c r="Y72" s="16" t="s">
        <v>338</v>
      </c>
      <c r="Z72" s="16" t="s">
        <v>628</v>
      </c>
      <c r="AA72" s="16"/>
      <c r="AB72" s="23"/>
      <c r="AC72" s="17"/>
      <c r="AD72" s="16" t="s">
        <v>338</v>
      </c>
      <c r="AE72" s="16"/>
      <c r="AF72" s="16" t="str">
        <f aca="false">IF(COUNTIF(لیست_سفید!$A$2:$A$21,B72)&gt;0,"بله","خیر")</f>
        <v>خیر</v>
      </c>
      <c r="AG72" s="24" t="n">
        <f aca="false">IF(H72="","",IF(AD72="فیش مفقودی",تنظیمات!$B$6,(INT(I72/1440)*تنظیمات!$B$5+IF(MOD(I72,1440)&lt;=تنظیمات!$B$2,0,MIN(تنظیمات!$B$5,تنظیمات!$B$3+MAX(0,ROUNDUP((MOD(I72,1440)-60)/60,0))*تنظیمات!$B$4)))*INDEX(تعرفه!$B$2:$B$7,MATCH(AD72,تعرفه!$A$2:$A$7,0))))</f>
        <v>0</v>
      </c>
      <c r="AH72" s="24" t="n">
        <v>0</v>
      </c>
      <c r="AI72" s="24" t="n">
        <f aca="false">IF(AG72="","",AH72-AG72)</f>
        <v>0</v>
      </c>
      <c r="AJ72" s="21" t="n">
        <v>-4</v>
      </c>
      <c r="AK72" s="21" t="n">
        <v>0</v>
      </c>
      <c r="AL72" s="16" t="s">
        <v>335</v>
      </c>
      <c r="AM72" s="16"/>
      <c r="AN72" s="16" t="s">
        <v>340</v>
      </c>
      <c r="AO72" s="16" t="s">
        <v>340</v>
      </c>
      <c r="AP72" s="16" t="s">
        <v>335</v>
      </c>
      <c r="AQ72" s="16"/>
      <c r="AR72" s="21" t="n">
        <f aca="false">IF(AND(T72&lt;&gt;"",H72&lt;&gt;""),IF(AND((T72-H72)*86400&gt;=0,(T72-H72)*86400&lt;تنظیمات!$B$13),1,0),0)</f>
        <v>0</v>
      </c>
      <c r="AS72" s="21" t="n">
        <f aca="false">IF(Z72="پوز",IF(OR(AB72="",COUNTIF(پوزها!$A$2:$A$5,AA72)=0),1,0),0)</f>
        <v>0</v>
      </c>
      <c r="AT72" s="21" t="n">
        <f aca="false">IF(AI72="",0,IF(AI72&gt;0,1,0))</f>
        <v>0</v>
      </c>
      <c r="AU72" s="21" t="n">
        <f aca="false">IF(AI72="",0,IF(AI72&lt;0,1,0))</f>
        <v>0</v>
      </c>
      <c r="AV72" s="21" t="n">
        <f aca="false">IF(U72&gt;V72,1,0)</f>
        <v>0</v>
      </c>
      <c r="AW72" s="21" t="n">
        <f aca="false">IF(OR(W72&gt;تنظیمات!$B$8,X72="بله"),1,0)</f>
        <v>0</v>
      </c>
      <c r="AX72" s="21" t="n">
        <f aca="false">IF(AND(N72="بله",L72&gt;تنظیمات!$B$9),1,0)</f>
        <v>0</v>
      </c>
      <c r="AY72" s="21" t="n">
        <f aca="false">IF(Y72="معکوس",1,0)</f>
        <v>0</v>
      </c>
      <c r="AZ72" s="21" t="n">
        <f aca="false">IF(ABS(AJ72)&gt;تنظیمات!$B$10,1,0)</f>
        <v>0</v>
      </c>
      <c r="BA72" s="21" t="n">
        <f aca="false">IF(AND(OR(AD72="رایگان/VIP",AD72="جانباز"),AF72="خیر"),1,0)</f>
        <v>0</v>
      </c>
      <c r="BB72" s="21" t="n">
        <f aca="false">IF(AE72="",0,IF(COUNTIF($AE$2:$AE$1001,AE72)&gt;1,1,0))</f>
        <v>0</v>
      </c>
      <c r="BC72" s="21" t="n">
        <f aca="false">IF(AND(H72="",I72&gt;تنظیمات!$B$12*60,AM72="خالی"),1,0)</f>
        <v>0</v>
      </c>
      <c r="BD72" s="21" t="n">
        <f aca="false">IF(AND(AP72="بله",I72&lt;تنظیمات!$B$14,AO72="خیر"),1,0)</f>
        <v>0</v>
      </c>
      <c r="BE72" s="21" t="n">
        <f aca="false">IF(AN72="خیر",1,0)</f>
        <v>0</v>
      </c>
      <c r="BF72" s="21" t="n">
        <f aca="false">IF(AND(AD72="فیش مفقودی",AQ72="بله",I72&gt;تنظیمات!$B$12*60),1,0)</f>
        <v>0</v>
      </c>
      <c r="BG72" s="21" t="n">
        <f aca="false">IF(AND(AK72&gt;تنظیمات!$B$11,AL72="بله"),1,0)</f>
        <v>0</v>
      </c>
      <c r="BH72" s="21" t="n">
        <f aca="false">MIN(100,AR72*تنظیمات!$B$21+AS72*تنظیمات!$B$22+AT72*تنظیمات!$B$23+AU72*تنظیمات!$B$24+AV72*تنظیمات!$B$25+AW72*تنظیمات!$B$26+AX72*تنظیمات!$B$27+AY72*تنظیمات!$B$28+AZ72*تنظیمات!$B$29+BA72*تنظیمات!$B$30+BB72*تنظیمات!$B$31+BC72*تنظیمات!$B$32+BD72*تنظیمات!$B$33+BE72*تنظیمات!$B$34+BF72*تنظیمات!$B$35+BG72*تنظیمات!$B$36)</f>
        <v>0</v>
      </c>
      <c r="BI72" s="16" t="str">
        <f aca="false">IF(BH72&gt;=60,"بحرانی",IF(BH72&gt;=30,"مشکوک",IF(BH72&gt;0,"هشدار","عادی")))</f>
        <v>عادی</v>
      </c>
      <c r="BJ72" s="16" t="s">
        <v>629</v>
      </c>
    </row>
    <row r="73" customFormat="false" ht="15" hidden="false" customHeight="false" outlineLevel="0" collapsed="false">
      <c r="A73" s="16" t="s">
        <v>630</v>
      </c>
      <c r="B73" s="16" t="s">
        <v>631</v>
      </c>
      <c r="C73" s="16"/>
      <c r="D73" s="16" t="s">
        <v>431</v>
      </c>
      <c r="E73" s="16" t="s">
        <v>351</v>
      </c>
      <c r="F73" s="16" t="s">
        <v>333</v>
      </c>
      <c r="G73" s="17" t="n">
        <v>46281.7332407407</v>
      </c>
      <c r="H73" s="17" t="n">
        <v>46281.8012962963</v>
      </c>
      <c r="I73" s="18" t="n">
        <f aca="false">IF(H73="",ROUND((تنظیمات!$B$7-G73)*1440,0),ROUND((H73-G73)*1440,0))</f>
        <v>98</v>
      </c>
      <c r="J73" s="16" t="s">
        <v>346</v>
      </c>
      <c r="K73" s="16" t="s">
        <v>400</v>
      </c>
      <c r="L73" s="19" t="n">
        <v>0.938</v>
      </c>
      <c r="M73" s="19" t="n">
        <v>0.974</v>
      </c>
      <c r="N73" s="16" t="s">
        <v>335</v>
      </c>
      <c r="O73" s="16" t="s">
        <v>401</v>
      </c>
      <c r="P73" s="16" t="s">
        <v>420</v>
      </c>
      <c r="Q73" s="20" t="n">
        <v>46281</v>
      </c>
      <c r="R73" s="16" t="s">
        <v>632</v>
      </c>
      <c r="S73" s="16" t="s">
        <v>404</v>
      </c>
      <c r="T73" s="17"/>
      <c r="U73" s="21" t="n">
        <v>1</v>
      </c>
      <c r="V73" s="21" t="n">
        <v>1</v>
      </c>
      <c r="W73" s="22" t="n">
        <v>4.7</v>
      </c>
      <c r="X73" s="16" t="s">
        <v>335</v>
      </c>
      <c r="Y73" s="16" t="s">
        <v>338</v>
      </c>
      <c r="Z73" s="16" t="s">
        <v>405</v>
      </c>
      <c r="AA73" s="16"/>
      <c r="AB73" s="23"/>
      <c r="AC73" s="17"/>
      <c r="AD73" s="16" t="s">
        <v>338</v>
      </c>
      <c r="AE73" s="16"/>
      <c r="AF73" s="16" t="str">
        <f aca="false">IF(COUNTIF(لیست_سفید!$A$2:$A$21,B73)&gt;0,"بله","خیر")</f>
        <v>خیر</v>
      </c>
      <c r="AG73" s="24" t="n">
        <f aca="false">IF(H73="","",IF(AD73="فیش مفقودی",تنظیمات!$B$6,(INT(I73/1440)*تنظیمات!$B$5+IF(MOD(I73,1440)&lt;=تنظیمات!$B$2,0,MIN(تنظیمات!$B$5,تنظیمات!$B$3+MAX(0,ROUNDUP((MOD(I73,1440)-60)/60,0))*تنظیمات!$B$4)))*INDEX(تعرفه!$B$2:$B$7,MATCH(AD73,تعرفه!$A$2:$A$7,0))))</f>
        <v>34000</v>
      </c>
      <c r="AH73" s="24" t="n">
        <v>34000</v>
      </c>
      <c r="AI73" s="24" t="n">
        <f aca="false">IF(AG73="","",AH73-AG73)</f>
        <v>0</v>
      </c>
      <c r="AJ73" s="21" t="n">
        <v>2</v>
      </c>
      <c r="AK73" s="21" t="n">
        <v>0</v>
      </c>
      <c r="AL73" s="16" t="s">
        <v>335</v>
      </c>
      <c r="AM73" s="16"/>
      <c r="AN73" s="16" t="s">
        <v>340</v>
      </c>
      <c r="AO73" s="16" t="s">
        <v>340</v>
      </c>
      <c r="AP73" s="16" t="s">
        <v>335</v>
      </c>
      <c r="AQ73" s="16"/>
      <c r="AR73" s="21" t="n">
        <f aca="false">IF(AND(T73&lt;&gt;"",H73&lt;&gt;""),IF(AND((T73-H73)*86400&gt;=0,(T73-H73)*86400&lt;تنظیمات!$B$13),1,0),0)</f>
        <v>0</v>
      </c>
      <c r="AS73" s="21" t="n">
        <f aca="false">IF(Z73="پوز",IF(OR(AB73="",COUNTIF(پوزها!$A$2:$A$5,AA73)=0),1,0),0)</f>
        <v>0</v>
      </c>
      <c r="AT73" s="21" t="n">
        <f aca="false">IF(AI73="",0,IF(AI73&gt;0,1,0))</f>
        <v>0</v>
      </c>
      <c r="AU73" s="21" t="n">
        <f aca="false">IF(AI73="",0,IF(AI73&lt;0,1,0))</f>
        <v>0</v>
      </c>
      <c r="AV73" s="21" t="n">
        <f aca="false">IF(U73&gt;V73,1,0)</f>
        <v>0</v>
      </c>
      <c r="AW73" s="21" t="n">
        <f aca="false">IF(OR(W73&gt;تنظیمات!$B$8,X73="بله"),1,0)</f>
        <v>0</v>
      </c>
      <c r="AX73" s="21" t="n">
        <f aca="false">IF(AND(N73="بله",L73&gt;تنظیمات!$B$9),1,0)</f>
        <v>0</v>
      </c>
      <c r="AY73" s="21" t="n">
        <f aca="false">IF(Y73="معکوس",1,0)</f>
        <v>0</v>
      </c>
      <c r="AZ73" s="21" t="n">
        <f aca="false">IF(ABS(AJ73)&gt;تنظیمات!$B$10,1,0)</f>
        <v>0</v>
      </c>
      <c r="BA73" s="21" t="n">
        <f aca="false">IF(AND(OR(AD73="رایگان/VIP",AD73="جانباز"),AF73="خیر"),1,0)</f>
        <v>0</v>
      </c>
      <c r="BB73" s="21" t="n">
        <f aca="false">IF(AE73="",0,IF(COUNTIF($AE$2:$AE$1001,AE73)&gt;1,1,0))</f>
        <v>0</v>
      </c>
      <c r="BC73" s="21" t="n">
        <f aca="false">IF(AND(H73="",I73&gt;تنظیمات!$B$12*60,AM73="خالی"),1,0)</f>
        <v>0</v>
      </c>
      <c r="BD73" s="21" t="n">
        <f aca="false">IF(AND(AP73="بله",I73&lt;تنظیمات!$B$14,AO73="خیر"),1,0)</f>
        <v>0</v>
      </c>
      <c r="BE73" s="21" t="n">
        <f aca="false">IF(AN73="خیر",1,0)</f>
        <v>0</v>
      </c>
      <c r="BF73" s="21" t="n">
        <f aca="false">IF(AND(AD73="فیش مفقودی",AQ73="بله",I73&gt;تنظیمات!$B$12*60),1,0)</f>
        <v>0</v>
      </c>
      <c r="BG73" s="21" t="n">
        <f aca="false">IF(AND(AK73&gt;تنظیمات!$B$11,AL73="بله"),1,0)</f>
        <v>0</v>
      </c>
      <c r="BH73" s="21" t="n">
        <f aca="false">MIN(100,AR73*تنظیمات!$B$21+AS73*تنظیمات!$B$22+AT73*تنظیمات!$B$23+AU73*تنظیمات!$B$24+AV73*تنظیمات!$B$25+AW73*تنظیمات!$B$26+AX73*تنظیمات!$B$27+AY73*تنظیمات!$B$28+AZ73*تنظیمات!$B$29+BA73*تنظیمات!$B$30+BB73*تنظیمات!$B$31+BC73*تنظیمات!$B$32+BD73*تنظیمات!$B$33+BE73*تنظیمات!$B$34+BF73*تنظیمات!$B$35+BG73*تنظیمات!$B$36)</f>
        <v>0</v>
      </c>
      <c r="BI73" s="16" t="str">
        <f aca="false">IF(BH73&gt;=60,"بحرانی",IF(BH73&gt;=30,"مشکوک",IF(BH73&gt;0,"هشدار","عادی")))</f>
        <v>عادی</v>
      </c>
      <c r="BJ73" s="16" t="s">
        <v>338</v>
      </c>
    </row>
    <row r="74" customFormat="false" ht="15" hidden="false" customHeight="false" outlineLevel="0" collapsed="false">
      <c r="A74" s="16" t="s">
        <v>633</v>
      </c>
      <c r="B74" s="16" t="s">
        <v>634</v>
      </c>
      <c r="C74" s="16"/>
      <c r="D74" s="16" t="s">
        <v>523</v>
      </c>
      <c r="E74" s="16" t="s">
        <v>363</v>
      </c>
      <c r="F74" s="16" t="s">
        <v>333</v>
      </c>
      <c r="G74" s="17" t="n">
        <v>46281.7666782407</v>
      </c>
      <c r="H74" s="17" t="n">
        <v>46281.7833449074</v>
      </c>
      <c r="I74" s="18" t="n">
        <f aca="false">IF(H74="",ROUND((تنظیمات!$B$7-G74)*1440,0),ROUND((H74-G74)*1440,0))</f>
        <v>24</v>
      </c>
      <c r="J74" s="16" t="s">
        <v>334</v>
      </c>
      <c r="K74" s="16" t="s">
        <v>410</v>
      </c>
      <c r="L74" s="19" t="n">
        <v>0.963</v>
      </c>
      <c r="M74" s="19" t="n">
        <v>0.949</v>
      </c>
      <c r="N74" s="16" t="s">
        <v>335</v>
      </c>
      <c r="O74" s="16" t="s">
        <v>419</v>
      </c>
      <c r="P74" s="16" t="s">
        <v>420</v>
      </c>
      <c r="Q74" s="20" t="n">
        <v>46281</v>
      </c>
      <c r="R74" s="16" t="s">
        <v>635</v>
      </c>
      <c r="S74" s="16" t="s">
        <v>404</v>
      </c>
      <c r="T74" s="17"/>
      <c r="U74" s="21" t="n">
        <v>1</v>
      </c>
      <c r="V74" s="21" t="n">
        <v>1</v>
      </c>
      <c r="W74" s="22" t="n">
        <v>5.2</v>
      </c>
      <c r="X74" s="16" t="s">
        <v>335</v>
      </c>
      <c r="Y74" s="16" t="s">
        <v>338</v>
      </c>
      <c r="Z74" s="16" t="s">
        <v>413</v>
      </c>
      <c r="AA74" s="16" t="s">
        <v>414</v>
      </c>
      <c r="AB74" s="23" t="s">
        <v>636</v>
      </c>
      <c r="AC74" s="17" t="n">
        <v>46281.7830439815</v>
      </c>
      <c r="AD74" s="16" t="s">
        <v>338</v>
      </c>
      <c r="AE74" s="16"/>
      <c r="AF74" s="16" t="str">
        <f aca="false">IF(COUNTIF(لیست_سفید!$A$2:$A$21,B74)&gt;0,"بله","خیر")</f>
        <v>خیر</v>
      </c>
      <c r="AG74" s="24" t="n">
        <f aca="false">IF(H74="","",IF(AD74="فیش مفقودی",تنظیمات!$B$6,(INT(I74/1440)*تنظیمات!$B$5+IF(MOD(I74,1440)&lt;=تنظیمات!$B$2,0,MIN(تنظیمات!$B$5,تنظیمات!$B$3+MAX(0,ROUNDUP((MOD(I74,1440)-60)/60,0))*تنظیمات!$B$4)))*INDEX(تعرفه!$B$2:$B$7,MATCH(AD74,تعرفه!$A$2:$A$7,0))))</f>
        <v>20000</v>
      </c>
      <c r="AH74" s="24" t="n">
        <v>20000</v>
      </c>
      <c r="AI74" s="24" t="n">
        <f aca="false">IF(AG74="","",AH74-AG74)</f>
        <v>0</v>
      </c>
      <c r="AJ74" s="21" t="n">
        <v>-1</v>
      </c>
      <c r="AK74" s="21" t="n">
        <v>0</v>
      </c>
      <c r="AL74" s="16" t="s">
        <v>335</v>
      </c>
      <c r="AM74" s="16"/>
      <c r="AN74" s="16" t="s">
        <v>340</v>
      </c>
      <c r="AO74" s="16" t="s">
        <v>340</v>
      </c>
      <c r="AP74" s="16" t="s">
        <v>335</v>
      </c>
      <c r="AQ74" s="16"/>
      <c r="AR74" s="21" t="n">
        <f aca="false">IF(AND(T74&lt;&gt;"",H74&lt;&gt;""),IF(AND((T74-H74)*86400&gt;=0,(T74-H74)*86400&lt;تنظیمات!$B$13),1,0),0)</f>
        <v>0</v>
      </c>
      <c r="AS74" s="21" t="n">
        <f aca="false">IF(Z74="پوز",IF(OR(AB74="",COUNTIF(پوزها!$A$2:$A$5,AA74)=0),1,0),0)</f>
        <v>0</v>
      </c>
      <c r="AT74" s="21" t="n">
        <f aca="false">IF(AI74="",0,IF(AI74&gt;0,1,0))</f>
        <v>0</v>
      </c>
      <c r="AU74" s="21" t="n">
        <f aca="false">IF(AI74="",0,IF(AI74&lt;0,1,0))</f>
        <v>0</v>
      </c>
      <c r="AV74" s="21" t="n">
        <f aca="false">IF(U74&gt;V74,1,0)</f>
        <v>0</v>
      </c>
      <c r="AW74" s="21" t="n">
        <f aca="false">IF(OR(W74&gt;تنظیمات!$B$8,X74="بله"),1,0)</f>
        <v>0</v>
      </c>
      <c r="AX74" s="21" t="n">
        <f aca="false">IF(AND(N74="بله",L74&gt;تنظیمات!$B$9),1,0)</f>
        <v>0</v>
      </c>
      <c r="AY74" s="21" t="n">
        <f aca="false">IF(Y74="معکوس",1,0)</f>
        <v>0</v>
      </c>
      <c r="AZ74" s="21" t="n">
        <f aca="false">IF(ABS(AJ74)&gt;تنظیمات!$B$10,1,0)</f>
        <v>0</v>
      </c>
      <c r="BA74" s="21" t="n">
        <f aca="false">IF(AND(OR(AD74="رایگان/VIP",AD74="جانباز"),AF74="خیر"),1,0)</f>
        <v>0</v>
      </c>
      <c r="BB74" s="21" t="n">
        <f aca="false">IF(AE74="",0,IF(COUNTIF($AE$2:$AE$1001,AE74)&gt;1,1,0))</f>
        <v>0</v>
      </c>
      <c r="BC74" s="21" t="n">
        <f aca="false">IF(AND(H74="",I74&gt;تنظیمات!$B$12*60,AM74="خالی"),1,0)</f>
        <v>0</v>
      </c>
      <c r="BD74" s="21" t="n">
        <f aca="false">IF(AND(AP74="بله",I74&lt;تنظیمات!$B$14,AO74="خیر"),1,0)</f>
        <v>0</v>
      </c>
      <c r="BE74" s="21" t="n">
        <f aca="false">IF(AN74="خیر",1,0)</f>
        <v>0</v>
      </c>
      <c r="BF74" s="21" t="n">
        <f aca="false">IF(AND(AD74="فیش مفقودی",AQ74="بله",I74&gt;تنظیمات!$B$12*60),1,0)</f>
        <v>0</v>
      </c>
      <c r="BG74" s="21" t="n">
        <f aca="false">IF(AND(AK74&gt;تنظیمات!$B$11,AL74="بله"),1,0)</f>
        <v>0</v>
      </c>
      <c r="BH74" s="21" t="n">
        <f aca="false">MIN(100,AR74*تنظیمات!$B$21+AS74*تنظیمات!$B$22+AT74*تنظیمات!$B$23+AU74*تنظیمات!$B$24+AV74*تنظیمات!$B$25+AW74*تنظیمات!$B$26+AX74*تنظیمات!$B$27+AY74*تنظیمات!$B$28+AZ74*تنظیمات!$B$29+BA74*تنظیمات!$B$30+BB74*تنظیمات!$B$31+BC74*تنظیمات!$B$32+BD74*تنظیمات!$B$33+BE74*تنظیمات!$B$34+BF74*تنظیمات!$B$35+BG74*تنظیمات!$B$36)</f>
        <v>0</v>
      </c>
      <c r="BI74" s="16" t="str">
        <f aca="false">IF(BH74&gt;=60,"بحرانی",IF(BH74&gt;=30,"مشکوک",IF(BH74&gt;0,"هشدار","عادی")))</f>
        <v>عادی</v>
      </c>
      <c r="BJ74" s="16" t="s">
        <v>338</v>
      </c>
    </row>
    <row r="75" customFormat="false" ht="15" hidden="false" customHeight="false" outlineLevel="0" collapsed="false">
      <c r="A75" s="16" t="s">
        <v>637</v>
      </c>
      <c r="B75" s="16" t="s">
        <v>385</v>
      </c>
      <c r="C75" s="16"/>
      <c r="D75" s="16" t="s">
        <v>386</v>
      </c>
      <c r="E75" s="16" t="s">
        <v>351</v>
      </c>
      <c r="F75" s="16" t="s">
        <v>333</v>
      </c>
      <c r="G75" s="17" t="n">
        <v>46281.7797337963</v>
      </c>
      <c r="H75" s="17" t="n">
        <v>46281.8950115741</v>
      </c>
      <c r="I75" s="18" t="n">
        <f aca="false">IF(H75="",ROUND((تنظیمات!$B$7-G75)*1440,0),ROUND((H75-G75)*1440,0))</f>
        <v>166</v>
      </c>
      <c r="J75" s="16" t="s">
        <v>334</v>
      </c>
      <c r="K75" s="16" t="s">
        <v>400</v>
      </c>
      <c r="L75" s="19" t="n">
        <v>0.915</v>
      </c>
      <c r="M75" s="19" t="n">
        <v>0.927</v>
      </c>
      <c r="N75" s="16" t="s">
        <v>335</v>
      </c>
      <c r="O75" s="16" t="s">
        <v>401</v>
      </c>
      <c r="P75" s="16" t="s">
        <v>420</v>
      </c>
      <c r="Q75" s="20" t="n">
        <v>46281</v>
      </c>
      <c r="R75" s="16" t="s">
        <v>638</v>
      </c>
      <c r="S75" s="16" t="s">
        <v>404</v>
      </c>
      <c r="T75" s="17"/>
      <c r="U75" s="21" t="n">
        <v>1</v>
      </c>
      <c r="V75" s="21" t="n">
        <v>1</v>
      </c>
      <c r="W75" s="22" t="n">
        <v>4.4</v>
      </c>
      <c r="X75" s="16" t="s">
        <v>335</v>
      </c>
      <c r="Y75" s="16" t="s">
        <v>338</v>
      </c>
      <c r="Z75" s="16" t="s">
        <v>405</v>
      </c>
      <c r="AA75" s="16"/>
      <c r="AB75" s="23"/>
      <c r="AC75" s="17"/>
      <c r="AD75" s="16" t="s">
        <v>338</v>
      </c>
      <c r="AE75" s="16"/>
      <c r="AF75" s="16" t="str">
        <f aca="false">IF(COUNTIF(لیست_سفید!$A$2:$A$21,B75)&gt;0,"بله","خیر")</f>
        <v>خیر</v>
      </c>
      <c r="AG75" s="24" t="n">
        <f aca="false">IF(H75="","",IF(AD75="فیش مفقودی",تنظیمات!$B$6,(INT(I75/1440)*تنظیمات!$B$5+IF(MOD(I75,1440)&lt;=تنظیمات!$B$2,0,MIN(تنظیمات!$B$5,تنظیمات!$B$3+MAX(0,ROUNDUP((MOD(I75,1440)-60)/60,0))*تنظیمات!$B$4)))*INDEX(تعرفه!$B$2:$B$7,MATCH(AD75,تعرفه!$A$2:$A$7,0))))</f>
        <v>48000</v>
      </c>
      <c r="AH75" s="24" t="n">
        <v>48000</v>
      </c>
      <c r="AI75" s="24" t="n">
        <f aca="false">IF(AG75="","",AH75-AG75)</f>
        <v>0</v>
      </c>
      <c r="AJ75" s="21" t="n">
        <v>5</v>
      </c>
      <c r="AK75" s="21" t="n">
        <v>0</v>
      </c>
      <c r="AL75" s="16" t="s">
        <v>335</v>
      </c>
      <c r="AM75" s="16"/>
      <c r="AN75" s="16" t="s">
        <v>340</v>
      </c>
      <c r="AO75" s="16" t="s">
        <v>340</v>
      </c>
      <c r="AP75" s="16" t="s">
        <v>335</v>
      </c>
      <c r="AQ75" s="16"/>
      <c r="AR75" s="21" t="n">
        <f aca="false">IF(AND(T75&lt;&gt;"",H75&lt;&gt;""),IF(AND((T75-H75)*86400&gt;=0,(T75-H75)*86400&lt;تنظیمات!$B$13),1,0),0)</f>
        <v>0</v>
      </c>
      <c r="AS75" s="21" t="n">
        <f aca="false">IF(Z75="پوز",IF(OR(AB75="",COUNTIF(پوزها!$A$2:$A$5,AA75)=0),1,0),0)</f>
        <v>0</v>
      </c>
      <c r="AT75" s="21" t="n">
        <f aca="false">IF(AI75="",0,IF(AI75&gt;0,1,0))</f>
        <v>0</v>
      </c>
      <c r="AU75" s="21" t="n">
        <f aca="false">IF(AI75="",0,IF(AI75&lt;0,1,0))</f>
        <v>0</v>
      </c>
      <c r="AV75" s="21" t="n">
        <f aca="false">IF(U75&gt;V75,1,0)</f>
        <v>0</v>
      </c>
      <c r="AW75" s="21" t="n">
        <f aca="false">IF(OR(W75&gt;تنظیمات!$B$8,X75="بله"),1,0)</f>
        <v>0</v>
      </c>
      <c r="AX75" s="21" t="n">
        <f aca="false">IF(AND(N75="بله",L75&gt;تنظیمات!$B$9),1,0)</f>
        <v>0</v>
      </c>
      <c r="AY75" s="21" t="n">
        <f aca="false">IF(Y75="معکوس",1,0)</f>
        <v>0</v>
      </c>
      <c r="AZ75" s="21" t="n">
        <f aca="false">IF(ABS(AJ75)&gt;تنظیمات!$B$10,1,0)</f>
        <v>0</v>
      </c>
      <c r="BA75" s="21" t="n">
        <f aca="false">IF(AND(OR(AD75="رایگان/VIP",AD75="جانباز"),AF75="خیر"),1,0)</f>
        <v>0</v>
      </c>
      <c r="BB75" s="21" t="n">
        <f aca="false">IF(AE75="",0,IF(COUNTIF($AE$2:$AE$1001,AE75)&gt;1,1,0))</f>
        <v>0</v>
      </c>
      <c r="BC75" s="21" t="n">
        <f aca="false">IF(AND(H75="",I75&gt;تنظیمات!$B$12*60,AM75="خالی"),1,0)</f>
        <v>0</v>
      </c>
      <c r="BD75" s="21" t="n">
        <f aca="false">IF(AND(AP75="بله",I75&lt;تنظیمات!$B$14,AO75="خیر"),1,0)</f>
        <v>0</v>
      </c>
      <c r="BE75" s="21" t="n">
        <f aca="false">IF(AN75="خیر",1,0)</f>
        <v>0</v>
      </c>
      <c r="BF75" s="21" t="n">
        <f aca="false">IF(AND(AD75="فیش مفقودی",AQ75="بله",I75&gt;تنظیمات!$B$12*60),1,0)</f>
        <v>0</v>
      </c>
      <c r="BG75" s="21" t="n">
        <f aca="false">IF(AND(AK75&gt;تنظیمات!$B$11,AL75="بله"),1,0)</f>
        <v>0</v>
      </c>
      <c r="BH75" s="21" t="n">
        <f aca="false">MIN(100,AR75*تنظیمات!$B$21+AS75*تنظیمات!$B$22+AT75*تنظیمات!$B$23+AU75*تنظیمات!$B$24+AV75*تنظیمات!$B$25+AW75*تنظیمات!$B$26+AX75*تنظیمات!$B$27+AY75*تنظیمات!$B$28+AZ75*تنظیمات!$B$29+BA75*تنظیمات!$B$30+BB75*تنظیمات!$B$31+BC75*تنظیمات!$B$32+BD75*تنظیمات!$B$33+BE75*تنظیمات!$B$34+BF75*تنظیمات!$B$35+BG75*تنظیمات!$B$36)</f>
        <v>0</v>
      </c>
      <c r="BI75" s="16" t="str">
        <f aca="false">IF(BH75&gt;=60,"بحرانی",IF(BH75&gt;=30,"مشکوک",IF(BH75&gt;0,"هشدار","عادی")))</f>
        <v>عادی</v>
      </c>
      <c r="BJ75" s="16" t="s">
        <v>338</v>
      </c>
    </row>
    <row r="76" customFormat="false" ht="15" hidden="false" customHeight="false" outlineLevel="0" collapsed="false">
      <c r="A76" s="16" t="s">
        <v>639</v>
      </c>
      <c r="B76" s="16" t="s">
        <v>640</v>
      </c>
      <c r="C76" s="16"/>
      <c r="D76" s="16" t="s">
        <v>370</v>
      </c>
      <c r="E76" s="16" t="s">
        <v>332</v>
      </c>
      <c r="F76" s="16" t="s">
        <v>333</v>
      </c>
      <c r="G76" s="17" t="n">
        <v>46281.7976967593</v>
      </c>
      <c r="H76" s="17" t="n">
        <v>46281.7997800926</v>
      </c>
      <c r="I76" s="18" t="n">
        <f aca="false">IF(H76="",ROUND((تنظیمات!$B$7-G76)*1440,0),ROUND((H76-G76)*1440,0))</f>
        <v>3</v>
      </c>
      <c r="J76" s="16" t="s">
        <v>346</v>
      </c>
      <c r="K76" s="16" t="s">
        <v>400</v>
      </c>
      <c r="L76" s="19" t="n">
        <v>0.924</v>
      </c>
      <c r="M76" s="19" t="n">
        <v>0.995</v>
      </c>
      <c r="N76" s="16" t="s">
        <v>335</v>
      </c>
      <c r="O76" s="16" t="s">
        <v>401</v>
      </c>
      <c r="P76" s="16" t="s">
        <v>420</v>
      </c>
      <c r="Q76" s="20" t="n">
        <v>46281</v>
      </c>
      <c r="R76" s="16" t="s">
        <v>641</v>
      </c>
      <c r="S76" s="16" t="s">
        <v>404</v>
      </c>
      <c r="T76" s="17"/>
      <c r="U76" s="21" t="n">
        <v>1</v>
      </c>
      <c r="V76" s="21" t="n">
        <v>1</v>
      </c>
      <c r="W76" s="22" t="n">
        <v>4.6</v>
      </c>
      <c r="X76" s="16" t="s">
        <v>335</v>
      </c>
      <c r="Y76" s="16" t="s">
        <v>338</v>
      </c>
      <c r="Z76" s="16" t="s">
        <v>628</v>
      </c>
      <c r="AA76" s="16"/>
      <c r="AB76" s="23"/>
      <c r="AC76" s="17"/>
      <c r="AD76" s="16" t="s">
        <v>338</v>
      </c>
      <c r="AE76" s="16"/>
      <c r="AF76" s="16" t="str">
        <f aca="false">IF(COUNTIF(لیست_سفید!$A$2:$A$21,B76)&gt;0,"بله","خیر")</f>
        <v>خیر</v>
      </c>
      <c r="AG76" s="24" t="n">
        <f aca="false">IF(H76="","",IF(AD76="فیش مفقودی",تنظیمات!$B$6,(INT(I76/1440)*تنظیمات!$B$5+IF(MOD(I76,1440)&lt;=تنظیمات!$B$2,0,MIN(تنظیمات!$B$5,تنظیمات!$B$3+MAX(0,ROUNDUP((MOD(I76,1440)-60)/60,0))*تنظیمات!$B$4)))*INDEX(تعرفه!$B$2:$B$7,MATCH(AD76,تعرفه!$A$2:$A$7,0))))</f>
        <v>0</v>
      </c>
      <c r="AH76" s="24" t="n">
        <v>0</v>
      </c>
      <c r="AI76" s="24" t="n">
        <f aca="false">IF(AG76="","",AH76-AG76)</f>
        <v>0</v>
      </c>
      <c r="AJ76" s="21" t="n">
        <v>0</v>
      </c>
      <c r="AK76" s="21" t="n">
        <v>0</v>
      </c>
      <c r="AL76" s="16" t="s">
        <v>335</v>
      </c>
      <c r="AM76" s="16"/>
      <c r="AN76" s="16" t="s">
        <v>340</v>
      </c>
      <c r="AO76" s="16" t="s">
        <v>340</v>
      </c>
      <c r="AP76" s="16" t="s">
        <v>335</v>
      </c>
      <c r="AQ76" s="16"/>
      <c r="AR76" s="21" t="n">
        <f aca="false">IF(AND(T76&lt;&gt;"",H76&lt;&gt;""),IF(AND((T76-H76)*86400&gt;=0,(T76-H76)*86400&lt;تنظیمات!$B$13),1,0),0)</f>
        <v>0</v>
      </c>
      <c r="AS76" s="21" t="n">
        <f aca="false">IF(Z76="پوز",IF(OR(AB76="",COUNTIF(پوزها!$A$2:$A$5,AA76)=0),1,0),0)</f>
        <v>0</v>
      </c>
      <c r="AT76" s="21" t="n">
        <f aca="false">IF(AI76="",0,IF(AI76&gt;0,1,0))</f>
        <v>0</v>
      </c>
      <c r="AU76" s="21" t="n">
        <f aca="false">IF(AI76="",0,IF(AI76&lt;0,1,0))</f>
        <v>0</v>
      </c>
      <c r="AV76" s="21" t="n">
        <f aca="false">IF(U76&gt;V76,1,0)</f>
        <v>0</v>
      </c>
      <c r="AW76" s="21" t="n">
        <f aca="false">IF(OR(W76&gt;تنظیمات!$B$8,X76="بله"),1,0)</f>
        <v>0</v>
      </c>
      <c r="AX76" s="21" t="n">
        <f aca="false">IF(AND(N76="بله",L76&gt;تنظیمات!$B$9),1,0)</f>
        <v>0</v>
      </c>
      <c r="AY76" s="21" t="n">
        <f aca="false">IF(Y76="معکوس",1,0)</f>
        <v>0</v>
      </c>
      <c r="AZ76" s="21" t="n">
        <f aca="false">IF(ABS(AJ76)&gt;تنظیمات!$B$10,1,0)</f>
        <v>0</v>
      </c>
      <c r="BA76" s="21" t="n">
        <f aca="false">IF(AND(OR(AD76="رایگان/VIP",AD76="جانباز"),AF76="خیر"),1,0)</f>
        <v>0</v>
      </c>
      <c r="BB76" s="21" t="n">
        <f aca="false">IF(AE76="",0,IF(COUNTIF($AE$2:$AE$1001,AE76)&gt;1,1,0))</f>
        <v>0</v>
      </c>
      <c r="BC76" s="21" t="n">
        <f aca="false">IF(AND(H76="",I76&gt;تنظیمات!$B$12*60,AM76="خالی"),1,0)</f>
        <v>0</v>
      </c>
      <c r="BD76" s="21" t="n">
        <f aca="false">IF(AND(AP76="بله",I76&lt;تنظیمات!$B$14,AO76="خیر"),1,0)</f>
        <v>0</v>
      </c>
      <c r="BE76" s="21" t="n">
        <f aca="false">IF(AN76="خیر",1,0)</f>
        <v>0</v>
      </c>
      <c r="BF76" s="21" t="n">
        <f aca="false">IF(AND(AD76="فیش مفقودی",AQ76="بله",I76&gt;تنظیمات!$B$12*60),1,0)</f>
        <v>0</v>
      </c>
      <c r="BG76" s="21" t="n">
        <f aca="false">IF(AND(AK76&gt;تنظیمات!$B$11,AL76="بله"),1,0)</f>
        <v>0</v>
      </c>
      <c r="BH76" s="21" t="n">
        <f aca="false">MIN(100,AR76*تنظیمات!$B$21+AS76*تنظیمات!$B$22+AT76*تنظیمات!$B$23+AU76*تنظیمات!$B$24+AV76*تنظیمات!$B$25+AW76*تنظیمات!$B$26+AX76*تنظیمات!$B$27+AY76*تنظیمات!$B$28+AZ76*تنظیمات!$B$29+BA76*تنظیمات!$B$30+BB76*تنظیمات!$B$31+BC76*تنظیمات!$B$32+BD76*تنظیمات!$B$33+BE76*تنظیمات!$B$34+BF76*تنظیمات!$B$35+BG76*تنظیمات!$B$36)</f>
        <v>0</v>
      </c>
      <c r="BI76" s="16" t="str">
        <f aca="false">IF(BH76&gt;=60,"بحرانی",IF(BH76&gt;=30,"مشکوک",IF(BH76&gt;0,"هشدار","عادی")))</f>
        <v>عادی</v>
      </c>
      <c r="BJ76" s="16" t="s">
        <v>338</v>
      </c>
    </row>
    <row r="77" customFormat="false" ht="15" hidden="false" customHeight="false" outlineLevel="0" collapsed="false">
      <c r="A77" s="16" t="s">
        <v>642</v>
      </c>
      <c r="B77" s="16" t="s">
        <v>643</v>
      </c>
      <c r="C77" s="16"/>
      <c r="D77" s="16" t="s">
        <v>382</v>
      </c>
      <c r="E77" s="16" t="s">
        <v>345</v>
      </c>
      <c r="F77" s="16" t="s">
        <v>333</v>
      </c>
      <c r="G77" s="17" t="n">
        <v>46281.8603703704</v>
      </c>
      <c r="H77" s="17" t="n">
        <v>46281.8673148148</v>
      </c>
      <c r="I77" s="18" t="n">
        <f aca="false">IF(H77="",ROUND((تنظیمات!$B$7-G77)*1440,0),ROUND((H77-G77)*1440,0))</f>
        <v>10</v>
      </c>
      <c r="J77" s="16" t="s">
        <v>334</v>
      </c>
      <c r="K77" s="16" t="s">
        <v>410</v>
      </c>
      <c r="L77" s="19" t="n">
        <v>0.902</v>
      </c>
      <c r="M77" s="19" t="n">
        <v>0.872</v>
      </c>
      <c r="N77" s="16" t="s">
        <v>335</v>
      </c>
      <c r="O77" s="16" t="s">
        <v>419</v>
      </c>
      <c r="P77" s="16" t="s">
        <v>420</v>
      </c>
      <c r="Q77" s="20" t="n">
        <v>46281</v>
      </c>
      <c r="R77" s="16" t="s">
        <v>644</v>
      </c>
      <c r="S77" s="16" t="s">
        <v>404</v>
      </c>
      <c r="T77" s="17"/>
      <c r="U77" s="21" t="n">
        <v>1</v>
      </c>
      <c r="V77" s="21" t="n">
        <v>1</v>
      </c>
      <c r="W77" s="22" t="n">
        <v>6.5</v>
      </c>
      <c r="X77" s="16" t="s">
        <v>335</v>
      </c>
      <c r="Y77" s="16" t="s">
        <v>338</v>
      </c>
      <c r="Z77" s="16" t="s">
        <v>628</v>
      </c>
      <c r="AA77" s="16"/>
      <c r="AB77" s="23"/>
      <c r="AC77" s="17"/>
      <c r="AD77" s="16" t="s">
        <v>338</v>
      </c>
      <c r="AE77" s="16"/>
      <c r="AF77" s="16" t="str">
        <f aca="false">IF(COUNTIF(لیست_سفید!$A$2:$A$21,B77)&gt;0,"بله","خیر")</f>
        <v>خیر</v>
      </c>
      <c r="AG77" s="24" t="n">
        <f aca="false">IF(H77="","",IF(AD77="فیش مفقودی",تنظیمات!$B$6,(INT(I77/1440)*تنظیمات!$B$5+IF(MOD(I77,1440)&lt;=تنظیمات!$B$2,0,MIN(تنظیمات!$B$5,تنظیمات!$B$3+MAX(0,ROUNDUP((MOD(I77,1440)-60)/60,0))*تنظیمات!$B$4)))*INDEX(تعرفه!$B$2:$B$7,MATCH(AD77,تعرفه!$A$2:$A$7,0))))</f>
        <v>0</v>
      </c>
      <c r="AH77" s="24" t="n">
        <v>0</v>
      </c>
      <c r="AI77" s="24" t="n">
        <f aca="false">IF(AG77="","",AH77-AG77)</f>
        <v>0</v>
      </c>
      <c r="AJ77" s="21" t="n">
        <v>-1</v>
      </c>
      <c r="AK77" s="21" t="n">
        <v>0</v>
      </c>
      <c r="AL77" s="16" t="s">
        <v>335</v>
      </c>
      <c r="AM77" s="16"/>
      <c r="AN77" s="16" t="s">
        <v>340</v>
      </c>
      <c r="AO77" s="16" t="s">
        <v>340</v>
      </c>
      <c r="AP77" s="16" t="s">
        <v>335</v>
      </c>
      <c r="AQ77" s="16"/>
      <c r="AR77" s="21" t="n">
        <f aca="false">IF(AND(T77&lt;&gt;"",H77&lt;&gt;""),IF(AND((T77-H77)*86400&gt;=0,(T77-H77)*86400&lt;تنظیمات!$B$13),1,0),0)</f>
        <v>0</v>
      </c>
      <c r="AS77" s="21" t="n">
        <f aca="false">IF(Z77="پوز",IF(OR(AB77="",COUNTIF(پوزها!$A$2:$A$5,AA77)=0),1,0),0)</f>
        <v>0</v>
      </c>
      <c r="AT77" s="21" t="n">
        <f aca="false">IF(AI77="",0,IF(AI77&gt;0,1,0))</f>
        <v>0</v>
      </c>
      <c r="AU77" s="21" t="n">
        <f aca="false">IF(AI77="",0,IF(AI77&lt;0,1,0))</f>
        <v>0</v>
      </c>
      <c r="AV77" s="21" t="n">
        <f aca="false">IF(U77&gt;V77,1,0)</f>
        <v>0</v>
      </c>
      <c r="AW77" s="21" t="n">
        <f aca="false">IF(OR(W77&gt;تنظیمات!$B$8,X77="بله"),1,0)</f>
        <v>0</v>
      </c>
      <c r="AX77" s="21" t="n">
        <f aca="false">IF(AND(N77="بله",L77&gt;تنظیمات!$B$9),1,0)</f>
        <v>0</v>
      </c>
      <c r="AY77" s="21" t="n">
        <f aca="false">IF(Y77="معکوس",1,0)</f>
        <v>0</v>
      </c>
      <c r="AZ77" s="21" t="n">
        <f aca="false">IF(ABS(AJ77)&gt;تنظیمات!$B$10,1,0)</f>
        <v>0</v>
      </c>
      <c r="BA77" s="21" t="n">
        <f aca="false">IF(AND(OR(AD77="رایگان/VIP",AD77="جانباز"),AF77="خیر"),1,0)</f>
        <v>0</v>
      </c>
      <c r="BB77" s="21" t="n">
        <f aca="false">IF(AE77="",0,IF(COUNTIF($AE$2:$AE$1001,AE77)&gt;1,1,0))</f>
        <v>0</v>
      </c>
      <c r="BC77" s="21" t="n">
        <f aca="false">IF(AND(H77="",I77&gt;تنظیمات!$B$12*60,AM77="خالی"),1,0)</f>
        <v>0</v>
      </c>
      <c r="BD77" s="21" t="n">
        <f aca="false">IF(AND(AP77="بله",I77&lt;تنظیمات!$B$14,AO77="خیر"),1,0)</f>
        <v>0</v>
      </c>
      <c r="BE77" s="21" t="n">
        <f aca="false">IF(AN77="خیر",1,0)</f>
        <v>0</v>
      </c>
      <c r="BF77" s="21" t="n">
        <f aca="false">IF(AND(AD77="فیش مفقودی",AQ77="بله",I77&gt;تنظیمات!$B$12*60),1,0)</f>
        <v>0</v>
      </c>
      <c r="BG77" s="21" t="n">
        <f aca="false">IF(AND(AK77&gt;تنظیمات!$B$11,AL77="بله"),1,0)</f>
        <v>0</v>
      </c>
      <c r="BH77" s="21" t="n">
        <f aca="false">MIN(100,AR77*تنظیمات!$B$21+AS77*تنظیمات!$B$22+AT77*تنظیمات!$B$23+AU77*تنظیمات!$B$24+AV77*تنظیمات!$B$25+AW77*تنظیمات!$B$26+AX77*تنظیمات!$B$27+AY77*تنظیمات!$B$28+AZ77*تنظیمات!$B$29+BA77*تنظیمات!$B$30+BB77*تنظیمات!$B$31+BC77*تنظیمات!$B$32+BD77*تنظیمات!$B$33+BE77*تنظیمات!$B$34+BF77*تنظیمات!$B$35+BG77*تنظیمات!$B$36)</f>
        <v>0</v>
      </c>
      <c r="BI77" s="16" t="str">
        <f aca="false">IF(BH77&gt;=60,"بحرانی",IF(BH77&gt;=30,"مشکوک",IF(BH77&gt;0,"هشدار","عادی")))</f>
        <v>عادی</v>
      </c>
      <c r="BJ77" s="16" t="s">
        <v>338</v>
      </c>
    </row>
    <row r="78" customFormat="false" ht="15" hidden="false" customHeight="false" outlineLevel="0" collapsed="false">
      <c r="A78" s="16" t="s">
        <v>645</v>
      </c>
      <c r="B78" s="16" t="s">
        <v>646</v>
      </c>
      <c r="C78" s="16"/>
      <c r="D78" s="16" t="s">
        <v>370</v>
      </c>
      <c r="E78" s="16" t="s">
        <v>351</v>
      </c>
      <c r="F78" s="16" t="s">
        <v>333</v>
      </c>
      <c r="G78" s="17" t="n">
        <v>46281.8687847222</v>
      </c>
      <c r="H78" s="17" t="n">
        <v>46281.8708680556</v>
      </c>
      <c r="I78" s="18" t="n">
        <f aca="false">IF(H78="",ROUND((تنظیمات!$B$7-G78)*1440,0),ROUND((H78-G78)*1440,0))</f>
        <v>3</v>
      </c>
      <c r="J78" s="16" t="s">
        <v>346</v>
      </c>
      <c r="K78" s="16" t="s">
        <v>410</v>
      </c>
      <c r="L78" s="19" t="n">
        <v>0.866</v>
      </c>
      <c r="M78" s="19" t="n">
        <v>0.941</v>
      </c>
      <c r="N78" s="16" t="s">
        <v>335</v>
      </c>
      <c r="O78" s="16" t="s">
        <v>419</v>
      </c>
      <c r="P78" s="16" t="s">
        <v>420</v>
      </c>
      <c r="Q78" s="20" t="n">
        <v>46281</v>
      </c>
      <c r="R78" s="16" t="s">
        <v>647</v>
      </c>
      <c r="S78" s="16" t="s">
        <v>404</v>
      </c>
      <c r="T78" s="17"/>
      <c r="U78" s="21" t="n">
        <v>1</v>
      </c>
      <c r="V78" s="21" t="n">
        <v>1</v>
      </c>
      <c r="W78" s="22" t="n">
        <v>4.1</v>
      </c>
      <c r="X78" s="16" t="s">
        <v>335</v>
      </c>
      <c r="Y78" s="16" t="s">
        <v>338</v>
      </c>
      <c r="Z78" s="16" t="s">
        <v>628</v>
      </c>
      <c r="AA78" s="16"/>
      <c r="AB78" s="23"/>
      <c r="AC78" s="17"/>
      <c r="AD78" s="16" t="s">
        <v>338</v>
      </c>
      <c r="AE78" s="16"/>
      <c r="AF78" s="16" t="str">
        <f aca="false">IF(COUNTIF(لیست_سفید!$A$2:$A$21,B78)&gt;0,"بله","خیر")</f>
        <v>خیر</v>
      </c>
      <c r="AG78" s="24" t="n">
        <f aca="false">IF(H78="","",IF(AD78="فیش مفقودی",تنظیمات!$B$6,(INT(I78/1440)*تنظیمات!$B$5+IF(MOD(I78,1440)&lt;=تنظیمات!$B$2,0,MIN(تنظیمات!$B$5,تنظیمات!$B$3+MAX(0,ROUNDUP((MOD(I78,1440)-60)/60,0))*تنظیمات!$B$4)))*INDEX(تعرفه!$B$2:$B$7,MATCH(AD78,تعرفه!$A$2:$A$7,0))))</f>
        <v>0</v>
      </c>
      <c r="AH78" s="24" t="n">
        <v>0</v>
      </c>
      <c r="AI78" s="24" t="n">
        <f aca="false">IF(AG78="","",AH78-AG78)</f>
        <v>0</v>
      </c>
      <c r="AJ78" s="21" t="n">
        <v>0</v>
      </c>
      <c r="AK78" s="21" t="n">
        <v>0</v>
      </c>
      <c r="AL78" s="16" t="s">
        <v>335</v>
      </c>
      <c r="AM78" s="16"/>
      <c r="AN78" s="16" t="s">
        <v>335</v>
      </c>
      <c r="AO78" s="16" t="s">
        <v>335</v>
      </c>
      <c r="AP78" s="16" t="s">
        <v>335</v>
      </c>
      <c r="AQ78" s="16"/>
      <c r="AR78" s="21" t="n">
        <f aca="false">IF(AND(T78&lt;&gt;"",H78&lt;&gt;""),IF(AND((T78-H78)*86400&gt;=0,(T78-H78)*86400&lt;تنظیمات!$B$13),1,0),0)</f>
        <v>0</v>
      </c>
      <c r="AS78" s="21" t="n">
        <f aca="false">IF(Z78="پوز",IF(OR(AB78="",COUNTIF(پوزها!$A$2:$A$5,AA78)=0),1,0),0)</f>
        <v>0</v>
      </c>
      <c r="AT78" s="21" t="n">
        <f aca="false">IF(AI78="",0,IF(AI78&gt;0,1,0))</f>
        <v>0</v>
      </c>
      <c r="AU78" s="21" t="n">
        <f aca="false">IF(AI78="",0,IF(AI78&lt;0,1,0))</f>
        <v>0</v>
      </c>
      <c r="AV78" s="21" t="n">
        <f aca="false">IF(U78&gt;V78,1,0)</f>
        <v>0</v>
      </c>
      <c r="AW78" s="21" t="n">
        <f aca="false">IF(OR(W78&gt;تنظیمات!$B$8,X78="بله"),1,0)</f>
        <v>0</v>
      </c>
      <c r="AX78" s="21" t="n">
        <f aca="false">IF(AND(N78="بله",L78&gt;تنظیمات!$B$9),1,0)</f>
        <v>0</v>
      </c>
      <c r="AY78" s="21" t="n">
        <f aca="false">IF(Y78="معکوس",1,0)</f>
        <v>0</v>
      </c>
      <c r="AZ78" s="21" t="n">
        <f aca="false">IF(ABS(AJ78)&gt;تنظیمات!$B$10,1,0)</f>
        <v>0</v>
      </c>
      <c r="BA78" s="21" t="n">
        <f aca="false">IF(AND(OR(AD78="رایگان/VIP",AD78="جانباز"),AF78="خیر"),1,0)</f>
        <v>0</v>
      </c>
      <c r="BB78" s="21" t="n">
        <f aca="false">IF(AE78="",0,IF(COUNTIF($AE$2:$AE$1001,AE78)&gt;1,1,0))</f>
        <v>0</v>
      </c>
      <c r="BC78" s="21" t="n">
        <f aca="false">IF(AND(H78="",I78&gt;تنظیمات!$B$12*60,AM78="خالی"),1,0)</f>
        <v>0</v>
      </c>
      <c r="BD78" s="21" t="n">
        <f aca="false">IF(AND(AP78="بله",I78&lt;تنظیمات!$B$14,AO78="خیر"),1,0)</f>
        <v>0</v>
      </c>
      <c r="BE78" s="21" t="n">
        <f aca="false">IF(AN78="خیر",1,0)</f>
        <v>1</v>
      </c>
      <c r="BF78" s="21" t="n">
        <f aca="false">IF(AND(AD78="فیش مفقودی",AQ78="بله",I78&gt;تنظیمات!$B$12*60),1,0)</f>
        <v>0</v>
      </c>
      <c r="BG78" s="21" t="n">
        <f aca="false">IF(AND(AK78&gt;تنظیمات!$B$11,AL78="بله"),1,0)</f>
        <v>0</v>
      </c>
      <c r="BH78" s="21" t="n">
        <f aca="false">MIN(100,AR78*تنظیمات!$B$21+AS78*تنظیمات!$B$22+AT78*تنظیمات!$B$23+AU78*تنظیمات!$B$24+AV78*تنظیمات!$B$25+AW78*تنظیمات!$B$26+AX78*تنظیمات!$B$27+AY78*تنظیمات!$B$28+AZ78*تنظیمات!$B$29+BA78*تنظیمات!$B$30+BB78*تنظیمات!$B$31+BC78*تنظیمات!$B$32+BD78*تنظیمات!$B$33+BE78*تنظیمات!$B$34+BF78*تنظیمات!$B$35+BG78*تنظیمات!$B$36)</f>
        <v>30</v>
      </c>
      <c r="BI78" s="16" t="str">
        <f aca="false">IF(BH78&gt;=60,"بحرانی",IF(BH78&gt;=30,"مشکوک",IF(BH78&gt;0,"هشدار","عادی")))</f>
        <v>مشکوک</v>
      </c>
      <c r="BJ78" s="16" t="s">
        <v>648</v>
      </c>
    </row>
    <row r="79" customFormat="false" ht="15" hidden="false" customHeight="false" outlineLevel="0" collapsed="false">
      <c r="A79" s="16" t="s">
        <v>649</v>
      </c>
      <c r="B79" s="16" t="s">
        <v>604</v>
      </c>
      <c r="C79" s="16"/>
      <c r="D79" s="16" t="s">
        <v>344</v>
      </c>
      <c r="E79" s="16" t="s">
        <v>363</v>
      </c>
      <c r="F79" s="16" t="s">
        <v>333</v>
      </c>
      <c r="G79" s="17" t="n">
        <v>46281.8964583333</v>
      </c>
      <c r="H79" s="17" t="n">
        <v>46281.981875</v>
      </c>
      <c r="I79" s="18" t="n">
        <f aca="false">IF(H79="",ROUND((تنظیمات!$B$7-G79)*1440,0),ROUND((H79-G79)*1440,0))</f>
        <v>123</v>
      </c>
      <c r="J79" s="16" t="s">
        <v>346</v>
      </c>
      <c r="K79" s="16" t="s">
        <v>400</v>
      </c>
      <c r="L79" s="19" t="n">
        <v>0.991</v>
      </c>
      <c r="M79" s="19" t="n">
        <v>0.91</v>
      </c>
      <c r="N79" s="16" t="s">
        <v>335</v>
      </c>
      <c r="O79" s="16" t="s">
        <v>650</v>
      </c>
      <c r="P79" s="16" t="s">
        <v>651</v>
      </c>
      <c r="Q79" s="20" t="n">
        <v>46281</v>
      </c>
      <c r="R79" s="16" t="s">
        <v>652</v>
      </c>
      <c r="S79" s="16" t="s">
        <v>404</v>
      </c>
      <c r="T79" s="17"/>
      <c r="U79" s="21" t="n">
        <v>1</v>
      </c>
      <c r="V79" s="21" t="n">
        <v>1</v>
      </c>
      <c r="W79" s="22" t="n">
        <v>7</v>
      </c>
      <c r="X79" s="16" t="s">
        <v>335</v>
      </c>
      <c r="Y79" s="16" t="s">
        <v>338</v>
      </c>
      <c r="Z79" s="16" t="s">
        <v>413</v>
      </c>
      <c r="AA79" s="16" t="s">
        <v>427</v>
      </c>
      <c r="AB79" s="23" t="s">
        <v>653</v>
      </c>
      <c r="AC79" s="17" t="n">
        <v>46281.9810300926</v>
      </c>
      <c r="AD79" s="16" t="s">
        <v>338</v>
      </c>
      <c r="AE79" s="16"/>
      <c r="AF79" s="16" t="str">
        <f aca="false">IF(COUNTIF(لیست_سفید!$A$2:$A$21,B79)&gt;0,"بله","خیر")</f>
        <v>خیر</v>
      </c>
      <c r="AG79" s="24" t="n">
        <f aca="false">IF(H79="","",IF(AD79="فیش مفقودی",تنظیمات!$B$6,(INT(I79/1440)*تنظیمات!$B$5+IF(MOD(I79,1440)&lt;=تنظیمات!$B$2,0,MIN(تنظیمات!$B$5,تنظیمات!$B$3+MAX(0,ROUNDUP((MOD(I79,1440)-60)/60,0))*تنظیمات!$B$4)))*INDEX(تعرفه!$B$2:$B$7,MATCH(AD79,تعرفه!$A$2:$A$7,0))))</f>
        <v>48000</v>
      </c>
      <c r="AH79" s="24" t="n">
        <v>48000</v>
      </c>
      <c r="AI79" s="24" t="n">
        <f aca="false">IF(AG79="","",AH79-AG79)</f>
        <v>0</v>
      </c>
      <c r="AJ79" s="21" t="n">
        <v>2</v>
      </c>
      <c r="AK79" s="21" t="n">
        <v>0</v>
      </c>
      <c r="AL79" s="16" t="s">
        <v>335</v>
      </c>
      <c r="AM79" s="16"/>
      <c r="AN79" s="16" t="s">
        <v>340</v>
      </c>
      <c r="AO79" s="16" t="s">
        <v>340</v>
      </c>
      <c r="AP79" s="16" t="s">
        <v>335</v>
      </c>
      <c r="AQ79" s="16"/>
      <c r="AR79" s="21" t="n">
        <f aca="false">IF(AND(T79&lt;&gt;"",H79&lt;&gt;""),IF(AND((T79-H79)*86400&gt;=0,(T79-H79)*86400&lt;تنظیمات!$B$13),1,0),0)</f>
        <v>0</v>
      </c>
      <c r="AS79" s="21" t="n">
        <f aca="false">IF(Z79="پوز",IF(OR(AB79="",COUNTIF(پوزها!$A$2:$A$5,AA79)=0),1,0),0)</f>
        <v>0</v>
      </c>
      <c r="AT79" s="21" t="n">
        <f aca="false">IF(AI79="",0,IF(AI79&gt;0,1,0))</f>
        <v>0</v>
      </c>
      <c r="AU79" s="21" t="n">
        <f aca="false">IF(AI79="",0,IF(AI79&lt;0,1,0))</f>
        <v>0</v>
      </c>
      <c r="AV79" s="21" t="n">
        <f aca="false">IF(U79&gt;V79,1,0)</f>
        <v>0</v>
      </c>
      <c r="AW79" s="21" t="n">
        <f aca="false">IF(OR(W79&gt;تنظیمات!$B$8,X79="بله"),1,0)</f>
        <v>0</v>
      </c>
      <c r="AX79" s="21" t="n">
        <f aca="false">IF(AND(N79="بله",L79&gt;تنظیمات!$B$9),1,0)</f>
        <v>0</v>
      </c>
      <c r="AY79" s="21" t="n">
        <f aca="false">IF(Y79="معکوس",1,0)</f>
        <v>0</v>
      </c>
      <c r="AZ79" s="21" t="n">
        <f aca="false">IF(ABS(AJ79)&gt;تنظیمات!$B$10,1,0)</f>
        <v>0</v>
      </c>
      <c r="BA79" s="21" t="n">
        <f aca="false">IF(AND(OR(AD79="رایگان/VIP",AD79="جانباز"),AF79="خیر"),1,0)</f>
        <v>0</v>
      </c>
      <c r="BB79" s="21" t="n">
        <f aca="false">IF(AE79="",0,IF(COUNTIF($AE$2:$AE$1001,AE79)&gt;1,1,0))</f>
        <v>0</v>
      </c>
      <c r="BC79" s="21" t="n">
        <f aca="false">IF(AND(H79="",I79&gt;تنظیمات!$B$12*60,AM79="خالی"),1,0)</f>
        <v>0</v>
      </c>
      <c r="BD79" s="21" t="n">
        <f aca="false">IF(AND(AP79="بله",I79&lt;تنظیمات!$B$14,AO79="خیر"),1,0)</f>
        <v>0</v>
      </c>
      <c r="BE79" s="21" t="n">
        <f aca="false">IF(AN79="خیر",1,0)</f>
        <v>0</v>
      </c>
      <c r="BF79" s="21" t="n">
        <f aca="false">IF(AND(AD79="فیش مفقودی",AQ79="بله",I79&gt;تنظیمات!$B$12*60),1,0)</f>
        <v>0</v>
      </c>
      <c r="BG79" s="21" t="n">
        <f aca="false">IF(AND(AK79&gt;تنظیمات!$B$11,AL79="بله"),1,0)</f>
        <v>0</v>
      </c>
      <c r="BH79" s="21" t="n">
        <f aca="false">MIN(100,AR79*تنظیمات!$B$21+AS79*تنظیمات!$B$22+AT79*تنظیمات!$B$23+AU79*تنظیمات!$B$24+AV79*تنظیمات!$B$25+AW79*تنظیمات!$B$26+AX79*تنظیمات!$B$27+AY79*تنظیمات!$B$28+AZ79*تنظیمات!$B$29+BA79*تنظیمات!$B$30+BB79*تنظیمات!$B$31+BC79*تنظیمات!$B$32+BD79*تنظیمات!$B$33+BE79*تنظیمات!$B$34+BF79*تنظیمات!$B$35+BG79*تنظیمات!$B$36)</f>
        <v>0</v>
      </c>
      <c r="BI79" s="16" t="str">
        <f aca="false">IF(BH79&gt;=60,"بحرانی",IF(BH79&gt;=30,"مشکوک",IF(BH79&gt;0,"هشدار","عادی")))</f>
        <v>عادی</v>
      </c>
      <c r="BJ79" s="16" t="s">
        <v>338</v>
      </c>
    </row>
    <row r="80" customFormat="false" ht="15" hidden="false" customHeight="false" outlineLevel="0" collapsed="false">
      <c r="A80" s="16" t="s">
        <v>654</v>
      </c>
      <c r="B80" s="16" t="s">
        <v>655</v>
      </c>
      <c r="C80" s="16"/>
      <c r="D80" s="16" t="s">
        <v>370</v>
      </c>
      <c r="E80" s="16" t="s">
        <v>363</v>
      </c>
      <c r="F80" s="16" t="s">
        <v>333</v>
      </c>
      <c r="G80" s="17" t="n">
        <v>46281.9002083333</v>
      </c>
      <c r="H80" s="17" t="n">
        <v>46281.9259027778</v>
      </c>
      <c r="I80" s="18" t="n">
        <f aca="false">IF(H80="",ROUND((تنظیمات!$B$7-G80)*1440,0),ROUND((H80-G80)*1440,0))</f>
        <v>37</v>
      </c>
      <c r="J80" s="16" t="s">
        <v>334</v>
      </c>
      <c r="K80" s="16" t="s">
        <v>400</v>
      </c>
      <c r="L80" s="19" t="n">
        <v>0.995</v>
      </c>
      <c r="M80" s="19" t="n">
        <v>0.899</v>
      </c>
      <c r="N80" s="16" t="s">
        <v>335</v>
      </c>
      <c r="O80" s="16" t="s">
        <v>650</v>
      </c>
      <c r="P80" s="16" t="s">
        <v>651</v>
      </c>
      <c r="Q80" s="20" t="n">
        <v>46281</v>
      </c>
      <c r="R80" s="16" t="s">
        <v>656</v>
      </c>
      <c r="S80" s="16" t="s">
        <v>404</v>
      </c>
      <c r="T80" s="17"/>
      <c r="U80" s="21" t="n">
        <v>1</v>
      </c>
      <c r="V80" s="21" t="n">
        <v>1</v>
      </c>
      <c r="W80" s="22" t="n">
        <v>5.1</v>
      </c>
      <c r="X80" s="16" t="s">
        <v>335</v>
      </c>
      <c r="Y80" s="16" t="s">
        <v>338</v>
      </c>
      <c r="Z80" s="16" t="s">
        <v>413</v>
      </c>
      <c r="AA80" s="16" t="s">
        <v>427</v>
      </c>
      <c r="AB80" s="23" t="s">
        <v>657</v>
      </c>
      <c r="AC80" s="17" t="n">
        <v>46281.9252662037</v>
      </c>
      <c r="AD80" s="16" t="s">
        <v>338</v>
      </c>
      <c r="AE80" s="16"/>
      <c r="AF80" s="16" t="str">
        <f aca="false">IF(COUNTIF(لیست_سفید!$A$2:$A$21,B80)&gt;0,"بله","خیر")</f>
        <v>خیر</v>
      </c>
      <c r="AG80" s="24" t="n">
        <f aca="false">IF(H80="","",IF(AD80="فیش مفقودی",تنظیمات!$B$6,(INT(I80/1440)*تنظیمات!$B$5+IF(MOD(I80,1440)&lt;=تنظیمات!$B$2,0,MIN(تنظیمات!$B$5,تنظیمات!$B$3+MAX(0,ROUNDUP((MOD(I80,1440)-60)/60,0))*تنظیمات!$B$4)))*INDEX(تعرفه!$B$2:$B$7,MATCH(AD80,تعرفه!$A$2:$A$7,0))))</f>
        <v>20000</v>
      </c>
      <c r="AH80" s="24" t="n">
        <v>20000</v>
      </c>
      <c r="AI80" s="24" t="n">
        <f aca="false">IF(AG80="","",AH80-AG80)</f>
        <v>0</v>
      </c>
      <c r="AJ80" s="21" t="n">
        <v>0</v>
      </c>
      <c r="AK80" s="21" t="n">
        <v>0</v>
      </c>
      <c r="AL80" s="16" t="s">
        <v>335</v>
      </c>
      <c r="AM80" s="16"/>
      <c r="AN80" s="16" t="s">
        <v>340</v>
      </c>
      <c r="AO80" s="16" t="s">
        <v>340</v>
      </c>
      <c r="AP80" s="16" t="s">
        <v>335</v>
      </c>
      <c r="AQ80" s="16"/>
      <c r="AR80" s="21" t="n">
        <f aca="false">IF(AND(T80&lt;&gt;"",H80&lt;&gt;""),IF(AND((T80-H80)*86400&gt;=0,(T80-H80)*86400&lt;تنظیمات!$B$13),1,0),0)</f>
        <v>0</v>
      </c>
      <c r="AS80" s="21" t="n">
        <f aca="false">IF(Z80="پوز",IF(OR(AB80="",COUNTIF(پوزها!$A$2:$A$5,AA80)=0),1,0),0)</f>
        <v>0</v>
      </c>
      <c r="AT80" s="21" t="n">
        <f aca="false">IF(AI80="",0,IF(AI80&gt;0,1,0))</f>
        <v>0</v>
      </c>
      <c r="AU80" s="21" t="n">
        <f aca="false">IF(AI80="",0,IF(AI80&lt;0,1,0))</f>
        <v>0</v>
      </c>
      <c r="AV80" s="21" t="n">
        <f aca="false">IF(U80&gt;V80,1,0)</f>
        <v>0</v>
      </c>
      <c r="AW80" s="21" t="n">
        <f aca="false">IF(OR(W80&gt;تنظیمات!$B$8,X80="بله"),1,0)</f>
        <v>0</v>
      </c>
      <c r="AX80" s="21" t="n">
        <f aca="false">IF(AND(N80="بله",L80&gt;تنظیمات!$B$9),1,0)</f>
        <v>0</v>
      </c>
      <c r="AY80" s="21" t="n">
        <f aca="false">IF(Y80="معکوس",1,0)</f>
        <v>0</v>
      </c>
      <c r="AZ80" s="21" t="n">
        <f aca="false">IF(ABS(AJ80)&gt;تنظیمات!$B$10,1,0)</f>
        <v>0</v>
      </c>
      <c r="BA80" s="21" t="n">
        <f aca="false">IF(AND(OR(AD80="رایگان/VIP",AD80="جانباز"),AF80="خیر"),1,0)</f>
        <v>0</v>
      </c>
      <c r="BB80" s="21" t="n">
        <f aca="false">IF(AE80="",0,IF(COUNTIF($AE$2:$AE$1001,AE80)&gt;1,1,0))</f>
        <v>0</v>
      </c>
      <c r="BC80" s="21" t="n">
        <f aca="false">IF(AND(H80="",I80&gt;تنظیمات!$B$12*60,AM80="خالی"),1,0)</f>
        <v>0</v>
      </c>
      <c r="BD80" s="21" t="n">
        <f aca="false">IF(AND(AP80="بله",I80&lt;تنظیمات!$B$14,AO80="خیر"),1,0)</f>
        <v>0</v>
      </c>
      <c r="BE80" s="21" t="n">
        <f aca="false">IF(AN80="خیر",1,0)</f>
        <v>0</v>
      </c>
      <c r="BF80" s="21" t="n">
        <f aca="false">IF(AND(AD80="فیش مفقودی",AQ80="بله",I80&gt;تنظیمات!$B$12*60),1,0)</f>
        <v>0</v>
      </c>
      <c r="BG80" s="21" t="n">
        <f aca="false">IF(AND(AK80&gt;تنظیمات!$B$11,AL80="بله"),1,0)</f>
        <v>0</v>
      </c>
      <c r="BH80" s="21" t="n">
        <f aca="false">MIN(100,AR80*تنظیمات!$B$21+AS80*تنظیمات!$B$22+AT80*تنظیمات!$B$23+AU80*تنظیمات!$B$24+AV80*تنظیمات!$B$25+AW80*تنظیمات!$B$26+AX80*تنظیمات!$B$27+AY80*تنظیمات!$B$28+AZ80*تنظیمات!$B$29+BA80*تنظیمات!$B$30+BB80*تنظیمات!$B$31+BC80*تنظیمات!$B$32+BD80*تنظیمات!$B$33+BE80*تنظیمات!$B$34+BF80*تنظیمات!$B$35+BG80*تنظیمات!$B$36)</f>
        <v>0</v>
      </c>
      <c r="BI80" s="16" t="str">
        <f aca="false">IF(BH80&gt;=60,"بحرانی",IF(BH80&gt;=30,"مشکوک",IF(BH80&gt;0,"هشدار","عادی")))</f>
        <v>عادی</v>
      </c>
      <c r="BJ80" s="16" t="s">
        <v>338</v>
      </c>
    </row>
    <row r="81" customFormat="false" ht="15" hidden="false" customHeight="false" outlineLevel="0" collapsed="false">
      <c r="A81" s="16" t="s">
        <v>658</v>
      </c>
      <c r="B81" s="16" t="s">
        <v>659</v>
      </c>
      <c r="C81" s="16"/>
      <c r="D81" s="16" t="s">
        <v>418</v>
      </c>
      <c r="E81" s="16" t="s">
        <v>345</v>
      </c>
      <c r="F81" s="16" t="s">
        <v>333</v>
      </c>
      <c r="G81" s="17" t="n">
        <v>46282.0006944445</v>
      </c>
      <c r="H81" s="17" t="n">
        <v>46282.5972222222</v>
      </c>
      <c r="I81" s="18" t="n">
        <f aca="false">IF(H81="",ROUND((تنظیمات!$B$7-G81)*1440,0),ROUND((H81-G81)*1440,0))</f>
        <v>859</v>
      </c>
      <c r="J81" s="16" t="s">
        <v>334</v>
      </c>
      <c r="K81" s="16" t="s">
        <v>410</v>
      </c>
      <c r="L81" s="19" t="n">
        <v>0.911</v>
      </c>
      <c r="M81" s="19" t="n">
        <v>0.967</v>
      </c>
      <c r="N81" s="16" t="s">
        <v>335</v>
      </c>
      <c r="O81" s="16" t="s">
        <v>441</v>
      </c>
      <c r="P81" s="16" t="s">
        <v>420</v>
      </c>
      <c r="Q81" s="20" t="n">
        <v>46282</v>
      </c>
      <c r="R81" s="16" t="s">
        <v>660</v>
      </c>
      <c r="S81" s="16" t="s">
        <v>404</v>
      </c>
      <c r="T81" s="17"/>
      <c r="U81" s="21" t="n">
        <v>1</v>
      </c>
      <c r="V81" s="21" t="n">
        <v>1</v>
      </c>
      <c r="W81" s="22" t="n">
        <v>5.4</v>
      </c>
      <c r="X81" s="16" t="s">
        <v>335</v>
      </c>
      <c r="Y81" s="16" t="s">
        <v>338</v>
      </c>
      <c r="Z81" s="16" t="s">
        <v>413</v>
      </c>
      <c r="AA81" s="16" t="s">
        <v>414</v>
      </c>
      <c r="AB81" s="23" t="s">
        <v>661</v>
      </c>
      <c r="AC81" s="17" t="n">
        <v>46282.5965856482</v>
      </c>
      <c r="AD81" s="16" t="s">
        <v>338</v>
      </c>
      <c r="AE81" s="16"/>
      <c r="AF81" s="16" t="str">
        <f aca="false">IF(COUNTIF(لیست_سفید!$A$2:$A$21,B81)&gt;0,"بله","خیر")</f>
        <v>خیر</v>
      </c>
      <c r="AG81" s="24" t="n">
        <f aca="false">IF(H81="","",IF(AD81="فیش مفقودی",تنظیمات!$B$6,(INT(I81/1440)*تنظیمات!$B$5+IF(MOD(I81,1440)&lt;=تنظیمات!$B$2,0,MIN(تنظیمات!$B$5,تنظیمات!$B$3+MAX(0,ROUNDUP((MOD(I81,1440)-60)/60,0))*تنظیمات!$B$4)))*INDEX(تعرفه!$B$2:$B$7,MATCH(AD81,تعرفه!$A$2:$A$7,0))))</f>
        <v>180000</v>
      </c>
      <c r="AH81" s="24" t="n">
        <v>180000</v>
      </c>
      <c r="AI81" s="24" t="n">
        <f aca="false">IF(AG81="","",AH81-AG81)</f>
        <v>0</v>
      </c>
      <c r="AJ81" s="21" t="n">
        <v>1</v>
      </c>
      <c r="AK81" s="21" t="n">
        <v>0</v>
      </c>
      <c r="AL81" s="16" t="s">
        <v>335</v>
      </c>
      <c r="AM81" s="16"/>
      <c r="AN81" s="16" t="s">
        <v>340</v>
      </c>
      <c r="AO81" s="16" t="s">
        <v>340</v>
      </c>
      <c r="AP81" s="16" t="s">
        <v>335</v>
      </c>
      <c r="AQ81" s="16"/>
      <c r="AR81" s="21" t="n">
        <f aca="false">IF(AND(T81&lt;&gt;"",H81&lt;&gt;""),IF(AND((T81-H81)*86400&gt;=0,(T81-H81)*86400&lt;تنظیمات!$B$13),1,0),0)</f>
        <v>0</v>
      </c>
      <c r="AS81" s="21" t="n">
        <f aca="false">IF(Z81="پوز",IF(OR(AB81="",COUNTIF(پوزها!$A$2:$A$5,AA81)=0),1,0),0)</f>
        <v>0</v>
      </c>
      <c r="AT81" s="21" t="n">
        <f aca="false">IF(AI81="",0,IF(AI81&gt;0,1,0))</f>
        <v>0</v>
      </c>
      <c r="AU81" s="21" t="n">
        <f aca="false">IF(AI81="",0,IF(AI81&lt;0,1,0))</f>
        <v>0</v>
      </c>
      <c r="AV81" s="21" t="n">
        <f aca="false">IF(U81&gt;V81,1,0)</f>
        <v>0</v>
      </c>
      <c r="AW81" s="21" t="n">
        <f aca="false">IF(OR(W81&gt;تنظیمات!$B$8,X81="بله"),1,0)</f>
        <v>0</v>
      </c>
      <c r="AX81" s="21" t="n">
        <f aca="false">IF(AND(N81="بله",L81&gt;تنظیمات!$B$9),1,0)</f>
        <v>0</v>
      </c>
      <c r="AY81" s="21" t="n">
        <f aca="false">IF(Y81="معکوس",1,0)</f>
        <v>0</v>
      </c>
      <c r="AZ81" s="21" t="n">
        <f aca="false">IF(ABS(AJ81)&gt;تنظیمات!$B$10,1,0)</f>
        <v>0</v>
      </c>
      <c r="BA81" s="21" t="n">
        <f aca="false">IF(AND(OR(AD81="رایگان/VIP",AD81="جانباز"),AF81="خیر"),1,0)</f>
        <v>0</v>
      </c>
      <c r="BB81" s="21" t="n">
        <f aca="false">IF(AE81="",0,IF(COUNTIF($AE$2:$AE$1001,AE81)&gt;1,1,0))</f>
        <v>0</v>
      </c>
      <c r="BC81" s="21" t="n">
        <f aca="false">IF(AND(H81="",I81&gt;تنظیمات!$B$12*60,AM81="خالی"),1,0)</f>
        <v>0</v>
      </c>
      <c r="BD81" s="21" t="n">
        <f aca="false">IF(AND(AP81="بله",I81&lt;تنظیمات!$B$14,AO81="خیر"),1,0)</f>
        <v>0</v>
      </c>
      <c r="BE81" s="21" t="n">
        <f aca="false">IF(AN81="خیر",1,0)</f>
        <v>0</v>
      </c>
      <c r="BF81" s="21" t="n">
        <f aca="false">IF(AND(AD81="فیش مفقودی",AQ81="بله",I81&gt;تنظیمات!$B$12*60),1,0)</f>
        <v>0</v>
      </c>
      <c r="BG81" s="21" t="n">
        <f aca="false">IF(AND(AK81&gt;تنظیمات!$B$11,AL81="بله"),1,0)</f>
        <v>0</v>
      </c>
      <c r="BH81" s="21" t="n">
        <f aca="false">MIN(100,AR81*تنظیمات!$B$21+AS81*تنظیمات!$B$22+AT81*تنظیمات!$B$23+AU81*تنظیمات!$B$24+AV81*تنظیمات!$B$25+AW81*تنظیمات!$B$26+AX81*تنظیمات!$B$27+AY81*تنظیمات!$B$28+AZ81*تنظیمات!$B$29+BA81*تنظیمات!$B$30+BB81*تنظیمات!$B$31+BC81*تنظیمات!$B$32+BD81*تنظیمات!$B$33+BE81*تنظیمات!$B$34+BF81*تنظیمات!$B$35+BG81*تنظیمات!$B$36)</f>
        <v>0</v>
      </c>
      <c r="BI81" s="16" t="str">
        <f aca="false">IF(BH81&gt;=60,"بحرانی",IF(BH81&gt;=30,"مشکوک",IF(BH81&gt;0,"هشدار","عادی")))</f>
        <v>عادی</v>
      </c>
      <c r="BJ81" s="16" t="s">
        <v>338</v>
      </c>
    </row>
    <row r="82" customFormat="false" ht="15" hidden="false" customHeight="false" outlineLevel="0" collapsed="false">
      <c r="A82" s="16" t="s">
        <v>662</v>
      </c>
      <c r="B82" s="16" t="s">
        <v>663</v>
      </c>
      <c r="C82" s="16"/>
      <c r="D82" s="16" t="s">
        <v>350</v>
      </c>
      <c r="E82" s="16" t="s">
        <v>332</v>
      </c>
      <c r="F82" s="16" t="s">
        <v>333</v>
      </c>
      <c r="G82" s="17" t="n">
        <v>46282.0231481482</v>
      </c>
      <c r="H82" s="17" t="n">
        <v>46282.0293981481</v>
      </c>
      <c r="I82" s="18" t="n">
        <f aca="false">IF(H82="",ROUND((تنظیمات!$B$7-G82)*1440,0),ROUND((H82-G82)*1440,0))</f>
        <v>9</v>
      </c>
      <c r="J82" s="16" t="s">
        <v>346</v>
      </c>
      <c r="K82" s="16" t="s">
        <v>400</v>
      </c>
      <c r="L82" s="19" t="n">
        <v>0.938</v>
      </c>
      <c r="M82" s="19" t="n">
        <v>0.926</v>
      </c>
      <c r="N82" s="16" t="s">
        <v>335</v>
      </c>
      <c r="O82" s="16" t="s">
        <v>650</v>
      </c>
      <c r="P82" s="16" t="s">
        <v>651</v>
      </c>
      <c r="Q82" s="20" t="n">
        <v>46281</v>
      </c>
      <c r="R82" s="16" t="s">
        <v>664</v>
      </c>
      <c r="S82" s="16" t="s">
        <v>404</v>
      </c>
      <c r="T82" s="17"/>
      <c r="U82" s="21" t="n">
        <v>1</v>
      </c>
      <c r="V82" s="21" t="n">
        <v>1</v>
      </c>
      <c r="W82" s="22" t="n">
        <v>4</v>
      </c>
      <c r="X82" s="16" t="s">
        <v>335</v>
      </c>
      <c r="Y82" s="16" t="s">
        <v>338</v>
      </c>
      <c r="Z82" s="16" t="s">
        <v>628</v>
      </c>
      <c r="AA82" s="16"/>
      <c r="AB82" s="23"/>
      <c r="AC82" s="17"/>
      <c r="AD82" s="16" t="s">
        <v>338</v>
      </c>
      <c r="AE82" s="16"/>
      <c r="AF82" s="16" t="str">
        <f aca="false">IF(COUNTIF(لیست_سفید!$A$2:$A$21,B82)&gt;0,"بله","خیر")</f>
        <v>خیر</v>
      </c>
      <c r="AG82" s="24" t="n">
        <f aca="false">IF(H82="","",IF(AD82="فیش مفقودی",تنظیمات!$B$6,(INT(I82/1440)*تنظیمات!$B$5+IF(MOD(I82,1440)&lt;=تنظیمات!$B$2,0,MIN(تنظیمات!$B$5,تنظیمات!$B$3+MAX(0,ROUNDUP((MOD(I82,1440)-60)/60,0))*تنظیمات!$B$4)))*INDEX(تعرفه!$B$2:$B$7,MATCH(AD82,تعرفه!$A$2:$A$7,0))))</f>
        <v>0</v>
      </c>
      <c r="AH82" s="24" t="n">
        <v>0</v>
      </c>
      <c r="AI82" s="24" t="n">
        <f aca="false">IF(AG82="","",AH82-AG82)</f>
        <v>0</v>
      </c>
      <c r="AJ82" s="21" t="n">
        <v>-4</v>
      </c>
      <c r="AK82" s="21" t="n">
        <v>0</v>
      </c>
      <c r="AL82" s="16" t="s">
        <v>335</v>
      </c>
      <c r="AM82" s="16"/>
      <c r="AN82" s="16" t="s">
        <v>340</v>
      </c>
      <c r="AO82" s="16" t="s">
        <v>340</v>
      </c>
      <c r="AP82" s="16" t="s">
        <v>335</v>
      </c>
      <c r="AQ82" s="16"/>
      <c r="AR82" s="21" t="n">
        <f aca="false">IF(AND(T82&lt;&gt;"",H82&lt;&gt;""),IF(AND((T82-H82)*86400&gt;=0,(T82-H82)*86400&lt;تنظیمات!$B$13),1,0),0)</f>
        <v>0</v>
      </c>
      <c r="AS82" s="21" t="n">
        <f aca="false">IF(Z82="پوز",IF(OR(AB82="",COUNTIF(پوزها!$A$2:$A$5,AA82)=0),1,0),0)</f>
        <v>0</v>
      </c>
      <c r="AT82" s="21" t="n">
        <f aca="false">IF(AI82="",0,IF(AI82&gt;0,1,0))</f>
        <v>0</v>
      </c>
      <c r="AU82" s="21" t="n">
        <f aca="false">IF(AI82="",0,IF(AI82&lt;0,1,0))</f>
        <v>0</v>
      </c>
      <c r="AV82" s="21" t="n">
        <f aca="false">IF(U82&gt;V82,1,0)</f>
        <v>0</v>
      </c>
      <c r="AW82" s="21" t="n">
        <f aca="false">IF(OR(W82&gt;تنظیمات!$B$8,X82="بله"),1,0)</f>
        <v>0</v>
      </c>
      <c r="AX82" s="21" t="n">
        <f aca="false">IF(AND(N82="بله",L82&gt;تنظیمات!$B$9),1,0)</f>
        <v>0</v>
      </c>
      <c r="AY82" s="21" t="n">
        <f aca="false">IF(Y82="معکوس",1,0)</f>
        <v>0</v>
      </c>
      <c r="AZ82" s="21" t="n">
        <f aca="false">IF(ABS(AJ82)&gt;تنظیمات!$B$10,1,0)</f>
        <v>0</v>
      </c>
      <c r="BA82" s="21" t="n">
        <f aca="false">IF(AND(OR(AD82="رایگان/VIP",AD82="جانباز"),AF82="خیر"),1,0)</f>
        <v>0</v>
      </c>
      <c r="BB82" s="21" t="n">
        <f aca="false">IF(AE82="",0,IF(COUNTIF($AE$2:$AE$1001,AE82)&gt;1,1,0))</f>
        <v>0</v>
      </c>
      <c r="BC82" s="21" t="n">
        <f aca="false">IF(AND(H82="",I82&gt;تنظیمات!$B$12*60,AM82="خالی"),1,0)</f>
        <v>0</v>
      </c>
      <c r="BD82" s="21" t="n">
        <f aca="false">IF(AND(AP82="بله",I82&lt;تنظیمات!$B$14,AO82="خیر"),1,0)</f>
        <v>0</v>
      </c>
      <c r="BE82" s="21" t="n">
        <f aca="false">IF(AN82="خیر",1,0)</f>
        <v>0</v>
      </c>
      <c r="BF82" s="21" t="n">
        <f aca="false">IF(AND(AD82="فیش مفقودی",AQ82="بله",I82&gt;تنظیمات!$B$12*60),1,0)</f>
        <v>0</v>
      </c>
      <c r="BG82" s="21" t="n">
        <f aca="false">IF(AND(AK82&gt;تنظیمات!$B$11,AL82="بله"),1,0)</f>
        <v>0</v>
      </c>
      <c r="BH82" s="21" t="n">
        <f aca="false">MIN(100,AR82*تنظیمات!$B$21+AS82*تنظیمات!$B$22+AT82*تنظیمات!$B$23+AU82*تنظیمات!$B$24+AV82*تنظیمات!$B$25+AW82*تنظیمات!$B$26+AX82*تنظیمات!$B$27+AY82*تنظیمات!$B$28+AZ82*تنظیمات!$B$29+BA82*تنظیمات!$B$30+BB82*تنظیمات!$B$31+BC82*تنظیمات!$B$32+BD82*تنظیمات!$B$33+BE82*تنظیمات!$B$34+BF82*تنظیمات!$B$35+BG82*تنظیمات!$B$36)</f>
        <v>0</v>
      </c>
      <c r="BI82" s="16" t="str">
        <f aca="false">IF(BH82&gt;=60,"بحرانی",IF(BH82&gt;=30,"مشکوک",IF(BH82&gt;0,"هشدار","عادی")))</f>
        <v>عادی</v>
      </c>
      <c r="BJ82" s="16" t="s">
        <v>338</v>
      </c>
    </row>
    <row r="83" customFormat="false" ht="15" hidden="false" customHeight="false" outlineLevel="0" collapsed="false">
      <c r="A83" s="16" t="s">
        <v>665</v>
      </c>
      <c r="B83" s="16" t="s">
        <v>349</v>
      </c>
      <c r="C83" s="16"/>
      <c r="D83" s="16" t="s">
        <v>350</v>
      </c>
      <c r="E83" s="16" t="s">
        <v>351</v>
      </c>
      <c r="F83" s="16" t="s">
        <v>333</v>
      </c>
      <c r="G83" s="17" t="n">
        <v>46282.0554861111</v>
      </c>
      <c r="H83" s="17" t="n">
        <v>46282.4478472222</v>
      </c>
      <c r="I83" s="18" t="n">
        <f aca="false">IF(H83="",ROUND((تنظیمات!$B$7-G83)*1440,0),ROUND((H83-G83)*1440,0))</f>
        <v>565</v>
      </c>
      <c r="J83" s="16" t="s">
        <v>346</v>
      </c>
      <c r="K83" s="16" t="s">
        <v>400</v>
      </c>
      <c r="L83" s="19" t="n">
        <v>0.914</v>
      </c>
      <c r="M83" s="19" t="n">
        <v>0.945</v>
      </c>
      <c r="N83" s="16" t="s">
        <v>335</v>
      </c>
      <c r="O83" s="16" t="s">
        <v>666</v>
      </c>
      <c r="P83" s="16" t="s">
        <v>402</v>
      </c>
      <c r="Q83" s="20" t="n">
        <v>46282</v>
      </c>
      <c r="R83" s="16" t="s">
        <v>667</v>
      </c>
      <c r="S83" s="16" t="s">
        <v>404</v>
      </c>
      <c r="T83" s="17"/>
      <c r="U83" s="21" t="n">
        <v>1</v>
      </c>
      <c r="V83" s="21" t="n">
        <v>1</v>
      </c>
      <c r="W83" s="22" t="n">
        <v>4.6</v>
      </c>
      <c r="X83" s="16" t="s">
        <v>335</v>
      </c>
      <c r="Y83" s="16" t="s">
        <v>338</v>
      </c>
      <c r="Z83" s="16" t="s">
        <v>405</v>
      </c>
      <c r="AA83" s="16"/>
      <c r="AB83" s="23"/>
      <c r="AC83" s="17"/>
      <c r="AD83" s="16" t="s">
        <v>338</v>
      </c>
      <c r="AE83" s="16"/>
      <c r="AF83" s="16" t="str">
        <f aca="false">IF(COUNTIF(لیست_سفید!$A$2:$A$21,B83)&gt;0,"بله","خیر")</f>
        <v>خیر</v>
      </c>
      <c r="AG83" s="24" t="n">
        <f aca="false">IF(H83="","",IF(AD83="فیش مفقودی",تنظیمات!$B$6,(INT(I83/1440)*تنظیمات!$B$5+IF(MOD(I83,1440)&lt;=تنظیمات!$B$2,0,MIN(تنظیمات!$B$5,تنظیمات!$B$3+MAX(0,ROUNDUP((MOD(I83,1440)-60)/60,0))*تنظیمات!$B$4)))*INDEX(تعرفه!$B$2:$B$7,MATCH(AD83,تعرفه!$A$2:$A$7,0))))</f>
        <v>146000</v>
      </c>
      <c r="AH83" s="24" t="n">
        <v>146000</v>
      </c>
      <c r="AI83" s="24" t="n">
        <f aca="false">IF(AG83="","",AH83-AG83)</f>
        <v>0</v>
      </c>
      <c r="AJ83" s="21" t="n">
        <v>2</v>
      </c>
      <c r="AK83" s="21" t="n">
        <v>0</v>
      </c>
      <c r="AL83" s="16" t="s">
        <v>335</v>
      </c>
      <c r="AM83" s="16"/>
      <c r="AN83" s="16" t="s">
        <v>340</v>
      </c>
      <c r="AO83" s="16" t="s">
        <v>340</v>
      </c>
      <c r="AP83" s="16" t="s">
        <v>335</v>
      </c>
      <c r="AQ83" s="16"/>
      <c r="AR83" s="21" t="n">
        <f aca="false">IF(AND(T83&lt;&gt;"",H83&lt;&gt;""),IF(AND((T83-H83)*86400&gt;=0,(T83-H83)*86400&lt;تنظیمات!$B$13),1,0),0)</f>
        <v>0</v>
      </c>
      <c r="AS83" s="21" t="n">
        <f aca="false">IF(Z83="پوز",IF(OR(AB83="",COUNTIF(پوزها!$A$2:$A$5,AA83)=0),1,0),0)</f>
        <v>0</v>
      </c>
      <c r="AT83" s="21" t="n">
        <f aca="false">IF(AI83="",0,IF(AI83&gt;0,1,0))</f>
        <v>0</v>
      </c>
      <c r="AU83" s="21" t="n">
        <f aca="false">IF(AI83="",0,IF(AI83&lt;0,1,0))</f>
        <v>0</v>
      </c>
      <c r="AV83" s="21" t="n">
        <f aca="false">IF(U83&gt;V83,1,0)</f>
        <v>0</v>
      </c>
      <c r="AW83" s="21" t="n">
        <f aca="false">IF(OR(W83&gt;تنظیمات!$B$8,X83="بله"),1,0)</f>
        <v>0</v>
      </c>
      <c r="AX83" s="21" t="n">
        <f aca="false">IF(AND(N83="بله",L83&gt;تنظیمات!$B$9),1,0)</f>
        <v>0</v>
      </c>
      <c r="AY83" s="21" t="n">
        <f aca="false">IF(Y83="معکوس",1,0)</f>
        <v>0</v>
      </c>
      <c r="AZ83" s="21" t="n">
        <f aca="false">IF(ABS(AJ83)&gt;تنظیمات!$B$10,1,0)</f>
        <v>0</v>
      </c>
      <c r="BA83" s="21" t="n">
        <f aca="false">IF(AND(OR(AD83="رایگان/VIP",AD83="جانباز"),AF83="خیر"),1,0)</f>
        <v>0</v>
      </c>
      <c r="BB83" s="21" t="n">
        <f aca="false">IF(AE83="",0,IF(COUNTIF($AE$2:$AE$1001,AE83)&gt;1,1,0))</f>
        <v>0</v>
      </c>
      <c r="BC83" s="21" t="n">
        <f aca="false">IF(AND(H83="",I83&gt;تنظیمات!$B$12*60,AM83="خالی"),1,0)</f>
        <v>0</v>
      </c>
      <c r="BD83" s="21" t="n">
        <f aca="false">IF(AND(AP83="بله",I83&lt;تنظیمات!$B$14,AO83="خیر"),1,0)</f>
        <v>0</v>
      </c>
      <c r="BE83" s="21" t="n">
        <f aca="false">IF(AN83="خیر",1,0)</f>
        <v>0</v>
      </c>
      <c r="BF83" s="21" t="n">
        <f aca="false">IF(AND(AD83="فیش مفقودی",AQ83="بله",I83&gt;تنظیمات!$B$12*60),1,0)</f>
        <v>0</v>
      </c>
      <c r="BG83" s="21" t="n">
        <f aca="false">IF(AND(AK83&gt;تنظیمات!$B$11,AL83="بله"),1,0)</f>
        <v>0</v>
      </c>
      <c r="BH83" s="21" t="n">
        <f aca="false">MIN(100,AR83*تنظیمات!$B$21+AS83*تنظیمات!$B$22+AT83*تنظیمات!$B$23+AU83*تنظیمات!$B$24+AV83*تنظیمات!$B$25+AW83*تنظیمات!$B$26+AX83*تنظیمات!$B$27+AY83*تنظیمات!$B$28+AZ83*تنظیمات!$B$29+BA83*تنظیمات!$B$30+BB83*تنظیمات!$B$31+BC83*تنظیمات!$B$32+BD83*تنظیمات!$B$33+BE83*تنظیمات!$B$34+BF83*تنظیمات!$B$35+BG83*تنظیمات!$B$36)</f>
        <v>0</v>
      </c>
      <c r="BI83" s="16" t="str">
        <f aca="false">IF(BH83&gt;=60,"بحرانی",IF(BH83&gt;=30,"مشکوک",IF(BH83&gt;0,"هشدار","عادی")))</f>
        <v>عادی</v>
      </c>
      <c r="BJ83" s="16" t="s">
        <v>338</v>
      </c>
    </row>
    <row r="84" customFormat="false" ht="15" hidden="false" customHeight="false" outlineLevel="0" collapsed="false">
      <c r="A84" s="16" t="s">
        <v>668</v>
      </c>
      <c r="B84" s="16" t="s">
        <v>669</v>
      </c>
      <c r="C84" s="16"/>
      <c r="D84" s="16" t="s">
        <v>508</v>
      </c>
      <c r="E84" s="16" t="s">
        <v>390</v>
      </c>
      <c r="F84" s="16" t="s">
        <v>333</v>
      </c>
      <c r="G84" s="17" t="n">
        <v>46282.0624421296</v>
      </c>
      <c r="H84" s="17" t="n">
        <v>46282.0867476852</v>
      </c>
      <c r="I84" s="18" t="n">
        <f aca="false">IF(H84="",ROUND((تنظیمات!$B$7-G84)*1440,0),ROUND((H84-G84)*1440,0))</f>
        <v>35</v>
      </c>
      <c r="J84" s="16" t="s">
        <v>346</v>
      </c>
      <c r="K84" s="16" t="s">
        <v>400</v>
      </c>
      <c r="L84" s="19" t="n">
        <v>0.995</v>
      </c>
      <c r="M84" s="19" t="n">
        <v>0.919</v>
      </c>
      <c r="N84" s="16" t="s">
        <v>335</v>
      </c>
      <c r="O84" s="16" t="s">
        <v>650</v>
      </c>
      <c r="P84" s="16" t="s">
        <v>651</v>
      </c>
      <c r="Q84" s="20" t="n">
        <v>46281</v>
      </c>
      <c r="R84" s="16" t="s">
        <v>670</v>
      </c>
      <c r="S84" s="16" t="s">
        <v>404</v>
      </c>
      <c r="T84" s="17"/>
      <c r="U84" s="21" t="n">
        <v>1</v>
      </c>
      <c r="V84" s="21" t="n">
        <v>1</v>
      </c>
      <c r="W84" s="22" t="n">
        <v>5.3</v>
      </c>
      <c r="X84" s="16" t="s">
        <v>335</v>
      </c>
      <c r="Y84" s="16" t="s">
        <v>338</v>
      </c>
      <c r="Z84" s="16" t="s">
        <v>405</v>
      </c>
      <c r="AA84" s="16"/>
      <c r="AB84" s="23"/>
      <c r="AC84" s="17"/>
      <c r="AD84" s="16" t="s">
        <v>338</v>
      </c>
      <c r="AE84" s="16"/>
      <c r="AF84" s="16" t="str">
        <f aca="false">IF(COUNTIF(لیست_سفید!$A$2:$A$21,B84)&gt;0,"بله","خیر")</f>
        <v>خیر</v>
      </c>
      <c r="AG84" s="24" t="n">
        <f aca="false">IF(H84="","",IF(AD84="فیش مفقودی",تنظیمات!$B$6,(INT(I84/1440)*تنظیمات!$B$5+IF(MOD(I84,1440)&lt;=تنظیمات!$B$2,0,MIN(تنظیمات!$B$5,تنظیمات!$B$3+MAX(0,ROUNDUP((MOD(I84,1440)-60)/60,0))*تنظیمات!$B$4)))*INDEX(تعرفه!$B$2:$B$7,MATCH(AD84,تعرفه!$A$2:$A$7,0))))</f>
        <v>20000</v>
      </c>
      <c r="AH84" s="24" t="n">
        <v>20000</v>
      </c>
      <c r="AI84" s="24" t="n">
        <f aca="false">IF(AG84="","",AH84-AG84)</f>
        <v>0</v>
      </c>
      <c r="AJ84" s="21" t="n">
        <v>0</v>
      </c>
      <c r="AK84" s="21" t="n">
        <v>0</v>
      </c>
      <c r="AL84" s="16" t="s">
        <v>335</v>
      </c>
      <c r="AM84" s="16"/>
      <c r="AN84" s="16" t="s">
        <v>340</v>
      </c>
      <c r="AO84" s="16" t="s">
        <v>340</v>
      </c>
      <c r="AP84" s="16" t="s">
        <v>335</v>
      </c>
      <c r="AQ84" s="16"/>
      <c r="AR84" s="21" t="n">
        <f aca="false">IF(AND(T84&lt;&gt;"",H84&lt;&gt;""),IF(AND((T84-H84)*86400&gt;=0,(T84-H84)*86400&lt;تنظیمات!$B$13),1,0),0)</f>
        <v>0</v>
      </c>
      <c r="AS84" s="21" t="n">
        <f aca="false">IF(Z84="پوز",IF(OR(AB84="",COUNTIF(پوزها!$A$2:$A$5,AA84)=0),1,0),0)</f>
        <v>0</v>
      </c>
      <c r="AT84" s="21" t="n">
        <f aca="false">IF(AI84="",0,IF(AI84&gt;0,1,0))</f>
        <v>0</v>
      </c>
      <c r="AU84" s="21" t="n">
        <f aca="false">IF(AI84="",0,IF(AI84&lt;0,1,0))</f>
        <v>0</v>
      </c>
      <c r="AV84" s="21" t="n">
        <f aca="false">IF(U84&gt;V84,1,0)</f>
        <v>0</v>
      </c>
      <c r="AW84" s="21" t="n">
        <f aca="false">IF(OR(W84&gt;تنظیمات!$B$8,X84="بله"),1,0)</f>
        <v>0</v>
      </c>
      <c r="AX84" s="21" t="n">
        <f aca="false">IF(AND(N84="بله",L84&gt;تنظیمات!$B$9),1,0)</f>
        <v>0</v>
      </c>
      <c r="AY84" s="21" t="n">
        <f aca="false">IF(Y84="معکوس",1,0)</f>
        <v>0</v>
      </c>
      <c r="AZ84" s="21" t="n">
        <f aca="false">IF(ABS(AJ84)&gt;تنظیمات!$B$10,1,0)</f>
        <v>0</v>
      </c>
      <c r="BA84" s="21" t="n">
        <f aca="false">IF(AND(OR(AD84="رایگان/VIP",AD84="جانباز"),AF84="خیر"),1,0)</f>
        <v>0</v>
      </c>
      <c r="BB84" s="21" t="n">
        <f aca="false">IF(AE84="",0,IF(COUNTIF($AE$2:$AE$1001,AE84)&gt;1,1,0))</f>
        <v>0</v>
      </c>
      <c r="BC84" s="21" t="n">
        <f aca="false">IF(AND(H84="",I84&gt;تنظیمات!$B$12*60,AM84="خالی"),1,0)</f>
        <v>0</v>
      </c>
      <c r="BD84" s="21" t="n">
        <f aca="false">IF(AND(AP84="بله",I84&lt;تنظیمات!$B$14,AO84="خیر"),1,0)</f>
        <v>0</v>
      </c>
      <c r="BE84" s="21" t="n">
        <f aca="false">IF(AN84="خیر",1,0)</f>
        <v>0</v>
      </c>
      <c r="BF84" s="21" t="n">
        <f aca="false">IF(AND(AD84="فیش مفقودی",AQ84="بله",I84&gt;تنظیمات!$B$12*60),1,0)</f>
        <v>0</v>
      </c>
      <c r="BG84" s="21" t="n">
        <f aca="false">IF(AND(AK84&gt;تنظیمات!$B$11,AL84="بله"),1,0)</f>
        <v>0</v>
      </c>
      <c r="BH84" s="21" t="n">
        <f aca="false">MIN(100,AR84*تنظیمات!$B$21+AS84*تنظیمات!$B$22+AT84*تنظیمات!$B$23+AU84*تنظیمات!$B$24+AV84*تنظیمات!$B$25+AW84*تنظیمات!$B$26+AX84*تنظیمات!$B$27+AY84*تنظیمات!$B$28+AZ84*تنظیمات!$B$29+BA84*تنظیمات!$B$30+BB84*تنظیمات!$B$31+BC84*تنظیمات!$B$32+BD84*تنظیمات!$B$33+BE84*تنظیمات!$B$34+BF84*تنظیمات!$B$35+BG84*تنظیمات!$B$36)</f>
        <v>0</v>
      </c>
      <c r="BI84" s="16" t="str">
        <f aca="false">IF(BH84&gt;=60,"بحرانی",IF(BH84&gt;=30,"مشکوک",IF(BH84&gt;0,"هشدار","عادی")))</f>
        <v>عادی</v>
      </c>
      <c r="BJ84" s="16" t="s">
        <v>338</v>
      </c>
    </row>
    <row r="85" customFormat="false" ht="15" hidden="false" customHeight="false" outlineLevel="0" collapsed="false">
      <c r="A85" s="16" t="s">
        <v>671</v>
      </c>
      <c r="B85" s="16" t="s">
        <v>672</v>
      </c>
      <c r="C85" s="16"/>
      <c r="D85" s="16" t="s">
        <v>418</v>
      </c>
      <c r="E85" s="16" t="s">
        <v>345</v>
      </c>
      <c r="F85" s="16" t="s">
        <v>333</v>
      </c>
      <c r="G85" s="17" t="n">
        <v>46282.0749074074</v>
      </c>
      <c r="H85" s="17" t="n">
        <v>46282.1637962963</v>
      </c>
      <c r="I85" s="18" t="n">
        <f aca="false">IF(H85="",ROUND((تنظیمات!$B$7-G85)*1440,0),ROUND((H85-G85)*1440,0))</f>
        <v>128</v>
      </c>
      <c r="J85" s="16" t="s">
        <v>346</v>
      </c>
      <c r="K85" s="16" t="s">
        <v>400</v>
      </c>
      <c r="L85" s="19" t="n">
        <v>0.949</v>
      </c>
      <c r="M85" s="19" t="n">
        <v>0.93</v>
      </c>
      <c r="N85" s="16" t="s">
        <v>335</v>
      </c>
      <c r="O85" s="16" t="s">
        <v>650</v>
      </c>
      <c r="P85" s="16" t="s">
        <v>651</v>
      </c>
      <c r="Q85" s="20" t="n">
        <v>46281</v>
      </c>
      <c r="R85" s="16" t="s">
        <v>673</v>
      </c>
      <c r="S85" s="16" t="s">
        <v>404</v>
      </c>
      <c r="T85" s="17"/>
      <c r="U85" s="21" t="n">
        <v>1</v>
      </c>
      <c r="V85" s="21" t="n">
        <v>1</v>
      </c>
      <c r="W85" s="22" t="n">
        <v>6.3</v>
      </c>
      <c r="X85" s="16" t="s">
        <v>335</v>
      </c>
      <c r="Y85" s="16" t="s">
        <v>338</v>
      </c>
      <c r="Z85" s="16" t="s">
        <v>413</v>
      </c>
      <c r="AA85" s="16" t="s">
        <v>427</v>
      </c>
      <c r="AB85" s="23" t="s">
        <v>674</v>
      </c>
      <c r="AC85" s="17" t="n">
        <v>46282.1630671296</v>
      </c>
      <c r="AD85" s="16" t="s">
        <v>338</v>
      </c>
      <c r="AE85" s="16"/>
      <c r="AF85" s="16" t="str">
        <f aca="false">IF(COUNTIF(لیست_سفید!$A$2:$A$21,B85)&gt;0,"بله","خیر")</f>
        <v>خیر</v>
      </c>
      <c r="AG85" s="24" t="n">
        <f aca="false">IF(H85="","",IF(AD85="فیش مفقودی",تنظیمات!$B$6,(INT(I85/1440)*تنظیمات!$B$5+IF(MOD(I85,1440)&lt;=تنظیمات!$B$2,0,MIN(تنظیمات!$B$5,تنظیمات!$B$3+MAX(0,ROUNDUP((MOD(I85,1440)-60)/60,0))*تنظیمات!$B$4)))*INDEX(تعرفه!$B$2:$B$7,MATCH(AD85,تعرفه!$A$2:$A$7,0))))</f>
        <v>48000</v>
      </c>
      <c r="AH85" s="24" t="n">
        <v>48000</v>
      </c>
      <c r="AI85" s="24" t="n">
        <f aca="false">IF(AG85="","",AH85-AG85)</f>
        <v>0</v>
      </c>
      <c r="AJ85" s="21" t="n">
        <v>2</v>
      </c>
      <c r="AK85" s="21" t="n">
        <v>0</v>
      </c>
      <c r="AL85" s="16" t="s">
        <v>335</v>
      </c>
      <c r="AM85" s="16"/>
      <c r="AN85" s="16" t="s">
        <v>340</v>
      </c>
      <c r="AO85" s="16" t="s">
        <v>340</v>
      </c>
      <c r="AP85" s="16" t="s">
        <v>335</v>
      </c>
      <c r="AQ85" s="16"/>
      <c r="AR85" s="21" t="n">
        <f aca="false">IF(AND(T85&lt;&gt;"",H85&lt;&gt;""),IF(AND((T85-H85)*86400&gt;=0,(T85-H85)*86400&lt;تنظیمات!$B$13),1,0),0)</f>
        <v>0</v>
      </c>
      <c r="AS85" s="21" t="n">
        <f aca="false">IF(Z85="پوز",IF(OR(AB85="",COUNTIF(پوزها!$A$2:$A$5,AA85)=0),1,0),0)</f>
        <v>0</v>
      </c>
      <c r="AT85" s="21" t="n">
        <f aca="false">IF(AI85="",0,IF(AI85&gt;0,1,0))</f>
        <v>0</v>
      </c>
      <c r="AU85" s="21" t="n">
        <f aca="false">IF(AI85="",0,IF(AI85&lt;0,1,0))</f>
        <v>0</v>
      </c>
      <c r="AV85" s="21" t="n">
        <f aca="false">IF(U85&gt;V85,1,0)</f>
        <v>0</v>
      </c>
      <c r="AW85" s="21" t="n">
        <f aca="false">IF(OR(W85&gt;تنظیمات!$B$8,X85="بله"),1,0)</f>
        <v>0</v>
      </c>
      <c r="AX85" s="21" t="n">
        <f aca="false">IF(AND(N85="بله",L85&gt;تنظیمات!$B$9),1,0)</f>
        <v>0</v>
      </c>
      <c r="AY85" s="21" t="n">
        <f aca="false">IF(Y85="معکوس",1,0)</f>
        <v>0</v>
      </c>
      <c r="AZ85" s="21" t="n">
        <f aca="false">IF(ABS(AJ85)&gt;تنظیمات!$B$10,1,0)</f>
        <v>0</v>
      </c>
      <c r="BA85" s="21" t="n">
        <f aca="false">IF(AND(OR(AD85="رایگان/VIP",AD85="جانباز"),AF85="خیر"),1,0)</f>
        <v>0</v>
      </c>
      <c r="BB85" s="21" t="n">
        <f aca="false">IF(AE85="",0,IF(COUNTIF($AE$2:$AE$1001,AE85)&gt;1,1,0))</f>
        <v>0</v>
      </c>
      <c r="BC85" s="21" t="n">
        <f aca="false">IF(AND(H85="",I85&gt;تنظیمات!$B$12*60,AM85="خالی"),1,0)</f>
        <v>0</v>
      </c>
      <c r="BD85" s="21" t="n">
        <f aca="false">IF(AND(AP85="بله",I85&lt;تنظیمات!$B$14,AO85="خیر"),1,0)</f>
        <v>0</v>
      </c>
      <c r="BE85" s="21" t="n">
        <f aca="false">IF(AN85="خیر",1,0)</f>
        <v>0</v>
      </c>
      <c r="BF85" s="21" t="n">
        <f aca="false">IF(AND(AD85="فیش مفقودی",AQ85="بله",I85&gt;تنظیمات!$B$12*60),1,0)</f>
        <v>0</v>
      </c>
      <c r="BG85" s="21" t="n">
        <f aca="false">IF(AND(AK85&gt;تنظیمات!$B$11,AL85="بله"),1,0)</f>
        <v>0</v>
      </c>
      <c r="BH85" s="21" t="n">
        <f aca="false">MIN(100,AR85*تنظیمات!$B$21+AS85*تنظیمات!$B$22+AT85*تنظیمات!$B$23+AU85*تنظیمات!$B$24+AV85*تنظیمات!$B$25+AW85*تنظیمات!$B$26+AX85*تنظیمات!$B$27+AY85*تنظیمات!$B$28+AZ85*تنظیمات!$B$29+BA85*تنظیمات!$B$30+BB85*تنظیمات!$B$31+BC85*تنظیمات!$B$32+BD85*تنظیمات!$B$33+BE85*تنظیمات!$B$34+BF85*تنظیمات!$B$35+BG85*تنظیمات!$B$36)</f>
        <v>0</v>
      </c>
      <c r="BI85" s="16" t="str">
        <f aca="false">IF(BH85&gt;=60,"بحرانی",IF(BH85&gt;=30,"مشکوک",IF(BH85&gt;0,"هشدار","عادی")))</f>
        <v>عادی</v>
      </c>
      <c r="BJ85" s="16" t="s">
        <v>338</v>
      </c>
    </row>
    <row r="86" customFormat="false" ht="15" hidden="false" customHeight="false" outlineLevel="0" collapsed="false">
      <c r="A86" s="16" t="s">
        <v>675</v>
      </c>
      <c r="B86" s="16" t="s">
        <v>676</v>
      </c>
      <c r="C86" s="16"/>
      <c r="D86" s="16" t="s">
        <v>331</v>
      </c>
      <c r="E86" s="16" t="s">
        <v>345</v>
      </c>
      <c r="F86" s="16" t="s">
        <v>333</v>
      </c>
      <c r="G86" s="17" t="n">
        <v>46282.1296064815</v>
      </c>
      <c r="H86" s="17" t="n">
        <v>46282.2969675926</v>
      </c>
      <c r="I86" s="18" t="n">
        <f aca="false">IF(H86="",ROUND((تنظیمات!$B$7-G86)*1440,0),ROUND((H86-G86)*1440,0))</f>
        <v>241</v>
      </c>
      <c r="J86" s="16" t="s">
        <v>334</v>
      </c>
      <c r="K86" s="16" t="s">
        <v>410</v>
      </c>
      <c r="L86" s="19" t="n">
        <v>0.969</v>
      </c>
      <c r="M86" s="19" t="n">
        <v>0.985</v>
      </c>
      <c r="N86" s="16" t="s">
        <v>335</v>
      </c>
      <c r="O86" s="16" t="s">
        <v>677</v>
      </c>
      <c r="P86" s="16" t="s">
        <v>402</v>
      </c>
      <c r="Q86" s="20" t="n">
        <v>46282</v>
      </c>
      <c r="R86" s="16" t="s">
        <v>678</v>
      </c>
      <c r="S86" s="16" t="s">
        <v>404</v>
      </c>
      <c r="T86" s="17"/>
      <c r="U86" s="21" t="n">
        <v>1</v>
      </c>
      <c r="V86" s="21" t="n">
        <v>1</v>
      </c>
      <c r="W86" s="22" t="n">
        <v>6.8</v>
      </c>
      <c r="X86" s="16" t="s">
        <v>335</v>
      </c>
      <c r="Y86" s="16" t="s">
        <v>338</v>
      </c>
      <c r="Z86" s="16" t="s">
        <v>443</v>
      </c>
      <c r="AA86" s="16"/>
      <c r="AB86" s="23"/>
      <c r="AC86" s="17"/>
      <c r="AD86" s="16" t="s">
        <v>444</v>
      </c>
      <c r="AE86" s="16"/>
      <c r="AF86" s="16" t="str">
        <f aca="false">IF(COUNTIF(لیست_سفید!$A$2:$A$21,B86)&gt;0,"بله","خیر")</f>
        <v>خیر</v>
      </c>
      <c r="AG86" s="24" t="n">
        <f aca="false">IF(H86="","",IF(AD86="فیش مفقودی",تنظیمات!$B$6,(INT(I86/1440)*تنظیمات!$B$5+IF(MOD(I86,1440)&lt;=تنظیمات!$B$2,0,MIN(تنظیمات!$B$5,تنظیمات!$B$3+MAX(0,ROUNDUP((MOD(I86,1440)-60)/60,0))*تنظیمات!$B$4)))*INDEX(تعرفه!$B$2:$B$7,MATCH(AD86,تعرفه!$A$2:$A$7,0))))</f>
        <v>0</v>
      </c>
      <c r="AH86" s="24" t="n">
        <v>0</v>
      </c>
      <c r="AI86" s="24" t="n">
        <f aca="false">IF(AG86="","",AH86-AG86)</f>
        <v>0</v>
      </c>
      <c r="AJ86" s="21" t="n">
        <v>0</v>
      </c>
      <c r="AK86" s="21" t="n">
        <v>0</v>
      </c>
      <c r="AL86" s="16" t="s">
        <v>335</v>
      </c>
      <c r="AM86" s="16"/>
      <c r="AN86" s="16" t="s">
        <v>340</v>
      </c>
      <c r="AO86" s="16" t="s">
        <v>340</v>
      </c>
      <c r="AP86" s="16" t="s">
        <v>335</v>
      </c>
      <c r="AQ86" s="16"/>
      <c r="AR86" s="21" t="n">
        <f aca="false">IF(AND(T86&lt;&gt;"",H86&lt;&gt;""),IF(AND((T86-H86)*86400&gt;=0,(T86-H86)*86400&lt;تنظیمات!$B$13),1,0),0)</f>
        <v>0</v>
      </c>
      <c r="AS86" s="21" t="n">
        <f aca="false">IF(Z86="پوز",IF(OR(AB86="",COUNTIF(پوزها!$A$2:$A$5,AA86)=0),1,0),0)</f>
        <v>0</v>
      </c>
      <c r="AT86" s="21" t="n">
        <f aca="false">IF(AI86="",0,IF(AI86&gt;0,1,0))</f>
        <v>0</v>
      </c>
      <c r="AU86" s="21" t="n">
        <f aca="false">IF(AI86="",0,IF(AI86&lt;0,1,0))</f>
        <v>0</v>
      </c>
      <c r="AV86" s="21" t="n">
        <f aca="false">IF(U86&gt;V86,1,0)</f>
        <v>0</v>
      </c>
      <c r="AW86" s="21" t="n">
        <f aca="false">IF(OR(W86&gt;تنظیمات!$B$8,X86="بله"),1,0)</f>
        <v>0</v>
      </c>
      <c r="AX86" s="21" t="n">
        <f aca="false">IF(AND(N86="بله",L86&gt;تنظیمات!$B$9),1,0)</f>
        <v>0</v>
      </c>
      <c r="AY86" s="21" t="n">
        <f aca="false">IF(Y86="معکوس",1,0)</f>
        <v>0</v>
      </c>
      <c r="AZ86" s="21" t="n">
        <f aca="false">IF(ABS(AJ86)&gt;تنظیمات!$B$10,1,0)</f>
        <v>0</v>
      </c>
      <c r="BA86" s="21" t="n">
        <f aca="false">IF(AND(OR(AD86="رایگان/VIP",AD86="جانباز"),AF86="خیر"),1,0)</f>
        <v>0</v>
      </c>
      <c r="BB86" s="21" t="n">
        <f aca="false">IF(AE86="",0,IF(COUNTIF($AE$2:$AE$1001,AE86)&gt;1,1,0))</f>
        <v>0</v>
      </c>
      <c r="BC86" s="21" t="n">
        <f aca="false">IF(AND(H86="",I86&gt;تنظیمات!$B$12*60,AM86="خالی"),1,0)</f>
        <v>0</v>
      </c>
      <c r="BD86" s="21" t="n">
        <f aca="false">IF(AND(AP86="بله",I86&lt;تنظیمات!$B$14,AO86="خیر"),1,0)</f>
        <v>0</v>
      </c>
      <c r="BE86" s="21" t="n">
        <f aca="false">IF(AN86="خیر",1,0)</f>
        <v>0</v>
      </c>
      <c r="BF86" s="21" t="n">
        <f aca="false">IF(AND(AD86="فیش مفقودی",AQ86="بله",I86&gt;تنظیمات!$B$12*60),1,0)</f>
        <v>0</v>
      </c>
      <c r="BG86" s="21" t="n">
        <f aca="false">IF(AND(AK86&gt;تنظیمات!$B$11,AL86="بله"),1,0)</f>
        <v>0</v>
      </c>
      <c r="BH86" s="21" t="n">
        <f aca="false">MIN(100,AR86*تنظیمات!$B$21+AS86*تنظیمات!$B$22+AT86*تنظیمات!$B$23+AU86*تنظیمات!$B$24+AV86*تنظیمات!$B$25+AW86*تنظیمات!$B$26+AX86*تنظیمات!$B$27+AY86*تنظیمات!$B$28+AZ86*تنظیمات!$B$29+BA86*تنظیمات!$B$30+BB86*تنظیمات!$B$31+BC86*تنظیمات!$B$32+BD86*تنظیمات!$B$33+BE86*تنظیمات!$B$34+BF86*تنظیمات!$B$35+BG86*تنظیمات!$B$36)</f>
        <v>0</v>
      </c>
      <c r="BI86" s="16" t="str">
        <f aca="false">IF(BH86&gt;=60,"بحرانی",IF(BH86&gt;=30,"مشکوک",IF(BH86&gt;0,"هشدار","عادی")))</f>
        <v>عادی</v>
      </c>
      <c r="BJ86" s="16" t="s">
        <v>338</v>
      </c>
    </row>
    <row r="87" customFormat="false" ht="15" hidden="false" customHeight="false" outlineLevel="0" collapsed="false">
      <c r="A87" s="16" t="s">
        <v>679</v>
      </c>
      <c r="B87" s="16" t="s">
        <v>366</v>
      </c>
      <c r="C87" s="16"/>
      <c r="D87" s="16" t="s">
        <v>344</v>
      </c>
      <c r="E87" s="16" t="s">
        <v>345</v>
      </c>
      <c r="F87" s="16" t="s">
        <v>333</v>
      </c>
      <c r="G87" s="17" t="n">
        <v>46282.141087963</v>
      </c>
      <c r="H87" s="17" t="n">
        <v>46282.3181712963</v>
      </c>
      <c r="I87" s="18" t="n">
        <f aca="false">IF(H87="",ROUND((تنظیمات!$B$7-G87)*1440,0),ROUND((H87-G87)*1440,0))</f>
        <v>255</v>
      </c>
      <c r="J87" s="16" t="s">
        <v>346</v>
      </c>
      <c r="K87" s="16" t="s">
        <v>400</v>
      </c>
      <c r="L87" s="19" t="n">
        <v>0.917</v>
      </c>
      <c r="M87" s="19" t="n">
        <v>0.947</v>
      </c>
      <c r="N87" s="16" t="s">
        <v>335</v>
      </c>
      <c r="O87" s="16" t="s">
        <v>666</v>
      </c>
      <c r="P87" s="16" t="s">
        <v>402</v>
      </c>
      <c r="Q87" s="20" t="n">
        <v>46282</v>
      </c>
      <c r="R87" s="16" t="s">
        <v>680</v>
      </c>
      <c r="S87" s="16" t="s">
        <v>404</v>
      </c>
      <c r="T87" s="17"/>
      <c r="U87" s="21" t="n">
        <v>1</v>
      </c>
      <c r="V87" s="21" t="n">
        <v>1</v>
      </c>
      <c r="W87" s="22" t="n">
        <v>4.9</v>
      </c>
      <c r="X87" s="16" t="s">
        <v>335</v>
      </c>
      <c r="Y87" s="16" t="s">
        <v>338</v>
      </c>
      <c r="Z87" s="16" t="s">
        <v>405</v>
      </c>
      <c r="AA87" s="16"/>
      <c r="AB87" s="23"/>
      <c r="AC87" s="17"/>
      <c r="AD87" s="16" t="s">
        <v>338</v>
      </c>
      <c r="AE87" s="16"/>
      <c r="AF87" s="16" t="str">
        <f aca="false">IF(COUNTIF(لیست_سفید!$A$2:$A$21,B87)&gt;0,"بله","خیر")</f>
        <v>خیر</v>
      </c>
      <c r="AG87" s="24" t="n">
        <f aca="false">IF(H87="","",IF(AD87="فیش مفقودی",تنظیمات!$B$6,(INT(I87/1440)*تنظیمات!$B$5+IF(MOD(I87,1440)&lt;=تنظیمات!$B$2,0,MIN(تنظیمات!$B$5,تنظیمات!$B$3+MAX(0,ROUNDUP((MOD(I87,1440)-60)/60,0))*تنظیمات!$B$4)))*INDEX(تعرفه!$B$2:$B$7,MATCH(AD87,تعرفه!$A$2:$A$7,0))))</f>
        <v>76000</v>
      </c>
      <c r="AH87" s="24" t="n">
        <v>76000</v>
      </c>
      <c r="AI87" s="24" t="n">
        <f aca="false">IF(AG87="","",AH87-AG87)</f>
        <v>0</v>
      </c>
      <c r="AJ87" s="21" t="n">
        <v>0</v>
      </c>
      <c r="AK87" s="21" t="n">
        <v>0</v>
      </c>
      <c r="AL87" s="16" t="s">
        <v>335</v>
      </c>
      <c r="AM87" s="16"/>
      <c r="AN87" s="16" t="s">
        <v>340</v>
      </c>
      <c r="AO87" s="16" t="s">
        <v>340</v>
      </c>
      <c r="AP87" s="16" t="s">
        <v>335</v>
      </c>
      <c r="AQ87" s="16"/>
      <c r="AR87" s="21" t="n">
        <f aca="false">IF(AND(T87&lt;&gt;"",H87&lt;&gt;""),IF(AND((T87-H87)*86400&gt;=0,(T87-H87)*86400&lt;تنظیمات!$B$13),1,0),0)</f>
        <v>0</v>
      </c>
      <c r="AS87" s="21" t="n">
        <f aca="false">IF(Z87="پوز",IF(OR(AB87="",COUNTIF(پوزها!$A$2:$A$5,AA87)=0),1,0),0)</f>
        <v>0</v>
      </c>
      <c r="AT87" s="21" t="n">
        <f aca="false">IF(AI87="",0,IF(AI87&gt;0,1,0))</f>
        <v>0</v>
      </c>
      <c r="AU87" s="21" t="n">
        <f aca="false">IF(AI87="",0,IF(AI87&lt;0,1,0))</f>
        <v>0</v>
      </c>
      <c r="AV87" s="21" t="n">
        <f aca="false">IF(U87&gt;V87,1,0)</f>
        <v>0</v>
      </c>
      <c r="AW87" s="21" t="n">
        <f aca="false">IF(OR(W87&gt;تنظیمات!$B$8,X87="بله"),1,0)</f>
        <v>0</v>
      </c>
      <c r="AX87" s="21" t="n">
        <f aca="false">IF(AND(N87="بله",L87&gt;تنظیمات!$B$9),1,0)</f>
        <v>0</v>
      </c>
      <c r="AY87" s="21" t="n">
        <f aca="false">IF(Y87="معکوس",1,0)</f>
        <v>0</v>
      </c>
      <c r="AZ87" s="21" t="n">
        <f aca="false">IF(ABS(AJ87)&gt;تنظیمات!$B$10,1,0)</f>
        <v>0</v>
      </c>
      <c r="BA87" s="21" t="n">
        <f aca="false">IF(AND(OR(AD87="رایگان/VIP",AD87="جانباز"),AF87="خیر"),1,0)</f>
        <v>0</v>
      </c>
      <c r="BB87" s="21" t="n">
        <f aca="false">IF(AE87="",0,IF(COUNTIF($AE$2:$AE$1001,AE87)&gt;1,1,0))</f>
        <v>0</v>
      </c>
      <c r="BC87" s="21" t="n">
        <f aca="false">IF(AND(H87="",I87&gt;تنظیمات!$B$12*60,AM87="خالی"),1,0)</f>
        <v>0</v>
      </c>
      <c r="BD87" s="21" t="n">
        <f aca="false">IF(AND(AP87="بله",I87&lt;تنظیمات!$B$14,AO87="خیر"),1,0)</f>
        <v>0</v>
      </c>
      <c r="BE87" s="21" t="n">
        <f aca="false">IF(AN87="خیر",1,0)</f>
        <v>0</v>
      </c>
      <c r="BF87" s="21" t="n">
        <f aca="false">IF(AND(AD87="فیش مفقودی",AQ87="بله",I87&gt;تنظیمات!$B$12*60),1,0)</f>
        <v>0</v>
      </c>
      <c r="BG87" s="21" t="n">
        <f aca="false">IF(AND(AK87&gt;تنظیمات!$B$11,AL87="بله"),1,0)</f>
        <v>0</v>
      </c>
      <c r="BH87" s="21" t="n">
        <f aca="false">MIN(100,AR87*تنظیمات!$B$21+AS87*تنظیمات!$B$22+AT87*تنظیمات!$B$23+AU87*تنظیمات!$B$24+AV87*تنظیمات!$B$25+AW87*تنظیمات!$B$26+AX87*تنظیمات!$B$27+AY87*تنظیمات!$B$28+AZ87*تنظیمات!$B$29+BA87*تنظیمات!$B$30+BB87*تنظیمات!$B$31+BC87*تنظیمات!$B$32+BD87*تنظیمات!$B$33+BE87*تنظیمات!$B$34+BF87*تنظیمات!$B$35+BG87*تنظیمات!$B$36)</f>
        <v>0</v>
      </c>
      <c r="BI87" s="16" t="str">
        <f aca="false">IF(BH87&gt;=60,"بحرانی",IF(BH87&gt;=30,"مشکوک",IF(BH87&gt;0,"هشدار","عادی")))</f>
        <v>عادی</v>
      </c>
      <c r="BJ87" s="16" t="s">
        <v>338</v>
      </c>
    </row>
    <row r="88" customFormat="false" ht="15" hidden="false" customHeight="false" outlineLevel="0" collapsed="false">
      <c r="A88" s="16" t="s">
        <v>681</v>
      </c>
      <c r="B88" s="16" t="s">
        <v>682</v>
      </c>
      <c r="C88" s="16"/>
      <c r="D88" s="16" t="s">
        <v>531</v>
      </c>
      <c r="E88" s="16" t="s">
        <v>375</v>
      </c>
      <c r="F88" s="16" t="s">
        <v>333</v>
      </c>
      <c r="G88" s="17" t="n">
        <v>46282.2394328704</v>
      </c>
      <c r="H88" s="17" t="n">
        <v>46282.3880439815</v>
      </c>
      <c r="I88" s="18" t="n">
        <f aca="false">IF(H88="",ROUND((تنظیمات!$B$7-G88)*1440,0),ROUND((H88-G88)*1440,0))</f>
        <v>214</v>
      </c>
      <c r="J88" s="16" t="s">
        <v>346</v>
      </c>
      <c r="K88" s="16" t="s">
        <v>410</v>
      </c>
      <c r="L88" s="19" t="n">
        <v>0.944</v>
      </c>
      <c r="M88" s="19" t="n">
        <v>0.904</v>
      </c>
      <c r="N88" s="16" t="s">
        <v>335</v>
      </c>
      <c r="O88" s="16" t="s">
        <v>677</v>
      </c>
      <c r="P88" s="16" t="s">
        <v>402</v>
      </c>
      <c r="Q88" s="20" t="n">
        <v>46282</v>
      </c>
      <c r="R88" s="16" t="s">
        <v>683</v>
      </c>
      <c r="S88" s="16" t="s">
        <v>404</v>
      </c>
      <c r="T88" s="17"/>
      <c r="U88" s="21" t="n">
        <v>1</v>
      </c>
      <c r="V88" s="21" t="n">
        <v>1</v>
      </c>
      <c r="W88" s="22" t="n">
        <v>5.3</v>
      </c>
      <c r="X88" s="16" t="s">
        <v>335</v>
      </c>
      <c r="Y88" s="16" t="s">
        <v>338</v>
      </c>
      <c r="Z88" s="16" t="s">
        <v>413</v>
      </c>
      <c r="AA88" s="16" t="s">
        <v>414</v>
      </c>
      <c r="AB88" s="23" t="s">
        <v>684</v>
      </c>
      <c r="AC88" s="17" t="n">
        <v>46282.3872916667</v>
      </c>
      <c r="AD88" s="16" t="s">
        <v>338</v>
      </c>
      <c r="AE88" s="16"/>
      <c r="AF88" s="16" t="str">
        <f aca="false">IF(COUNTIF(لیست_سفید!$A$2:$A$21,B88)&gt;0,"بله","خیر")</f>
        <v>خیر</v>
      </c>
      <c r="AG88" s="24" t="n">
        <f aca="false">IF(H88="","",IF(AD88="فیش مفقودی",تنظیمات!$B$6,(INT(I88/1440)*تنظیمات!$B$5+IF(MOD(I88,1440)&lt;=تنظیمات!$B$2,0,MIN(تنظیمات!$B$5,تنظیمات!$B$3+MAX(0,ROUNDUP((MOD(I88,1440)-60)/60,0))*تنظیمات!$B$4)))*INDEX(تعرفه!$B$2:$B$7,MATCH(AD88,تعرفه!$A$2:$A$7,0))))</f>
        <v>62000</v>
      </c>
      <c r="AH88" s="24" t="n">
        <v>62000</v>
      </c>
      <c r="AI88" s="24" t="n">
        <f aca="false">IF(AG88="","",AH88-AG88)</f>
        <v>0</v>
      </c>
      <c r="AJ88" s="21" t="n">
        <v>-3</v>
      </c>
      <c r="AK88" s="21" t="n">
        <v>0</v>
      </c>
      <c r="AL88" s="16" t="s">
        <v>335</v>
      </c>
      <c r="AM88" s="16"/>
      <c r="AN88" s="16" t="s">
        <v>340</v>
      </c>
      <c r="AO88" s="16" t="s">
        <v>340</v>
      </c>
      <c r="AP88" s="16" t="s">
        <v>335</v>
      </c>
      <c r="AQ88" s="16"/>
      <c r="AR88" s="21" t="n">
        <f aca="false">IF(AND(T88&lt;&gt;"",H88&lt;&gt;""),IF(AND((T88-H88)*86400&gt;=0,(T88-H88)*86400&lt;تنظیمات!$B$13),1,0),0)</f>
        <v>0</v>
      </c>
      <c r="AS88" s="21" t="n">
        <f aca="false">IF(Z88="پوز",IF(OR(AB88="",COUNTIF(پوزها!$A$2:$A$5,AA88)=0),1,0),0)</f>
        <v>0</v>
      </c>
      <c r="AT88" s="21" t="n">
        <f aca="false">IF(AI88="",0,IF(AI88&gt;0,1,0))</f>
        <v>0</v>
      </c>
      <c r="AU88" s="21" t="n">
        <f aca="false">IF(AI88="",0,IF(AI88&lt;0,1,0))</f>
        <v>0</v>
      </c>
      <c r="AV88" s="21" t="n">
        <f aca="false">IF(U88&gt;V88,1,0)</f>
        <v>0</v>
      </c>
      <c r="AW88" s="21" t="n">
        <f aca="false">IF(OR(W88&gt;تنظیمات!$B$8,X88="بله"),1,0)</f>
        <v>0</v>
      </c>
      <c r="AX88" s="21" t="n">
        <f aca="false">IF(AND(N88="بله",L88&gt;تنظیمات!$B$9),1,0)</f>
        <v>0</v>
      </c>
      <c r="AY88" s="21" t="n">
        <f aca="false">IF(Y88="معکوس",1,0)</f>
        <v>0</v>
      </c>
      <c r="AZ88" s="21" t="n">
        <f aca="false">IF(ABS(AJ88)&gt;تنظیمات!$B$10,1,0)</f>
        <v>0</v>
      </c>
      <c r="BA88" s="21" t="n">
        <f aca="false">IF(AND(OR(AD88="رایگان/VIP",AD88="جانباز"),AF88="خیر"),1,0)</f>
        <v>0</v>
      </c>
      <c r="BB88" s="21" t="n">
        <f aca="false">IF(AE88="",0,IF(COUNTIF($AE$2:$AE$1001,AE88)&gt;1,1,0))</f>
        <v>0</v>
      </c>
      <c r="BC88" s="21" t="n">
        <f aca="false">IF(AND(H88="",I88&gt;تنظیمات!$B$12*60,AM88="خالی"),1,0)</f>
        <v>0</v>
      </c>
      <c r="BD88" s="21" t="n">
        <f aca="false">IF(AND(AP88="بله",I88&lt;تنظیمات!$B$14,AO88="خیر"),1,0)</f>
        <v>0</v>
      </c>
      <c r="BE88" s="21" t="n">
        <f aca="false">IF(AN88="خیر",1,0)</f>
        <v>0</v>
      </c>
      <c r="BF88" s="21" t="n">
        <f aca="false">IF(AND(AD88="فیش مفقودی",AQ88="بله",I88&gt;تنظیمات!$B$12*60),1,0)</f>
        <v>0</v>
      </c>
      <c r="BG88" s="21" t="n">
        <f aca="false">IF(AND(AK88&gt;تنظیمات!$B$11,AL88="بله"),1,0)</f>
        <v>0</v>
      </c>
      <c r="BH88" s="21" t="n">
        <f aca="false">MIN(100,AR88*تنظیمات!$B$21+AS88*تنظیمات!$B$22+AT88*تنظیمات!$B$23+AU88*تنظیمات!$B$24+AV88*تنظیمات!$B$25+AW88*تنظیمات!$B$26+AX88*تنظیمات!$B$27+AY88*تنظیمات!$B$28+AZ88*تنظیمات!$B$29+BA88*تنظیمات!$B$30+BB88*تنظیمات!$B$31+BC88*تنظیمات!$B$32+BD88*تنظیمات!$B$33+BE88*تنظیمات!$B$34+BF88*تنظیمات!$B$35+BG88*تنظیمات!$B$36)</f>
        <v>0</v>
      </c>
      <c r="BI88" s="16" t="str">
        <f aca="false">IF(BH88&gt;=60,"بحرانی",IF(BH88&gt;=30,"مشکوک",IF(BH88&gt;0,"هشدار","عادی")))</f>
        <v>عادی</v>
      </c>
      <c r="BJ88" s="16" t="s">
        <v>338</v>
      </c>
    </row>
    <row r="89" customFormat="false" ht="15" hidden="false" customHeight="false" outlineLevel="0" collapsed="false">
      <c r="A89" s="16" t="s">
        <v>685</v>
      </c>
      <c r="B89" s="16" t="s">
        <v>686</v>
      </c>
      <c r="C89" s="16"/>
      <c r="D89" s="16" t="s">
        <v>531</v>
      </c>
      <c r="E89" s="16" t="s">
        <v>332</v>
      </c>
      <c r="F89" s="16" t="s">
        <v>333</v>
      </c>
      <c r="G89" s="17" t="n">
        <v>46282.2563425926</v>
      </c>
      <c r="H89" s="17" t="n">
        <v>46282.3500925926</v>
      </c>
      <c r="I89" s="18" t="n">
        <f aca="false">IF(H89="",ROUND((تنظیمات!$B$7-G89)*1440,0),ROUND((H89-G89)*1440,0))</f>
        <v>135</v>
      </c>
      <c r="J89" s="16" t="s">
        <v>334</v>
      </c>
      <c r="K89" s="16" t="s">
        <v>400</v>
      </c>
      <c r="L89" s="19" t="n">
        <v>0.974</v>
      </c>
      <c r="M89" s="19" t="n">
        <v>0.977</v>
      </c>
      <c r="N89" s="16" t="s">
        <v>335</v>
      </c>
      <c r="O89" s="16" t="s">
        <v>666</v>
      </c>
      <c r="P89" s="16" t="s">
        <v>402</v>
      </c>
      <c r="Q89" s="20" t="n">
        <v>46282</v>
      </c>
      <c r="R89" s="16" t="s">
        <v>687</v>
      </c>
      <c r="S89" s="16" t="s">
        <v>404</v>
      </c>
      <c r="T89" s="17"/>
      <c r="U89" s="21" t="n">
        <v>1</v>
      </c>
      <c r="V89" s="21" t="n">
        <v>1</v>
      </c>
      <c r="W89" s="22" t="n">
        <v>5.1</v>
      </c>
      <c r="X89" s="16" t="s">
        <v>335</v>
      </c>
      <c r="Y89" s="16" t="s">
        <v>338</v>
      </c>
      <c r="Z89" s="16" t="s">
        <v>405</v>
      </c>
      <c r="AA89" s="16"/>
      <c r="AB89" s="23"/>
      <c r="AC89" s="17"/>
      <c r="AD89" s="16" t="s">
        <v>338</v>
      </c>
      <c r="AE89" s="16"/>
      <c r="AF89" s="16" t="str">
        <f aca="false">IF(COUNTIF(لیست_سفید!$A$2:$A$21,B89)&gt;0,"بله","خیر")</f>
        <v>خیر</v>
      </c>
      <c r="AG89" s="24" t="n">
        <f aca="false">IF(H89="","",IF(AD89="فیش مفقودی",تنظیمات!$B$6,(INT(I89/1440)*تنظیمات!$B$5+IF(MOD(I89,1440)&lt;=تنظیمات!$B$2,0,MIN(تنظیمات!$B$5,تنظیمات!$B$3+MAX(0,ROUNDUP((MOD(I89,1440)-60)/60,0))*تنظیمات!$B$4)))*INDEX(تعرفه!$B$2:$B$7,MATCH(AD89,تعرفه!$A$2:$A$7,0))))</f>
        <v>48000</v>
      </c>
      <c r="AH89" s="24" t="n">
        <v>48000</v>
      </c>
      <c r="AI89" s="24" t="n">
        <f aca="false">IF(AG89="","",AH89-AG89)</f>
        <v>0</v>
      </c>
      <c r="AJ89" s="21" t="n">
        <v>3</v>
      </c>
      <c r="AK89" s="21" t="n">
        <v>0</v>
      </c>
      <c r="AL89" s="16" t="s">
        <v>335</v>
      </c>
      <c r="AM89" s="16"/>
      <c r="AN89" s="16" t="s">
        <v>340</v>
      </c>
      <c r="AO89" s="16" t="s">
        <v>340</v>
      </c>
      <c r="AP89" s="16" t="s">
        <v>335</v>
      </c>
      <c r="AQ89" s="16"/>
      <c r="AR89" s="21" t="n">
        <f aca="false">IF(AND(T89&lt;&gt;"",H89&lt;&gt;""),IF(AND((T89-H89)*86400&gt;=0,(T89-H89)*86400&lt;تنظیمات!$B$13),1,0),0)</f>
        <v>0</v>
      </c>
      <c r="AS89" s="21" t="n">
        <f aca="false">IF(Z89="پوز",IF(OR(AB89="",COUNTIF(پوزها!$A$2:$A$5,AA89)=0),1,0),0)</f>
        <v>0</v>
      </c>
      <c r="AT89" s="21" t="n">
        <f aca="false">IF(AI89="",0,IF(AI89&gt;0,1,0))</f>
        <v>0</v>
      </c>
      <c r="AU89" s="21" t="n">
        <f aca="false">IF(AI89="",0,IF(AI89&lt;0,1,0))</f>
        <v>0</v>
      </c>
      <c r="AV89" s="21" t="n">
        <f aca="false">IF(U89&gt;V89,1,0)</f>
        <v>0</v>
      </c>
      <c r="AW89" s="21" t="n">
        <f aca="false">IF(OR(W89&gt;تنظیمات!$B$8,X89="بله"),1,0)</f>
        <v>0</v>
      </c>
      <c r="AX89" s="21" t="n">
        <f aca="false">IF(AND(N89="بله",L89&gt;تنظیمات!$B$9),1,0)</f>
        <v>0</v>
      </c>
      <c r="AY89" s="21" t="n">
        <f aca="false">IF(Y89="معکوس",1,0)</f>
        <v>0</v>
      </c>
      <c r="AZ89" s="21" t="n">
        <f aca="false">IF(ABS(AJ89)&gt;تنظیمات!$B$10,1,0)</f>
        <v>0</v>
      </c>
      <c r="BA89" s="21" t="n">
        <f aca="false">IF(AND(OR(AD89="رایگان/VIP",AD89="جانباز"),AF89="خیر"),1,0)</f>
        <v>0</v>
      </c>
      <c r="BB89" s="21" t="n">
        <f aca="false">IF(AE89="",0,IF(COUNTIF($AE$2:$AE$1001,AE89)&gt;1,1,0))</f>
        <v>0</v>
      </c>
      <c r="BC89" s="21" t="n">
        <f aca="false">IF(AND(H89="",I89&gt;تنظیمات!$B$12*60,AM89="خالی"),1,0)</f>
        <v>0</v>
      </c>
      <c r="BD89" s="21" t="n">
        <f aca="false">IF(AND(AP89="بله",I89&lt;تنظیمات!$B$14,AO89="خیر"),1,0)</f>
        <v>0</v>
      </c>
      <c r="BE89" s="21" t="n">
        <f aca="false">IF(AN89="خیر",1,0)</f>
        <v>0</v>
      </c>
      <c r="BF89" s="21" t="n">
        <f aca="false">IF(AND(AD89="فیش مفقودی",AQ89="بله",I89&gt;تنظیمات!$B$12*60),1,0)</f>
        <v>0</v>
      </c>
      <c r="BG89" s="21" t="n">
        <f aca="false">IF(AND(AK89&gt;تنظیمات!$B$11,AL89="بله"),1,0)</f>
        <v>0</v>
      </c>
      <c r="BH89" s="21" t="n">
        <f aca="false">MIN(100,AR89*تنظیمات!$B$21+AS89*تنظیمات!$B$22+AT89*تنظیمات!$B$23+AU89*تنظیمات!$B$24+AV89*تنظیمات!$B$25+AW89*تنظیمات!$B$26+AX89*تنظیمات!$B$27+AY89*تنظیمات!$B$28+AZ89*تنظیمات!$B$29+BA89*تنظیمات!$B$30+BB89*تنظیمات!$B$31+BC89*تنظیمات!$B$32+BD89*تنظیمات!$B$33+BE89*تنظیمات!$B$34+BF89*تنظیمات!$B$35+BG89*تنظیمات!$B$36)</f>
        <v>0</v>
      </c>
      <c r="BI89" s="16" t="str">
        <f aca="false">IF(BH89&gt;=60,"بحرانی",IF(BH89&gt;=30,"مشکوک",IF(BH89&gt;0,"هشدار","عادی")))</f>
        <v>عادی</v>
      </c>
      <c r="BJ89" s="16" t="s">
        <v>338</v>
      </c>
    </row>
    <row r="90" customFormat="false" ht="15" hidden="false" customHeight="false" outlineLevel="0" collapsed="false">
      <c r="A90" s="16" t="s">
        <v>688</v>
      </c>
      <c r="B90" s="16" t="s">
        <v>689</v>
      </c>
      <c r="C90" s="16"/>
      <c r="D90" s="16" t="s">
        <v>418</v>
      </c>
      <c r="E90" s="16" t="s">
        <v>332</v>
      </c>
      <c r="F90" s="16" t="s">
        <v>333</v>
      </c>
      <c r="G90" s="17" t="n">
        <v>46282.2701736111</v>
      </c>
      <c r="H90" s="17" t="n">
        <v>46282.3673958333</v>
      </c>
      <c r="I90" s="18" t="n">
        <f aca="false">IF(H90="",ROUND((تنظیمات!$B$7-G90)*1440,0),ROUND((H90-G90)*1440,0))</f>
        <v>140</v>
      </c>
      <c r="J90" s="16" t="s">
        <v>334</v>
      </c>
      <c r="K90" s="16" t="s">
        <v>410</v>
      </c>
      <c r="L90" s="19" t="n">
        <v>0.966</v>
      </c>
      <c r="M90" s="19" t="n">
        <v>0.968</v>
      </c>
      <c r="N90" s="16" t="s">
        <v>335</v>
      </c>
      <c r="O90" s="16" t="s">
        <v>677</v>
      </c>
      <c r="P90" s="16" t="s">
        <v>402</v>
      </c>
      <c r="Q90" s="20" t="n">
        <v>46282</v>
      </c>
      <c r="R90" s="16" t="s">
        <v>690</v>
      </c>
      <c r="S90" s="16" t="s">
        <v>404</v>
      </c>
      <c r="T90" s="17"/>
      <c r="U90" s="21" t="n">
        <v>1</v>
      </c>
      <c r="V90" s="21" t="n">
        <v>1</v>
      </c>
      <c r="W90" s="22" t="n">
        <v>6.3</v>
      </c>
      <c r="X90" s="16" t="s">
        <v>335</v>
      </c>
      <c r="Y90" s="16" t="s">
        <v>338</v>
      </c>
      <c r="Z90" s="16" t="s">
        <v>413</v>
      </c>
      <c r="AA90" s="16" t="s">
        <v>414</v>
      </c>
      <c r="AB90" s="23" t="s">
        <v>691</v>
      </c>
      <c r="AC90" s="17" t="n">
        <v>46282.3669907407</v>
      </c>
      <c r="AD90" s="16" t="s">
        <v>338</v>
      </c>
      <c r="AE90" s="16"/>
      <c r="AF90" s="16" t="str">
        <f aca="false">IF(COUNTIF(لیست_سفید!$A$2:$A$21,B90)&gt;0,"بله","خیر")</f>
        <v>خیر</v>
      </c>
      <c r="AG90" s="24" t="n">
        <f aca="false">IF(H90="","",IF(AD90="فیش مفقودی",تنظیمات!$B$6,(INT(I90/1440)*تنظیمات!$B$5+IF(MOD(I90,1440)&lt;=تنظیمات!$B$2,0,MIN(تنظیمات!$B$5,تنظیمات!$B$3+MAX(0,ROUNDUP((MOD(I90,1440)-60)/60,0))*تنظیمات!$B$4)))*INDEX(تعرفه!$B$2:$B$7,MATCH(AD90,تعرفه!$A$2:$A$7,0))))</f>
        <v>48000</v>
      </c>
      <c r="AH90" s="24" t="n">
        <v>48000</v>
      </c>
      <c r="AI90" s="24" t="n">
        <f aca="false">IF(AG90="","",AH90-AG90)</f>
        <v>0</v>
      </c>
      <c r="AJ90" s="21" t="n">
        <v>-2</v>
      </c>
      <c r="AK90" s="21" t="n">
        <v>68</v>
      </c>
      <c r="AL90" s="16" t="s">
        <v>335</v>
      </c>
      <c r="AM90" s="16"/>
      <c r="AN90" s="16" t="s">
        <v>340</v>
      </c>
      <c r="AO90" s="16" t="s">
        <v>340</v>
      </c>
      <c r="AP90" s="16" t="s">
        <v>335</v>
      </c>
      <c r="AQ90" s="16"/>
      <c r="AR90" s="21" t="n">
        <f aca="false">IF(AND(T90&lt;&gt;"",H90&lt;&gt;""),IF(AND((T90-H90)*86400&gt;=0,(T90-H90)*86400&lt;تنظیمات!$B$13),1,0),0)</f>
        <v>0</v>
      </c>
      <c r="AS90" s="21" t="n">
        <f aca="false">IF(Z90="پوز",IF(OR(AB90="",COUNTIF(پوزها!$A$2:$A$5,AA90)=0),1,0),0)</f>
        <v>0</v>
      </c>
      <c r="AT90" s="21" t="n">
        <f aca="false">IF(AI90="",0,IF(AI90&gt;0,1,0))</f>
        <v>0</v>
      </c>
      <c r="AU90" s="21" t="n">
        <f aca="false">IF(AI90="",0,IF(AI90&lt;0,1,0))</f>
        <v>0</v>
      </c>
      <c r="AV90" s="21" t="n">
        <f aca="false">IF(U90&gt;V90,1,0)</f>
        <v>0</v>
      </c>
      <c r="AW90" s="21" t="n">
        <f aca="false">IF(OR(W90&gt;تنظیمات!$B$8,X90="بله"),1,0)</f>
        <v>0</v>
      </c>
      <c r="AX90" s="21" t="n">
        <f aca="false">IF(AND(N90="بله",L90&gt;تنظیمات!$B$9),1,0)</f>
        <v>0</v>
      </c>
      <c r="AY90" s="21" t="n">
        <f aca="false">IF(Y90="معکوس",1,0)</f>
        <v>0</v>
      </c>
      <c r="AZ90" s="21" t="n">
        <f aca="false">IF(ABS(AJ90)&gt;تنظیمات!$B$10,1,0)</f>
        <v>0</v>
      </c>
      <c r="BA90" s="21" t="n">
        <f aca="false">IF(AND(OR(AD90="رایگان/VIP",AD90="جانباز"),AF90="خیر"),1,0)</f>
        <v>0</v>
      </c>
      <c r="BB90" s="21" t="n">
        <f aca="false">IF(AE90="",0,IF(COUNTIF($AE$2:$AE$1001,AE90)&gt;1,1,0))</f>
        <v>0</v>
      </c>
      <c r="BC90" s="21" t="n">
        <f aca="false">IF(AND(H90="",I90&gt;تنظیمات!$B$12*60,AM90="خالی"),1,0)</f>
        <v>0</v>
      </c>
      <c r="BD90" s="21" t="n">
        <f aca="false">IF(AND(AP90="بله",I90&lt;تنظیمات!$B$14,AO90="خیر"),1,0)</f>
        <v>0</v>
      </c>
      <c r="BE90" s="21" t="n">
        <f aca="false">IF(AN90="خیر",1,0)</f>
        <v>0</v>
      </c>
      <c r="BF90" s="21" t="n">
        <f aca="false">IF(AND(AD90="فیش مفقودی",AQ90="بله",I90&gt;تنظیمات!$B$12*60),1,0)</f>
        <v>0</v>
      </c>
      <c r="BG90" s="21" t="n">
        <f aca="false">IF(AND(AK90&gt;تنظیمات!$B$11,AL90="بله"),1,0)</f>
        <v>0</v>
      </c>
      <c r="BH90" s="21" t="n">
        <f aca="false">MIN(100,AR90*تنظیمات!$B$21+AS90*تنظیمات!$B$22+AT90*تنظیمات!$B$23+AU90*تنظیمات!$B$24+AV90*تنظیمات!$B$25+AW90*تنظیمات!$B$26+AX90*تنظیمات!$B$27+AY90*تنظیمات!$B$28+AZ90*تنظیمات!$B$29+BA90*تنظیمات!$B$30+BB90*تنظیمات!$B$31+BC90*تنظیمات!$B$32+BD90*تنظیمات!$B$33+BE90*تنظیمات!$B$34+BF90*تنظیمات!$B$35+BG90*تنظیمات!$B$36)</f>
        <v>0</v>
      </c>
      <c r="BI90" s="16" t="str">
        <f aca="false">IF(BH90&gt;=60,"بحرانی",IF(BH90&gt;=30,"مشکوک",IF(BH90&gt;0,"هشدار","عادی")))</f>
        <v>عادی</v>
      </c>
      <c r="BJ90" s="16" t="s">
        <v>338</v>
      </c>
    </row>
    <row r="91" customFormat="false" ht="15" hidden="false" customHeight="false" outlineLevel="0" collapsed="false">
      <c r="A91" s="16" t="s">
        <v>692</v>
      </c>
      <c r="B91" s="16" t="s">
        <v>693</v>
      </c>
      <c r="C91" s="16"/>
      <c r="D91" s="16" t="s">
        <v>531</v>
      </c>
      <c r="E91" s="16" t="s">
        <v>390</v>
      </c>
      <c r="F91" s="16" t="s">
        <v>333</v>
      </c>
      <c r="G91" s="17" t="n">
        <v>46282.277025463</v>
      </c>
      <c r="H91" s="17" t="n">
        <v>46282.2992476852</v>
      </c>
      <c r="I91" s="18" t="n">
        <f aca="false">IF(H91="",ROUND((تنظیمات!$B$7-G91)*1440,0),ROUND((H91-G91)*1440,0))</f>
        <v>32</v>
      </c>
      <c r="J91" s="16" t="s">
        <v>346</v>
      </c>
      <c r="K91" s="16" t="s">
        <v>410</v>
      </c>
      <c r="L91" s="19" t="n">
        <v>0.95</v>
      </c>
      <c r="M91" s="19" t="n">
        <v>0.987</v>
      </c>
      <c r="N91" s="16" t="s">
        <v>335</v>
      </c>
      <c r="O91" s="16" t="s">
        <v>677</v>
      </c>
      <c r="P91" s="16" t="s">
        <v>402</v>
      </c>
      <c r="Q91" s="20" t="n">
        <v>46282</v>
      </c>
      <c r="R91" s="16" t="s">
        <v>694</v>
      </c>
      <c r="S91" s="16" t="s">
        <v>404</v>
      </c>
      <c r="T91" s="17"/>
      <c r="U91" s="21" t="n">
        <v>1</v>
      </c>
      <c r="V91" s="21" t="n">
        <v>1</v>
      </c>
      <c r="W91" s="22" t="n">
        <v>5.1</v>
      </c>
      <c r="X91" s="16" t="s">
        <v>335</v>
      </c>
      <c r="Y91" s="16" t="s">
        <v>338</v>
      </c>
      <c r="Z91" s="16" t="s">
        <v>413</v>
      </c>
      <c r="AA91" s="16" t="s">
        <v>414</v>
      </c>
      <c r="AB91" s="23" t="s">
        <v>695</v>
      </c>
      <c r="AC91" s="17" t="n">
        <v>46282.2985648148</v>
      </c>
      <c r="AD91" s="16" t="s">
        <v>338</v>
      </c>
      <c r="AE91" s="16"/>
      <c r="AF91" s="16" t="str">
        <f aca="false">IF(COUNTIF(لیست_سفید!$A$2:$A$21,B91)&gt;0,"بله","خیر")</f>
        <v>خیر</v>
      </c>
      <c r="AG91" s="24" t="n">
        <f aca="false">IF(H91="","",IF(AD91="فیش مفقودی",تنظیمات!$B$6,(INT(I91/1440)*تنظیمات!$B$5+IF(MOD(I91,1440)&lt;=تنظیمات!$B$2,0,MIN(تنظیمات!$B$5,تنظیمات!$B$3+MAX(0,ROUNDUP((MOD(I91,1440)-60)/60,0))*تنظیمات!$B$4)))*INDEX(تعرفه!$B$2:$B$7,MATCH(AD91,تعرفه!$A$2:$A$7,0))))</f>
        <v>20000</v>
      </c>
      <c r="AH91" s="24" t="n">
        <v>20000</v>
      </c>
      <c r="AI91" s="24" t="n">
        <f aca="false">IF(AG91="","",AH91-AG91)</f>
        <v>0</v>
      </c>
      <c r="AJ91" s="21" t="n">
        <v>0</v>
      </c>
      <c r="AK91" s="21" t="n">
        <v>0</v>
      </c>
      <c r="AL91" s="16" t="s">
        <v>335</v>
      </c>
      <c r="AM91" s="16"/>
      <c r="AN91" s="16" t="s">
        <v>340</v>
      </c>
      <c r="AO91" s="16" t="s">
        <v>340</v>
      </c>
      <c r="AP91" s="16" t="s">
        <v>335</v>
      </c>
      <c r="AQ91" s="16"/>
      <c r="AR91" s="21" t="n">
        <f aca="false">IF(AND(T91&lt;&gt;"",H91&lt;&gt;""),IF(AND((T91-H91)*86400&gt;=0,(T91-H91)*86400&lt;تنظیمات!$B$13),1,0),0)</f>
        <v>0</v>
      </c>
      <c r="AS91" s="21" t="n">
        <f aca="false">IF(Z91="پوز",IF(OR(AB91="",COUNTIF(پوزها!$A$2:$A$5,AA91)=0),1,0),0)</f>
        <v>0</v>
      </c>
      <c r="AT91" s="21" t="n">
        <f aca="false">IF(AI91="",0,IF(AI91&gt;0,1,0))</f>
        <v>0</v>
      </c>
      <c r="AU91" s="21" t="n">
        <f aca="false">IF(AI91="",0,IF(AI91&lt;0,1,0))</f>
        <v>0</v>
      </c>
      <c r="AV91" s="21" t="n">
        <f aca="false">IF(U91&gt;V91,1,0)</f>
        <v>0</v>
      </c>
      <c r="AW91" s="21" t="n">
        <f aca="false">IF(OR(W91&gt;تنظیمات!$B$8,X91="بله"),1,0)</f>
        <v>0</v>
      </c>
      <c r="AX91" s="21" t="n">
        <f aca="false">IF(AND(N91="بله",L91&gt;تنظیمات!$B$9),1,0)</f>
        <v>0</v>
      </c>
      <c r="AY91" s="21" t="n">
        <f aca="false">IF(Y91="معکوس",1,0)</f>
        <v>0</v>
      </c>
      <c r="AZ91" s="21" t="n">
        <f aca="false">IF(ABS(AJ91)&gt;تنظیمات!$B$10,1,0)</f>
        <v>0</v>
      </c>
      <c r="BA91" s="21" t="n">
        <f aca="false">IF(AND(OR(AD91="رایگان/VIP",AD91="جانباز"),AF91="خیر"),1,0)</f>
        <v>0</v>
      </c>
      <c r="BB91" s="21" t="n">
        <f aca="false">IF(AE91="",0,IF(COUNTIF($AE$2:$AE$1001,AE91)&gt;1,1,0))</f>
        <v>0</v>
      </c>
      <c r="BC91" s="21" t="n">
        <f aca="false">IF(AND(H91="",I91&gt;تنظیمات!$B$12*60,AM91="خالی"),1,0)</f>
        <v>0</v>
      </c>
      <c r="BD91" s="21" t="n">
        <f aca="false">IF(AND(AP91="بله",I91&lt;تنظیمات!$B$14,AO91="خیر"),1,0)</f>
        <v>0</v>
      </c>
      <c r="BE91" s="21" t="n">
        <f aca="false">IF(AN91="خیر",1,0)</f>
        <v>0</v>
      </c>
      <c r="BF91" s="21" t="n">
        <f aca="false">IF(AND(AD91="فیش مفقودی",AQ91="بله",I91&gt;تنظیمات!$B$12*60),1,0)</f>
        <v>0</v>
      </c>
      <c r="BG91" s="21" t="n">
        <f aca="false">IF(AND(AK91&gt;تنظیمات!$B$11,AL91="بله"),1,0)</f>
        <v>0</v>
      </c>
      <c r="BH91" s="21" t="n">
        <f aca="false">MIN(100,AR91*تنظیمات!$B$21+AS91*تنظیمات!$B$22+AT91*تنظیمات!$B$23+AU91*تنظیمات!$B$24+AV91*تنظیمات!$B$25+AW91*تنظیمات!$B$26+AX91*تنظیمات!$B$27+AY91*تنظیمات!$B$28+AZ91*تنظیمات!$B$29+BA91*تنظیمات!$B$30+BB91*تنظیمات!$B$31+BC91*تنظیمات!$B$32+BD91*تنظیمات!$B$33+BE91*تنظیمات!$B$34+BF91*تنظیمات!$B$35+BG91*تنظیمات!$B$36)</f>
        <v>0</v>
      </c>
      <c r="BI91" s="16" t="str">
        <f aca="false">IF(BH91&gt;=60,"بحرانی",IF(BH91&gt;=30,"مشکوک",IF(BH91&gt;0,"هشدار","عادی")))</f>
        <v>عادی</v>
      </c>
      <c r="BJ91" s="16" t="s">
        <v>338</v>
      </c>
    </row>
    <row r="92" customFormat="false" ht="15" hidden="false" customHeight="false" outlineLevel="0" collapsed="false">
      <c r="A92" s="16" t="s">
        <v>696</v>
      </c>
      <c r="B92" s="16" t="s">
        <v>697</v>
      </c>
      <c r="C92" s="16" t="s">
        <v>698</v>
      </c>
      <c r="D92" s="16" t="s">
        <v>531</v>
      </c>
      <c r="E92" s="16" t="s">
        <v>345</v>
      </c>
      <c r="F92" s="16" t="s">
        <v>333</v>
      </c>
      <c r="G92" s="17" t="n">
        <v>46282.2894907407</v>
      </c>
      <c r="H92" s="17" t="n">
        <v>46282.3061574074</v>
      </c>
      <c r="I92" s="18" t="n">
        <f aca="false">IF(H92="",ROUND((تنظیمات!$B$7-G92)*1440,0),ROUND((H92-G92)*1440,0))</f>
        <v>24</v>
      </c>
      <c r="J92" s="16" t="s">
        <v>334</v>
      </c>
      <c r="K92" s="16" t="s">
        <v>400</v>
      </c>
      <c r="L92" s="19" t="n">
        <v>0.926</v>
      </c>
      <c r="M92" s="19" t="n">
        <v>0.936</v>
      </c>
      <c r="N92" s="16" t="s">
        <v>340</v>
      </c>
      <c r="O92" s="16" t="s">
        <v>666</v>
      </c>
      <c r="P92" s="16" t="s">
        <v>402</v>
      </c>
      <c r="Q92" s="20" t="n">
        <v>46282</v>
      </c>
      <c r="R92" s="16" t="s">
        <v>699</v>
      </c>
      <c r="S92" s="16" t="s">
        <v>404</v>
      </c>
      <c r="T92" s="17"/>
      <c r="U92" s="21" t="n">
        <v>1</v>
      </c>
      <c r="V92" s="21" t="n">
        <v>1</v>
      </c>
      <c r="W92" s="22" t="n">
        <v>16</v>
      </c>
      <c r="X92" s="16" t="s">
        <v>335</v>
      </c>
      <c r="Y92" s="16" t="s">
        <v>338</v>
      </c>
      <c r="Z92" s="16" t="s">
        <v>405</v>
      </c>
      <c r="AA92" s="16"/>
      <c r="AB92" s="23"/>
      <c r="AC92" s="17"/>
      <c r="AD92" s="16" t="s">
        <v>338</v>
      </c>
      <c r="AE92" s="16"/>
      <c r="AF92" s="16" t="str">
        <f aca="false">IF(COUNTIF(لیست_سفید!$A$2:$A$21,B92)&gt;0,"بله","خیر")</f>
        <v>خیر</v>
      </c>
      <c r="AG92" s="24" t="n">
        <f aca="false">IF(H92="","",IF(AD92="فیش مفقودی",تنظیمات!$B$6,(INT(I92/1440)*تنظیمات!$B$5+IF(MOD(I92,1440)&lt;=تنظیمات!$B$2,0,MIN(تنظیمات!$B$5,تنظیمات!$B$3+MAX(0,ROUNDUP((MOD(I92,1440)-60)/60,0))*تنظیمات!$B$4)))*INDEX(تعرفه!$B$2:$B$7,MATCH(AD92,تعرفه!$A$2:$A$7,0))))</f>
        <v>20000</v>
      </c>
      <c r="AH92" s="24" t="n">
        <v>20000</v>
      </c>
      <c r="AI92" s="24" t="n">
        <f aca="false">IF(AG92="","",AH92-AG92)</f>
        <v>0</v>
      </c>
      <c r="AJ92" s="21" t="n">
        <v>-1</v>
      </c>
      <c r="AK92" s="21" t="n">
        <v>0</v>
      </c>
      <c r="AL92" s="16" t="s">
        <v>335</v>
      </c>
      <c r="AM92" s="16"/>
      <c r="AN92" s="16" t="s">
        <v>340</v>
      </c>
      <c r="AO92" s="16" t="s">
        <v>340</v>
      </c>
      <c r="AP92" s="16" t="s">
        <v>335</v>
      </c>
      <c r="AQ92" s="16"/>
      <c r="AR92" s="21" t="n">
        <f aca="false">IF(AND(T92&lt;&gt;"",H92&lt;&gt;""),IF(AND((T92-H92)*86400&gt;=0,(T92-H92)*86400&lt;تنظیمات!$B$13),1,0),0)</f>
        <v>0</v>
      </c>
      <c r="AS92" s="21" t="n">
        <f aca="false">IF(Z92="پوز",IF(OR(AB92="",COUNTIF(پوزها!$A$2:$A$5,AA92)=0),1,0),0)</f>
        <v>0</v>
      </c>
      <c r="AT92" s="21" t="n">
        <f aca="false">IF(AI92="",0,IF(AI92&gt;0,1,0))</f>
        <v>0</v>
      </c>
      <c r="AU92" s="21" t="n">
        <f aca="false">IF(AI92="",0,IF(AI92&lt;0,1,0))</f>
        <v>0</v>
      </c>
      <c r="AV92" s="21" t="n">
        <f aca="false">IF(U92&gt;V92,1,0)</f>
        <v>0</v>
      </c>
      <c r="AW92" s="21" t="n">
        <f aca="false">IF(OR(W92&gt;تنظیمات!$B$8,X92="بله"),1,0)</f>
        <v>1</v>
      </c>
      <c r="AX92" s="21" t="n">
        <f aca="false">IF(AND(N92="بله",L92&gt;تنظیمات!$B$9),1,0)</f>
        <v>1</v>
      </c>
      <c r="AY92" s="21" t="n">
        <f aca="false">IF(Y92="معکوس",1,0)</f>
        <v>0</v>
      </c>
      <c r="AZ92" s="21" t="n">
        <f aca="false">IF(ABS(AJ92)&gt;تنظیمات!$B$10,1,0)</f>
        <v>0</v>
      </c>
      <c r="BA92" s="21" t="n">
        <f aca="false">IF(AND(OR(AD92="رایگان/VIP",AD92="جانباز"),AF92="خیر"),1,0)</f>
        <v>0</v>
      </c>
      <c r="BB92" s="21" t="n">
        <f aca="false">IF(AE92="",0,IF(COUNTIF($AE$2:$AE$1001,AE92)&gt;1,1,0))</f>
        <v>0</v>
      </c>
      <c r="BC92" s="21" t="n">
        <f aca="false">IF(AND(H92="",I92&gt;تنظیمات!$B$12*60,AM92="خالی"),1,0)</f>
        <v>0</v>
      </c>
      <c r="BD92" s="21" t="n">
        <f aca="false">IF(AND(AP92="بله",I92&lt;تنظیمات!$B$14,AO92="خیر"),1,0)</f>
        <v>0</v>
      </c>
      <c r="BE92" s="21" t="n">
        <f aca="false">IF(AN92="خیر",1,0)</f>
        <v>0</v>
      </c>
      <c r="BF92" s="21" t="n">
        <f aca="false">IF(AND(AD92="فیش مفقودی",AQ92="بله",I92&gt;تنظیمات!$B$12*60),1,0)</f>
        <v>0</v>
      </c>
      <c r="BG92" s="21" t="n">
        <f aca="false">IF(AND(AK92&gt;تنظیمات!$B$11,AL92="بله"),1,0)</f>
        <v>0</v>
      </c>
      <c r="BH92" s="21" t="n">
        <f aca="false">MIN(100,AR92*تنظیمات!$B$21+AS92*تنظیمات!$B$22+AT92*تنظیمات!$B$23+AU92*تنظیمات!$B$24+AV92*تنظیمات!$B$25+AW92*تنظیمات!$B$26+AX92*تنظیمات!$B$27+AY92*تنظیمات!$B$28+AZ92*تنظیمات!$B$29+BA92*تنظیمات!$B$30+BB92*تنظیمات!$B$31+BC92*تنظیمات!$B$32+BD92*تنظیمات!$B$33+BE92*تنظیمات!$B$34+BF92*تنظیمات!$B$35+BG92*تنظیمات!$B$36)</f>
        <v>55</v>
      </c>
      <c r="BI92" s="16" t="str">
        <f aca="false">IF(BH92&gt;=60,"بحرانی",IF(BH92&gt;=30,"مشکوک",IF(BH92&gt;0,"هشدار","عادی")))</f>
        <v>مشکوک</v>
      </c>
      <c r="BJ92" s="16" t="s">
        <v>700</v>
      </c>
    </row>
    <row r="93" customFormat="false" ht="15" hidden="false" customHeight="false" outlineLevel="0" collapsed="false">
      <c r="A93" s="16" t="s">
        <v>701</v>
      </c>
      <c r="B93" s="16" t="s">
        <v>612</v>
      </c>
      <c r="C93" s="16"/>
      <c r="D93" s="16" t="s">
        <v>450</v>
      </c>
      <c r="E93" s="16" t="s">
        <v>351</v>
      </c>
      <c r="F93" s="16" t="s">
        <v>333</v>
      </c>
      <c r="G93" s="17" t="n">
        <v>46282.2933796296</v>
      </c>
      <c r="H93" s="17" t="n">
        <v>46282.3961574074</v>
      </c>
      <c r="I93" s="18" t="n">
        <f aca="false">IF(H93="",ROUND((تنظیمات!$B$7-G93)*1440,0),ROUND((H93-G93)*1440,0))</f>
        <v>148</v>
      </c>
      <c r="J93" s="16" t="s">
        <v>334</v>
      </c>
      <c r="K93" s="16" t="s">
        <v>400</v>
      </c>
      <c r="L93" s="19" t="n">
        <v>0.942</v>
      </c>
      <c r="M93" s="19" t="n">
        <v>0.995</v>
      </c>
      <c r="N93" s="16" t="s">
        <v>335</v>
      </c>
      <c r="O93" s="16" t="s">
        <v>666</v>
      </c>
      <c r="P93" s="16" t="s">
        <v>402</v>
      </c>
      <c r="Q93" s="20" t="n">
        <v>46282</v>
      </c>
      <c r="R93" s="16" t="s">
        <v>702</v>
      </c>
      <c r="S93" s="16" t="s">
        <v>404</v>
      </c>
      <c r="T93" s="17"/>
      <c r="U93" s="21" t="n">
        <v>1</v>
      </c>
      <c r="V93" s="21" t="n">
        <v>1</v>
      </c>
      <c r="W93" s="22" t="n">
        <v>6.2</v>
      </c>
      <c r="X93" s="16" t="s">
        <v>335</v>
      </c>
      <c r="Y93" s="16" t="s">
        <v>338</v>
      </c>
      <c r="Z93" s="16" t="s">
        <v>405</v>
      </c>
      <c r="AA93" s="16"/>
      <c r="AB93" s="23"/>
      <c r="AC93" s="17"/>
      <c r="AD93" s="16" t="s">
        <v>481</v>
      </c>
      <c r="AE93" s="16" t="s">
        <v>703</v>
      </c>
      <c r="AF93" s="16" t="str">
        <f aca="false">IF(COUNTIF(لیست_سفید!$A$2:$A$21,B93)&gt;0,"بله","خیر")</f>
        <v>خیر</v>
      </c>
      <c r="AG93" s="24" t="n">
        <f aca="false">IF(H93="","",IF(AD93="فیش مفقودی",تنظیمات!$B$6,(INT(I93/1440)*تنظیمات!$B$5+IF(MOD(I93,1440)&lt;=تنظیمات!$B$2,0,MIN(تنظیمات!$B$5,تنظیمات!$B$3+MAX(0,ROUNDUP((MOD(I93,1440)-60)/60,0))*تنظیمات!$B$4)))*INDEX(تعرفه!$B$2:$B$7,MATCH(AD93,تعرفه!$A$2:$A$7,0))))</f>
        <v>24000</v>
      </c>
      <c r="AH93" s="24" t="n">
        <v>24000</v>
      </c>
      <c r="AI93" s="24" t="n">
        <f aca="false">IF(AG93="","",AH93-AG93)</f>
        <v>0</v>
      </c>
      <c r="AJ93" s="21" t="n">
        <v>-3</v>
      </c>
      <c r="AK93" s="21" t="n">
        <v>0</v>
      </c>
      <c r="AL93" s="16" t="s">
        <v>335</v>
      </c>
      <c r="AM93" s="16"/>
      <c r="AN93" s="16" t="s">
        <v>340</v>
      </c>
      <c r="AO93" s="16" t="s">
        <v>340</v>
      </c>
      <c r="AP93" s="16" t="s">
        <v>335</v>
      </c>
      <c r="AQ93" s="16"/>
      <c r="AR93" s="21" t="n">
        <f aca="false">IF(AND(T93&lt;&gt;"",H93&lt;&gt;""),IF(AND((T93-H93)*86400&gt;=0,(T93-H93)*86400&lt;تنظیمات!$B$13),1,0),0)</f>
        <v>0</v>
      </c>
      <c r="AS93" s="21" t="n">
        <f aca="false">IF(Z93="پوز",IF(OR(AB93="",COUNTIF(پوزها!$A$2:$A$5,AA93)=0),1,0),0)</f>
        <v>0</v>
      </c>
      <c r="AT93" s="21" t="n">
        <f aca="false">IF(AI93="",0,IF(AI93&gt;0,1,0))</f>
        <v>0</v>
      </c>
      <c r="AU93" s="21" t="n">
        <f aca="false">IF(AI93="",0,IF(AI93&lt;0,1,0))</f>
        <v>0</v>
      </c>
      <c r="AV93" s="21" t="n">
        <f aca="false">IF(U93&gt;V93,1,0)</f>
        <v>0</v>
      </c>
      <c r="AW93" s="21" t="n">
        <f aca="false">IF(OR(W93&gt;تنظیمات!$B$8,X93="بله"),1,0)</f>
        <v>0</v>
      </c>
      <c r="AX93" s="21" t="n">
        <f aca="false">IF(AND(N93="بله",L93&gt;تنظیمات!$B$9),1,0)</f>
        <v>0</v>
      </c>
      <c r="AY93" s="21" t="n">
        <f aca="false">IF(Y93="معکوس",1,0)</f>
        <v>0</v>
      </c>
      <c r="AZ93" s="21" t="n">
        <f aca="false">IF(ABS(AJ93)&gt;تنظیمات!$B$10,1,0)</f>
        <v>0</v>
      </c>
      <c r="BA93" s="21" t="n">
        <f aca="false">IF(AND(OR(AD93="رایگان/VIP",AD93="جانباز"),AF93="خیر"),1,0)</f>
        <v>0</v>
      </c>
      <c r="BB93" s="21" t="n">
        <f aca="false">IF(AE93="",0,IF(COUNTIF($AE$2:$AE$1001,AE93)&gt;1,1,0))</f>
        <v>0</v>
      </c>
      <c r="BC93" s="21" t="n">
        <f aca="false">IF(AND(H93="",I93&gt;تنظیمات!$B$12*60,AM93="خالی"),1,0)</f>
        <v>0</v>
      </c>
      <c r="BD93" s="21" t="n">
        <f aca="false">IF(AND(AP93="بله",I93&lt;تنظیمات!$B$14,AO93="خیر"),1,0)</f>
        <v>0</v>
      </c>
      <c r="BE93" s="21" t="n">
        <f aca="false">IF(AN93="خیر",1,0)</f>
        <v>0</v>
      </c>
      <c r="BF93" s="21" t="n">
        <f aca="false">IF(AND(AD93="فیش مفقودی",AQ93="بله",I93&gt;تنظیمات!$B$12*60),1,0)</f>
        <v>0</v>
      </c>
      <c r="BG93" s="21" t="n">
        <f aca="false">IF(AND(AK93&gt;تنظیمات!$B$11,AL93="بله"),1,0)</f>
        <v>0</v>
      </c>
      <c r="BH93" s="21" t="n">
        <f aca="false">MIN(100,AR93*تنظیمات!$B$21+AS93*تنظیمات!$B$22+AT93*تنظیمات!$B$23+AU93*تنظیمات!$B$24+AV93*تنظیمات!$B$25+AW93*تنظیمات!$B$26+AX93*تنظیمات!$B$27+AY93*تنظیمات!$B$28+AZ93*تنظیمات!$B$29+BA93*تنظیمات!$B$30+BB93*تنظیمات!$B$31+BC93*تنظیمات!$B$32+BD93*تنظیمات!$B$33+BE93*تنظیمات!$B$34+BF93*تنظیمات!$B$35+BG93*تنظیمات!$B$36)</f>
        <v>0</v>
      </c>
      <c r="BI93" s="16" t="str">
        <f aca="false">IF(BH93&gt;=60,"بحرانی",IF(BH93&gt;=30,"مشکوک",IF(BH93&gt;0,"هشدار","عادی")))</f>
        <v>عادی</v>
      </c>
      <c r="BJ93" s="16" t="s">
        <v>338</v>
      </c>
    </row>
    <row r="94" customFormat="false" ht="15" hidden="false" customHeight="false" outlineLevel="0" collapsed="false">
      <c r="A94" s="16" t="s">
        <v>704</v>
      </c>
      <c r="B94" s="16" t="s">
        <v>705</v>
      </c>
      <c r="C94" s="16"/>
      <c r="D94" s="16" t="s">
        <v>418</v>
      </c>
      <c r="E94" s="16" t="s">
        <v>345</v>
      </c>
      <c r="F94" s="16" t="s">
        <v>333</v>
      </c>
      <c r="G94" s="17" t="n">
        <v>46282.2947106482</v>
      </c>
      <c r="H94" s="17" t="n">
        <v>46282.3377662037</v>
      </c>
      <c r="I94" s="18" t="n">
        <f aca="false">IF(H94="",ROUND((تنظیمات!$B$7-G94)*1440,0),ROUND((H94-G94)*1440,0))</f>
        <v>62</v>
      </c>
      <c r="J94" s="16" t="s">
        <v>334</v>
      </c>
      <c r="K94" s="16" t="s">
        <v>410</v>
      </c>
      <c r="L94" s="19" t="n">
        <v>0.937</v>
      </c>
      <c r="M94" s="19" t="n">
        <v>0.945</v>
      </c>
      <c r="N94" s="16" t="s">
        <v>335</v>
      </c>
      <c r="O94" s="16" t="s">
        <v>677</v>
      </c>
      <c r="P94" s="16" t="s">
        <v>402</v>
      </c>
      <c r="Q94" s="20" t="n">
        <v>46282</v>
      </c>
      <c r="R94" s="16" t="s">
        <v>706</v>
      </c>
      <c r="S94" s="16" t="s">
        <v>404</v>
      </c>
      <c r="T94" s="17"/>
      <c r="U94" s="21" t="n">
        <v>1</v>
      </c>
      <c r="V94" s="21" t="n">
        <v>1</v>
      </c>
      <c r="W94" s="22" t="n">
        <v>4</v>
      </c>
      <c r="X94" s="16" t="s">
        <v>335</v>
      </c>
      <c r="Y94" s="16" t="s">
        <v>338</v>
      </c>
      <c r="Z94" s="16" t="s">
        <v>413</v>
      </c>
      <c r="AA94" s="16" t="s">
        <v>414</v>
      </c>
      <c r="AB94" s="23" t="s">
        <v>707</v>
      </c>
      <c r="AC94" s="17" t="n">
        <v>46282.3371296296</v>
      </c>
      <c r="AD94" s="16" t="s">
        <v>338</v>
      </c>
      <c r="AE94" s="16"/>
      <c r="AF94" s="16" t="str">
        <f aca="false">IF(COUNTIF(لیست_سفید!$A$2:$A$21,B94)&gt;0,"بله","خیر")</f>
        <v>خیر</v>
      </c>
      <c r="AG94" s="24" t="n">
        <f aca="false">IF(H94="","",IF(AD94="فیش مفقودی",تنظیمات!$B$6,(INT(I94/1440)*تنظیمات!$B$5+IF(MOD(I94,1440)&lt;=تنظیمات!$B$2,0,MIN(تنظیمات!$B$5,تنظیمات!$B$3+MAX(0,ROUNDUP((MOD(I94,1440)-60)/60,0))*تنظیمات!$B$4)))*INDEX(تعرفه!$B$2:$B$7,MATCH(AD94,تعرفه!$A$2:$A$7,0))))</f>
        <v>34000</v>
      </c>
      <c r="AH94" s="24" t="n">
        <v>34000</v>
      </c>
      <c r="AI94" s="24" t="n">
        <f aca="false">IF(AG94="","",AH94-AG94)</f>
        <v>0</v>
      </c>
      <c r="AJ94" s="21" t="n">
        <v>0</v>
      </c>
      <c r="AK94" s="21" t="n">
        <v>0</v>
      </c>
      <c r="AL94" s="16" t="s">
        <v>335</v>
      </c>
      <c r="AM94" s="16"/>
      <c r="AN94" s="16" t="s">
        <v>340</v>
      </c>
      <c r="AO94" s="16" t="s">
        <v>340</v>
      </c>
      <c r="AP94" s="16" t="s">
        <v>335</v>
      </c>
      <c r="AQ94" s="16"/>
      <c r="AR94" s="21" t="n">
        <f aca="false">IF(AND(T94&lt;&gt;"",H94&lt;&gt;""),IF(AND((T94-H94)*86400&gt;=0,(T94-H94)*86400&lt;تنظیمات!$B$13),1,0),0)</f>
        <v>0</v>
      </c>
      <c r="AS94" s="21" t="n">
        <f aca="false">IF(Z94="پوز",IF(OR(AB94="",COUNTIF(پوزها!$A$2:$A$5,AA94)=0),1,0),0)</f>
        <v>0</v>
      </c>
      <c r="AT94" s="21" t="n">
        <f aca="false">IF(AI94="",0,IF(AI94&gt;0,1,0))</f>
        <v>0</v>
      </c>
      <c r="AU94" s="21" t="n">
        <f aca="false">IF(AI94="",0,IF(AI94&lt;0,1,0))</f>
        <v>0</v>
      </c>
      <c r="AV94" s="21" t="n">
        <f aca="false">IF(U94&gt;V94,1,0)</f>
        <v>0</v>
      </c>
      <c r="AW94" s="21" t="n">
        <f aca="false">IF(OR(W94&gt;تنظیمات!$B$8,X94="بله"),1,0)</f>
        <v>0</v>
      </c>
      <c r="AX94" s="21" t="n">
        <f aca="false">IF(AND(N94="بله",L94&gt;تنظیمات!$B$9),1,0)</f>
        <v>0</v>
      </c>
      <c r="AY94" s="21" t="n">
        <f aca="false">IF(Y94="معکوس",1,0)</f>
        <v>0</v>
      </c>
      <c r="AZ94" s="21" t="n">
        <f aca="false">IF(ABS(AJ94)&gt;تنظیمات!$B$10,1,0)</f>
        <v>0</v>
      </c>
      <c r="BA94" s="21" t="n">
        <f aca="false">IF(AND(OR(AD94="رایگان/VIP",AD94="جانباز"),AF94="خیر"),1,0)</f>
        <v>0</v>
      </c>
      <c r="BB94" s="21" t="n">
        <f aca="false">IF(AE94="",0,IF(COUNTIF($AE$2:$AE$1001,AE94)&gt;1,1,0))</f>
        <v>0</v>
      </c>
      <c r="BC94" s="21" t="n">
        <f aca="false">IF(AND(H94="",I94&gt;تنظیمات!$B$12*60,AM94="خالی"),1,0)</f>
        <v>0</v>
      </c>
      <c r="BD94" s="21" t="n">
        <f aca="false">IF(AND(AP94="بله",I94&lt;تنظیمات!$B$14,AO94="خیر"),1,0)</f>
        <v>0</v>
      </c>
      <c r="BE94" s="21" t="n">
        <f aca="false">IF(AN94="خیر",1,0)</f>
        <v>0</v>
      </c>
      <c r="BF94" s="21" t="n">
        <f aca="false">IF(AND(AD94="فیش مفقودی",AQ94="بله",I94&gt;تنظیمات!$B$12*60),1,0)</f>
        <v>0</v>
      </c>
      <c r="BG94" s="21" t="n">
        <f aca="false">IF(AND(AK94&gt;تنظیمات!$B$11,AL94="بله"),1,0)</f>
        <v>0</v>
      </c>
      <c r="BH94" s="21" t="n">
        <f aca="false">MIN(100,AR94*تنظیمات!$B$21+AS94*تنظیمات!$B$22+AT94*تنظیمات!$B$23+AU94*تنظیمات!$B$24+AV94*تنظیمات!$B$25+AW94*تنظیمات!$B$26+AX94*تنظیمات!$B$27+AY94*تنظیمات!$B$28+AZ94*تنظیمات!$B$29+BA94*تنظیمات!$B$30+BB94*تنظیمات!$B$31+BC94*تنظیمات!$B$32+BD94*تنظیمات!$B$33+BE94*تنظیمات!$B$34+BF94*تنظیمات!$B$35+BG94*تنظیمات!$B$36)</f>
        <v>0</v>
      </c>
      <c r="BI94" s="16" t="str">
        <f aca="false">IF(BH94&gt;=60,"بحرانی",IF(BH94&gt;=30,"مشکوک",IF(BH94&gt;0,"هشدار","عادی")))</f>
        <v>عادی</v>
      </c>
      <c r="BJ94" s="16" t="s">
        <v>338</v>
      </c>
    </row>
    <row r="95" customFormat="false" ht="15" hidden="false" customHeight="false" outlineLevel="0" collapsed="false">
      <c r="A95" s="16" t="s">
        <v>708</v>
      </c>
      <c r="B95" s="16" t="s">
        <v>709</v>
      </c>
      <c r="C95" s="16"/>
      <c r="D95" s="16" t="s">
        <v>440</v>
      </c>
      <c r="E95" s="16" t="s">
        <v>363</v>
      </c>
      <c r="F95" s="16" t="s">
        <v>359</v>
      </c>
      <c r="G95" s="17" t="n">
        <v>46282.3090740741</v>
      </c>
      <c r="H95" s="17" t="n">
        <v>46282.3833796296</v>
      </c>
      <c r="I95" s="18" t="n">
        <f aca="false">IF(H95="",ROUND((تنظیمات!$B$7-G95)*1440,0),ROUND((H95-G95)*1440,0))</f>
        <v>107</v>
      </c>
      <c r="J95" s="16" t="s">
        <v>346</v>
      </c>
      <c r="K95" s="16" t="s">
        <v>410</v>
      </c>
      <c r="L95" s="19" t="n">
        <v>0.938</v>
      </c>
      <c r="M95" s="19" t="n">
        <v>0.985</v>
      </c>
      <c r="N95" s="16" t="s">
        <v>335</v>
      </c>
      <c r="O95" s="16" t="s">
        <v>677</v>
      </c>
      <c r="P95" s="16" t="s">
        <v>402</v>
      </c>
      <c r="Q95" s="20" t="n">
        <v>46282</v>
      </c>
      <c r="R95" s="16" t="s">
        <v>710</v>
      </c>
      <c r="S95" s="16" t="s">
        <v>404</v>
      </c>
      <c r="T95" s="17"/>
      <c r="U95" s="21" t="n">
        <v>1</v>
      </c>
      <c r="V95" s="21" t="n">
        <v>1</v>
      </c>
      <c r="W95" s="22" t="n">
        <v>6.4</v>
      </c>
      <c r="X95" s="16" t="s">
        <v>335</v>
      </c>
      <c r="Y95" s="16" t="s">
        <v>338</v>
      </c>
      <c r="Z95" s="16" t="s">
        <v>413</v>
      </c>
      <c r="AA95" s="16" t="s">
        <v>414</v>
      </c>
      <c r="AB95" s="23" t="s">
        <v>711</v>
      </c>
      <c r="AC95" s="17" t="n">
        <v>46282.3826967593</v>
      </c>
      <c r="AD95" s="16" t="s">
        <v>481</v>
      </c>
      <c r="AE95" s="16" t="s">
        <v>712</v>
      </c>
      <c r="AF95" s="16" t="str">
        <f aca="false">IF(COUNTIF(لیست_سفید!$A$2:$A$21,B95)&gt;0,"بله","خیر")</f>
        <v>خیر</v>
      </c>
      <c r="AG95" s="24" t="n">
        <f aca="false">IF(H95="","",IF(AD95="فیش مفقودی",تنظیمات!$B$6,(INT(I95/1440)*تنظیمات!$B$5+IF(MOD(I95,1440)&lt;=تنظیمات!$B$2,0,MIN(تنظیمات!$B$5,تنظیمات!$B$3+MAX(0,ROUNDUP((MOD(I95,1440)-60)/60,0))*تنظیمات!$B$4)))*INDEX(تعرفه!$B$2:$B$7,MATCH(AD95,تعرفه!$A$2:$A$7,0))))</f>
        <v>17000</v>
      </c>
      <c r="AH95" s="24" t="n">
        <v>17000</v>
      </c>
      <c r="AI95" s="24" t="n">
        <f aca="false">IF(AG95="","",AH95-AG95)</f>
        <v>0</v>
      </c>
      <c r="AJ95" s="21" t="n">
        <v>-2</v>
      </c>
      <c r="AK95" s="21" t="n">
        <v>0</v>
      </c>
      <c r="AL95" s="16" t="s">
        <v>335</v>
      </c>
      <c r="AM95" s="16"/>
      <c r="AN95" s="16" t="s">
        <v>340</v>
      </c>
      <c r="AO95" s="16" t="s">
        <v>340</v>
      </c>
      <c r="AP95" s="16" t="s">
        <v>335</v>
      </c>
      <c r="AQ95" s="16"/>
      <c r="AR95" s="21" t="n">
        <f aca="false">IF(AND(T95&lt;&gt;"",H95&lt;&gt;""),IF(AND((T95-H95)*86400&gt;=0,(T95-H95)*86400&lt;تنظیمات!$B$13),1,0),0)</f>
        <v>0</v>
      </c>
      <c r="AS95" s="21" t="n">
        <f aca="false">IF(Z95="پوز",IF(OR(AB95="",COUNTIF(پوزها!$A$2:$A$5,AA95)=0),1,0),0)</f>
        <v>0</v>
      </c>
      <c r="AT95" s="21" t="n">
        <f aca="false">IF(AI95="",0,IF(AI95&gt;0,1,0))</f>
        <v>0</v>
      </c>
      <c r="AU95" s="21" t="n">
        <f aca="false">IF(AI95="",0,IF(AI95&lt;0,1,0))</f>
        <v>0</v>
      </c>
      <c r="AV95" s="21" t="n">
        <f aca="false">IF(U95&gt;V95,1,0)</f>
        <v>0</v>
      </c>
      <c r="AW95" s="21" t="n">
        <f aca="false">IF(OR(W95&gt;تنظیمات!$B$8,X95="بله"),1,0)</f>
        <v>0</v>
      </c>
      <c r="AX95" s="21" t="n">
        <f aca="false">IF(AND(N95="بله",L95&gt;تنظیمات!$B$9),1,0)</f>
        <v>0</v>
      </c>
      <c r="AY95" s="21" t="n">
        <f aca="false">IF(Y95="معکوس",1,0)</f>
        <v>0</v>
      </c>
      <c r="AZ95" s="21" t="n">
        <f aca="false">IF(ABS(AJ95)&gt;تنظیمات!$B$10,1,0)</f>
        <v>0</v>
      </c>
      <c r="BA95" s="21" t="n">
        <f aca="false">IF(AND(OR(AD95="رایگان/VIP",AD95="جانباز"),AF95="خیر"),1,0)</f>
        <v>0</v>
      </c>
      <c r="BB95" s="21" t="n">
        <f aca="false">IF(AE95="",0,IF(COUNTIF($AE$2:$AE$1001,AE95)&gt;1,1,0))</f>
        <v>0</v>
      </c>
      <c r="BC95" s="21" t="n">
        <f aca="false">IF(AND(H95="",I95&gt;تنظیمات!$B$12*60,AM95="خالی"),1,0)</f>
        <v>0</v>
      </c>
      <c r="BD95" s="21" t="n">
        <f aca="false">IF(AND(AP95="بله",I95&lt;تنظیمات!$B$14,AO95="خیر"),1,0)</f>
        <v>0</v>
      </c>
      <c r="BE95" s="21" t="n">
        <f aca="false">IF(AN95="خیر",1,0)</f>
        <v>0</v>
      </c>
      <c r="BF95" s="21" t="n">
        <f aca="false">IF(AND(AD95="فیش مفقودی",AQ95="بله",I95&gt;تنظیمات!$B$12*60),1,0)</f>
        <v>0</v>
      </c>
      <c r="BG95" s="21" t="n">
        <f aca="false">IF(AND(AK95&gt;تنظیمات!$B$11,AL95="بله"),1,0)</f>
        <v>0</v>
      </c>
      <c r="BH95" s="21" t="n">
        <f aca="false">MIN(100,AR95*تنظیمات!$B$21+AS95*تنظیمات!$B$22+AT95*تنظیمات!$B$23+AU95*تنظیمات!$B$24+AV95*تنظیمات!$B$25+AW95*تنظیمات!$B$26+AX95*تنظیمات!$B$27+AY95*تنظیمات!$B$28+AZ95*تنظیمات!$B$29+BA95*تنظیمات!$B$30+BB95*تنظیمات!$B$31+BC95*تنظیمات!$B$32+BD95*تنظیمات!$B$33+BE95*تنظیمات!$B$34+BF95*تنظیمات!$B$35+BG95*تنظیمات!$B$36)</f>
        <v>0</v>
      </c>
      <c r="BI95" s="16" t="str">
        <f aca="false">IF(BH95&gt;=60,"بحرانی",IF(BH95&gt;=30,"مشکوک",IF(BH95&gt;0,"هشدار","عادی")))</f>
        <v>عادی</v>
      </c>
      <c r="BJ95" s="16" t="s">
        <v>338</v>
      </c>
    </row>
    <row r="96" customFormat="false" ht="15" hidden="false" customHeight="false" outlineLevel="0" collapsed="false">
      <c r="A96" s="16" t="s">
        <v>713</v>
      </c>
      <c r="B96" s="16" t="s">
        <v>714</v>
      </c>
      <c r="C96" s="16" t="s">
        <v>715</v>
      </c>
      <c r="D96" s="16" t="s">
        <v>386</v>
      </c>
      <c r="E96" s="16" t="s">
        <v>351</v>
      </c>
      <c r="F96" s="16" t="s">
        <v>333</v>
      </c>
      <c r="G96" s="17" t="n">
        <v>46282.3209143519</v>
      </c>
      <c r="H96" s="17" t="n">
        <v>46282.338275463</v>
      </c>
      <c r="I96" s="18" t="n">
        <f aca="false">IF(H96="",ROUND((تنظیمات!$B$7-G96)*1440,0),ROUND((H96-G96)*1440,0))</f>
        <v>25</v>
      </c>
      <c r="J96" s="16" t="s">
        <v>346</v>
      </c>
      <c r="K96" s="16" t="s">
        <v>400</v>
      </c>
      <c r="L96" s="19" t="n">
        <v>0.953</v>
      </c>
      <c r="M96" s="19" t="n">
        <v>0.926</v>
      </c>
      <c r="N96" s="16" t="s">
        <v>340</v>
      </c>
      <c r="O96" s="16" t="s">
        <v>666</v>
      </c>
      <c r="P96" s="16" t="s">
        <v>402</v>
      </c>
      <c r="Q96" s="20" t="n">
        <v>46282</v>
      </c>
      <c r="R96" s="16" t="s">
        <v>716</v>
      </c>
      <c r="S96" s="16" t="s">
        <v>404</v>
      </c>
      <c r="T96" s="17"/>
      <c r="U96" s="21" t="n">
        <v>1</v>
      </c>
      <c r="V96" s="21" t="n">
        <v>1</v>
      </c>
      <c r="W96" s="22" t="n">
        <v>19.7</v>
      </c>
      <c r="X96" s="16" t="s">
        <v>335</v>
      </c>
      <c r="Y96" s="16" t="s">
        <v>338</v>
      </c>
      <c r="Z96" s="16" t="s">
        <v>405</v>
      </c>
      <c r="AA96" s="16"/>
      <c r="AB96" s="23"/>
      <c r="AC96" s="17"/>
      <c r="AD96" s="16" t="s">
        <v>338</v>
      </c>
      <c r="AE96" s="16"/>
      <c r="AF96" s="16" t="str">
        <f aca="false">IF(COUNTIF(لیست_سفید!$A$2:$A$21,B96)&gt;0,"بله","خیر")</f>
        <v>خیر</v>
      </c>
      <c r="AG96" s="24" t="n">
        <f aca="false">IF(H96="","",IF(AD96="فیش مفقودی",تنظیمات!$B$6,(INT(I96/1440)*تنظیمات!$B$5+IF(MOD(I96,1440)&lt;=تنظیمات!$B$2,0,MIN(تنظیمات!$B$5,تنظیمات!$B$3+MAX(0,ROUNDUP((MOD(I96,1440)-60)/60,0))*تنظیمات!$B$4)))*INDEX(تعرفه!$B$2:$B$7,MATCH(AD96,تعرفه!$A$2:$A$7,0))))</f>
        <v>20000</v>
      </c>
      <c r="AH96" s="24" t="n">
        <v>20000</v>
      </c>
      <c r="AI96" s="24" t="n">
        <f aca="false">IF(AG96="","",AH96-AG96)</f>
        <v>0</v>
      </c>
      <c r="AJ96" s="21" t="n">
        <v>-3</v>
      </c>
      <c r="AK96" s="21" t="n">
        <v>0</v>
      </c>
      <c r="AL96" s="16" t="s">
        <v>335</v>
      </c>
      <c r="AM96" s="16"/>
      <c r="AN96" s="16" t="s">
        <v>340</v>
      </c>
      <c r="AO96" s="16" t="s">
        <v>340</v>
      </c>
      <c r="AP96" s="16" t="s">
        <v>335</v>
      </c>
      <c r="AQ96" s="16"/>
      <c r="AR96" s="21" t="n">
        <f aca="false">IF(AND(T96&lt;&gt;"",H96&lt;&gt;""),IF(AND((T96-H96)*86400&gt;=0,(T96-H96)*86400&lt;تنظیمات!$B$13),1,0),0)</f>
        <v>0</v>
      </c>
      <c r="AS96" s="21" t="n">
        <f aca="false">IF(Z96="پوز",IF(OR(AB96="",COUNTIF(پوزها!$A$2:$A$5,AA96)=0),1,0),0)</f>
        <v>0</v>
      </c>
      <c r="AT96" s="21" t="n">
        <f aca="false">IF(AI96="",0,IF(AI96&gt;0,1,0))</f>
        <v>0</v>
      </c>
      <c r="AU96" s="21" t="n">
        <f aca="false">IF(AI96="",0,IF(AI96&lt;0,1,0))</f>
        <v>0</v>
      </c>
      <c r="AV96" s="21" t="n">
        <f aca="false">IF(U96&gt;V96,1,0)</f>
        <v>0</v>
      </c>
      <c r="AW96" s="21" t="n">
        <f aca="false">IF(OR(W96&gt;تنظیمات!$B$8,X96="بله"),1,0)</f>
        <v>1</v>
      </c>
      <c r="AX96" s="21" t="n">
        <f aca="false">IF(AND(N96="بله",L96&gt;تنظیمات!$B$9),1,0)</f>
        <v>1</v>
      </c>
      <c r="AY96" s="21" t="n">
        <f aca="false">IF(Y96="معکوس",1,0)</f>
        <v>0</v>
      </c>
      <c r="AZ96" s="21" t="n">
        <f aca="false">IF(ABS(AJ96)&gt;تنظیمات!$B$10,1,0)</f>
        <v>0</v>
      </c>
      <c r="BA96" s="21" t="n">
        <f aca="false">IF(AND(OR(AD96="رایگان/VIP",AD96="جانباز"),AF96="خیر"),1,0)</f>
        <v>0</v>
      </c>
      <c r="BB96" s="21" t="n">
        <f aca="false">IF(AE96="",0,IF(COUNTIF($AE$2:$AE$1001,AE96)&gt;1,1,0))</f>
        <v>0</v>
      </c>
      <c r="BC96" s="21" t="n">
        <f aca="false">IF(AND(H96="",I96&gt;تنظیمات!$B$12*60,AM96="خالی"),1,0)</f>
        <v>0</v>
      </c>
      <c r="BD96" s="21" t="n">
        <f aca="false">IF(AND(AP96="بله",I96&lt;تنظیمات!$B$14,AO96="خیر"),1,0)</f>
        <v>0</v>
      </c>
      <c r="BE96" s="21" t="n">
        <f aca="false">IF(AN96="خیر",1,0)</f>
        <v>0</v>
      </c>
      <c r="BF96" s="21" t="n">
        <f aca="false">IF(AND(AD96="فیش مفقودی",AQ96="بله",I96&gt;تنظیمات!$B$12*60),1,0)</f>
        <v>0</v>
      </c>
      <c r="BG96" s="21" t="n">
        <f aca="false">IF(AND(AK96&gt;تنظیمات!$B$11,AL96="بله"),1,0)</f>
        <v>0</v>
      </c>
      <c r="BH96" s="21" t="n">
        <f aca="false">MIN(100,AR96*تنظیمات!$B$21+AS96*تنظیمات!$B$22+AT96*تنظیمات!$B$23+AU96*تنظیمات!$B$24+AV96*تنظیمات!$B$25+AW96*تنظیمات!$B$26+AX96*تنظیمات!$B$27+AY96*تنظیمات!$B$28+AZ96*تنظیمات!$B$29+BA96*تنظیمات!$B$30+BB96*تنظیمات!$B$31+BC96*تنظیمات!$B$32+BD96*تنظیمات!$B$33+BE96*تنظیمات!$B$34+BF96*تنظیمات!$B$35+BG96*تنظیمات!$B$36)</f>
        <v>55</v>
      </c>
      <c r="BI96" s="16" t="str">
        <f aca="false">IF(BH96&gt;=60,"بحرانی",IF(BH96&gt;=30,"مشکوک",IF(BH96&gt;0,"هشدار","عادی")))</f>
        <v>مشکوک</v>
      </c>
      <c r="BJ96" s="16" t="s">
        <v>700</v>
      </c>
    </row>
    <row r="97" customFormat="false" ht="15" hidden="false" customHeight="false" outlineLevel="0" collapsed="false">
      <c r="A97" s="16" t="s">
        <v>717</v>
      </c>
      <c r="B97" s="16" t="s">
        <v>718</v>
      </c>
      <c r="C97" s="16"/>
      <c r="D97" s="16" t="s">
        <v>418</v>
      </c>
      <c r="E97" s="16" t="s">
        <v>390</v>
      </c>
      <c r="F97" s="16" t="s">
        <v>333</v>
      </c>
      <c r="G97" s="17" t="n">
        <v>46282.3397106482</v>
      </c>
      <c r="H97" s="17" t="n">
        <v>46282.4237384259</v>
      </c>
      <c r="I97" s="18" t="n">
        <f aca="false">IF(H97="",ROUND((تنظیمات!$B$7-G97)*1440,0),ROUND((H97-G97)*1440,0))</f>
        <v>121</v>
      </c>
      <c r="J97" s="16" t="s">
        <v>334</v>
      </c>
      <c r="K97" s="16" t="s">
        <v>400</v>
      </c>
      <c r="L97" s="19" t="n">
        <v>0.941</v>
      </c>
      <c r="M97" s="19" t="n">
        <v>0.979</v>
      </c>
      <c r="N97" s="16" t="s">
        <v>335</v>
      </c>
      <c r="O97" s="16" t="s">
        <v>666</v>
      </c>
      <c r="P97" s="16" t="s">
        <v>402</v>
      </c>
      <c r="Q97" s="20" t="n">
        <v>46282</v>
      </c>
      <c r="R97" s="16" t="s">
        <v>719</v>
      </c>
      <c r="S97" s="16" t="s">
        <v>404</v>
      </c>
      <c r="T97" s="17"/>
      <c r="U97" s="21" t="n">
        <v>1</v>
      </c>
      <c r="V97" s="21" t="n">
        <v>1</v>
      </c>
      <c r="W97" s="22" t="n">
        <v>5.9</v>
      </c>
      <c r="X97" s="16" t="s">
        <v>335</v>
      </c>
      <c r="Y97" s="16" t="s">
        <v>338</v>
      </c>
      <c r="Z97" s="16" t="s">
        <v>413</v>
      </c>
      <c r="AA97" s="16" t="s">
        <v>720</v>
      </c>
      <c r="AB97" s="23" t="s">
        <v>721</v>
      </c>
      <c r="AC97" s="17" t="n">
        <v>46282.4229861111</v>
      </c>
      <c r="AD97" s="16" t="s">
        <v>338</v>
      </c>
      <c r="AE97" s="16"/>
      <c r="AF97" s="16" t="str">
        <f aca="false">IF(COUNTIF(لیست_سفید!$A$2:$A$21,B97)&gt;0,"بله","خیر")</f>
        <v>خیر</v>
      </c>
      <c r="AG97" s="24" t="n">
        <f aca="false">IF(H97="","",IF(AD97="فیش مفقودی",تنظیمات!$B$6,(INT(I97/1440)*تنظیمات!$B$5+IF(MOD(I97,1440)&lt;=تنظیمات!$B$2,0,MIN(تنظیمات!$B$5,تنظیمات!$B$3+MAX(0,ROUNDUP((MOD(I97,1440)-60)/60,0))*تنظیمات!$B$4)))*INDEX(تعرفه!$B$2:$B$7,MATCH(AD97,تعرفه!$A$2:$A$7,0))))</f>
        <v>48000</v>
      </c>
      <c r="AH97" s="24" t="n">
        <v>48000</v>
      </c>
      <c r="AI97" s="24" t="n">
        <f aca="false">IF(AG97="","",AH97-AG97)</f>
        <v>0</v>
      </c>
      <c r="AJ97" s="21" t="n">
        <v>0</v>
      </c>
      <c r="AK97" s="21" t="n">
        <v>0</v>
      </c>
      <c r="AL97" s="16" t="s">
        <v>335</v>
      </c>
      <c r="AM97" s="16"/>
      <c r="AN97" s="16" t="s">
        <v>340</v>
      </c>
      <c r="AO97" s="16" t="s">
        <v>340</v>
      </c>
      <c r="AP97" s="16" t="s">
        <v>335</v>
      </c>
      <c r="AQ97" s="16"/>
      <c r="AR97" s="21" t="n">
        <f aca="false">IF(AND(T97&lt;&gt;"",H97&lt;&gt;""),IF(AND((T97-H97)*86400&gt;=0,(T97-H97)*86400&lt;تنظیمات!$B$13),1,0),0)</f>
        <v>0</v>
      </c>
      <c r="AS97" s="21" t="n">
        <f aca="false">IF(Z97="پوز",IF(OR(AB97="",COUNTIF(پوزها!$A$2:$A$5,AA97)=0),1,0),0)</f>
        <v>1</v>
      </c>
      <c r="AT97" s="21" t="n">
        <f aca="false">IF(AI97="",0,IF(AI97&gt;0,1,0))</f>
        <v>0</v>
      </c>
      <c r="AU97" s="21" t="n">
        <f aca="false">IF(AI97="",0,IF(AI97&lt;0,1,0))</f>
        <v>0</v>
      </c>
      <c r="AV97" s="21" t="n">
        <f aca="false">IF(U97&gt;V97,1,0)</f>
        <v>0</v>
      </c>
      <c r="AW97" s="21" t="n">
        <f aca="false">IF(OR(W97&gt;تنظیمات!$B$8,X97="بله"),1,0)</f>
        <v>0</v>
      </c>
      <c r="AX97" s="21" t="n">
        <f aca="false">IF(AND(N97="بله",L97&gt;تنظیمات!$B$9),1,0)</f>
        <v>0</v>
      </c>
      <c r="AY97" s="21" t="n">
        <f aca="false">IF(Y97="معکوس",1,0)</f>
        <v>0</v>
      </c>
      <c r="AZ97" s="21" t="n">
        <f aca="false">IF(ABS(AJ97)&gt;تنظیمات!$B$10,1,0)</f>
        <v>0</v>
      </c>
      <c r="BA97" s="21" t="n">
        <f aca="false">IF(AND(OR(AD97="رایگان/VIP",AD97="جانباز"),AF97="خیر"),1,0)</f>
        <v>0</v>
      </c>
      <c r="BB97" s="21" t="n">
        <f aca="false">IF(AE97="",0,IF(COUNTIF($AE$2:$AE$1001,AE97)&gt;1,1,0))</f>
        <v>0</v>
      </c>
      <c r="BC97" s="21" t="n">
        <f aca="false">IF(AND(H97="",I97&gt;تنظیمات!$B$12*60,AM97="خالی"),1,0)</f>
        <v>0</v>
      </c>
      <c r="BD97" s="21" t="n">
        <f aca="false">IF(AND(AP97="بله",I97&lt;تنظیمات!$B$14,AO97="خیر"),1,0)</f>
        <v>0</v>
      </c>
      <c r="BE97" s="21" t="n">
        <f aca="false">IF(AN97="خیر",1,0)</f>
        <v>0</v>
      </c>
      <c r="BF97" s="21" t="n">
        <f aca="false">IF(AND(AD97="فیش مفقودی",AQ97="بله",I97&gt;تنظیمات!$B$12*60),1,0)</f>
        <v>0</v>
      </c>
      <c r="BG97" s="21" t="n">
        <f aca="false">IF(AND(AK97&gt;تنظیمات!$B$11,AL97="بله"),1,0)</f>
        <v>0</v>
      </c>
      <c r="BH97" s="21" t="n">
        <f aca="false">MIN(100,AR97*تنظیمات!$B$21+AS97*تنظیمات!$B$22+AT97*تنظیمات!$B$23+AU97*تنظیمات!$B$24+AV97*تنظیمات!$B$25+AW97*تنظیمات!$B$26+AX97*تنظیمات!$B$27+AY97*تنظیمات!$B$28+AZ97*تنظیمات!$B$29+BA97*تنظیمات!$B$30+BB97*تنظیمات!$B$31+BC97*تنظیمات!$B$32+BD97*تنظیمات!$B$33+BE97*تنظیمات!$B$34+BF97*تنظیمات!$B$35+BG97*تنظیمات!$B$36)</f>
        <v>35</v>
      </c>
      <c r="BI97" s="16" t="str">
        <f aca="false">IF(BH97&gt;=60,"بحرانی",IF(BH97&gt;=30,"مشکوک",IF(BH97&gt;0,"هشدار","عادی")))</f>
        <v>مشکوک</v>
      </c>
      <c r="BJ97" s="16" t="s">
        <v>722</v>
      </c>
    </row>
    <row r="98" customFormat="false" ht="15" hidden="false" customHeight="false" outlineLevel="0" collapsed="false">
      <c r="A98" s="16" t="s">
        <v>723</v>
      </c>
      <c r="B98" s="16" t="s">
        <v>724</v>
      </c>
      <c r="C98" s="16"/>
      <c r="D98" s="16" t="s">
        <v>350</v>
      </c>
      <c r="E98" s="16" t="s">
        <v>351</v>
      </c>
      <c r="F98" s="16" t="s">
        <v>333</v>
      </c>
      <c r="G98" s="17" t="n">
        <v>46282.3529050926</v>
      </c>
      <c r="H98" s="17" t="n">
        <v>46282.7688773148</v>
      </c>
      <c r="I98" s="18" t="n">
        <f aca="false">IF(H98="",ROUND((تنظیمات!$B$7-G98)*1440,0),ROUND((H98-G98)*1440,0))</f>
        <v>599</v>
      </c>
      <c r="J98" s="16" t="s">
        <v>334</v>
      </c>
      <c r="K98" s="16" t="s">
        <v>410</v>
      </c>
      <c r="L98" s="19" t="n">
        <v>0.995</v>
      </c>
      <c r="M98" s="19" t="n">
        <v>0.932</v>
      </c>
      <c r="N98" s="16" t="s">
        <v>335</v>
      </c>
      <c r="O98" s="16" t="s">
        <v>441</v>
      </c>
      <c r="P98" s="16" t="s">
        <v>420</v>
      </c>
      <c r="Q98" s="20" t="n">
        <v>46282</v>
      </c>
      <c r="R98" s="16" t="s">
        <v>725</v>
      </c>
      <c r="S98" s="16" t="s">
        <v>404</v>
      </c>
      <c r="T98" s="17"/>
      <c r="U98" s="21" t="n">
        <v>1</v>
      </c>
      <c r="V98" s="21" t="n">
        <v>1</v>
      </c>
      <c r="W98" s="22" t="n">
        <v>5.4</v>
      </c>
      <c r="X98" s="16" t="s">
        <v>335</v>
      </c>
      <c r="Y98" s="16" t="s">
        <v>338</v>
      </c>
      <c r="Z98" s="16" t="s">
        <v>443</v>
      </c>
      <c r="AA98" s="16"/>
      <c r="AB98" s="23"/>
      <c r="AC98" s="17"/>
      <c r="AD98" s="16" t="s">
        <v>444</v>
      </c>
      <c r="AE98" s="16"/>
      <c r="AF98" s="16" t="str">
        <f aca="false">IF(COUNTIF(لیست_سفید!$A$2:$A$21,B98)&gt;0,"بله","خیر")</f>
        <v>خیر</v>
      </c>
      <c r="AG98" s="24" t="n">
        <f aca="false">IF(H98="","",IF(AD98="فیش مفقودی",تنظیمات!$B$6,(INT(I98/1440)*تنظیمات!$B$5+IF(MOD(I98,1440)&lt;=تنظیمات!$B$2,0,MIN(تنظیمات!$B$5,تنظیمات!$B$3+MAX(0,ROUNDUP((MOD(I98,1440)-60)/60,0))*تنظیمات!$B$4)))*INDEX(تعرفه!$B$2:$B$7,MATCH(AD98,تعرفه!$A$2:$A$7,0))))</f>
        <v>0</v>
      </c>
      <c r="AH98" s="24" t="n">
        <v>0</v>
      </c>
      <c r="AI98" s="24" t="n">
        <f aca="false">IF(AG98="","",AH98-AG98)</f>
        <v>0</v>
      </c>
      <c r="AJ98" s="21" t="n">
        <v>-2</v>
      </c>
      <c r="AK98" s="21" t="n">
        <v>0</v>
      </c>
      <c r="AL98" s="16" t="s">
        <v>335</v>
      </c>
      <c r="AM98" s="16"/>
      <c r="AN98" s="16" t="s">
        <v>340</v>
      </c>
      <c r="AO98" s="16" t="s">
        <v>340</v>
      </c>
      <c r="AP98" s="16" t="s">
        <v>335</v>
      </c>
      <c r="AQ98" s="16"/>
      <c r="AR98" s="21" t="n">
        <f aca="false">IF(AND(T98&lt;&gt;"",H98&lt;&gt;""),IF(AND((T98-H98)*86400&gt;=0,(T98-H98)*86400&lt;تنظیمات!$B$13),1,0),0)</f>
        <v>0</v>
      </c>
      <c r="AS98" s="21" t="n">
        <f aca="false">IF(Z98="پوز",IF(OR(AB98="",COUNTIF(پوزها!$A$2:$A$5,AA98)=0),1,0),0)</f>
        <v>0</v>
      </c>
      <c r="AT98" s="21" t="n">
        <f aca="false">IF(AI98="",0,IF(AI98&gt;0,1,0))</f>
        <v>0</v>
      </c>
      <c r="AU98" s="21" t="n">
        <f aca="false">IF(AI98="",0,IF(AI98&lt;0,1,0))</f>
        <v>0</v>
      </c>
      <c r="AV98" s="21" t="n">
        <f aca="false">IF(U98&gt;V98,1,0)</f>
        <v>0</v>
      </c>
      <c r="AW98" s="21" t="n">
        <f aca="false">IF(OR(W98&gt;تنظیمات!$B$8,X98="بله"),1,0)</f>
        <v>0</v>
      </c>
      <c r="AX98" s="21" t="n">
        <f aca="false">IF(AND(N98="بله",L98&gt;تنظیمات!$B$9),1,0)</f>
        <v>0</v>
      </c>
      <c r="AY98" s="21" t="n">
        <f aca="false">IF(Y98="معکوس",1,0)</f>
        <v>0</v>
      </c>
      <c r="AZ98" s="21" t="n">
        <f aca="false">IF(ABS(AJ98)&gt;تنظیمات!$B$10,1,0)</f>
        <v>0</v>
      </c>
      <c r="BA98" s="21" t="n">
        <f aca="false">IF(AND(OR(AD98="رایگان/VIP",AD98="جانباز"),AF98="خیر"),1,0)</f>
        <v>0</v>
      </c>
      <c r="BB98" s="21" t="n">
        <f aca="false">IF(AE98="",0,IF(COUNTIF($AE$2:$AE$1001,AE98)&gt;1,1,0))</f>
        <v>0</v>
      </c>
      <c r="BC98" s="21" t="n">
        <f aca="false">IF(AND(H98="",I98&gt;تنظیمات!$B$12*60,AM98="خالی"),1,0)</f>
        <v>0</v>
      </c>
      <c r="BD98" s="21" t="n">
        <f aca="false">IF(AND(AP98="بله",I98&lt;تنظیمات!$B$14,AO98="خیر"),1,0)</f>
        <v>0</v>
      </c>
      <c r="BE98" s="21" t="n">
        <f aca="false">IF(AN98="خیر",1,0)</f>
        <v>0</v>
      </c>
      <c r="BF98" s="21" t="n">
        <f aca="false">IF(AND(AD98="فیش مفقودی",AQ98="بله",I98&gt;تنظیمات!$B$12*60),1,0)</f>
        <v>0</v>
      </c>
      <c r="BG98" s="21" t="n">
        <f aca="false">IF(AND(AK98&gt;تنظیمات!$B$11,AL98="بله"),1,0)</f>
        <v>0</v>
      </c>
      <c r="BH98" s="21" t="n">
        <f aca="false">MIN(100,AR98*تنظیمات!$B$21+AS98*تنظیمات!$B$22+AT98*تنظیمات!$B$23+AU98*تنظیمات!$B$24+AV98*تنظیمات!$B$25+AW98*تنظیمات!$B$26+AX98*تنظیمات!$B$27+AY98*تنظیمات!$B$28+AZ98*تنظیمات!$B$29+BA98*تنظیمات!$B$30+BB98*تنظیمات!$B$31+BC98*تنظیمات!$B$32+BD98*تنظیمات!$B$33+BE98*تنظیمات!$B$34+BF98*تنظیمات!$B$35+BG98*تنظیمات!$B$36)</f>
        <v>0</v>
      </c>
      <c r="BI98" s="16" t="str">
        <f aca="false">IF(BH98&gt;=60,"بحرانی",IF(BH98&gt;=30,"مشکوک",IF(BH98&gt;0,"هشدار","عادی")))</f>
        <v>عادی</v>
      </c>
      <c r="BJ98" s="16" t="s">
        <v>338</v>
      </c>
    </row>
    <row r="99" customFormat="false" ht="15" hidden="false" customHeight="false" outlineLevel="0" collapsed="false">
      <c r="A99" s="16" t="s">
        <v>726</v>
      </c>
      <c r="B99" s="16" t="s">
        <v>727</v>
      </c>
      <c r="C99" s="16"/>
      <c r="D99" s="16" t="s">
        <v>450</v>
      </c>
      <c r="E99" s="16" t="s">
        <v>363</v>
      </c>
      <c r="F99" s="16" t="s">
        <v>333</v>
      </c>
      <c r="G99" s="17" t="n">
        <v>46282.3560648148</v>
      </c>
      <c r="H99" s="17" t="n">
        <v>46282.4039814815</v>
      </c>
      <c r="I99" s="18" t="n">
        <f aca="false">IF(H99="",ROUND((تنظیمات!$B$7-G99)*1440,0),ROUND((H99-G99)*1440,0))</f>
        <v>69</v>
      </c>
      <c r="J99" s="16" t="s">
        <v>334</v>
      </c>
      <c r="K99" s="16" t="s">
        <v>410</v>
      </c>
      <c r="L99" s="19" t="n">
        <v>0.978</v>
      </c>
      <c r="M99" s="19" t="n">
        <v>0.911</v>
      </c>
      <c r="N99" s="16" t="s">
        <v>335</v>
      </c>
      <c r="O99" s="16" t="s">
        <v>677</v>
      </c>
      <c r="P99" s="16" t="s">
        <v>402</v>
      </c>
      <c r="Q99" s="20" t="n">
        <v>46282</v>
      </c>
      <c r="R99" s="16" t="s">
        <v>728</v>
      </c>
      <c r="S99" s="16" t="s">
        <v>404</v>
      </c>
      <c r="T99" s="17"/>
      <c r="U99" s="21" t="n">
        <v>1</v>
      </c>
      <c r="V99" s="21" t="n">
        <v>1</v>
      </c>
      <c r="W99" s="22" t="n">
        <v>6.2</v>
      </c>
      <c r="X99" s="16" t="s">
        <v>335</v>
      </c>
      <c r="Y99" s="16" t="s">
        <v>338</v>
      </c>
      <c r="Z99" s="16" t="s">
        <v>413</v>
      </c>
      <c r="AA99" s="16" t="s">
        <v>414</v>
      </c>
      <c r="AB99" s="23" t="s">
        <v>729</v>
      </c>
      <c r="AC99" s="17" t="n">
        <v>46282.4037152778</v>
      </c>
      <c r="AD99" s="16" t="s">
        <v>338</v>
      </c>
      <c r="AE99" s="16"/>
      <c r="AF99" s="16" t="str">
        <f aca="false">IF(COUNTIF(لیست_سفید!$A$2:$A$21,B99)&gt;0,"بله","خیر")</f>
        <v>خیر</v>
      </c>
      <c r="AG99" s="24" t="n">
        <f aca="false">IF(H99="","",IF(AD99="فیش مفقودی",تنظیمات!$B$6,(INT(I99/1440)*تنظیمات!$B$5+IF(MOD(I99,1440)&lt;=تنظیمات!$B$2,0,MIN(تنظیمات!$B$5,تنظیمات!$B$3+MAX(0,ROUNDUP((MOD(I99,1440)-60)/60,0))*تنظیمات!$B$4)))*INDEX(تعرفه!$B$2:$B$7,MATCH(AD99,تعرفه!$A$2:$A$7,0))))</f>
        <v>34000</v>
      </c>
      <c r="AH99" s="24" t="n">
        <v>34000</v>
      </c>
      <c r="AI99" s="24" t="n">
        <f aca="false">IF(AG99="","",AH99-AG99)</f>
        <v>0</v>
      </c>
      <c r="AJ99" s="21" t="n">
        <v>0</v>
      </c>
      <c r="AK99" s="21" t="n">
        <v>0</v>
      </c>
      <c r="AL99" s="16" t="s">
        <v>335</v>
      </c>
      <c r="AM99" s="16"/>
      <c r="AN99" s="16" t="s">
        <v>340</v>
      </c>
      <c r="AO99" s="16" t="s">
        <v>340</v>
      </c>
      <c r="AP99" s="16" t="s">
        <v>335</v>
      </c>
      <c r="AQ99" s="16"/>
      <c r="AR99" s="21" t="n">
        <f aca="false">IF(AND(T99&lt;&gt;"",H99&lt;&gt;""),IF(AND((T99-H99)*86400&gt;=0,(T99-H99)*86400&lt;تنظیمات!$B$13),1,0),0)</f>
        <v>0</v>
      </c>
      <c r="AS99" s="21" t="n">
        <f aca="false">IF(Z99="پوز",IF(OR(AB99="",COUNTIF(پوزها!$A$2:$A$5,AA99)=0),1,0),0)</f>
        <v>0</v>
      </c>
      <c r="AT99" s="21" t="n">
        <f aca="false">IF(AI99="",0,IF(AI99&gt;0,1,0))</f>
        <v>0</v>
      </c>
      <c r="AU99" s="21" t="n">
        <f aca="false">IF(AI99="",0,IF(AI99&lt;0,1,0))</f>
        <v>0</v>
      </c>
      <c r="AV99" s="21" t="n">
        <f aca="false">IF(U99&gt;V99,1,0)</f>
        <v>0</v>
      </c>
      <c r="AW99" s="21" t="n">
        <f aca="false">IF(OR(W99&gt;تنظیمات!$B$8,X99="بله"),1,0)</f>
        <v>0</v>
      </c>
      <c r="AX99" s="21" t="n">
        <f aca="false">IF(AND(N99="بله",L99&gt;تنظیمات!$B$9),1,0)</f>
        <v>0</v>
      </c>
      <c r="AY99" s="21" t="n">
        <f aca="false">IF(Y99="معکوس",1,0)</f>
        <v>0</v>
      </c>
      <c r="AZ99" s="21" t="n">
        <f aca="false">IF(ABS(AJ99)&gt;تنظیمات!$B$10,1,0)</f>
        <v>0</v>
      </c>
      <c r="BA99" s="21" t="n">
        <f aca="false">IF(AND(OR(AD99="رایگان/VIP",AD99="جانباز"),AF99="خیر"),1,0)</f>
        <v>0</v>
      </c>
      <c r="BB99" s="21" t="n">
        <f aca="false">IF(AE99="",0,IF(COUNTIF($AE$2:$AE$1001,AE99)&gt;1,1,0))</f>
        <v>0</v>
      </c>
      <c r="BC99" s="21" t="n">
        <f aca="false">IF(AND(H99="",I99&gt;تنظیمات!$B$12*60,AM99="خالی"),1,0)</f>
        <v>0</v>
      </c>
      <c r="BD99" s="21" t="n">
        <f aca="false">IF(AND(AP99="بله",I99&lt;تنظیمات!$B$14,AO99="خیر"),1,0)</f>
        <v>0</v>
      </c>
      <c r="BE99" s="21" t="n">
        <f aca="false">IF(AN99="خیر",1,0)</f>
        <v>0</v>
      </c>
      <c r="BF99" s="21" t="n">
        <f aca="false">IF(AND(AD99="فیش مفقودی",AQ99="بله",I99&gt;تنظیمات!$B$12*60),1,0)</f>
        <v>0</v>
      </c>
      <c r="BG99" s="21" t="n">
        <f aca="false">IF(AND(AK99&gt;تنظیمات!$B$11,AL99="بله"),1,0)</f>
        <v>0</v>
      </c>
      <c r="BH99" s="21" t="n">
        <f aca="false">MIN(100,AR99*تنظیمات!$B$21+AS99*تنظیمات!$B$22+AT99*تنظیمات!$B$23+AU99*تنظیمات!$B$24+AV99*تنظیمات!$B$25+AW99*تنظیمات!$B$26+AX99*تنظیمات!$B$27+AY99*تنظیمات!$B$28+AZ99*تنظیمات!$B$29+BA99*تنظیمات!$B$30+BB99*تنظیمات!$B$31+BC99*تنظیمات!$B$32+BD99*تنظیمات!$B$33+BE99*تنظیمات!$B$34+BF99*تنظیمات!$B$35+BG99*تنظیمات!$B$36)</f>
        <v>0</v>
      </c>
      <c r="BI99" s="16" t="str">
        <f aca="false">IF(BH99&gt;=60,"بحرانی",IF(BH99&gt;=30,"مشکوک",IF(BH99&gt;0,"هشدار","عادی")))</f>
        <v>عادی</v>
      </c>
      <c r="BJ99" s="16" t="s">
        <v>338</v>
      </c>
    </row>
    <row r="100" customFormat="false" ht="15" hidden="false" customHeight="false" outlineLevel="0" collapsed="false">
      <c r="A100" s="16" t="s">
        <v>730</v>
      </c>
      <c r="B100" s="16" t="s">
        <v>594</v>
      </c>
      <c r="C100" s="16"/>
      <c r="D100" s="16" t="s">
        <v>431</v>
      </c>
      <c r="E100" s="16" t="s">
        <v>375</v>
      </c>
      <c r="F100" s="16" t="s">
        <v>333</v>
      </c>
      <c r="G100" s="17" t="n">
        <v>46282.3693981482</v>
      </c>
      <c r="H100" s="17" t="n">
        <v>46282.4062037037</v>
      </c>
      <c r="I100" s="18" t="n">
        <f aca="false">IF(H100="",ROUND((تنظیمات!$B$7-G100)*1440,0),ROUND((H100-G100)*1440,0))</f>
        <v>53</v>
      </c>
      <c r="J100" s="16" t="s">
        <v>334</v>
      </c>
      <c r="K100" s="16" t="s">
        <v>410</v>
      </c>
      <c r="L100" s="19" t="n">
        <v>0.975</v>
      </c>
      <c r="M100" s="19" t="n">
        <v>0.921</v>
      </c>
      <c r="N100" s="16" t="s">
        <v>335</v>
      </c>
      <c r="O100" s="16" t="s">
        <v>677</v>
      </c>
      <c r="P100" s="16" t="s">
        <v>402</v>
      </c>
      <c r="Q100" s="20" t="n">
        <v>46282</v>
      </c>
      <c r="R100" s="16" t="s">
        <v>731</v>
      </c>
      <c r="S100" s="16" t="s">
        <v>404</v>
      </c>
      <c r="T100" s="17"/>
      <c r="U100" s="21" t="n">
        <v>1</v>
      </c>
      <c r="V100" s="21" t="n">
        <v>1</v>
      </c>
      <c r="W100" s="22" t="n">
        <v>4.1</v>
      </c>
      <c r="X100" s="16" t="s">
        <v>335</v>
      </c>
      <c r="Y100" s="16" t="s">
        <v>338</v>
      </c>
      <c r="Z100" s="16" t="s">
        <v>413</v>
      </c>
      <c r="AA100" s="16" t="s">
        <v>414</v>
      </c>
      <c r="AB100" s="23" t="s">
        <v>732</v>
      </c>
      <c r="AC100" s="17" t="n">
        <v>46282.405474537</v>
      </c>
      <c r="AD100" s="16" t="s">
        <v>338</v>
      </c>
      <c r="AE100" s="16"/>
      <c r="AF100" s="16" t="str">
        <f aca="false">IF(COUNTIF(لیست_سفید!$A$2:$A$21,B100)&gt;0,"بله","خیر")</f>
        <v>خیر</v>
      </c>
      <c r="AG100" s="24" t="n">
        <f aca="false">IF(H100="","",IF(AD100="فیش مفقودی",تنظیمات!$B$6,(INT(I100/1440)*تنظیمات!$B$5+IF(MOD(I100,1440)&lt;=تنظیمات!$B$2,0,MIN(تنظیمات!$B$5,تنظیمات!$B$3+MAX(0,ROUNDUP((MOD(I100,1440)-60)/60,0))*تنظیمات!$B$4)))*INDEX(تعرفه!$B$2:$B$7,MATCH(AD100,تعرفه!$A$2:$A$7,0))))</f>
        <v>20000</v>
      </c>
      <c r="AH100" s="24" t="n">
        <v>20000</v>
      </c>
      <c r="AI100" s="24" t="n">
        <f aca="false">IF(AG100="","",AH100-AG100)</f>
        <v>0</v>
      </c>
      <c r="AJ100" s="21" t="n">
        <v>1</v>
      </c>
      <c r="AK100" s="21" t="n">
        <v>0</v>
      </c>
      <c r="AL100" s="16" t="s">
        <v>335</v>
      </c>
      <c r="AM100" s="16"/>
      <c r="AN100" s="16" t="s">
        <v>340</v>
      </c>
      <c r="AO100" s="16" t="s">
        <v>340</v>
      </c>
      <c r="AP100" s="16" t="s">
        <v>335</v>
      </c>
      <c r="AQ100" s="16"/>
      <c r="AR100" s="21" t="n">
        <f aca="false">IF(AND(T100&lt;&gt;"",H100&lt;&gt;""),IF(AND((T100-H100)*86400&gt;=0,(T100-H100)*86400&lt;تنظیمات!$B$13),1,0),0)</f>
        <v>0</v>
      </c>
      <c r="AS100" s="21" t="n">
        <f aca="false">IF(Z100="پوز",IF(OR(AB100="",COUNTIF(پوزها!$A$2:$A$5,AA100)=0),1,0),0)</f>
        <v>0</v>
      </c>
      <c r="AT100" s="21" t="n">
        <f aca="false">IF(AI100="",0,IF(AI100&gt;0,1,0))</f>
        <v>0</v>
      </c>
      <c r="AU100" s="21" t="n">
        <f aca="false">IF(AI100="",0,IF(AI100&lt;0,1,0))</f>
        <v>0</v>
      </c>
      <c r="AV100" s="21" t="n">
        <f aca="false">IF(U100&gt;V100,1,0)</f>
        <v>0</v>
      </c>
      <c r="AW100" s="21" t="n">
        <f aca="false">IF(OR(W100&gt;تنظیمات!$B$8,X100="بله"),1,0)</f>
        <v>0</v>
      </c>
      <c r="AX100" s="21" t="n">
        <f aca="false">IF(AND(N100="بله",L100&gt;تنظیمات!$B$9),1,0)</f>
        <v>0</v>
      </c>
      <c r="AY100" s="21" t="n">
        <f aca="false">IF(Y100="معکوس",1,0)</f>
        <v>0</v>
      </c>
      <c r="AZ100" s="21" t="n">
        <f aca="false">IF(ABS(AJ100)&gt;تنظیمات!$B$10,1,0)</f>
        <v>0</v>
      </c>
      <c r="BA100" s="21" t="n">
        <f aca="false">IF(AND(OR(AD100="رایگان/VIP",AD100="جانباز"),AF100="خیر"),1,0)</f>
        <v>0</v>
      </c>
      <c r="BB100" s="21" t="n">
        <f aca="false">IF(AE100="",0,IF(COUNTIF($AE$2:$AE$1001,AE100)&gt;1,1,0))</f>
        <v>0</v>
      </c>
      <c r="BC100" s="21" t="n">
        <f aca="false">IF(AND(H100="",I100&gt;تنظیمات!$B$12*60,AM100="خالی"),1,0)</f>
        <v>0</v>
      </c>
      <c r="BD100" s="21" t="n">
        <f aca="false">IF(AND(AP100="بله",I100&lt;تنظیمات!$B$14,AO100="خیر"),1,0)</f>
        <v>0</v>
      </c>
      <c r="BE100" s="21" t="n">
        <f aca="false">IF(AN100="خیر",1,0)</f>
        <v>0</v>
      </c>
      <c r="BF100" s="21" t="n">
        <f aca="false">IF(AND(AD100="فیش مفقودی",AQ100="بله",I100&gt;تنظیمات!$B$12*60),1,0)</f>
        <v>0</v>
      </c>
      <c r="BG100" s="21" t="n">
        <f aca="false">IF(AND(AK100&gt;تنظیمات!$B$11,AL100="بله"),1,0)</f>
        <v>0</v>
      </c>
      <c r="BH100" s="21" t="n">
        <f aca="false">MIN(100,AR100*تنظیمات!$B$21+AS100*تنظیمات!$B$22+AT100*تنظیمات!$B$23+AU100*تنظیمات!$B$24+AV100*تنظیمات!$B$25+AW100*تنظیمات!$B$26+AX100*تنظیمات!$B$27+AY100*تنظیمات!$B$28+AZ100*تنظیمات!$B$29+BA100*تنظیمات!$B$30+BB100*تنظیمات!$B$31+BC100*تنظیمات!$B$32+BD100*تنظیمات!$B$33+BE100*تنظیمات!$B$34+BF100*تنظیمات!$B$35+BG100*تنظیمات!$B$36)</f>
        <v>0</v>
      </c>
      <c r="BI100" s="16" t="str">
        <f aca="false">IF(BH100&gt;=60,"بحرانی",IF(BH100&gt;=30,"مشکوک",IF(BH100&gt;0,"هشدار","عادی")))</f>
        <v>عادی</v>
      </c>
      <c r="BJ100" s="16" t="s">
        <v>338</v>
      </c>
    </row>
    <row r="101" customFormat="false" ht="15" hidden="false" customHeight="false" outlineLevel="0" collapsed="false">
      <c r="A101" s="16" t="s">
        <v>733</v>
      </c>
      <c r="B101" s="16" t="s">
        <v>734</v>
      </c>
      <c r="C101" s="16"/>
      <c r="D101" s="16" t="s">
        <v>374</v>
      </c>
      <c r="E101" s="16" t="s">
        <v>345</v>
      </c>
      <c r="F101" s="16" t="s">
        <v>359</v>
      </c>
      <c r="G101" s="17" t="n">
        <v>46282.3735300926</v>
      </c>
      <c r="H101" s="17" t="n">
        <v>46282.4145023148</v>
      </c>
      <c r="I101" s="18" t="n">
        <f aca="false">IF(H101="",ROUND((تنظیمات!$B$7-G101)*1440,0),ROUND((H101-G101)*1440,0))</f>
        <v>59</v>
      </c>
      <c r="J101" s="16" t="s">
        <v>346</v>
      </c>
      <c r="K101" s="16" t="s">
        <v>400</v>
      </c>
      <c r="L101" s="19" t="n">
        <v>0.932</v>
      </c>
      <c r="M101" s="19" t="n">
        <v>0.979</v>
      </c>
      <c r="N101" s="16" t="s">
        <v>335</v>
      </c>
      <c r="O101" s="16" t="s">
        <v>666</v>
      </c>
      <c r="P101" s="16" t="s">
        <v>402</v>
      </c>
      <c r="Q101" s="20" t="n">
        <v>46282</v>
      </c>
      <c r="R101" s="16" t="s">
        <v>735</v>
      </c>
      <c r="S101" s="16" t="s">
        <v>404</v>
      </c>
      <c r="T101" s="17"/>
      <c r="U101" s="21" t="n">
        <v>1</v>
      </c>
      <c r="V101" s="21" t="n">
        <v>1</v>
      </c>
      <c r="W101" s="22" t="n">
        <v>5.4</v>
      </c>
      <c r="X101" s="16" t="s">
        <v>335</v>
      </c>
      <c r="Y101" s="16" t="s">
        <v>338</v>
      </c>
      <c r="Z101" s="16" t="s">
        <v>405</v>
      </c>
      <c r="AA101" s="16"/>
      <c r="AB101" s="23"/>
      <c r="AC101" s="17"/>
      <c r="AD101" s="16" t="s">
        <v>481</v>
      </c>
      <c r="AE101" s="16" t="s">
        <v>736</v>
      </c>
      <c r="AF101" s="16" t="str">
        <f aca="false">IF(COUNTIF(لیست_سفید!$A$2:$A$21,B101)&gt;0,"بله","خیر")</f>
        <v>خیر</v>
      </c>
      <c r="AG101" s="24" t="n">
        <f aca="false">IF(H101="","",IF(AD101="فیش مفقودی",تنظیمات!$B$6,(INT(I101/1440)*تنظیمات!$B$5+IF(MOD(I101,1440)&lt;=تنظیمات!$B$2,0,MIN(تنظیمات!$B$5,تنظیمات!$B$3+MAX(0,ROUNDUP((MOD(I101,1440)-60)/60,0))*تنظیمات!$B$4)))*INDEX(تعرفه!$B$2:$B$7,MATCH(AD101,تعرفه!$A$2:$A$7,0))))</f>
        <v>10000</v>
      </c>
      <c r="AH101" s="24" t="n">
        <v>10000</v>
      </c>
      <c r="AI101" s="24" t="n">
        <f aca="false">IF(AG101="","",AH101-AG101)</f>
        <v>0</v>
      </c>
      <c r="AJ101" s="21" t="n">
        <v>-3</v>
      </c>
      <c r="AK101" s="21" t="n">
        <v>0</v>
      </c>
      <c r="AL101" s="16" t="s">
        <v>335</v>
      </c>
      <c r="AM101" s="16"/>
      <c r="AN101" s="16" t="s">
        <v>340</v>
      </c>
      <c r="AO101" s="16" t="s">
        <v>340</v>
      </c>
      <c r="AP101" s="16" t="s">
        <v>335</v>
      </c>
      <c r="AQ101" s="16"/>
      <c r="AR101" s="21" t="n">
        <f aca="false">IF(AND(T101&lt;&gt;"",H101&lt;&gt;""),IF(AND((T101-H101)*86400&gt;=0,(T101-H101)*86400&lt;تنظیمات!$B$13),1,0),0)</f>
        <v>0</v>
      </c>
      <c r="AS101" s="21" t="n">
        <f aca="false">IF(Z101="پوز",IF(OR(AB101="",COUNTIF(پوزها!$A$2:$A$5,AA101)=0),1,0),0)</f>
        <v>0</v>
      </c>
      <c r="AT101" s="21" t="n">
        <f aca="false">IF(AI101="",0,IF(AI101&gt;0,1,0))</f>
        <v>0</v>
      </c>
      <c r="AU101" s="21" t="n">
        <f aca="false">IF(AI101="",0,IF(AI101&lt;0,1,0))</f>
        <v>0</v>
      </c>
      <c r="AV101" s="21" t="n">
        <f aca="false">IF(U101&gt;V101,1,0)</f>
        <v>0</v>
      </c>
      <c r="AW101" s="21" t="n">
        <f aca="false">IF(OR(W101&gt;تنظیمات!$B$8,X101="بله"),1,0)</f>
        <v>0</v>
      </c>
      <c r="AX101" s="21" t="n">
        <f aca="false">IF(AND(N101="بله",L101&gt;تنظیمات!$B$9),1,0)</f>
        <v>0</v>
      </c>
      <c r="AY101" s="21" t="n">
        <f aca="false">IF(Y101="معکوس",1,0)</f>
        <v>0</v>
      </c>
      <c r="AZ101" s="21" t="n">
        <f aca="false">IF(ABS(AJ101)&gt;تنظیمات!$B$10,1,0)</f>
        <v>0</v>
      </c>
      <c r="BA101" s="21" t="n">
        <f aca="false">IF(AND(OR(AD101="رایگان/VIP",AD101="جانباز"),AF101="خیر"),1,0)</f>
        <v>0</v>
      </c>
      <c r="BB101" s="21" t="n">
        <f aca="false">IF(AE101="",0,IF(COUNTIF($AE$2:$AE$1001,AE101)&gt;1,1,0))</f>
        <v>0</v>
      </c>
      <c r="BC101" s="21" t="n">
        <f aca="false">IF(AND(H101="",I101&gt;تنظیمات!$B$12*60,AM101="خالی"),1,0)</f>
        <v>0</v>
      </c>
      <c r="BD101" s="21" t="n">
        <f aca="false">IF(AND(AP101="بله",I101&lt;تنظیمات!$B$14,AO101="خیر"),1,0)</f>
        <v>0</v>
      </c>
      <c r="BE101" s="21" t="n">
        <f aca="false">IF(AN101="خیر",1,0)</f>
        <v>0</v>
      </c>
      <c r="BF101" s="21" t="n">
        <f aca="false">IF(AND(AD101="فیش مفقودی",AQ101="بله",I101&gt;تنظیمات!$B$12*60),1,0)</f>
        <v>0</v>
      </c>
      <c r="BG101" s="21" t="n">
        <f aca="false">IF(AND(AK101&gt;تنظیمات!$B$11,AL101="بله"),1,0)</f>
        <v>0</v>
      </c>
      <c r="BH101" s="21" t="n">
        <f aca="false">MIN(100,AR101*تنظیمات!$B$21+AS101*تنظیمات!$B$22+AT101*تنظیمات!$B$23+AU101*تنظیمات!$B$24+AV101*تنظیمات!$B$25+AW101*تنظیمات!$B$26+AX101*تنظیمات!$B$27+AY101*تنظیمات!$B$28+AZ101*تنظیمات!$B$29+BA101*تنظیمات!$B$30+BB101*تنظیمات!$B$31+BC101*تنظیمات!$B$32+BD101*تنظیمات!$B$33+BE101*تنظیمات!$B$34+BF101*تنظیمات!$B$35+BG101*تنظیمات!$B$36)</f>
        <v>0</v>
      </c>
      <c r="BI101" s="16" t="str">
        <f aca="false">IF(BH101&gt;=60,"بحرانی",IF(BH101&gt;=30,"مشکوک",IF(BH101&gt;0,"هشدار","عادی")))</f>
        <v>عادی</v>
      </c>
      <c r="BJ101" s="16" t="s">
        <v>338</v>
      </c>
    </row>
    <row r="102" customFormat="false" ht="15" hidden="false" customHeight="false" outlineLevel="0" collapsed="false">
      <c r="A102" s="16" t="s">
        <v>737</v>
      </c>
      <c r="B102" s="16" t="s">
        <v>343</v>
      </c>
      <c r="C102" s="16"/>
      <c r="D102" s="16" t="s">
        <v>344</v>
      </c>
      <c r="E102" s="16" t="s">
        <v>345</v>
      </c>
      <c r="F102" s="16" t="s">
        <v>333</v>
      </c>
      <c r="G102" s="17" t="n">
        <v>46282.3839814815</v>
      </c>
      <c r="H102" s="17" t="n">
        <v>46282.4950925926</v>
      </c>
      <c r="I102" s="18" t="n">
        <f aca="false">IF(H102="",ROUND((تنظیمات!$B$7-G102)*1440,0),ROUND((H102-G102)*1440,0))</f>
        <v>160</v>
      </c>
      <c r="J102" s="16" t="s">
        <v>334</v>
      </c>
      <c r="K102" s="16" t="s">
        <v>410</v>
      </c>
      <c r="L102" s="19" t="n">
        <v>0.919</v>
      </c>
      <c r="M102" s="19" t="n">
        <v>0.923</v>
      </c>
      <c r="N102" s="16" t="s">
        <v>335</v>
      </c>
      <c r="O102" s="16" t="s">
        <v>677</v>
      </c>
      <c r="P102" s="16" t="s">
        <v>402</v>
      </c>
      <c r="Q102" s="20" t="n">
        <v>46282</v>
      </c>
      <c r="R102" s="16" t="s">
        <v>738</v>
      </c>
      <c r="S102" s="16" t="s">
        <v>404</v>
      </c>
      <c r="T102" s="17"/>
      <c r="U102" s="21" t="n">
        <v>1</v>
      </c>
      <c r="V102" s="21" t="n">
        <v>1</v>
      </c>
      <c r="W102" s="22" t="n">
        <v>5.2</v>
      </c>
      <c r="X102" s="16" t="s">
        <v>335</v>
      </c>
      <c r="Y102" s="16" t="s">
        <v>338</v>
      </c>
      <c r="Z102" s="16" t="s">
        <v>405</v>
      </c>
      <c r="AA102" s="16"/>
      <c r="AB102" s="23"/>
      <c r="AC102" s="17"/>
      <c r="AD102" s="16" t="s">
        <v>338</v>
      </c>
      <c r="AE102" s="16"/>
      <c r="AF102" s="16" t="str">
        <f aca="false">IF(COUNTIF(لیست_سفید!$A$2:$A$21,B102)&gt;0,"بله","خیر")</f>
        <v>خیر</v>
      </c>
      <c r="AG102" s="24" t="n">
        <f aca="false">IF(H102="","",IF(AD102="فیش مفقودی",تنظیمات!$B$6,(INT(I102/1440)*تنظیمات!$B$5+IF(MOD(I102,1440)&lt;=تنظیمات!$B$2,0,MIN(تنظیمات!$B$5,تنظیمات!$B$3+MAX(0,ROUNDUP((MOD(I102,1440)-60)/60,0))*تنظیمات!$B$4)))*INDEX(تعرفه!$B$2:$B$7,MATCH(AD102,تعرفه!$A$2:$A$7,0))))</f>
        <v>48000</v>
      </c>
      <c r="AH102" s="24" t="n">
        <v>48000</v>
      </c>
      <c r="AI102" s="24" t="n">
        <f aca="false">IF(AG102="","",AH102-AG102)</f>
        <v>0</v>
      </c>
      <c r="AJ102" s="21" t="n">
        <v>0</v>
      </c>
      <c r="AK102" s="21" t="n">
        <v>0</v>
      </c>
      <c r="AL102" s="16" t="s">
        <v>335</v>
      </c>
      <c r="AM102" s="16"/>
      <c r="AN102" s="16" t="s">
        <v>340</v>
      </c>
      <c r="AO102" s="16" t="s">
        <v>340</v>
      </c>
      <c r="AP102" s="16" t="s">
        <v>335</v>
      </c>
      <c r="AQ102" s="16"/>
      <c r="AR102" s="21" t="n">
        <f aca="false">IF(AND(T102&lt;&gt;"",H102&lt;&gt;""),IF(AND((T102-H102)*86400&gt;=0,(T102-H102)*86400&lt;تنظیمات!$B$13),1,0),0)</f>
        <v>0</v>
      </c>
      <c r="AS102" s="21" t="n">
        <f aca="false">IF(Z102="پوز",IF(OR(AB102="",COUNTIF(پوزها!$A$2:$A$5,AA102)=0),1,0),0)</f>
        <v>0</v>
      </c>
      <c r="AT102" s="21" t="n">
        <f aca="false">IF(AI102="",0,IF(AI102&gt;0,1,0))</f>
        <v>0</v>
      </c>
      <c r="AU102" s="21" t="n">
        <f aca="false">IF(AI102="",0,IF(AI102&lt;0,1,0))</f>
        <v>0</v>
      </c>
      <c r="AV102" s="21" t="n">
        <f aca="false">IF(U102&gt;V102,1,0)</f>
        <v>0</v>
      </c>
      <c r="AW102" s="21" t="n">
        <f aca="false">IF(OR(W102&gt;تنظیمات!$B$8,X102="بله"),1,0)</f>
        <v>0</v>
      </c>
      <c r="AX102" s="21" t="n">
        <f aca="false">IF(AND(N102="بله",L102&gt;تنظیمات!$B$9),1,0)</f>
        <v>0</v>
      </c>
      <c r="AY102" s="21" t="n">
        <f aca="false">IF(Y102="معکوس",1,0)</f>
        <v>0</v>
      </c>
      <c r="AZ102" s="21" t="n">
        <f aca="false">IF(ABS(AJ102)&gt;تنظیمات!$B$10,1,0)</f>
        <v>0</v>
      </c>
      <c r="BA102" s="21" t="n">
        <f aca="false">IF(AND(OR(AD102="رایگان/VIP",AD102="جانباز"),AF102="خیر"),1,0)</f>
        <v>0</v>
      </c>
      <c r="BB102" s="21" t="n">
        <f aca="false">IF(AE102="",0,IF(COUNTIF($AE$2:$AE$1001,AE102)&gt;1,1,0))</f>
        <v>0</v>
      </c>
      <c r="BC102" s="21" t="n">
        <f aca="false">IF(AND(H102="",I102&gt;تنظیمات!$B$12*60,AM102="خالی"),1,0)</f>
        <v>0</v>
      </c>
      <c r="BD102" s="21" t="n">
        <f aca="false">IF(AND(AP102="بله",I102&lt;تنظیمات!$B$14,AO102="خیر"),1,0)</f>
        <v>0</v>
      </c>
      <c r="BE102" s="21" t="n">
        <f aca="false">IF(AN102="خیر",1,0)</f>
        <v>0</v>
      </c>
      <c r="BF102" s="21" t="n">
        <f aca="false">IF(AND(AD102="فیش مفقودی",AQ102="بله",I102&gt;تنظیمات!$B$12*60),1,0)</f>
        <v>0</v>
      </c>
      <c r="BG102" s="21" t="n">
        <f aca="false">IF(AND(AK102&gt;تنظیمات!$B$11,AL102="بله"),1,0)</f>
        <v>0</v>
      </c>
      <c r="BH102" s="21" t="n">
        <f aca="false">MIN(100,AR102*تنظیمات!$B$21+AS102*تنظیمات!$B$22+AT102*تنظیمات!$B$23+AU102*تنظیمات!$B$24+AV102*تنظیمات!$B$25+AW102*تنظیمات!$B$26+AX102*تنظیمات!$B$27+AY102*تنظیمات!$B$28+AZ102*تنظیمات!$B$29+BA102*تنظیمات!$B$30+BB102*تنظیمات!$B$31+BC102*تنظیمات!$B$32+BD102*تنظیمات!$B$33+BE102*تنظیمات!$B$34+BF102*تنظیمات!$B$35+BG102*تنظیمات!$B$36)</f>
        <v>0</v>
      </c>
      <c r="BI102" s="16" t="str">
        <f aca="false">IF(BH102&gt;=60,"بحرانی",IF(BH102&gt;=30,"مشکوک",IF(BH102&gt;0,"هشدار","عادی")))</f>
        <v>عادی</v>
      </c>
      <c r="BJ102" s="16" t="s">
        <v>338</v>
      </c>
    </row>
    <row r="103" customFormat="false" ht="15" hidden="false" customHeight="false" outlineLevel="0" collapsed="false">
      <c r="A103" s="16" t="s">
        <v>739</v>
      </c>
      <c r="B103" s="16" t="s">
        <v>740</v>
      </c>
      <c r="C103" s="16"/>
      <c r="D103" s="16" t="s">
        <v>431</v>
      </c>
      <c r="E103" s="16" t="s">
        <v>351</v>
      </c>
      <c r="F103" s="16" t="s">
        <v>333</v>
      </c>
      <c r="G103" s="17" t="n">
        <v>46282.3901273148</v>
      </c>
      <c r="H103" s="17" t="n">
        <v>46282.5359606482</v>
      </c>
      <c r="I103" s="18" t="n">
        <f aca="false">IF(H103="",ROUND((تنظیمات!$B$7-G103)*1440,0),ROUND((H103-G103)*1440,0))</f>
        <v>210</v>
      </c>
      <c r="J103" s="16" t="s">
        <v>334</v>
      </c>
      <c r="K103" s="16" t="s">
        <v>410</v>
      </c>
      <c r="L103" s="19" t="n">
        <v>0.933</v>
      </c>
      <c r="M103" s="19" t="n">
        <v>0.948</v>
      </c>
      <c r="N103" s="16" t="s">
        <v>335</v>
      </c>
      <c r="O103" s="16" t="s">
        <v>677</v>
      </c>
      <c r="P103" s="16" t="s">
        <v>402</v>
      </c>
      <c r="Q103" s="20" t="n">
        <v>46282</v>
      </c>
      <c r="R103" s="16" t="s">
        <v>741</v>
      </c>
      <c r="S103" s="16" t="s">
        <v>404</v>
      </c>
      <c r="T103" s="17"/>
      <c r="U103" s="21" t="n">
        <v>1</v>
      </c>
      <c r="V103" s="21" t="n">
        <v>1</v>
      </c>
      <c r="W103" s="22" t="n">
        <v>7.6</v>
      </c>
      <c r="X103" s="16" t="s">
        <v>335</v>
      </c>
      <c r="Y103" s="16" t="s">
        <v>338</v>
      </c>
      <c r="Z103" s="16" t="s">
        <v>405</v>
      </c>
      <c r="AA103" s="16"/>
      <c r="AB103" s="23"/>
      <c r="AC103" s="17"/>
      <c r="AD103" s="16" t="s">
        <v>338</v>
      </c>
      <c r="AE103" s="16"/>
      <c r="AF103" s="16" t="str">
        <f aca="false">IF(COUNTIF(لیست_سفید!$A$2:$A$21,B103)&gt;0,"بله","خیر")</f>
        <v>خیر</v>
      </c>
      <c r="AG103" s="24" t="n">
        <f aca="false">IF(H103="","",IF(AD103="فیش مفقودی",تنظیمات!$B$6,(INT(I103/1440)*تنظیمات!$B$5+IF(MOD(I103,1440)&lt;=تنظیمات!$B$2,0,MIN(تنظیمات!$B$5,تنظیمات!$B$3+MAX(0,ROUNDUP((MOD(I103,1440)-60)/60,0))*تنظیمات!$B$4)))*INDEX(تعرفه!$B$2:$B$7,MATCH(AD103,تعرفه!$A$2:$A$7,0))))</f>
        <v>62000</v>
      </c>
      <c r="AH103" s="24" t="n">
        <v>62000</v>
      </c>
      <c r="AI103" s="24" t="n">
        <f aca="false">IF(AG103="","",AH103-AG103)</f>
        <v>0</v>
      </c>
      <c r="AJ103" s="21" t="n">
        <v>0</v>
      </c>
      <c r="AK103" s="21" t="n">
        <v>0</v>
      </c>
      <c r="AL103" s="16" t="s">
        <v>335</v>
      </c>
      <c r="AM103" s="16"/>
      <c r="AN103" s="16" t="s">
        <v>340</v>
      </c>
      <c r="AO103" s="16" t="s">
        <v>340</v>
      </c>
      <c r="AP103" s="16" t="s">
        <v>335</v>
      </c>
      <c r="AQ103" s="16"/>
      <c r="AR103" s="21" t="n">
        <f aca="false">IF(AND(T103&lt;&gt;"",H103&lt;&gt;""),IF(AND((T103-H103)*86400&gt;=0,(T103-H103)*86400&lt;تنظیمات!$B$13),1,0),0)</f>
        <v>0</v>
      </c>
      <c r="AS103" s="21" t="n">
        <f aca="false">IF(Z103="پوز",IF(OR(AB103="",COUNTIF(پوزها!$A$2:$A$5,AA103)=0),1,0),0)</f>
        <v>0</v>
      </c>
      <c r="AT103" s="21" t="n">
        <f aca="false">IF(AI103="",0,IF(AI103&gt;0,1,0))</f>
        <v>0</v>
      </c>
      <c r="AU103" s="21" t="n">
        <f aca="false">IF(AI103="",0,IF(AI103&lt;0,1,0))</f>
        <v>0</v>
      </c>
      <c r="AV103" s="21" t="n">
        <f aca="false">IF(U103&gt;V103,1,0)</f>
        <v>0</v>
      </c>
      <c r="AW103" s="21" t="n">
        <f aca="false">IF(OR(W103&gt;تنظیمات!$B$8,X103="بله"),1,0)</f>
        <v>0</v>
      </c>
      <c r="AX103" s="21" t="n">
        <f aca="false">IF(AND(N103="بله",L103&gt;تنظیمات!$B$9),1,0)</f>
        <v>0</v>
      </c>
      <c r="AY103" s="21" t="n">
        <f aca="false">IF(Y103="معکوس",1,0)</f>
        <v>0</v>
      </c>
      <c r="AZ103" s="21" t="n">
        <f aca="false">IF(ABS(AJ103)&gt;تنظیمات!$B$10,1,0)</f>
        <v>0</v>
      </c>
      <c r="BA103" s="21" t="n">
        <f aca="false">IF(AND(OR(AD103="رایگان/VIP",AD103="جانباز"),AF103="خیر"),1,0)</f>
        <v>0</v>
      </c>
      <c r="BB103" s="21" t="n">
        <f aca="false">IF(AE103="",0,IF(COUNTIF($AE$2:$AE$1001,AE103)&gt;1,1,0))</f>
        <v>0</v>
      </c>
      <c r="BC103" s="21" t="n">
        <f aca="false">IF(AND(H103="",I103&gt;تنظیمات!$B$12*60,AM103="خالی"),1,0)</f>
        <v>0</v>
      </c>
      <c r="BD103" s="21" t="n">
        <f aca="false">IF(AND(AP103="بله",I103&lt;تنظیمات!$B$14,AO103="خیر"),1,0)</f>
        <v>0</v>
      </c>
      <c r="BE103" s="21" t="n">
        <f aca="false">IF(AN103="خیر",1,0)</f>
        <v>0</v>
      </c>
      <c r="BF103" s="21" t="n">
        <f aca="false">IF(AND(AD103="فیش مفقودی",AQ103="بله",I103&gt;تنظیمات!$B$12*60),1,0)</f>
        <v>0</v>
      </c>
      <c r="BG103" s="21" t="n">
        <f aca="false">IF(AND(AK103&gt;تنظیمات!$B$11,AL103="بله"),1,0)</f>
        <v>0</v>
      </c>
      <c r="BH103" s="21" t="n">
        <f aca="false">MIN(100,AR103*تنظیمات!$B$21+AS103*تنظیمات!$B$22+AT103*تنظیمات!$B$23+AU103*تنظیمات!$B$24+AV103*تنظیمات!$B$25+AW103*تنظیمات!$B$26+AX103*تنظیمات!$B$27+AY103*تنظیمات!$B$28+AZ103*تنظیمات!$B$29+BA103*تنظیمات!$B$30+BB103*تنظیمات!$B$31+BC103*تنظیمات!$B$32+BD103*تنظیمات!$B$33+BE103*تنظیمات!$B$34+BF103*تنظیمات!$B$35+BG103*تنظیمات!$B$36)</f>
        <v>0</v>
      </c>
      <c r="BI103" s="16" t="str">
        <f aca="false">IF(BH103&gt;=60,"بحرانی",IF(BH103&gt;=30,"مشکوک",IF(BH103&gt;0,"هشدار","عادی")))</f>
        <v>عادی</v>
      </c>
      <c r="BJ103" s="16" t="s">
        <v>338</v>
      </c>
    </row>
    <row r="104" customFormat="false" ht="15" hidden="false" customHeight="false" outlineLevel="0" collapsed="false">
      <c r="A104" s="16" t="s">
        <v>742</v>
      </c>
      <c r="B104" s="16" t="s">
        <v>743</v>
      </c>
      <c r="C104" s="16"/>
      <c r="D104" s="16" t="s">
        <v>386</v>
      </c>
      <c r="E104" s="16" t="s">
        <v>332</v>
      </c>
      <c r="F104" s="16" t="s">
        <v>333</v>
      </c>
      <c r="G104" s="17" t="n">
        <v>46282.3962615741</v>
      </c>
      <c r="H104" s="17" t="n">
        <v>46282.428900463</v>
      </c>
      <c r="I104" s="18" t="n">
        <f aca="false">IF(H104="",ROUND((تنظیمات!$B$7-G104)*1440,0),ROUND((H104-G104)*1440,0))</f>
        <v>47</v>
      </c>
      <c r="J104" s="16" t="s">
        <v>346</v>
      </c>
      <c r="K104" s="16" t="s">
        <v>400</v>
      </c>
      <c r="L104" s="19" t="n">
        <v>0.98</v>
      </c>
      <c r="M104" s="19" t="n">
        <v>0.984</v>
      </c>
      <c r="N104" s="16" t="s">
        <v>335</v>
      </c>
      <c r="O104" s="16" t="s">
        <v>666</v>
      </c>
      <c r="P104" s="16" t="s">
        <v>402</v>
      </c>
      <c r="Q104" s="20" t="n">
        <v>46282</v>
      </c>
      <c r="R104" s="16" t="s">
        <v>744</v>
      </c>
      <c r="S104" s="16" t="s">
        <v>404</v>
      </c>
      <c r="T104" s="17"/>
      <c r="U104" s="21" t="n">
        <v>1</v>
      </c>
      <c r="V104" s="21" t="n">
        <v>1</v>
      </c>
      <c r="W104" s="22" t="n">
        <v>5.5</v>
      </c>
      <c r="X104" s="16" t="s">
        <v>335</v>
      </c>
      <c r="Y104" s="16" t="s">
        <v>338</v>
      </c>
      <c r="Z104" s="16" t="s">
        <v>465</v>
      </c>
      <c r="AA104" s="16"/>
      <c r="AB104" s="23"/>
      <c r="AC104" s="17"/>
      <c r="AD104" s="16" t="s">
        <v>602</v>
      </c>
      <c r="AE104" s="16"/>
      <c r="AF104" s="16" t="str">
        <f aca="false">IF(COUNTIF(لیست_سفید!$A$2:$A$21,B104)&gt;0,"بله","خیر")</f>
        <v>خیر</v>
      </c>
      <c r="AG104" s="24" t="n">
        <f aca="false">IF(H104="","",IF(AD104="فیش مفقودی",تنظیمات!$B$6,(INT(I104/1440)*تنظیمات!$B$5+IF(MOD(I104,1440)&lt;=تنظیمات!$B$2,0,MIN(تنظیمات!$B$5,تنظیمات!$B$3+MAX(0,ROUNDUP((MOD(I104,1440)-60)/60,0))*تنظیمات!$B$4)))*INDEX(تعرفه!$B$2:$B$7,MATCH(AD104,تعرفه!$A$2:$A$7,0))))</f>
        <v>0</v>
      </c>
      <c r="AH104" s="24" t="n">
        <v>0</v>
      </c>
      <c r="AI104" s="24" t="n">
        <f aca="false">IF(AG104="","",AH104-AG104)</f>
        <v>0</v>
      </c>
      <c r="AJ104" s="21" t="n">
        <v>-1</v>
      </c>
      <c r="AK104" s="21" t="n">
        <v>0</v>
      </c>
      <c r="AL104" s="16" t="s">
        <v>335</v>
      </c>
      <c r="AM104" s="16"/>
      <c r="AN104" s="16" t="s">
        <v>340</v>
      </c>
      <c r="AO104" s="16" t="s">
        <v>340</v>
      </c>
      <c r="AP104" s="16" t="s">
        <v>335</v>
      </c>
      <c r="AQ104" s="16"/>
      <c r="AR104" s="21" t="n">
        <f aca="false">IF(AND(T104&lt;&gt;"",H104&lt;&gt;""),IF(AND((T104-H104)*86400&gt;=0,(T104-H104)*86400&lt;تنظیمات!$B$13),1,0),0)</f>
        <v>0</v>
      </c>
      <c r="AS104" s="21" t="n">
        <f aca="false">IF(Z104="پوز",IF(OR(AB104="",COUNTIF(پوزها!$A$2:$A$5,AA104)=0),1,0),0)</f>
        <v>0</v>
      </c>
      <c r="AT104" s="21" t="n">
        <f aca="false">IF(AI104="",0,IF(AI104&gt;0,1,0))</f>
        <v>0</v>
      </c>
      <c r="AU104" s="21" t="n">
        <f aca="false">IF(AI104="",0,IF(AI104&lt;0,1,0))</f>
        <v>0</v>
      </c>
      <c r="AV104" s="21" t="n">
        <f aca="false">IF(U104&gt;V104,1,0)</f>
        <v>0</v>
      </c>
      <c r="AW104" s="21" t="n">
        <f aca="false">IF(OR(W104&gt;تنظیمات!$B$8,X104="بله"),1,0)</f>
        <v>0</v>
      </c>
      <c r="AX104" s="21" t="n">
        <f aca="false">IF(AND(N104="بله",L104&gt;تنظیمات!$B$9),1,0)</f>
        <v>0</v>
      </c>
      <c r="AY104" s="21" t="n">
        <f aca="false">IF(Y104="معکوس",1,0)</f>
        <v>0</v>
      </c>
      <c r="AZ104" s="21" t="n">
        <f aca="false">IF(ABS(AJ104)&gt;تنظیمات!$B$10,1,0)</f>
        <v>0</v>
      </c>
      <c r="BA104" s="21" t="n">
        <f aca="false">IF(AND(OR(AD104="رایگان/VIP",AD104="جانباز"),AF104="خیر"),1,0)</f>
        <v>1</v>
      </c>
      <c r="BB104" s="21" t="n">
        <f aca="false">IF(AE104="",0,IF(COUNTIF($AE$2:$AE$1001,AE104)&gt;1,1,0))</f>
        <v>0</v>
      </c>
      <c r="BC104" s="21" t="n">
        <f aca="false">IF(AND(H104="",I104&gt;تنظیمات!$B$12*60,AM104="خالی"),1,0)</f>
        <v>0</v>
      </c>
      <c r="BD104" s="21" t="n">
        <f aca="false">IF(AND(AP104="بله",I104&lt;تنظیمات!$B$14,AO104="خیر"),1,0)</f>
        <v>0</v>
      </c>
      <c r="BE104" s="21" t="n">
        <f aca="false">IF(AN104="خیر",1,0)</f>
        <v>0</v>
      </c>
      <c r="BF104" s="21" t="n">
        <f aca="false">IF(AND(AD104="فیش مفقودی",AQ104="بله",I104&gt;تنظیمات!$B$12*60),1,0)</f>
        <v>0</v>
      </c>
      <c r="BG104" s="21" t="n">
        <f aca="false">IF(AND(AK104&gt;تنظیمات!$B$11,AL104="بله"),1,0)</f>
        <v>0</v>
      </c>
      <c r="BH104" s="21" t="n">
        <f aca="false">MIN(100,AR104*تنظیمات!$B$21+AS104*تنظیمات!$B$22+AT104*تنظیمات!$B$23+AU104*تنظیمات!$B$24+AV104*تنظیمات!$B$25+AW104*تنظیمات!$B$26+AX104*تنظیمات!$B$27+AY104*تنظیمات!$B$28+AZ104*تنظیمات!$B$29+BA104*تنظیمات!$B$30+BB104*تنظیمات!$B$31+BC104*تنظیمات!$B$32+BD104*تنظیمات!$B$33+BE104*تنظیمات!$B$34+BF104*تنظیمات!$B$35+BG104*تنظیمات!$B$36)</f>
        <v>35</v>
      </c>
      <c r="BI104" s="16" t="str">
        <f aca="false">IF(BH104&gt;=60,"بحرانی",IF(BH104&gt;=30,"مشکوک",IF(BH104&gt;0,"هشدار","عادی")))</f>
        <v>مشکوک</v>
      </c>
      <c r="BJ104" s="16" t="s">
        <v>745</v>
      </c>
    </row>
    <row r="105" customFormat="false" ht="15" hidden="false" customHeight="false" outlineLevel="0" collapsed="false">
      <c r="A105" s="16" t="s">
        <v>746</v>
      </c>
      <c r="B105" s="16" t="s">
        <v>747</v>
      </c>
      <c r="C105" s="16"/>
      <c r="D105" s="16" t="s">
        <v>350</v>
      </c>
      <c r="E105" s="16" t="s">
        <v>375</v>
      </c>
      <c r="F105" s="16" t="s">
        <v>333</v>
      </c>
      <c r="G105" s="17" t="n">
        <v>46282.4323611111</v>
      </c>
      <c r="H105" s="17" t="n">
        <v>46282.5733333333</v>
      </c>
      <c r="I105" s="18" t="n">
        <f aca="false">IF(H105="",ROUND((تنظیمات!$B$7-G105)*1440,0),ROUND((H105-G105)*1440,0))</f>
        <v>203</v>
      </c>
      <c r="J105" s="16" t="s">
        <v>334</v>
      </c>
      <c r="K105" s="16" t="s">
        <v>400</v>
      </c>
      <c r="L105" s="19" t="n">
        <v>0.91</v>
      </c>
      <c r="M105" s="19" t="n">
        <v>0.928</v>
      </c>
      <c r="N105" s="16" t="s">
        <v>335</v>
      </c>
      <c r="O105" s="16" t="s">
        <v>666</v>
      </c>
      <c r="P105" s="16" t="s">
        <v>402</v>
      </c>
      <c r="Q105" s="20" t="n">
        <v>46282</v>
      </c>
      <c r="R105" s="16" t="s">
        <v>748</v>
      </c>
      <c r="S105" s="16" t="s">
        <v>404</v>
      </c>
      <c r="T105" s="17"/>
      <c r="U105" s="21" t="n">
        <v>1</v>
      </c>
      <c r="V105" s="21" t="n">
        <v>1</v>
      </c>
      <c r="W105" s="22" t="n">
        <v>16.4</v>
      </c>
      <c r="X105" s="16" t="s">
        <v>335</v>
      </c>
      <c r="Y105" s="16" t="s">
        <v>338</v>
      </c>
      <c r="Z105" s="16" t="s">
        <v>405</v>
      </c>
      <c r="AA105" s="16"/>
      <c r="AB105" s="23"/>
      <c r="AC105" s="17"/>
      <c r="AD105" s="16" t="s">
        <v>338</v>
      </c>
      <c r="AE105" s="16"/>
      <c r="AF105" s="16" t="str">
        <f aca="false">IF(COUNTIF(لیست_سفید!$A$2:$A$21,B105)&gt;0,"بله","خیر")</f>
        <v>خیر</v>
      </c>
      <c r="AG105" s="24" t="n">
        <f aca="false">IF(H105="","",IF(AD105="فیش مفقودی",تنظیمات!$B$6,(INT(I105/1440)*تنظیمات!$B$5+IF(MOD(I105,1440)&lt;=تنظیمات!$B$2,0,MIN(تنظیمات!$B$5,تنظیمات!$B$3+MAX(0,ROUNDUP((MOD(I105,1440)-60)/60,0))*تنظیمات!$B$4)))*INDEX(تعرفه!$B$2:$B$7,MATCH(AD105,تعرفه!$A$2:$A$7,0))))</f>
        <v>62000</v>
      </c>
      <c r="AH105" s="24" t="n">
        <v>62000</v>
      </c>
      <c r="AI105" s="24" t="n">
        <f aca="false">IF(AG105="","",AH105-AG105)</f>
        <v>0</v>
      </c>
      <c r="AJ105" s="21" t="n">
        <v>0</v>
      </c>
      <c r="AK105" s="21" t="n">
        <v>0</v>
      </c>
      <c r="AL105" s="16" t="s">
        <v>335</v>
      </c>
      <c r="AM105" s="16"/>
      <c r="AN105" s="16" t="s">
        <v>340</v>
      </c>
      <c r="AO105" s="16" t="s">
        <v>340</v>
      </c>
      <c r="AP105" s="16" t="s">
        <v>335</v>
      </c>
      <c r="AQ105" s="16"/>
      <c r="AR105" s="21" t="n">
        <f aca="false">IF(AND(T105&lt;&gt;"",H105&lt;&gt;""),IF(AND((T105-H105)*86400&gt;=0,(T105-H105)*86400&lt;تنظیمات!$B$13),1,0),0)</f>
        <v>0</v>
      </c>
      <c r="AS105" s="21" t="n">
        <f aca="false">IF(Z105="پوز",IF(OR(AB105="",COUNTIF(پوزها!$A$2:$A$5,AA105)=0),1,0),0)</f>
        <v>0</v>
      </c>
      <c r="AT105" s="21" t="n">
        <f aca="false">IF(AI105="",0,IF(AI105&gt;0,1,0))</f>
        <v>0</v>
      </c>
      <c r="AU105" s="21" t="n">
        <f aca="false">IF(AI105="",0,IF(AI105&lt;0,1,0))</f>
        <v>0</v>
      </c>
      <c r="AV105" s="21" t="n">
        <f aca="false">IF(U105&gt;V105,1,0)</f>
        <v>0</v>
      </c>
      <c r="AW105" s="21" t="n">
        <f aca="false">IF(OR(W105&gt;تنظیمات!$B$8,X105="بله"),1,0)</f>
        <v>1</v>
      </c>
      <c r="AX105" s="21" t="n">
        <f aca="false">IF(AND(N105="بله",L105&gt;تنظیمات!$B$9),1,0)</f>
        <v>0</v>
      </c>
      <c r="AY105" s="21" t="n">
        <f aca="false">IF(Y105="معکوس",1,0)</f>
        <v>0</v>
      </c>
      <c r="AZ105" s="21" t="n">
        <f aca="false">IF(ABS(AJ105)&gt;تنظیمات!$B$10,1,0)</f>
        <v>0</v>
      </c>
      <c r="BA105" s="21" t="n">
        <f aca="false">IF(AND(OR(AD105="رایگان/VIP",AD105="جانباز"),AF105="خیر"),1,0)</f>
        <v>0</v>
      </c>
      <c r="BB105" s="21" t="n">
        <f aca="false">IF(AE105="",0,IF(COUNTIF($AE$2:$AE$1001,AE105)&gt;1,1,0))</f>
        <v>0</v>
      </c>
      <c r="BC105" s="21" t="n">
        <f aca="false">IF(AND(H105="",I105&gt;تنظیمات!$B$12*60,AM105="خالی"),1,0)</f>
        <v>0</v>
      </c>
      <c r="BD105" s="21" t="n">
        <f aca="false">IF(AND(AP105="بله",I105&lt;تنظیمات!$B$14,AO105="خیر"),1,0)</f>
        <v>0</v>
      </c>
      <c r="BE105" s="21" t="n">
        <f aca="false">IF(AN105="خیر",1,0)</f>
        <v>0</v>
      </c>
      <c r="BF105" s="21" t="n">
        <f aca="false">IF(AND(AD105="فیش مفقودی",AQ105="بله",I105&gt;تنظیمات!$B$12*60),1,0)</f>
        <v>0</v>
      </c>
      <c r="BG105" s="21" t="n">
        <f aca="false">IF(AND(AK105&gt;تنظیمات!$B$11,AL105="بله"),1,0)</f>
        <v>0</v>
      </c>
      <c r="BH105" s="21" t="n">
        <f aca="false">MIN(100,AR105*تنظیمات!$B$21+AS105*تنظیمات!$B$22+AT105*تنظیمات!$B$23+AU105*تنظیمات!$B$24+AV105*تنظیمات!$B$25+AW105*تنظیمات!$B$26+AX105*تنظیمات!$B$27+AY105*تنظیمات!$B$28+AZ105*تنظیمات!$B$29+BA105*تنظیمات!$B$30+BB105*تنظیمات!$B$31+BC105*تنظیمات!$B$32+BD105*تنظیمات!$B$33+BE105*تنظیمات!$B$34+BF105*تنظیمات!$B$35+BG105*تنظیمات!$B$36)</f>
        <v>25</v>
      </c>
      <c r="BI105" s="16" t="str">
        <f aca="false">IF(BH105&gt;=60,"بحرانی",IF(BH105&gt;=30,"مشکوک",IF(BH105&gt;0,"هشدار","عادی")))</f>
        <v>هشدار</v>
      </c>
      <c r="BJ105" s="16" t="s">
        <v>211</v>
      </c>
    </row>
    <row r="106" customFormat="false" ht="15" hidden="false" customHeight="false" outlineLevel="0" collapsed="false">
      <c r="A106" s="16" t="s">
        <v>749</v>
      </c>
      <c r="B106" s="16" t="s">
        <v>594</v>
      </c>
      <c r="C106" s="16"/>
      <c r="D106" s="16" t="s">
        <v>431</v>
      </c>
      <c r="E106" s="16" t="s">
        <v>375</v>
      </c>
      <c r="F106" s="16" t="s">
        <v>333</v>
      </c>
      <c r="G106" s="17" t="n">
        <v>46282.4347569444</v>
      </c>
      <c r="H106" s="17" t="n">
        <v>46282.4618402778</v>
      </c>
      <c r="I106" s="18" t="n">
        <f aca="false">IF(H106="",ROUND((تنظیمات!$B$7-G106)*1440,0),ROUND((H106-G106)*1440,0))</f>
        <v>39</v>
      </c>
      <c r="J106" s="16" t="s">
        <v>334</v>
      </c>
      <c r="K106" s="16" t="s">
        <v>410</v>
      </c>
      <c r="L106" s="19" t="n">
        <v>0.995</v>
      </c>
      <c r="M106" s="19" t="n">
        <v>0.972</v>
      </c>
      <c r="N106" s="16" t="s">
        <v>335</v>
      </c>
      <c r="O106" s="16" t="s">
        <v>677</v>
      </c>
      <c r="P106" s="16" t="s">
        <v>402</v>
      </c>
      <c r="Q106" s="20" t="n">
        <v>46282</v>
      </c>
      <c r="R106" s="16" t="s">
        <v>750</v>
      </c>
      <c r="S106" s="16" t="s">
        <v>404</v>
      </c>
      <c r="T106" s="17"/>
      <c r="U106" s="21" t="n">
        <v>1</v>
      </c>
      <c r="V106" s="21" t="n">
        <v>1</v>
      </c>
      <c r="W106" s="22" t="n">
        <v>29.6</v>
      </c>
      <c r="X106" s="16" t="s">
        <v>340</v>
      </c>
      <c r="Y106" s="16" t="s">
        <v>338</v>
      </c>
      <c r="Z106" s="16" t="s">
        <v>413</v>
      </c>
      <c r="AA106" s="16" t="s">
        <v>414</v>
      </c>
      <c r="AB106" s="23" t="s">
        <v>751</v>
      </c>
      <c r="AC106" s="17" t="n">
        <v>46282.461400463</v>
      </c>
      <c r="AD106" s="16" t="s">
        <v>338</v>
      </c>
      <c r="AE106" s="16"/>
      <c r="AF106" s="16" t="str">
        <f aca="false">IF(COUNTIF(لیست_سفید!$A$2:$A$21,B106)&gt;0,"بله","خیر")</f>
        <v>خیر</v>
      </c>
      <c r="AG106" s="24" t="n">
        <f aca="false">IF(H106="","",IF(AD106="فیش مفقودی",تنظیمات!$B$6,(INT(I106/1440)*تنظیمات!$B$5+IF(MOD(I106,1440)&lt;=تنظیمات!$B$2,0,MIN(تنظیمات!$B$5,تنظیمات!$B$3+MAX(0,ROUNDUP((MOD(I106,1440)-60)/60,0))*تنظیمات!$B$4)))*INDEX(تعرفه!$B$2:$B$7,MATCH(AD106,تعرفه!$A$2:$A$7,0))))</f>
        <v>20000</v>
      </c>
      <c r="AH106" s="24" t="n">
        <v>20000</v>
      </c>
      <c r="AI106" s="24" t="n">
        <f aca="false">IF(AG106="","",AH106-AG106)</f>
        <v>0</v>
      </c>
      <c r="AJ106" s="21" t="n">
        <v>-2</v>
      </c>
      <c r="AK106" s="21" t="n">
        <v>0</v>
      </c>
      <c r="AL106" s="16" t="s">
        <v>335</v>
      </c>
      <c r="AM106" s="16"/>
      <c r="AN106" s="16" t="s">
        <v>340</v>
      </c>
      <c r="AO106" s="16" t="s">
        <v>340</v>
      </c>
      <c r="AP106" s="16" t="s">
        <v>335</v>
      </c>
      <c r="AQ106" s="16"/>
      <c r="AR106" s="21" t="n">
        <f aca="false">IF(AND(T106&lt;&gt;"",H106&lt;&gt;""),IF(AND((T106-H106)*86400&gt;=0,(T106-H106)*86400&lt;تنظیمات!$B$13),1,0),0)</f>
        <v>0</v>
      </c>
      <c r="AS106" s="21" t="n">
        <f aca="false">IF(Z106="پوز",IF(OR(AB106="",COUNTIF(پوزها!$A$2:$A$5,AA106)=0),1,0),0)</f>
        <v>0</v>
      </c>
      <c r="AT106" s="21" t="n">
        <f aca="false">IF(AI106="",0,IF(AI106&gt;0,1,0))</f>
        <v>0</v>
      </c>
      <c r="AU106" s="21" t="n">
        <f aca="false">IF(AI106="",0,IF(AI106&lt;0,1,0))</f>
        <v>0</v>
      </c>
      <c r="AV106" s="21" t="n">
        <f aca="false">IF(U106&gt;V106,1,0)</f>
        <v>0</v>
      </c>
      <c r="AW106" s="21" t="n">
        <f aca="false">IF(OR(W106&gt;تنظیمات!$B$8,X106="بله"),1,0)</f>
        <v>1</v>
      </c>
      <c r="AX106" s="21" t="n">
        <f aca="false">IF(AND(N106="بله",L106&gt;تنظیمات!$B$9),1,0)</f>
        <v>0</v>
      </c>
      <c r="AY106" s="21" t="n">
        <f aca="false">IF(Y106="معکوس",1,0)</f>
        <v>0</v>
      </c>
      <c r="AZ106" s="21" t="n">
        <f aca="false">IF(ABS(AJ106)&gt;تنظیمات!$B$10,1,0)</f>
        <v>0</v>
      </c>
      <c r="BA106" s="21" t="n">
        <f aca="false">IF(AND(OR(AD106="رایگان/VIP",AD106="جانباز"),AF106="خیر"),1,0)</f>
        <v>0</v>
      </c>
      <c r="BB106" s="21" t="n">
        <f aca="false">IF(AE106="",0,IF(COUNTIF($AE$2:$AE$1001,AE106)&gt;1,1,0))</f>
        <v>0</v>
      </c>
      <c r="BC106" s="21" t="n">
        <f aca="false">IF(AND(H106="",I106&gt;تنظیمات!$B$12*60,AM106="خالی"),1,0)</f>
        <v>0</v>
      </c>
      <c r="BD106" s="21" t="n">
        <f aca="false">IF(AND(AP106="بله",I106&lt;تنظیمات!$B$14,AO106="خیر"),1,0)</f>
        <v>0</v>
      </c>
      <c r="BE106" s="21" t="n">
        <f aca="false">IF(AN106="خیر",1,0)</f>
        <v>0</v>
      </c>
      <c r="BF106" s="21" t="n">
        <f aca="false">IF(AND(AD106="فیش مفقودی",AQ106="بله",I106&gt;تنظیمات!$B$12*60),1,0)</f>
        <v>0</v>
      </c>
      <c r="BG106" s="21" t="n">
        <f aca="false">IF(AND(AK106&gt;تنظیمات!$B$11,AL106="بله"),1,0)</f>
        <v>0</v>
      </c>
      <c r="BH106" s="21" t="n">
        <f aca="false">MIN(100,AR106*تنظیمات!$B$21+AS106*تنظیمات!$B$22+AT106*تنظیمات!$B$23+AU106*تنظیمات!$B$24+AV106*تنظیمات!$B$25+AW106*تنظیمات!$B$26+AX106*تنظیمات!$B$27+AY106*تنظیمات!$B$28+AZ106*تنظیمات!$B$29+BA106*تنظیمات!$B$30+BB106*تنظیمات!$B$31+BC106*تنظیمات!$B$32+BD106*تنظیمات!$B$33+BE106*تنظیمات!$B$34+BF106*تنظیمات!$B$35+BG106*تنظیمات!$B$36)</f>
        <v>25</v>
      </c>
      <c r="BI106" s="16" t="str">
        <f aca="false">IF(BH106&gt;=60,"بحرانی",IF(BH106&gt;=30,"مشکوک",IF(BH106&gt;0,"هشدار","عادی")))</f>
        <v>هشدار</v>
      </c>
      <c r="BJ106" s="16" t="s">
        <v>211</v>
      </c>
    </row>
    <row r="107" customFormat="false" ht="15" hidden="false" customHeight="false" outlineLevel="0" collapsed="false">
      <c r="A107" s="16" t="s">
        <v>752</v>
      </c>
      <c r="B107" s="16" t="s">
        <v>753</v>
      </c>
      <c r="C107" s="16"/>
      <c r="D107" s="16" t="s">
        <v>508</v>
      </c>
      <c r="E107" s="16" t="s">
        <v>363</v>
      </c>
      <c r="F107" s="16" t="s">
        <v>333</v>
      </c>
      <c r="G107" s="17" t="n">
        <v>46282.439224537</v>
      </c>
      <c r="H107" s="17" t="n">
        <v>46282.9100578704</v>
      </c>
      <c r="I107" s="18" t="n">
        <f aca="false">IF(H107="",ROUND((تنظیمات!$B$7-G107)*1440,0),ROUND((H107-G107)*1440,0))</f>
        <v>678</v>
      </c>
      <c r="J107" s="16" t="s">
        <v>334</v>
      </c>
      <c r="K107" s="16" t="s">
        <v>400</v>
      </c>
      <c r="L107" s="19" t="n">
        <v>0.94</v>
      </c>
      <c r="M107" s="19" t="n">
        <v>0.949</v>
      </c>
      <c r="N107" s="16" t="s">
        <v>335</v>
      </c>
      <c r="O107" s="16" t="s">
        <v>425</v>
      </c>
      <c r="P107" s="16" t="s">
        <v>420</v>
      </c>
      <c r="Q107" s="20" t="n">
        <v>46282</v>
      </c>
      <c r="R107" s="16" t="s">
        <v>754</v>
      </c>
      <c r="S107" s="16" t="s">
        <v>404</v>
      </c>
      <c r="T107" s="17"/>
      <c r="U107" s="21" t="n">
        <v>1</v>
      </c>
      <c r="V107" s="21" t="n">
        <v>1</v>
      </c>
      <c r="W107" s="22" t="n">
        <v>3.2</v>
      </c>
      <c r="X107" s="16" t="s">
        <v>335</v>
      </c>
      <c r="Y107" s="16" t="s">
        <v>338</v>
      </c>
      <c r="Z107" s="16" t="s">
        <v>405</v>
      </c>
      <c r="AA107" s="16"/>
      <c r="AB107" s="23"/>
      <c r="AC107" s="17"/>
      <c r="AD107" s="16" t="s">
        <v>338</v>
      </c>
      <c r="AE107" s="16"/>
      <c r="AF107" s="16" t="str">
        <f aca="false">IF(COUNTIF(لیست_سفید!$A$2:$A$21,B107)&gt;0,"بله","خیر")</f>
        <v>خیر</v>
      </c>
      <c r="AG107" s="24" t="n">
        <f aca="false">IF(H107="","",IF(AD107="فیش مفقودی",تنظیمات!$B$6,(INT(I107/1440)*تنظیمات!$B$5+IF(MOD(I107,1440)&lt;=تنظیمات!$B$2,0,MIN(تنظیمات!$B$5,تنظیمات!$B$3+MAX(0,ROUNDUP((MOD(I107,1440)-60)/60,0))*تنظیمات!$B$4)))*INDEX(تعرفه!$B$2:$B$7,MATCH(AD107,تعرفه!$A$2:$A$7,0))))</f>
        <v>174000</v>
      </c>
      <c r="AH107" s="24" t="n">
        <v>174000</v>
      </c>
      <c r="AI107" s="24" t="n">
        <f aca="false">IF(AG107="","",AH107-AG107)</f>
        <v>0</v>
      </c>
      <c r="AJ107" s="21" t="n">
        <v>7</v>
      </c>
      <c r="AK107" s="21" t="n">
        <v>0</v>
      </c>
      <c r="AL107" s="16" t="s">
        <v>335</v>
      </c>
      <c r="AM107" s="16"/>
      <c r="AN107" s="16" t="s">
        <v>340</v>
      </c>
      <c r="AO107" s="16" t="s">
        <v>340</v>
      </c>
      <c r="AP107" s="16" t="s">
        <v>335</v>
      </c>
      <c r="AQ107" s="16"/>
      <c r="AR107" s="21" t="n">
        <f aca="false">IF(AND(T107&lt;&gt;"",H107&lt;&gt;""),IF(AND((T107-H107)*86400&gt;=0,(T107-H107)*86400&lt;تنظیمات!$B$13),1,0),0)</f>
        <v>0</v>
      </c>
      <c r="AS107" s="21" t="n">
        <f aca="false">IF(Z107="پوز",IF(OR(AB107="",COUNTIF(پوزها!$A$2:$A$5,AA107)=0),1,0),0)</f>
        <v>0</v>
      </c>
      <c r="AT107" s="21" t="n">
        <f aca="false">IF(AI107="",0,IF(AI107&gt;0,1,0))</f>
        <v>0</v>
      </c>
      <c r="AU107" s="21" t="n">
        <f aca="false">IF(AI107="",0,IF(AI107&lt;0,1,0))</f>
        <v>0</v>
      </c>
      <c r="AV107" s="21" t="n">
        <f aca="false">IF(U107&gt;V107,1,0)</f>
        <v>0</v>
      </c>
      <c r="AW107" s="21" t="n">
        <f aca="false">IF(OR(W107&gt;تنظیمات!$B$8,X107="بله"),1,0)</f>
        <v>0</v>
      </c>
      <c r="AX107" s="21" t="n">
        <f aca="false">IF(AND(N107="بله",L107&gt;تنظیمات!$B$9),1,0)</f>
        <v>0</v>
      </c>
      <c r="AY107" s="21" t="n">
        <f aca="false">IF(Y107="معکوس",1,0)</f>
        <v>0</v>
      </c>
      <c r="AZ107" s="21" t="n">
        <f aca="false">IF(ABS(AJ107)&gt;تنظیمات!$B$10,1,0)</f>
        <v>0</v>
      </c>
      <c r="BA107" s="21" t="n">
        <f aca="false">IF(AND(OR(AD107="رایگان/VIP",AD107="جانباز"),AF107="خیر"),1,0)</f>
        <v>0</v>
      </c>
      <c r="BB107" s="21" t="n">
        <f aca="false">IF(AE107="",0,IF(COUNTIF($AE$2:$AE$1001,AE107)&gt;1,1,0))</f>
        <v>0</v>
      </c>
      <c r="BC107" s="21" t="n">
        <f aca="false">IF(AND(H107="",I107&gt;تنظیمات!$B$12*60,AM107="خالی"),1,0)</f>
        <v>0</v>
      </c>
      <c r="BD107" s="21" t="n">
        <f aca="false">IF(AND(AP107="بله",I107&lt;تنظیمات!$B$14,AO107="خیر"),1,0)</f>
        <v>0</v>
      </c>
      <c r="BE107" s="21" t="n">
        <f aca="false">IF(AN107="خیر",1,0)</f>
        <v>0</v>
      </c>
      <c r="BF107" s="21" t="n">
        <f aca="false">IF(AND(AD107="فیش مفقودی",AQ107="بله",I107&gt;تنظیمات!$B$12*60),1,0)</f>
        <v>0</v>
      </c>
      <c r="BG107" s="21" t="n">
        <f aca="false">IF(AND(AK107&gt;تنظیمات!$B$11,AL107="بله"),1,0)</f>
        <v>0</v>
      </c>
      <c r="BH107" s="21" t="n">
        <f aca="false">MIN(100,AR107*تنظیمات!$B$21+AS107*تنظیمات!$B$22+AT107*تنظیمات!$B$23+AU107*تنظیمات!$B$24+AV107*تنظیمات!$B$25+AW107*تنظیمات!$B$26+AX107*تنظیمات!$B$27+AY107*تنظیمات!$B$28+AZ107*تنظیمات!$B$29+BA107*تنظیمات!$B$30+BB107*تنظیمات!$B$31+BC107*تنظیمات!$B$32+BD107*تنظیمات!$B$33+BE107*تنظیمات!$B$34+BF107*تنظیمات!$B$35+BG107*تنظیمات!$B$36)</f>
        <v>0</v>
      </c>
      <c r="BI107" s="16" t="str">
        <f aca="false">IF(BH107&gt;=60,"بحرانی",IF(BH107&gt;=30,"مشکوک",IF(BH107&gt;0,"هشدار","عادی")))</f>
        <v>عادی</v>
      </c>
      <c r="BJ107" s="16" t="s">
        <v>338</v>
      </c>
    </row>
    <row r="108" customFormat="false" ht="15" hidden="false" customHeight="false" outlineLevel="0" collapsed="false">
      <c r="A108" s="16" t="s">
        <v>755</v>
      </c>
      <c r="B108" s="16" t="s">
        <v>756</v>
      </c>
      <c r="C108" s="16"/>
      <c r="D108" s="16" t="s">
        <v>418</v>
      </c>
      <c r="E108" s="16" t="s">
        <v>390</v>
      </c>
      <c r="F108" s="16" t="s">
        <v>333</v>
      </c>
      <c r="G108" s="17" t="n">
        <v>46282.4441203704</v>
      </c>
      <c r="H108" s="17" t="n">
        <v>46282.5968981482</v>
      </c>
      <c r="I108" s="18" t="n">
        <f aca="false">IF(H108="",ROUND((تنظیمات!$B$7-G108)*1440,0),ROUND((H108-G108)*1440,0))</f>
        <v>220</v>
      </c>
      <c r="J108" s="16" t="s">
        <v>334</v>
      </c>
      <c r="K108" s="16" t="s">
        <v>410</v>
      </c>
      <c r="L108" s="19" t="n">
        <v>0.931</v>
      </c>
      <c r="M108" s="19" t="n">
        <v>0.938</v>
      </c>
      <c r="N108" s="16" t="s">
        <v>335</v>
      </c>
      <c r="O108" s="16" t="s">
        <v>441</v>
      </c>
      <c r="P108" s="16" t="s">
        <v>420</v>
      </c>
      <c r="Q108" s="20" t="n">
        <v>46282</v>
      </c>
      <c r="R108" s="16" t="s">
        <v>757</v>
      </c>
      <c r="S108" s="16" t="s">
        <v>404</v>
      </c>
      <c r="T108" s="17"/>
      <c r="U108" s="21" t="n">
        <v>1</v>
      </c>
      <c r="V108" s="21" t="n">
        <v>1</v>
      </c>
      <c r="W108" s="22" t="n">
        <v>6.1</v>
      </c>
      <c r="X108" s="16" t="s">
        <v>335</v>
      </c>
      <c r="Y108" s="16" t="s">
        <v>338</v>
      </c>
      <c r="Z108" s="16" t="s">
        <v>405</v>
      </c>
      <c r="AA108" s="16"/>
      <c r="AB108" s="23"/>
      <c r="AC108" s="17"/>
      <c r="AD108" s="16" t="s">
        <v>338</v>
      </c>
      <c r="AE108" s="16"/>
      <c r="AF108" s="16" t="str">
        <f aca="false">IF(COUNTIF(لیست_سفید!$A$2:$A$21,B108)&gt;0,"بله","خیر")</f>
        <v>خیر</v>
      </c>
      <c r="AG108" s="24" t="n">
        <f aca="false">IF(H108="","",IF(AD108="فیش مفقودی",تنظیمات!$B$6,(INT(I108/1440)*تنظیمات!$B$5+IF(MOD(I108,1440)&lt;=تنظیمات!$B$2,0,MIN(تنظیمات!$B$5,تنظیمات!$B$3+MAX(0,ROUNDUP((MOD(I108,1440)-60)/60,0))*تنظیمات!$B$4)))*INDEX(تعرفه!$B$2:$B$7,MATCH(AD108,تعرفه!$A$2:$A$7,0))))</f>
        <v>62000</v>
      </c>
      <c r="AH108" s="24" t="n">
        <v>62000</v>
      </c>
      <c r="AI108" s="24" t="n">
        <f aca="false">IF(AG108="","",AH108-AG108)</f>
        <v>0</v>
      </c>
      <c r="AJ108" s="21" t="n">
        <v>-1</v>
      </c>
      <c r="AK108" s="21" t="n">
        <v>0</v>
      </c>
      <c r="AL108" s="16" t="s">
        <v>335</v>
      </c>
      <c r="AM108" s="16"/>
      <c r="AN108" s="16" t="s">
        <v>340</v>
      </c>
      <c r="AO108" s="16" t="s">
        <v>340</v>
      </c>
      <c r="AP108" s="16" t="s">
        <v>335</v>
      </c>
      <c r="AQ108" s="16"/>
      <c r="AR108" s="21" t="n">
        <f aca="false">IF(AND(T108&lt;&gt;"",H108&lt;&gt;""),IF(AND((T108-H108)*86400&gt;=0,(T108-H108)*86400&lt;تنظیمات!$B$13),1,0),0)</f>
        <v>0</v>
      </c>
      <c r="AS108" s="21" t="n">
        <f aca="false">IF(Z108="پوز",IF(OR(AB108="",COUNTIF(پوزها!$A$2:$A$5,AA108)=0),1,0),0)</f>
        <v>0</v>
      </c>
      <c r="AT108" s="21" t="n">
        <f aca="false">IF(AI108="",0,IF(AI108&gt;0,1,0))</f>
        <v>0</v>
      </c>
      <c r="AU108" s="21" t="n">
        <f aca="false">IF(AI108="",0,IF(AI108&lt;0,1,0))</f>
        <v>0</v>
      </c>
      <c r="AV108" s="21" t="n">
        <f aca="false">IF(U108&gt;V108,1,0)</f>
        <v>0</v>
      </c>
      <c r="AW108" s="21" t="n">
        <f aca="false">IF(OR(W108&gt;تنظیمات!$B$8,X108="بله"),1,0)</f>
        <v>0</v>
      </c>
      <c r="AX108" s="21" t="n">
        <f aca="false">IF(AND(N108="بله",L108&gt;تنظیمات!$B$9),1,0)</f>
        <v>0</v>
      </c>
      <c r="AY108" s="21" t="n">
        <f aca="false">IF(Y108="معکوس",1,0)</f>
        <v>0</v>
      </c>
      <c r="AZ108" s="21" t="n">
        <f aca="false">IF(ABS(AJ108)&gt;تنظیمات!$B$10,1,0)</f>
        <v>0</v>
      </c>
      <c r="BA108" s="21" t="n">
        <f aca="false">IF(AND(OR(AD108="رایگان/VIP",AD108="جانباز"),AF108="خیر"),1,0)</f>
        <v>0</v>
      </c>
      <c r="BB108" s="21" t="n">
        <f aca="false">IF(AE108="",0,IF(COUNTIF($AE$2:$AE$1001,AE108)&gt;1,1,0))</f>
        <v>0</v>
      </c>
      <c r="BC108" s="21" t="n">
        <f aca="false">IF(AND(H108="",I108&gt;تنظیمات!$B$12*60,AM108="خالی"),1,0)</f>
        <v>0</v>
      </c>
      <c r="BD108" s="21" t="n">
        <f aca="false">IF(AND(AP108="بله",I108&lt;تنظیمات!$B$14,AO108="خیر"),1,0)</f>
        <v>0</v>
      </c>
      <c r="BE108" s="21" t="n">
        <f aca="false">IF(AN108="خیر",1,0)</f>
        <v>0</v>
      </c>
      <c r="BF108" s="21" t="n">
        <f aca="false">IF(AND(AD108="فیش مفقودی",AQ108="بله",I108&gt;تنظیمات!$B$12*60),1,0)</f>
        <v>0</v>
      </c>
      <c r="BG108" s="21" t="n">
        <f aca="false">IF(AND(AK108&gt;تنظیمات!$B$11,AL108="بله"),1,0)</f>
        <v>0</v>
      </c>
      <c r="BH108" s="21" t="n">
        <f aca="false">MIN(100,AR108*تنظیمات!$B$21+AS108*تنظیمات!$B$22+AT108*تنظیمات!$B$23+AU108*تنظیمات!$B$24+AV108*تنظیمات!$B$25+AW108*تنظیمات!$B$26+AX108*تنظیمات!$B$27+AY108*تنظیمات!$B$28+AZ108*تنظیمات!$B$29+BA108*تنظیمات!$B$30+BB108*تنظیمات!$B$31+BC108*تنظیمات!$B$32+BD108*تنظیمات!$B$33+BE108*تنظیمات!$B$34+BF108*تنظیمات!$B$35+BG108*تنظیمات!$B$36)</f>
        <v>0</v>
      </c>
      <c r="BI108" s="16" t="str">
        <f aca="false">IF(BH108&gt;=60,"بحرانی",IF(BH108&gt;=30,"مشکوک",IF(BH108&gt;0,"هشدار","عادی")))</f>
        <v>عادی</v>
      </c>
      <c r="BJ108" s="16" t="s">
        <v>338</v>
      </c>
    </row>
    <row r="109" customFormat="false" ht="15" hidden="false" customHeight="false" outlineLevel="0" collapsed="false">
      <c r="A109" s="16" t="s">
        <v>758</v>
      </c>
      <c r="B109" s="16" t="s">
        <v>759</v>
      </c>
      <c r="C109" s="16"/>
      <c r="D109" s="16" t="s">
        <v>382</v>
      </c>
      <c r="E109" s="16" t="s">
        <v>363</v>
      </c>
      <c r="F109" s="16" t="s">
        <v>333</v>
      </c>
      <c r="G109" s="17" t="n">
        <v>46282.4796643519</v>
      </c>
      <c r="H109" s="17" t="n">
        <v>46282.6984143519</v>
      </c>
      <c r="I109" s="18" t="n">
        <f aca="false">IF(H109="",ROUND((تنظیمات!$B$7-G109)*1440,0),ROUND((H109-G109)*1440,0))</f>
        <v>315</v>
      </c>
      <c r="J109" s="16" t="s">
        <v>346</v>
      </c>
      <c r="K109" s="16" t="s">
        <v>410</v>
      </c>
      <c r="L109" s="19" t="n">
        <v>0.922</v>
      </c>
      <c r="M109" s="19" t="n">
        <v>0.878</v>
      </c>
      <c r="N109" s="16" t="s">
        <v>335</v>
      </c>
      <c r="O109" s="16" t="s">
        <v>441</v>
      </c>
      <c r="P109" s="16" t="s">
        <v>420</v>
      </c>
      <c r="Q109" s="20" t="n">
        <v>46282</v>
      </c>
      <c r="R109" s="16" t="s">
        <v>760</v>
      </c>
      <c r="S109" s="16" t="s">
        <v>404</v>
      </c>
      <c r="T109" s="17"/>
      <c r="U109" s="21" t="n">
        <v>1</v>
      </c>
      <c r="V109" s="21" t="n">
        <v>1</v>
      </c>
      <c r="W109" s="22" t="n">
        <v>5.1</v>
      </c>
      <c r="X109" s="16" t="s">
        <v>335</v>
      </c>
      <c r="Y109" s="16" t="s">
        <v>338</v>
      </c>
      <c r="Z109" s="16" t="s">
        <v>443</v>
      </c>
      <c r="AA109" s="16"/>
      <c r="AB109" s="23"/>
      <c r="AC109" s="17"/>
      <c r="AD109" s="16" t="s">
        <v>444</v>
      </c>
      <c r="AE109" s="16"/>
      <c r="AF109" s="16" t="str">
        <f aca="false">IF(COUNTIF(لیست_سفید!$A$2:$A$21,B109)&gt;0,"بله","خیر")</f>
        <v>خیر</v>
      </c>
      <c r="AG109" s="24" t="n">
        <f aca="false">IF(H109="","",IF(AD109="فیش مفقودی",تنظیمات!$B$6,(INT(I109/1440)*تنظیمات!$B$5+IF(MOD(I109,1440)&lt;=تنظیمات!$B$2,0,MIN(تنظیمات!$B$5,تنظیمات!$B$3+MAX(0,ROUNDUP((MOD(I109,1440)-60)/60,0))*تنظیمات!$B$4)))*INDEX(تعرفه!$B$2:$B$7,MATCH(AD109,تعرفه!$A$2:$A$7,0))))</f>
        <v>0</v>
      </c>
      <c r="AH109" s="24" t="n">
        <v>0</v>
      </c>
      <c r="AI109" s="24" t="n">
        <f aca="false">IF(AG109="","",AH109-AG109)</f>
        <v>0</v>
      </c>
      <c r="AJ109" s="21" t="n">
        <v>5</v>
      </c>
      <c r="AK109" s="21" t="n">
        <v>0</v>
      </c>
      <c r="AL109" s="16" t="s">
        <v>335</v>
      </c>
      <c r="AM109" s="16"/>
      <c r="AN109" s="16" t="s">
        <v>340</v>
      </c>
      <c r="AO109" s="16" t="s">
        <v>340</v>
      </c>
      <c r="AP109" s="16" t="s">
        <v>335</v>
      </c>
      <c r="AQ109" s="16"/>
      <c r="AR109" s="21" t="n">
        <f aca="false">IF(AND(T109&lt;&gt;"",H109&lt;&gt;""),IF(AND((T109-H109)*86400&gt;=0,(T109-H109)*86400&lt;تنظیمات!$B$13),1,0),0)</f>
        <v>0</v>
      </c>
      <c r="AS109" s="21" t="n">
        <f aca="false">IF(Z109="پوز",IF(OR(AB109="",COUNTIF(پوزها!$A$2:$A$5,AA109)=0),1,0),0)</f>
        <v>0</v>
      </c>
      <c r="AT109" s="21" t="n">
        <f aca="false">IF(AI109="",0,IF(AI109&gt;0,1,0))</f>
        <v>0</v>
      </c>
      <c r="AU109" s="21" t="n">
        <f aca="false">IF(AI109="",0,IF(AI109&lt;0,1,0))</f>
        <v>0</v>
      </c>
      <c r="AV109" s="21" t="n">
        <f aca="false">IF(U109&gt;V109,1,0)</f>
        <v>0</v>
      </c>
      <c r="AW109" s="21" t="n">
        <f aca="false">IF(OR(W109&gt;تنظیمات!$B$8,X109="بله"),1,0)</f>
        <v>0</v>
      </c>
      <c r="AX109" s="21" t="n">
        <f aca="false">IF(AND(N109="بله",L109&gt;تنظیمات!$B$9),1,0)</f>
        <v>0</v>
      </c>
      <c r="AY109" s="21" t="n">
        <f aca="false">IF(Y109="معکوس",1,0)</f>
        <v>0</v>
      </c>
      <c r="AZ109" s="21" t="n">
        <f aca="false">IF(ABS(AJ109)&gt;تنظیمات!$B$10,1,0)</f>
        <v>0</v>
      </c>
      <c r="BA109" s="21" t="n">
        <f aca="false">IF(AND(OR(AD109="رایگان/VIP",AD109="جانباز"),AF109="خیر"),1,0)</f>
        <v>0</v>
      </c>
      <c r="BB109" s="21" t="n">
        <f aca="false">IF(AE109="",0,IF(COUNTIF($AE$2:$AE$1001,AE109)&gt;1,1,0))</f>
        <v>0</v>
      </c>
      <c r="BC109" s="21" t="n">
        <f aca="false">IF(AND(H109="",I109&gt;تنظیمات!$B$12*60,AM109="خالی"),1,0)</f>
        <v>0</v>
      </c>
      <c r="BD109" s="21" t="n">
        <f aca="false">IF(AND(AP109="بله",I109&lt;تنظیمات!$B$14,AO109="خیر"),1,0)</f>
        <v>0</v>
      </c>
      <c r="BE109" s="21" t="n">
        <f aca="false">IF(AN109="خیر",1,0)</f>
        <v>0</v>
      </c>
      <c r="BF109" s="21" t="n">
        <f aca="false">IF(AND(AD109="فیش مفقودی",AQ109="بله",I109&gt;تنظیمات!$B$12*60),1,0)</f>
        <v>0</v>
      </c>
      <c r="BG109" s="21" t="n">
        <f aca="false">IF(AND(AK109&gt;تنظیمات!$B$11,AL109="بله"),1,0)</f>
        <v>0</v>
      </c>
      <c r="BH109" s="21" t="n">
        <f aca="false">MIN(100,AR109*تنظیمات!$B$21+AS109*تنظیمات!$B$22+AT109*تنظیمات!$B$23+AU109*تنظیمات!$B$24+AV109*تنظیمات!$B$25+AW109*تنظیمات!$B$26+AX109*تنظیمات!$B$27+AY109*تنظیمات!$B$28+AZ109*تنظیمات!$B$29+BA109*تنظیمات!$B$30+BB109*تنظیمات!$B$31+BC109*تنظیمات!$B$32+BD109*تنظیمات!$B$33+BE109*تنظیمات!$B$34+BF109*تنظیمات!$B$35+BG109*تنظیمات!$B$36)</f>
        <v>0</v>
      </c>
      <c r="BI109" s="16" t="str">
        <f aca="false">IF(BH109&gt;=60,"بحرانی",IF(BH109&gt;=30,"مشکوک",IF(BH109&gt;0,"هشدار","عادی")))</f>
        <v>عادی</v>
      </c>
      <c r="BJ109" s="16" t="s">
        <v>338</v>
      </c>
    </row>
    <row r="110" customFormat="false" ht="15" hidden="false" customHeight="false" outlineLevel="0" collapsed="false">
      <c r="A110" s="16" t="s">
        <v>761</v>
      </c>
      <c r="B110" s="16" t="s">
        <v>430</v>
      </c>
      <c r="C110" s="16"/>
      <c r="D110" s="16" t="s">
        <v>431</v>
      </c>
      <c r="E110" s="16" t="s">
        <v>363</v>
      </c>
      <c r="F110" s="16" t="s">
        <v>333</v>
      </c>
      <c r="G110" s="17" t="n">
        <v>46282.4832986111</v>
      </c>
      <c r="H110" s="17" t="n">
        <v>46282.5777430556</v>
      </c>
      <c r="I110" s="18" t="n">
        <f aca="false">IF(H110="",ROUND((تنظیمات!$B$7-G110)*1440,0),ROUND((H110-G110)*1440,0))</f>
        <v>136</v>
      </c>
      <c r="J110" s="16" t="s">
        <v>346</v>
      </c>
      <c r="K110" s="16" t="s">
        <v>410</v>
      </c>
      <c r="L110" s="19" t="n">
        <v>0.931</v>
      </c>
      <c r="M110" s="19" t="n">
        <v>0.938</v>
      </c>
      <c r="N110" s="16" t="s">
        <v>335</v>
      </c>
      <c r="O110" s="16" t="s">
        <v>677</v>
      </c>
      <c r="P110" s="16" t="s">
        <v>402</v>
      </c>
      <c r="Q110" s="20" t="n">
        <v>46282</v>
      </c>
      <c r="R110" s="16" t="s">
        <v>762</v>
      </c>
      <c r="S110" s="16" t="s">
        <v>404</v>
      </c>
      <c r="T110" s="17"/>
      <c r="U110" s="21" t="n">
        <v>1</v>
      </c>
      <c r="V110" s="21" t="n">
        <v>1</v>
      </c>
      <c r="W110" s="22" t="n">
        <v>6.5</v>
      </c>
      <c r="X110" s="16" t="s">
        <v>335</v>
      </c>
      <c r="Y110" s="16" t="s">
        <v>338</v>
      </c>
      <c r="Z110" s="16" t="s">
        <v>413</v>
      </c>
      <c r="AA110" s="16" t="s">
        <v>414</v>
      </c>
      <c r="AB110" s="23" t="s">
        <v>763</v>
      </c>
      <c r="AC110" s="17" t="n">
        <v>46282.5770717593</v>
      </c>
      <c r="AD110" s="16" t="s">
        <v>338</v>
      </c>
      <c r="AE110" s="16"/>
      <c r="AF110" s="16" t="str">
        <f aca="false">IF(COUNTIF(لیست_سفید!$A$2:$A$21,B110)&gt;0,"بله","خیر")</f>
        <v>خیر</v>
      </c>
      <c r="AG110" s="24" t="n">
        <f aca="false">IF(H110="","",IF(AD110="فیش مفقودی",تنظیمات!$B$6,(INT(I110/1440)*تنظیمات!$B$5+IF(MOD(I110,1440)&lt;=تنظیمات!$B$2,0,MIN(تنظیمات!$B$5,تنظیمات!$B$3+MAX(0,ROUNDUP((MOD(I110,1440)-60)/60,0))*تنظیمات!$B$4)))*INDEX(تعرفه!$B$2:$B$7,MATCH(AD110,تعرفه!$A$2:$A$7,0))))</f>
        <v>48000</v>
      </c>
      <c r="AH110" s="24" t="n">
        <v>48000</v>
      </c>
      <c r="AI110" s="24" t="n">
        <f aca="false">IF(AG110="","",AH110-AG110)</f>
        <v>0</v>
      </c>
      <c r="AJ110" s="21" t="n">
        <v>0</v>
      </c>
      <c r="AK110" s="21" t="n">
        <v>0</v>
      </c>
      <c r="AL110" s="16" t="s">
        <v>335</v>
      </c>
      <c r="AM110" s="16"/>
      <c r="AN110" s="16" t="s">
        <v>340</v>
      </c>
      <c r="AO110" s="16" t="s">
        <v>340</v>
      </c>
      <c r="AP110" s="16" t="s">
        <v>335</v>
      </c>
      <c r="AQ110" s="16"/>
      <c r="AR110" s="21" t="n">
        <f aca="false">IF(AND(T110&lt;&gt;"",H110&lt;&gt;""),IF(AND((T110-H110)*86400&gt;=0,(T110-H110)*86400&lt;تنظیمات!$B$13),1,0),0)</f>
        <v>0</v>
      </c>
      <c r="AS110" s="21" t="n">
        <f aca="false">IF(Z110="پوز",IF(OR(AB110="",COUNTIF(پوزها!$A$2:$A$5,AA110)=0),1,0),0)</f>
        <v>0</v>
      </c>
      <c r="AT110" s="21" t="n">
        <f aca="false">IF(AI110="",0,IF(AI110&gt;0,1,0))</f>
        <v>0</v>
      </c>
      <c r="AU110" s="21" t="n">
        <f aca="false">IF(AI110="",0,IF(AI110&lt;0,1,0))</f>
        <v>0</v>
      </c>
      <c r="AV110" s="21" t="n">
        <f aca="false">IF(U110&gt;V110,1,0)</f>
        <v>0</v>
      </c>
      <c r="AW110" s="21" t="n">
        <f aca="false">IF(OR(W110&gt;تنظیمات!$B$8,X110="بله"),1,0)</f>
        <v>0</v>
      </c>
      <c r="AX110" s="21" t="n">
        <f aca="false">IF(AND(N110="بله",L110&gt;تنظیمات!$B$9),1,0)</f>
        <v>0</v>
      </c>
      <c r="AY110" s="21" t="n">
        <f aca="false">IF(Y110="معکوس",1,0)</f>
        <v>0</v>
      </c>
      <c r="AZ110" s="21" t="n">
        <f aca="false">IF(ABS(AJ110)&gt;تنظیمات!$B$10,1,0)</f>
        <v>0</v>
      </c>
      <c r="BA110" s="21" t="n">
        <f aca="false">IF(AND(OR(AD110="رایگان/VIP",AD110="جانباز"),AF110="خیر"),1,0)</f>
        <v>0</v>
      </c>
      <c r="BB110" s="21" t="n">
        <f aca="false">IF(AE110="",0,IF(COUNTIF($AE$2:$AE$1001,AE110)&gt;1,1,0))</f>
        <v>0</v>
      </c>
      <c r="BC110" s="21" t="n">
        <f aca="false">IF(AND(H110="",I110&gt;تنظیمات!$B$12*60,AM110="خالی"),1,0)</f>
        <v>0</v>
      </c>
      <c r="BD110" s="21" t="n">
        <f aca="false">IF(AND(AP110="بله",I110&lt;تنظیمات!$B$14,AO110="خیر"),1,0)</f>
        <v>0</v>
      </c>
      <c r="BE110" s="21" t="n">
        <f aca="false">IF(AN110="خیر",1,0)</f>
        <v>0</v>
      </c>
      <c r="BF110" s="21" t="n">
        <f aca="false">IF(AND(AD110="فیش مفقودی",AQ110="بله",I110&gt;تنظیمات!$B$12*60),1,0)</f>
        <v>0</v>
      </c>
      <c r="BG110" s="21" t="n">
        <f aca="false">IF(AND(AK110&gt;تنظیمات!$B$11,AL110="بله"),1,0)</f>
        <v>0</v>
      </c>
      <c r="BH110" s="21" t="n">
        <f aca="false">MIN(100,AR110*تنظیمات!$B$21+AS110*تنظیمات!$B$22+AT110*تنظیمات!$B$23+AU110*تنظیمات!$B$24+AV110*تنظیمات!$B$25+AW110*تنظیمات!$B$26+AX110*تنظیمات!$B$27+AY110*تنظیمات!$B$28+AZ110*تنظیمات!$B$29+BA110*تنظیمات!$B$30+BB110*تنظیمات!$B$31+BC110*تنظیمات!$B$32+BD110*تنظیمات!$B$33+BE110*تنظیمات!$B$34+BF110*تنظیمات!$B$35+BG110*تنظیمات!$B$36)</f>
        <v>0</v>
      </c>
      <c r="BI110" s="16" t="str">
        <f aca="false">IF(BH110&gt;=60,"بحرانی",IF(BH110&gt;=30,"مشکوک",IF(BH110&gt;0,"هشدار","عادی")))</f>
        <v>عادی</v>
      </c>
      <c r="BJ110" s="16" t="s">
        <v>338</v>
      </c>
    </row>
    <row r="111" customFormat="false" ht="15" hidden="false" customHeight="false" outlineLevel="0" collapsed="false">
      <c r="A111" s="16" t="s">
        <v>764</v>
      </c>
      <c r="B111" s="16" t="s">
        <v>594</v>
      </c>
      <c r="C111" s="16"/>
      <c r="D111" s="16" t="s">
        <v>431</v>
      </c>
      <c r="E111" s="16" t="s">
        <v>375</v>
      </c>
      <c r="F111" s="16" t="s">
        <v>333</v>
      </c>
      <c r="G111" s="17" t="n">
        <v>46282.507025463</v>
      </c>
      <c r="H111" s="17" t="n">
        <v>46282.5098032407</v>
      </c>
      <c r="I111" s="18" t="n">
        <f aca="false">IF(H111="",ROUND((تنظیمات!$B$7-G111)*1440,0),ROUND((H111-G111)*1440,0))</f>
        <v>4</v>
      </c>
      <c r="J111" s="16" t="s">
        <v>334</v>
      </c>
      <c r="K111" s="16" t="s">
        <v>400</v>
      </c>
      <c r="L111" s="19" t="n">
        <v>0.961</v>
      </c>
      <c r="M111" s="19" t="n">
        <v>0.931</v>
      </c>
      <c r="N111" s="16" t="s">
        <v>335</v>
      </c>
      <c r="O111" s="16" t="s">
        <v>666</v>
      </c>
      <c r="P111" s="16" t="s">
        <v>402</v>
      </c>
      <c r="Q111" s="20" t="n">
        <v>46282</v>
      </c>
      <c r="R111" s="16" t="s">
        <v>765</v>
      </c>
      <c r="S111" s="16" t="s">
        <v>404</v>
      </c>
      <c r="T111" s="17"/>
      <c r="U111" s="21" t="n">
        <v>1</v>
      </c>
      <c r="V111" s="21" t="n">
        <v>1</v>
      </c>
      <c r="W111" s="22" t="n">
        <v>5.5</v>
      </c>
      <c r="X111" s="16" t="s">
        <v>335</v>
      </c>
      <c r="Y111" s="16" t="s">
        <v>338</v>
      </c>
      <c r="Z111" s="16" t="s">
        <v>628</v>
      </c>
      <c r="AA111" s="16"/>
      <c r="AB111" s="23"/>
      <c r="AC111" s="17"/>
      <c r="AD111" s="16" t="s">
        <v>338</v>
      </c>
      <c r="AE111" s="16"/>
      <c r="AF111" s="16" t="str">
        <f aca="false">IF(COUNTIF(لیست_سفید!$A$2:$A$21,B111)&gt;0,"بله","خیر")</f>
        <v>خیر</v>
      </c>
      <c r="AG111" s="24" t="n">
        <f aca="false">IF(H111="","",IF(AD111="فیش مفقودی",تنظیمات!$B$6,(INT(I111/1440)*تنظیمات!$B$5+IF(MOD(I111,1440)&lt;=تنظیمات!$B$2,0,MIN(تنظیمات!$B$5,تنظیمات!$B$3+MAX(0,ROUNDUP((MOD(I111,1440)-60)/60,0))*تنظیمات!$B$4)))*INDEX(تعرفه!$B$2:$B$7,MATCH(AD111,تعرفه!$A$2:$A$7,0))))</f>
        <v>0</v>
      </c>
      <c r="AH111" s="24" t="n">
        <v>0</v>
      </c>
      <c r="AI111" s="24" t="n">
        <f aca="false">IF(AG111="","",AH111-AG111)</f>
        <v>0</v>
      </c>
      <c r="AJ111" s="21" t="n">
        <v>2</v>
      </c>
      <c r="AK111" s="21" t="n">
        <v>0</v>
      </c>
      <c r="AL111" s="16" t="s">
        <v>335</v>
      </c>
      <c r="AM111" s="16"/>
      <c r="AN111" s="16" t="s">
        <v>340</v>
      </c>
      <c r="AO111" s="16" t="s">
        <v>340</v>
      </c>
      <c r="AP111" s="16" t="s">
        <v>335</v>
      </c>
      <c r="AQ111" s="16"/>
      <c r="AR111" s="21" t="n">
        <f aca="false">IF(AND(T111&lt;&gt;"",H111&lt;&gt;""),IF(AND((T111-H111)*86400&gt;=0,(T111-H111)*86400&lt;تنظیمات!$B$13),1,0),0)</f>
        <v>0</v>
      </c>
      <c r="AS111" s="21" t="n">
        <f aca="false">IF(Z111="پوز",IF(OR(AB111="",COUNTIF(پوزها!$A$2:$A$5,AA111)=0),1,0),0)</f>
        <v>0</v>
      </c>
      <c r="AT111" s="21" t="n">
        <f aca="false">IF(AI111="",0,IF(AI111&gt;0,1,0))</f>
        <v>0</v>
      </c>
      <c r="AU111" s="21" t="n">
        <f aca="false">IF(AI111="",0,IF(AI111&lt;0,1,0))</f>
        <v>0</v>
      </c>
      <c r="AV111" s="21" t="n">
        <f aca="false">IF(U111&gt;V111,1,0)</f>
        <v>0</v>
      </c>
      <c r="AW111" s="21" t="n">
        <f aca="false">IF(OR(W111&gt;تنظیمات!$B$8,X111="بله"),1,0)</f>
        <v>0</v>
      </c>
      <c r="AX111" s="21" t="n">
        <f aca="false">IF(AND(N111="بله",L111&gt;تنظیمات!$B$9),1,0)</f>
        <v>0</v>
      </c>
      <c r="AY111" s="21" t="n">
        <f aca="false">IF(Y111="معکوس",1,0)</f>
        <v>0</v>
      </c>
      <c r="AZ111" s="21" t="n">
        <f aca="false">IF(ABS(AJ111)&gt;تنظیمات!$B$10,1,0)</f>
        <v>0</v>
      </c>
      <c r="BA111" s="21" t="n">
        <f aca="false">IF(AND(OR(AD111="رایگان/VIP",AD111="جانباز"),AF111="خیر"),1,0)</f>
        <v>0</v>
      </c>
      <c r="BB111" s="21" t="n">
        <f aca="false">IF(AE111="",0,IF(COUNTIF($AE$2:$AE$1001,AE111)&gt;1,1,0))</f>
        <v>0</v>
      </c>
      <c r="BC111" s="21" t="n">
        <f aca="false">IF(AND(H111="",I111&gt;تنظیمات!$B$12*60,AM111="خالی"),1,0)</f>
        <v>0</v>
      </c>
      <c r="BD111" s="21" t="n">
        <f aca="false">IF(AND(AP111="بله",I111&lt;تنظیمات!$B$14,AO111="خیر"),1,0)</f>
        <v>0</v>
      </c>
      <c r="BE111" s="21" t="n">
        <f aca="false">IF(AN111="خیر",1,0)</f>
        <v>0</v>
      </c>
      <c r="BF111" s="21" t="n">
        <f aca="false">IF(AND(AD111="فیش مفقودی",AQ111="بله",I111&gt;تنظیمات!$B$12*60),1,0)</f>
        <v>0</v>
      </c>
      <c r="BG111" s="21" t="n">
        <f aca="false">IF(AND(AK111&gt;تنظیمات!$B$11,AL111="بله"),1,0)</f>
        <v>0</v>
      </c>
      <c r="BH111" s="21" t="n">
        <f aca="false">MIN(100,AR111*تنظیمات!$B$21+AS111*تنظیمات!$B$22+AT111*تنظیمات!$B$23+AU111*تنظیمات!$B$24+AV111*تنظیمات!$B$25+AW111*تنظیمات!$B$26+AX111*تنظیمات!$B$27+AY111*تنظیمات!$B$28+AZ111*تنظیمات!$B$29+BA111*تنظیمات!$B$30+BB111*تنظیمات!$B$31+BC111*تنظیمات!$B$32+BD111*تنظیمات!$B$33+BE111*تنظیمات!$B$34+BF111*تنظیمات!$B$35+BG111*تنظیمات!$B$36)</f>
        <v>0</v>
      </c>
      <c r="BI111" s="16" t="str">
        <f aca="false">IF(BH111&gt;=60,"بحرانی",IF(BH111&gt;=30,"مشکوک",IF(BH111&gt;0,"هشدار","عادی")))</f>
        <v>عادی</v>
      </c>
      <c r="BJ111" s="16" t="s">
        <v>629</v>
      </c>
    </row>
    <row r="112" customFormat="false" ht="15" hidden="false" customHeight="false" outlineLevel="0" collapsed="false">
      <c r="A112" s="16" t="s">
        <v>766</v>
      </c>
      <c r="B112" s="16" t="s">
        <v>767</v>
      </c>
      <c r="C112" s="16"/>
      <c r="D112" s="16" t="s">
        <v>418</v>
      </c>
      <c r="E112" s="16" t="s">
        <v>345</v>
      </c>
      <c r="F112" s="16" t="s">
        <v>333</v>
      </c>
      <c r="G112" s="17" t="n">
        <v>46282.5168055556</v>
      </c>
      <c r="H112" s="17" t="n">
        <v>46282.5390277778</v>
      </c>
      <c r="I112" s="18" t="n">
        <f aca="false">IF(H112="",ROUND((تنظیمات!$B$7-G112)*1440,0),ROUND((H112-G112)*1440,0))</f>
        <v>32</v>
      </c>
      <c r="J112" s="16" t="s">
        <v>346</v>
      </c>
      <c r="K112" s="16" t="s">
        <v>410</v>
      </c>
      <c r="L112" s="19" t="n">
        <v>0.944</v>
      </c>
      <c r="M112" s="19" t="n">
        <v>0.95</v>
      </c>
      <c r="N112" s="16" t="s">
        <v>335</v>
      </c>
      <c r="O112" s="16" t="s">
        <v>677</v>
      </c>
      <c r="P112" s="16" t="s">
        <v>402</v>
      </c>
      <c r="Q112" s="20" t="n">
        <v>46282</v>
      </c>
      <c r="R112" s="16" t="s">
        <v>768</v>
      </c>
      <c r="S112" s="16" t="s">
        <v>404</v>
      </c>
      <c r="T112" s="17"/>
      <c r="U112" s="21" t="n">
        <v>1</v>
      </c>
      <c r="V112" s="21" t="n">
        <v>1</v>
      </c>
      <c r="W112" s="22" t="n">
        <v>6.1</v>
      </c>
      <c r="X112" s="16" t="s">
        <v>335</v>
      </c>
      <c r="Y112" s="16" t="s">
        <v>338</v>
      </c>
      <c r="Z112" s="16" t="s">
        <v>405</v>
      </c>
      <c r="AA112" s="16"/>
      <c r="AB112" s="23"/>
      <c r="AC112" s="17"/>
      <c r="AD112" s="16" t="s">
        <v>338</v>
      </c>
      <c r="AE112" s="16"/>
      <c r="AF112" s="16" t="str">
        <f aca="false">IF(COUNTIF(لیست_سفید!$A$2:$A$21,B112)&gt;0,"بله","خیر")</f>
        <v>خیر</v>
      </c>
      <c r="AG112" s="24" t="n">
        <f aca="false">IF(H112="","",IF(AD112="فیش مفقودی",تنظیمات!$B$6,(INT(I112/1440)*تنظیمات!$B$5+IF(MOD(I112,1440)&lt;=تنظیمات!$B$2,0,MIN(تنظیمات!$B$5,تنظیمات!$B$3+MAX(0,ROUNDUP((MOD(I112,1440)-60)/60,0))*تنظیمات!$B$4)))*INDEX(تعرفه!$B$2:$B$7,MATCH(AD112,تعرفه!$A$2:$A$7,0))))</f>
        <v>20000</v>
      </c>
      <c r="AH112" s="24" t="n">
        <v>20000</v>
      </c>
      <c r="AI112" s="24" t="n">
        <f aca="false">IF(AG112="","",AH112-AG112)</f>
        <v>0</v>
      </c>
      <c r="AJ112" s="21" t="n">
        <v>0</v>
      </c>
      <c r="AK112" s="21" t="n">
        <v>0</v>
      </c>
      <c r="AL112" s="16" t="s">
        <v>335</v>
      </c>
      <c r="AM112" s="16"/>
      <c r="AN112" s="16" t="s">
        <v>340</v>
      </c>
      <c r="AO112" s="16" t="s">
        <v>340</v>
      </c>
      <c r="AP112" s="16" t="s">
        <v>335</v>
      </c>
      <c r="AQ112" s="16"/>
      <c r="AR112" s="21" t="n">
        <f aca="false">IF(AND(T112&lt;&gt;"",H112&lt;&gt;""),IF(AND((T112-H112)*86400&gt;=0,(T112-H112)*86400&lt;تنظیمات!$B$13),1,0),0)</f>
        <v>0</v>
      </c>
      <c r="AS112" s="21" t="n">
        <f aca="false">IF(Z112="پوز",IF(OR(AB112="",COUNTIF(پوزها!$A$2:$A$5,AA112)=0),1,0),0)</f>
        <v>0</v>
      </c>
      <c r="AT112" s="21" t="n">
        <f aca="false">IF(AI112="",0,IF(AI112&gt;0,1,0))</f>
        <v>0</v>
      </c>
      <c r="AU112" s="21" t="n">
        <f aca="false">IF(AI112="",0,IF(AI112&lt;0,1,0))</f>
        <v>0</v>
      </c>
      <c r="AV112" s="21" t="n">
        <f aca="false">IF(U112&gt;V112,1,0)</f>
        <v>0</v>
      </c>
      <c r="AW112" s="21" t="n">
        <f aca="false">IF(OR(W112&gt;تنظیمات!$B$8,X112="بله"),1,0)</f>
        <v>0</v>
      </c>
      <c r="AX112" s="21" t="n">
        <f aca="false">IF(AND(N112="بله",L112&gt;تنظیمات!$B$9),1,0)</f>
        <v>0</v>
      </c>
      <c r="AY112" s="21" t="n">
        <f aca="false">IF(Y112="معکوس",1,0)</f>
        <v>0</v>
      </c>
      <c r="AZ112" s="21" t="n">
        <f aca="false">IF(ABS(AJ112)&gt;تنظیمات!$B$10,1,0)</f>
        <v>0</v>
      </c>
      <c r="BA112" s="21" t="n">
        <f aca="false">IF(AND(OR(AD112="رایگان/VIP",AD112="جانباز"),AF112="خیر"),1,0)</f>
        <v>0</v>
      </c>
      <c r="BB112" s="21" t="n">
        <f aca="false">IF(AE112="",0,IF(COUNTIF($AE$2:$AE$1001,AE112)&gt;1,1,0))</f>
        <v>0</v>
      </c>
      <c r="BC112" s="21" t="n">
        <f aca="false">IF(AND(H112="",I112&gt;تنظیمات!$B$12*60,AM112="خالی"),1,0)</f>
        <v>0</v>
      </c>
      <c r="BD112" s="21" t="n">
        <f aca="false">IF(AND(AP112="بله",I112&lt;تنظیمات!$B$14,AO112="خیر"),1,0)</f>
        <v>0</v>
      </c>
      <c r="BE112" s="21" t="n">
        <f aca="false">IF(AN112="خیر",1,0)</f>
        <v>0</v>
      </c>
      <c r="BF112" s="21" t="n">
        <f aca="false">IF(AND(AD112="فیش مفقودی",AQ112="بله",I112&gt;تنظیمات!$B$12*60),1,0)</f>
        <v>0</v>
      </c>
      <c r="BG112" s="21" t="n">
        <f aca="false">IF(AND(AK112&gt;تنظیمات!$B$11,AL112="بله"),1,0)</f>
        <v>0</v>
      </c>
      <c r="BH112" s="21" t="n">
        <f aca="false">MIN(100,AR112*تنظیمات!$B$21+AS112*تنظیمات!$B$22+AT112*تنظیمات!$B$23+AU112*تنظیمات!$B$24+AV112*تنظیمات!$B$25+AW112*تنظیمات!$B$26+AX112*تنظیمات!$B$27+AY112*تنظیمات!$B$28+AZ112*تنظیمات!$B$29+BA112*تنظیمات!$B$30+BB112*تنظیمات!$B$31+BC112*تنظیمات!$B$32+BD112*تنظیمات!$B$33+BE112*تنظیمات!$B$34+BF112*تنظیمات!$B$35+BG112*تنظیمات!$B$36)</f>
        <v>0</v>
      </c>
      <c r="BI112" s="16" t="str">
        <f aca="false">IF(BH112&gt;=60,"بحرانی",IF(BH112&gt;=30,"مشکوک",IF(BH112&gt;0,"هشدار","عادی")))</f>
        <v>عادی</v>
      </c>
      <c r="BJ112" s="16" t="s">
        <v>338</v>
      </c>
    </row>
    <row r="113" customFormat="false" ht="15" hidden="false" customHeight="false" outlineLevel="0" collapsed="false">
      <c r="A113" s="16" t="s">
        <v>769</v>
      </c>
      <c r="B113" s="16" t="s">
        <v>770</v>
      </c>
      <c r="C113" s="16"/>
      <c r="D113" s="16" t="s">
        <v>431</v>
      </c>
      <c r="E113" s="16" t="s">
        <v>375</v>
      </c>
      <c r="F113" s="16" t="s">
        <v>333</v>
      </c>
      <c r="G113" s="17" t="n">
        <v>46282.517650463</v>
      </c>
      <c r="H113" s="17" t="n">
        <v>46282.7808449074</v>
      </c>
      <c r="I113" s="18" t="n">
        <f aca="false">IF(H113="",ROUND((تنظیمات!$B$7-G113)*1440,0),ROUND((H113-G113)*1440,0))</f>
        <v>379</v>
      </c>
      <c r="J113" s="16" t="s">
        <v>334</v>
      </c>
      <c r="K113" s="16" t="s">
        <v>410</v>
      </c>
      <c r="L113" s="19" t="n">
        <v>0.953</v>
      </c>
      <c r="M113" s="19" t="n">
        <v>0.872</v>
      </c>
      <c r="N113" s="16" t="s">
        <v>335</v>
      </c>
      <c r="O113" s="16" t="s">
        <v>441</v>
      </c>
      <c r="P113" s="16" t="s">
        <v>420</v>
      </c>
      <c r="Q113" s="20" t="n">
        <v>46282</v>
      </c>
      <c r="R113" s="16" t="s">
        <v>771</v>
      </c>
      <c r="S113" s="16" t="s">
        <v>404</v>
      </c>
      <c r="T113" s="17"/>
      <c r="U113" s="21" t="n">
        <v>1</v>
      </c>
      <c r="V113" s="21" t="n">
        <v>1</v>
      </c>
      <c r="W113" s="22" t="n">
        <v>3.9</v>
      </c>
      <c r="X113" s="16" t="s">
        <v>335</v>
      </c>
      <c r="Y113" s="16" t="s">
        <v>338</v>
      </c>
      <c r="Z113" s="16" t="s">
        <v>443</v>
      </c>
      <c r="AA113" s="16"/>
      <c r="AB113" s="23"/>
      <c r="AC113" s="17"/>
      <c r="AD113" s="16" t="s">
        <v>444</v>
      </c>
      <c r="AE113" s="16"/>
      <c r="AF113" s="16" t="str">
        <f aca="false">IF(COUNTIF(لیست_سفید!$A$2:$A$21,B113)&gt;0,"بله","خیر")</f>
        <v>خیر</v>
      </c>
      <c r="AG113" s="24" t="n">
        <f aca="false">IF(H113="","",IF(AD113="فیش مفقودی",تنظیمات!$B$6,(INT(I113/1440)*تنظیمات!$B$5+IF(MOD(I113,1440)&lt;=تنظیمات!$B$2,0,MIN(تنظیمات!$B$5,تنظیمات!$B$3+MAX(0,ROUNDUP((MOD(I113,1440)-60)/60,0))*تنظیمات!$B$4)))*INDEX(تعرفه!$B$2:$B$7,MATCH(AD113,تعرفه!$A$2:$A$7,0))))</f>
        <v>0</v>
      </c>
      <c r="AH113" s="24" t="n">
        <v>0</v>
      </c>
      <c r="AI113" s="24" t="n">
        <f aca="false">IF(AG113="","",AH113-AG113)</f>
        <v>0</v>
      </c>
      <c r="AJ113" s="21" t="n">
        <v>1</v>
      </c>
      <c r="AK113" s="21" t="n">
        <v>0</v>
      </c>
      <c r="AL113" s="16" t="s">
        <v>335</v>
      </c>
      <c r="AM113" s="16"/>
      <c r="AN113" s="16" t="s">
        <v>340</v>
      </c>
      <c r="AO113" s="16" t="s">
        <v>340</v>
      </c>
      <c r="AP113" s="16" t="s">
        <v>335</v>
      </c>
      <c r="AQ113" s="16"/>
      <c r="AR113" s="21" t="n">
        <f aca="false">IF(AND(T113&lt;&gt;"",H113&lt;&gt;""),IF(AND((T113-H113)*86400&gt;=0,(T113-H113)*86400&lt;تنظیمات!$B$13),1,0),0)</f>
        <v>0</v>
      </c>
      <c r="AS113" s="21" t="n">
        <f aca="false">IF(Z113="پوز",IF(OR(AB113="",COUNTIF(پوزها!$A$2:$A$5,AA113)=0),1,0),0)</f>
        <v>0</v>
      </c>
      <c r="AT113" s="21" t="n">
        <f aca="false">IF(AI113="",0,IF(AI113&gt;0,1,0))</f>
        <v>0</v>
      </c>
      <c r="AU113" s="21" t="n">
        <f aca="false">IF(AI113="",0,IF(AI113&lt;0,1,0))</f>
        <v>0</v>
      </c>
      <c r="AV113" s="21" t="n">
        <f aca="false">IF(U113&gt;V113,1,0)</f>
        <v>0</v>
      </c>
      <c r="AW113" s="21" t="n">
        <f aca="false">IF(OR(W113&gt;تنظیمات!$B$8,X113="بله"),1,0)</f>
        <v>0</v>
      </c>
      <c r="AX113" s="21" t="n">
        <f aca="false">IF(AND(N113="بله",L113&gt;تنظیمات!$B$9),1,0)</f>
        <v>0</v>
      </c>
      <c r="AY113" s="21" t="n">
        <f aca="false">IF(Y113="معکوس",1,0)</f>
        <v>0</v>
      </c>
      <c r="AZ113" s="21" t="n">
        <f aca="false">IF(ABS(AJ113)&gt;تنظیمات!$B$10,1,0)</f>
        <v>0</v>
      </c>
      <c r="BA113" s="21" t="n">
        <f aca="false">IF(AND(OR(AD113="رایگان/VIP",AD113="جانباز"),AF113="خیر"),1,0)</f>
        <v>0</v>
      </c>
      <c r="BB113" s="21" t="n">
        <f aca="false">IF(AE113="",0,IF(COUNTIF($AE$2:$AE$1001,AE113)&gt;1,1,0))</f>
        <v>0</v>
      </c>
      <c r="BC113" s="21" t="n">
        <f aca="false">IF(AND(H113="",I113&gt;تنظیمات!$B$12*60,AM113="خالی"),1,0)</f>
        <v>0</v>
      </c>
      <c r="BD113" s="21" t="n">
        <f aca="false">IF(AND(AP113="بله",I113&lt;تنظیمات!$B$14,AO113="خیر"),1,0)</f>
        <v>0</v>
      </c>
      <c r="BE113" s="21" t="n">
        <f aca="false">IF(AN113="خیر",1,0)</f>
        <v>0</v>
      </c>
      <c r="BF113" s="21" t="n">
        <f aca="false">IF(AND(AD113="فیش مفقودی",AQ113="بله",I113&gt;تنظیمات!$B$12*60),1,0)</f>
        <v>0</v>
      </c>
      <c r="BG113" s="21" t="n">
        <f aca="false">IF(AND(AK113&gt;تنظیمات!$B$11,AL113="بله"),1,0)</f>
        <v>0</v>
      </c>
      <c r="BH113" s="21" t="n">
        <f aca="false">MIN(100,AR113*تنظیمات!$B$21+AS113*تنظیمات!$B$22+AT113*تنظیمات!$B$23+AU113*تنظیمات!$B$24+AV113*تنظیمات!$B$25+AW113*تنظیمات!$B$26+AX113*تنظیمات!$B$27+AY113*تنظیمات!$B$28+AZ113*تنظیمات!$B$29+BA113*تنظیمات!$B$30+BB113*تنظیمات!$B$31+BC113*تنظیمات!$B$32+BD113*تنظیمات!$B$33+BE113*تنظیمات!$B$34+BF113*تنظیمات!$B$35+BG113*تنظیمات!$B$36)</f>
        <v>0</v>
      </c>
      <c r="BI113" s="16" t="str">
        <f aca="false">IF(BH113&gt;=60,"بحرانی",IF(BH113&gt;=30,"مشکوک",IF(BH113&gt;0,"هشدار","عادی")))</f>
        <v>عادی</v>
      </c>
      <c r="BJ113" s="16" t="s">
        <v>338</v>
      </c>
    </row>
    <row r="114" customFormat="false" ht="15" hidden="false" customHeight="false" outlineLevel="0" collapsed="false">
      <c r="A114" s="16" t="s">
        <v>772</v>
      </c>
      <c r="B114" s="16" t="s">
        <v>773</v>
      </c>
      <c r="C114" s="16"/>
      <c r="D114" s="16" t="s">
        <v>431</v>
      </c>
      <c r="E114" s="16" t="s">
        <v>332</v>
      </c>
      <c r="F114" s="16" t="s">
        <v>333</v>
      </c>
      <c r="G114" s="17" t="n">
        <v>46282.5412152778</v>
      </c>
      <c r="H114" s="17" t="n">
        <v>46282.6655208333</v>
      </c>
      <c r="I114" s="18" t="n">
        <f aca="false">IF(H114="",ROUND((تنظیمات!$B$7-G114)*1440,0),ROUND((H114-G114)*1440,0))</f>
        <v>179</v>
      </c>
      <c r="J114" s="16" t="s">
        <v>346</v>
      </c>
      <c r="K114" s="16" t="s">
        <v>400</v>
      </c>
      <c r="L114" s="19" t="n">
        <v>0.973</v>
      </c>
      <c r="M114" s="19" t="n">
        <v>0.95</v>
      </c>
      <c r="N114" s="16" t="s">
        <v>335</v>
      </c>
      <c r="O114" s="16" t="s">
        <v>425</v>
      </c>
      <c r="P114" s="16" t="s">
        <v>420</v>
      </c>
      <c r="Q114" s="20" t="n">
        <v>46282</v>
      </c>
      <c r="R114" s="16" t="s">
        <v>774</v>
      </c>
      <c r="S114" s="16" t="s">
        <v>404</v>
      </c>
      <c r="T114" s="17"/>
      <c r="U114" s="21" t="n">
        <v>1</v>
      </c>
      <c r="V114" s="21" t="n">
        <v>1</v>
      </c>
      <c r="W114" s="22" t="n">
        <v>5.2</v>
      </c>
      <c r="X114" s="16" t="s">
        <v>335</v>
      </c>
      <c r="Y114" s="16" t="s">
        <v>338</v>
      </c>
      <c r="Z114" s="16" t="s">
        <v>413</v>
      </c>
      <c r="AA114" s="16" t="s">
        <v>427</v>
      </c>
      <c r="AB114" s="23" t="s">
        <v>775</v>
      </c>
      <c r="AC114" s="17" t="n">
        <v>46282.6645486111</v>
      </c>
      <c r="AD114" s="16" t="s">
        <v>338</v>
      </c>
      <c r="AE114" s="16"/>
      <c r="AF114" s="16" t="str">
        <f aca="false">IF(COUNTIF(لیست_سفید!$A$2:$A$21,B114)&gt;0,"بله","خیر")</f>
        <v>خیر</v>
      </c>
      <c r="AG114" s="24" t="n">
        <f aca="false">IF(H114="","",IF(AD114="فیش مفقودی",تنظیمات!$B$6,(INT(I114/1440)*تنظیمات!$B$5+IF(MOD(I114,1440)&lt;=تنظیمات!$B$2,0,MIN(تنظیمات!$B$5,تنظیمات!$B$3+MAX(0,ROUNDUP((MOD(I114,1440)-60)/60,0))*تنظیمات!$B$4)))*INDEX(تعرفه!$B$2:$B$7,MATCH(AD114,تعرفه!$A$2:$A$7,0))))</f>
        <v>48000</v>
      </c>
      <c r="AH114" s="24" t="n">
        <v>48000</v>
      </c>
      <c r="AI114" s="24" t="n">
        <f aca="false">IF(AG114="","",AH114-AG114)</f>
        <v>0</v>
      </c>
      <c r="AJ114" s="21" t="n">
        <v>-3</v>
      </c>
      <c r="AK114" s="21" t="n">
        <v>0</v>
      </c>
      <c r="AL114" s="16" t="s">
        <v>335</v>
      </c>
      <c r="AM114" s="16"/>
      <c r="AN114" s="16" t="s">
        <v>340</v>
      </c>
      <c r="AO114" s="16" t="s">
        <v>340</v>
      </c>
      <c r="AP114" s="16" t="s">
        <v>335</v>
      </c>
      <c r="AQ114" s="16"/>
      <c r="AR114" s="21" t="n">
        <f aca="false">IF(AND(T114&lt;&gt;"",H114&lt;&gt;""),IF(AND((T114-H114)*86400&gt;=0,(T114-H114)*86400&lt;تنظیمات!$B$13),1,0),0)</f>
        <v>0</v>
      </c>
      <c r="AS114" s="21" t="n">
        <f aca="false">IF(Z114="پوز",IF(OR(AB114="",COUNTIF(پوزها!$A$2:$A$5,AA114)=0),1,0),0)</f>
        <v>0</v>
      </c>
      <c r="AT114" s="21" t="n">
        <f aca="false">IF(AI114="",0,IF(AI114&gt;0,1,0))</f>
        <v>0</v>
      </c>
      <c r="AU114" s="21" t="n">
        <f aca="false">IF(AI114="",0,IF(AI114&lt;0,1,0))</f>
        <v>0</v>
      </c>
      <c r="AV114" s="21" t="n">
        <f aca="false">IF(U114&gt;V114,1,0)</f>
        <v>0</v>
      </c>
      <c r="AW114" s="21" t="n">
        <f aca="false">IF(OR(W114&gt;تنظیمات!$B$8,X114="بله"),1,0)</f>
        <v>0</v>
      </c>
      <c r="AX114" s="21" t="n">
        <f aca="false">IF(AND(N114="بله",L114&gt;تنظیمات!$B$9),1,0)</f>
        <v>0</v>
      </c>
      <c r="AY114" s="21" t="n">
        <f aca="false">IF(Y114="معکوس",1,0)</f>
        <v>0</v>
      </c>
      <c r="AZ114" s="21" t="n">
        <f aca="false">IF(ABS(AJ114)&gt;تنظیمات!$B$10,1,0)</f>
        <v>0</v>
      </c>
      <c r="BA114" s="21" t="n">
        <f aca="false">IF(AND(OR(AD114="رایگان/VIP",AD114="جانباز"),AF114="خیر"),1,0)</f>
        <v>0</v>
      </c>
      <c r="BB114" s="21" t="n">
        <f aca="false">IF(AE114="",0,IF(COUNTIF($AE$2:$AE$1001,AE114)&gt;1,1,0))</f>
        <v>0</v>
      </c>
      <c r="BC114" s="21" t="n">
        <f aca="false">IF(AND(H114="",I114&gt;تنظیمات!$B$12*60,AM114="خالی"),1,0)</f>
        <v>0</v>
      </c>
      <c r="BD114" s="21" t="n">
        <f aca="false">IF(AND(AP114="بله",I114&lt;تنظیمات!$B$14,AO114="خیر"),1,0)</f>
        <v>0</v>
      </c>
      <c r="BE114" s="21" t="n">
        <f aca="false">IF(AN114="خیر",1,0)</f>
        <v>0</v>
      </c>
      <c r="BF114" s="21" t="n">
        <f aca="false">IF(AND(AD114="فیش مفقودی",AQ114="بله",I114&gt;تنظیمات!$B$12*60),1,0)</f>
        <v>0</v>
      </c>
      <c r="BG114" s="21" t="n">
        <f aca="false">IF(AND(AK114&gt;تنظیمات!$B$11,AL114="بله"),1,0)</f>
        <v>0</v>
      </c>
      <c r="BH114" s="21" t="n">
        <f aca="false">MIN(100,AR114*تنظیمات!$B$21+AS114*تنظیمات!$B$22+AT114*تنظیمات!$B$23+AU114*تنظیمات!$B$24+AV114*تنظیمات!$B$25+AW114*تنظیمات!$B$26+AX114*تنظیمات!$B$27+AY114*تنظیمات!$B$28+AZ114*تنظیمات!$B$29+BA114*تنظیمات!$B$30+BB114*تنظیمات!$B$31+BC114*تنظیمات!$B$32+BD114*تنظیمات!$B$33+BE114*تنظیمات!$B$34+BF114*تنظیمات!$B$35+BG114*تنظیمات!$B$36)</f>
        <v>0</v>
      </c>
      <c r="BI114" s="16" t="str">
        <f aca="false">IF(BH114&gt;=60,"بحرانی",IF(BH114&gt;=30,"مشکوک",IF(BH114&gt;0,"هشدار","عادی")))</f>
        <v>عادی</v>
      </c>
      <c r="BJ114" s="16" t="s">
        <v>338</v>
      </c>
    </row>
    <row r="115" customFormat="false" ht="15" hidden="false" customHeight="false" outlineLevel="0" collapsed="false">
      <c r="A115" s="16" t="s">
        <v>776</v>
      </c>
      <c r="B115" s="16" t="s">
        <v>777</v>
      </c>
      <c r="C115" s="16"/>
      <c r="D115" s="16" t="s">
        <v>450</v>
      </c>
      <c r="E115" s="16" t="s">
        <v>345</v>
      </c>
      <c r="F115" s="16" t="s">
        <v>333</v>
      </c>
      <c r="G115" s="17" t="n">
        <v>46282.5465625</v>
      </c>
      <c r="H115" s="17" t="n">
        <v>46282.5930902778</v>
      </c>
      <c r="I115" s="18" t="n">
        <f aca="false">IF(H115="",ROUND((تنظیمات!$B$7-G115)*1440,0),ROUND((H115-G115)*1440,0))</f>
        <v>67</v>
      </c>
      <c r="J115" s="16" t="s">
        <v>346</v>
      </c>
      <c r="K115" s="16" t="s">
        <v>410</v>
      </c>
      <c r="L115" s="19" t="n">
        <v>0.95</v>
      </c>
      <c r="M115" s="19" t="n">
        <v>0.926</v>
      </c>
      <c r="N115" s="16" t="s">
        <v>335</v>
      </c>
      <c r="O115" s="16" t="s">
        <v>441</v>
      </c>
      <c r="P115" s="16" t="s">
        <v>420</v>
      </c>
      <c r="Q115" s="20" t="n">
        <v>46282</v>
      </c>
      <c r="R115" s="16" t="s">
        <v>778</v>
      </c>
      <c r="S115" s="16" t="s">
        <v>404</v>
      </c>
      <c r="T115" s="17"/>
      <c r="U115" s="21" t="n">
        <v>1</v>
      </c>
      <c r="V115" s="21" t="n">
        <v>1</v>
      </c>
      <c r="W115" s="22" t="n">
        <v>6.3</v>
      </c>
      <c r="X115" s="16" t="s">
        <v>335</v>
      </c>
      <c r="Y115" s="16" t="s">
        <v>338</v>
      </c>
      <c r="Z115" s="16" t="s">
        <v>413</v>
      </c>
      <c r="AA115" s="16" t="s">
        <v>414</v>
      </c>
      <c r="AB115" s="23" t="s">
        <v>779</v>
      </c>
      <c r="AC115" s="17" t="n">
        <v>46282.5925</v>
      </c>
      <c r="AD115" s="16" t="s">
        <v>481</v>
      </c>
      <c r="AE115" s="16" t="s">
        <v>780</v>
      </c>
      <c r="AF115" s="16" t="str">
        <f aca="false">IF(COUNTIF(لیست_سفید!$A$2:$A$21,B115)&gt;0,"بله","خیر")</f>
        <v>خیر</v>
      </c>
      <c r="AG115" s="24" t="n">
        <f aca="false">IF(H115="","",IF(AD115="فیش مفقودی",تنظیمات!$B$6,(INT(I115/1440)*تنظیمات!$B$5+IF(MOD(I115,1440)&lt;=تنظیمات!$B$2,0,MIN(تنظیمات!$B$5,تنظیمات!$B$3+MAX(0,ROUNDUP((MOD(I115,1440)-60)/60,0))*تنظیمات!$B$4)))*INDEX(تعرفه!$B$2:$B$7,MATCH(AD115,تعرفه!$A$2:$A$7,0))))</f>
        <v>17000</v>
      </c>
      <c r="AH115" s="24" t="n">
        <v>17000</v>
      </c>
      <c r="AI115" s="24" t="n">
        <f aca="false">IF(AG115="","",AH115-AG115)</f>
        <v>0</v>
      </c>
      <c r="AJ115" s="21" t="n">
        <v>-3</v>
      </c>
      <c r="AK115" s="21" t="n">
        <v>0</v>
      </c>
      <c r="AL115" s="16" t="s">
        <v>335</v>
      </c>
      <c r="AM115" s="16"/>
      <c r="AN115" s="16" t="s">
        <v>340</v>
      </c>
      <c r="AO115" s="16" t="s">
        <v>340</v>
      </c>
      <c r="AP115" s="16" t="s">
        <v>335</v>
      </c>
      <c r="AQ115" s="16"/>
      <c r="AR115" s="21" t="n">
        <f aca="false">IF(AND(T115&lt;&gt;"",H115&lt;&gt;""),IF(AND((T115-H115)*86400&gt;=0,(T115-H115)*86400&lt;تنظیمات!$B$13),1,0),0)</f>
        <v>0</v>
      </c>
      <c r="AS115" s="21" t="n">
        <f aca="false">IF(Z115="پوز",IF(OR(AB115="",COUNTIF(پوزها!$A$2:$A$5,AA115)=0),1,0),0)</f>
        <v>0</v>
      </c>
      <c r="AT115" s="21" t="n">
        <f aca="false">IF(AI115="",0,IF(AI115&gt;0,1,0))</f>
        <v>0</v>
      </c>
      <c r="AU115" s="21" t="n">
        <f aca="false">IF(AI115="",0,IF(AI115&lt;0,1,0))</f>
        <v>0</v>
      </c>
      <c r="AV115" s="21" t="n">
        <f aca="false">IF(U115&gt;V115,1,0)</f>
        <v>0</v>
      </c>
      <c r="AW115" s="21" t="n">
        <f aca="false">IF(OR(W115&gt;تنظیمات!$B$8,X115="بله"),1,0)</f>
        <v>0</v>
      </c>
      <c r="AX115" s="21" t="n">
        <f aca="false">IF(AND(N115="بله",L115&gt;تنظیمات!$B$9),1,0)</f>
        <v>0</v>
      </c>
      <c r="AY115" s="21" t="n">
        <f aca="false">IF(Y115="معکوس",1,0)</f>
        <v>0</v>
      </c>
      <c r="AZ115" s="21" t="n">
        <f aca="false">IF(ABS(AJ115)&gt;تنظیمات!$B$10,1,0)</f>
        <v>0</v>
      </c>
      <c r="BA115" s="21" t="n">
        <f aca="false">IF(AND(OR(AD115="رایگان/VIP",AD115="جانباز"),AF115="خیر"),1,0)</f>
        <v>0</v>
      </c>
      <c r="BB115" s="21" t="n">
        <f aca="false">IF(AE115="",0,IF(COUNTIF($AE$2:$AE$1001,AE115)&gt;1,1,0))</f>
        <v>0</v>
      </c>
      <c r="BC115" s="21" t="n">
        <f aca="false">IF(AND(H115="",I115&gt;تنظیمات!$B$12*60,AM115="خالی"),1,0)</f>
        <v>0</v>
      </c>
      <c r="BD115" s="21" t="n">
        <f aca="false">IF(AND(AP115="بله",I115&lt;تنظیمات!$B$14,AO115="خیر"),1,0)</f>
        <v>0</v>
      </c>
      <c r="BE115" s="21" t="n">
        <f aca="false">IF(AN115="خیر",1,0)</f>
        <v>0</v>
      </c>
      <c r="BF115" s="21" t="n">
        <f aca="false">IF(AND(AD115="فیش مفقودی",AQ115="بله",I115&gt;تنظیمات!$B$12*60),1,0)</f>
        <v>0</v>
      </c>
      <c r="BG115" s="21" t="n">
        <f aca="false">IF(AND(AK115&gt;تنظیمات!$B$11,AL115="بله"),1,0)</f>
        <v>0</v>
      </c>
      <c r="BH115" s="21" t="n">
        <f aca="false">MIN(100,AR115*تنظیمات!$B$21+AS115*تنظیمات!$B$22+AT115*تنظیمات!$B$23+AU115*تنظیمات!$B$24+AV115*تنظیمات!$B$25+AW115*تنظیمات!$B$26+AX115*تنظیمات!$B$27+AY115*تنظیمات!$B$28+AZ115*تنظیمات!$B$29+BA115*تنظیمات!$B$30+BB115*تنظیمات!$B$31+BC115*تنظیمات!$B$32+BD115*تنظیمات!$B$33+BE115*تنظیمات!$B$34+BF115*تنظیمات!$B$35+BG115*تنظیمات!$B$36)</f>
        <v>0</v>
      </c>
      <c r="BI115" s="16" t="str">
        <f aca="false">IF(BH115&gt;=60,"بحرانی",IF(BH115&gt;=30,"مشکوک",IF(BH115&gt;0,"هشدار","عادی")))</f>
        <v>عادی</v>
      </c>
      <c r="BJ115" s="16" t="s">
        <v>338</v>
      </c>
    </row>
    <row r="116" customFormat="false" ht="15" hidden="false" customHeight="false" outlineLevel="0" collapsed="false">
      <c r="A116" s="16" t="s">
        <v>781</v>
      </c>
      <c r="B116" s="16" t="s">
        <v>693</v>
      </c>
      <c r="C116" s="16" t="s">
        <v>782</v>
      </c>
      <c r="D116" s="16" t="s">
        <v>531</v>
      </c>
      <c r="E116" s="16" t="s">
        <v>390</v>
      </c>
      <c r="F116" s="16" t="s">
        <v>333</v>
      </c>
      <c r="G116" s="17" t="n">
        <v>46282.5469560185</v>
      </c>
      <c r="H116" s="17" t="n">
        <v>46282.5615393519</v>
      </c>
      <c r="I116" s="18" t="n">
        <f aca="false">IF(H116="",ROUND((تنظیمات!$B$7-G116)*1440,0),ROUND((H116-G116)*1440,0))</f>
        <v>21</v>
      </c>
      <c r="J116" s="16" t="s">
        <v>334</v>
      </c>
      <c r="K116" s="16" t="s">
        <v>400</v>
      </c>
      <c r="L116" s="19" t="n">
        <v>0.958</v>
      </c>
      <c r="M116" s="19" t="n">
        <v>0.937</v>
      </c>
      <c r="N116" s="16" t="s">
        <v>340</v>
      </c>
      <c r="O116" s="16" t="s">
        <v>666</v>
      </c>
      <c r="P116" s="16" t="s">
        <v>402</v>
      </c>
      <c r="Q116" s="20" t="n">
        <v>46282</v>
      </c>
      <c r="R116" s="16" t="s">
        <v>783</v>
      </c>
      <c r="S116" s="16" t="s">
        <v>404</v>
      </c>
      <c r="T116" s="17"/>
      <c r="U116" s="21" t="n">
        <v>1</v>
      </c>
      <c r="V116" s="21" t="n">
        <v>1</v>
      </c>
      <c r="W116" s="22" t="n">
        <v>5.2</v>
      </c>
      <c r="X116" s="16" t="s">
        <v>335</v>
      </c>
      <c r="Y116" s="16" t="s">
        <v>338</v>
      </c>
      <c r="Z116" s="16" t="s">
        <v>405</v>
      </c>
      <c r="AA116" s="16"/>
      <c r="AB116" s="23"/>
      <c r="AC116" s="17"/>
      <c r="AD116" s="16" t="s">
        <v>338</v>
      </c>
      <c r="AE116" s="16"/>
      <c r="AF116" s="16" t="str">
        <f aca="false">IF(COUNTIF(لیست_سفید!$A$2:$A$21,B116)&gt;0,"بله","خیر")</f>
        <v>خیر</v>
      </c>
      <c r="AG116" s="24" t="n">
        <f aca="false">IF(H116="","",IF(AD116="فیش مفقودی",تنظیمات!$B$6,(INT(I116/1440)*تنظیمات!$B$5+IF(MOD(I116,1440)&lt;=تنظیمات!$B$2,0,MIN(تنظیمات!$B$5,تنظیمات!$B$3+MAX(0,ROUNDUP((MOD(I116,1440)-60)/60,0))*تنظیمات!$B$4)))*INDEX(تعرفه!$B$2:$B$7,MATCH(AD116,تعرفه!$A$2:$A$7,0))))</f>
        <v>20000</v>
      </c>
      <c r="AH116" s="24" t="n">
        <v>20000</v>
      </c>
      <c r="AI116" s="24" t="n">
        <f aca="false">IF(AG116="","",AH116-AG116)</f>
        <v>0</v>
      </c>
      <c r="AJ116" s="21" t="n">
        <v>-3</v>
      </c>
      <c r="AK116" s="21" t="n">
        <v>0</v>
      </c>
      <c r="AL116" s="16" t="s">
        <v>335</v>
      </c>
      <c r="AM116" s="16"/>
      <c r="AN116" s="16" t="s">
        <v>340</v>
      </c>
      <c r="AO116" s="16" t="s">
        <v>340</v>
      </c>
      <c r="AP116" s="16" t="s">
        <v>335</v>
      </c>
      <c r="AQ116" s="16"/>
      <c r="AR116" s="21" t="n">
        <f aca="false">IF(AND(T116&lt;&gt;"",H116&lt;&gt;""),IF(AND((T116-H116)*86400&gt;=0,(T116-H116)*86400&lt;تنظیمات!$B$13),1,0),0)</f>
        <v>0</v>
      </c>
      <c r="AS116" s="21" t="n">
        <f aca="false">IF(Z116="پوز",IF(OR(AB116="",COUNTIF(پوزها!$A$2:$A$5,AA116)=0),1,0),0)</f>
        <v>0</v>
      </c>
      <c r="AT116" s="21" t="n">
        <f aca="false">IF(AI116="",0,IF(AI116&gt;0,1,0))</f>
        <v>0</v>
      </c>
      <c r="AU116" s="21" t="n">
        <f aca="false">IF(AI116="",0,IF(AI116&lt;0,1,0))</f>
        <v>0</v>
      </c>
      <c r="AV116" s="21" t="n">
        <f aca="false">IF(U116&gt;V116,1,0)</f>
        <v>0</v>
      </c>
      <c r="AW116" s="21" t="n">
        <f aca="false">IF(OR(W116&gt;تنظیمات!$B$8,X116="بله"),1,0)</f>
        <v>0</v>
      </c>
      <c r="AX116" s="21" t="n">
        <f aca="false">IF(AND(N116="بله",L116&gt;تنظیمات!$B$9),1,0)</f>
        <v>1</v>
      </c>
      <c r="AY116" s="21" t="n">
        <f aca="false">IF(Y116="معکوس",1,0)</f>
        <v>0</v>
      </c>
      <c r="AZ116" s="21" t="n">
        <f aca="false">IF(ABS(AJ116)&gt;تنظیمات!$B$10,1,0)</f>
        <v>0</v>
      </c>
      <c r="BA116" s="21" t="n">
        <f aca="false">IF(AND(OR(AD116="رایگان/VIP",AD116="جانباز"),AF116="خیر"),1,0)</f>
        <v>0</v>
      </c>
      <c r="BB116" s="21" t="n">
        <f aca="false">IF(AE116="",0,IF(COUNTIF($AE$2:$AE$1001,AE116)&gt;1,1,0))</f>
        <v>0</v>
      </c>
      <c r="BC116" s="21" t="n">
        <f aca="false">IF(AND(H116="",I116&gt;تنظیمات!$B$12*60,AM116="خالی"),1,0)</f>
        <v>0</v>
      </c>
      <c r="BD116" s="21" t="n">
        <f aca="false">IF(AND(AP116="بله",I116&lt;تنظیمات!$B$14,AO116="خیر"),1,0)</f>
        <v>0</v>
      </c>
      <c r="BE116" s="21" t="n">
        <f aca="false">IF(AN116="خیر",1,0)</f>
        <v>0</v>
      </c>
      <c r="BF116" s="21" t="n">
        <f aca="false">IF(AND(AD116="فیش مفقودی",AQ116="بله",I116&gt;تنظیمات!$B$12*60),1,0)</f>
        <v>0</v>
      </c>
      <c r="BG116" s="21" t="n">
        <f aca="false">IF(AND(AK116&gt;تنظیمات!$B$11,AL116="بله"),1,0)</f>
        <v>0</v>
      </c>
      <c r="BH116" s="21" t="n">
        <f aca="false">MIN(100,AR116*تنظیمات!$B$21+AS116*تنظیمات!$B$22+AT116*تنظیمات!$B$23+AU116*تنظیمات!$B$24+AV116*تنظیمات!$B$25+AW116*تنظیمات!$B$26+AX116*تنظیمات!$B$27+AY116*تنظیمات!$B$28+AZ116*تنظیمات!$B$29+BA116*تنظیمات!$B$30+BB116*تنظیمات!$B$31+BC116*تنظیمات!$B$32+BD116*تنظیمات!$B$33+BE116*تنظیمات!$B$34+BF116*تنظیمات!$B$35+BG116*تنظیمات!$B$36)</f>
        <v>30</v>
      </c>
      <c r="BI116" s="16" t="str">
        <f aca="false">IF(BH116&gt;=60,"بحرانی",IF(BH116&gt;=30,"مشکوک",IF(BH116&gt;0,"هشدار","عادی")))</f>
        <v>مشکوک</v>
      </c>
      <c r="BJ116" s="16" t="s">
        <v>622</v>
      </c>
    </row>
    <row r="117" customFormat="false" ht="15" hidden="false" customHeight="false" outlineLevel="0" collapsed="false">
      <c r="A117" s="16" t="s">
        <v>784</v>
      </c>
      <c r="B117" s="16" t="s">
        <v>785</v>
      </c>
      <c r="C117" s="16"/>
      <c r="D117" s="16" t="s">
        <v>523</v>
      </c>
      <c r="E117" s="16" t="s">
        <v>351</v>
      </c>
      <c r="F117" s="16" t="s">
        <v>333</v>
      </c>
      <c r="G117" s="17" t="n">
        <v>46282.5505439815</v>
      </c>
      <c r="H117" s="17" t="n">
        <v>46282.8130439815</v>
      </c>
      <c r="I117" s="18" t="n">
        <f aca="false">IF(H117="",ROUND((تنظیمات!$B$7-G117)*1440,0),ROUND((H117-G117)*1440,0))</f>
        <v>378</v>
      </c>
      <c r="J117" s="16" t="s">
        <v>334</v>
      </c>
      <c r="K117" s="16" t="s">
        <v>400</v>
      </c>
      <c r="L117" s="19" t="n">
        <v>0.978</v>
      </c>
      <c r="M117" s="19" t="n">
        <v>0.911</v>
      </c>
      <c r="N117" s="16" t="s">
        <v>335</v>
      </c>
      <c r="O117" s="16" t="s">
        <v>425</v>
      </c>
      <c r="P117" s="16" t="s">
        <v>420</v>
      </c>
      <c r="Q117" s="20" t="n">
        <v>46282</v>
      </c>
      <c r="R117" s="16" t="s">
        <v>786</v>
      </c>
      <c r="S117" s="16" t="s">
        <v>404</v>
      </c>
      <c r="T117" s="17"/>
      <c r="U117" s="21" t="n">
        <v>1</v>
      </c>
      <c r="V117" s="21" t="n">
        <v>1</v>
      </c>
      <c r="W117" s="22" t="n">
        <v>4.3</v>
      </c>
      <c r="X117" s="16" t="s">
        <v>335</v>
      </c>
      <c r="Y117" s="16" t="s">
        <v>338</v>
      </c>
      <c r="Z117" s="16" t="s">
        <v>405</v>
      </c>
      <c r="AA117" s="16"/>
      <c r="AB117" s="23"/>
      <c r="AC117" s="17"/>
      <c r="AD117" s="16" t="s">
        <v>338</v>
      </c>
      <c r="AE117" s="16"/>
      <c r="AF117" s="16" t="str">
        <f aca="false">IF(COUNTIF(لیست_سفید!$A$2:$A$21,B117)&gt;0,"بله","خیر")</f>
        <v>خیر</v>
      </c>
      <c r="AG117" s="24" t="n">
        <f aca="false">IF(H117="","",IF(AD117="فیش مفقودی",تنظیمات!$B$6,(INT(I117/1440)*تنظیمات!$B$5+IF(MOD(I117,1440)&lt;=تنظیمات!$B$2,0,MIN(تنظیمات!$B$5,تنظیمات!$B$3+MAX(0,ROUNDUP((MOD(I117,1440)-60)/60,0))*تنظیمات!$B$4)))*INDEX(تعرفه!$B$2:$B$7,MATCH(AD117,تعرفه!$A$2:$A$7,0))))</f>
        <v>104000</v>
      </c>
      <c r="AH117" s="24" t="n">
        <v>104000</v>
      </c>
      <c r="AI117" s="24" t="n">
        <f aca="false">IF(AG117="","",AH117-AG117)</f>
        <v>0</v>
      </c>
      <c r="AJ117" s="21" t="n">
        <v>0</v>
      </c>
      <c r="AK117" s="21" t="n">
        <v>0</v>
      </c>
      <c r="AL117" s="16" t="s">
        <v>335</v>
      </c>
      <c r="AM117" s="16"/>
      <c r="AN117" s="16" t="s">
        <v>340</v>
      </c>
      <c r="AO117" s="16" t="s">
        <v>340</v>
      </c>
      <c r="AP117" s="16" t="s">
        <v>335</v>
      </c>
      <c r="AQ117" s="16"/>
      <c r="AR117" s="21" t="n">
        <f aca="false">IF(AND(T117&lt;&gt;"",H117&lt;&gt;""),IF(AND((T117-H117)*86400&gt;=0,(T117-H117)*86400&lt;تنظیمات!$B$13),1,0),0)</f>
        <v>0</v>
      </c>
      <c r="AS117" s="21" t="n">
        <f aca="false">IF(Z117="پوز",IF(OR(AB117="",COUNTIF(پوزها!$A$2:$A$5,AA117)=0),1,0),0)</f>
        <v>0</v>
      </c>
      <c r="AT117" s="21" t="n">
        <f aca="false">IF(AI117="",0,IF(AI117&gt;0,1,0))</f>
        <v>0</v>
      </c>
      <c r="AU117" s="21" t="n">
        <f aca="false">IF(AI117="",0,IF(AI117&lt;0,1,0))</f>
        <v>0</v>
      </c>
      <c r="AV117" s="21" t="n">
        <f aca="false">IF(U117&gt;V117,1,0)</f>
        <v>0</v>
      </c>
      <c r="AW117" s="21" t="n">
        <f aca="false">IF(OR(W117&gt;تنظیمات!$B$8,X117="بله"),1,0)</f>
        <v>0</v>
      </c>
      <c r="AX117" s="21" t="n">
        <f aca="false">IF(AND(N117="بله",L117&gt;تنظیمات!$B$9),1,0)</f>
        <v>0</v>
      </c>
      <c r="AY117" s="21" t="n">
        <f aca="false">IF(Y117="معکوس",1,0)</f>
        <v>0</v>
      </c>
      <c r="AZ117" s="21" t="n">
        <f aca="false">IF(ABS(AJ117)&gt;تنظیمات!$B$10,1,0)</f>
        <v>0</v>
      </c>
      <c r="BA117" s="21" t="n">
        <f aca="false">IF(AND(OR(AD117="رایگان/VIP",AD117="جانباز"),AF117="خیر"),1,0)</f>
        <v>0</v>
      </c>
      <c r="BB117" s="21" t="n">
        <f aca="false">IF(AE117="",0,IF(COUNTIF($AE$2:$AE$1001,AE117)&gt;1,1,0))</f>
        <v>0</v>
      </c>
      <c r="BC117" s="21" t="n">
        <f aca="false">IF(AND(H117="",I117&gt;تنظیمات!$B$12*60,AM117="خالی"),1,0)</f>
        <v>0</v>
      </c>
      <c r="BD117" s="21" t="n">
        <f aca="false">IF(AND(AP117="بله",I117&lt;تنظیمات!$B$14,AO117="خیر"),1,0)</f>
        <v>0</v>
      </c>
      <c r="BE117" s="21" t="n">
        <f aca="false">IF(AN117="خیر",1,0)</f>
        <v>0</v>
      </c>
      <c r="BF117" s="21" t="n">
        <f aca="false">IF(AND(AD117="فیش مفقودی",AQ117="بله",I117&gt;تنظیمات!$B$12*60),1,0)</f>
        <v>0</v>
      </c>
      <c r="BG117" s="21" t="n">
        <f aca="false">IF(AND(AK117&gt;تنظیمات!$B$11,AL117="بله"),1,0)</f>
        <v>0</v>
      </c>
      <c r="BH117" s="21" t="n">
        <f aca="false">MIN(100,AR117*تنظیمات!$B$21+AS117*تنظیمات!$B$22+AT117*تنظیمات!$B$23+AU117*تنظیمات!$B$24+AV117*تنظیمات!$B$25+AW117*تنظیمات!$B$26+AX117*تنظیمات!$B$27+AY117*تنظیمات!$B$28+AZ117*تنظیمات!$B$29+BA117*تنظیمات!$B$30+BB117*تنظیمات!$B$31+BC117*تنظیمات!$B$32+BD117*تنظیمات!$B$33+BE117*تنظیمات!$B$34+BF117*تنظیمات!$B$35+BG117*تنظیمات!$B$36)</f>
        <v>0</v>
      </c>
      <c r="BI117" s="16" t="str">
        <f aca="false">IF(BH117&gt;=60,"بحرانی",IF(BH117&gt;=30,"مشکوک",IF(BH117&gt;0,"هشدار","عادی")))</f>
        <v>عادی</v>
      </c>
      <c r="BJ117" s="16" t="s">
        <v>338</v>
      </c>
    </row>
    <row r="118" customFormat="false" ht="15" hidden="false" customHeight="false" outlineLevel="0" collapsed="false">
      <c r="A118" s="16" t="s">
        <v>787</v>
      </c>
      <c r="B118" s="16" t="s">
        <v>788</v>
      </c>
      <c r="C118" s="16"/>
      <c r="D118" s="16" t="s">
        <v>508</v>
      </c>
      <c r="E118" s="16" t="s">
        <v>332</v>
      </c>
      <c r="F118" s="16" t="s">
        <v>333</v>
      </c>
      <c r="G118" s="17" t="n">
        <v>46282.553599537</v>
      </c>
      <c r="H118" s="17" t="n">
        <v>46282.5744328704</v>
      </c>
      <c r="I118" s="18" t="n">
        <f aca="false">IF(H118="",ROUND((تنظیمات!$B$7-G118)*1440,0),ROUND((H118-G118)*1440,0))</f>
        <v>30</v>
      </c>
      <c r="J118" s="16" t="s">
        <v>346</v>
      </c>
      <c r="K118" s="16" t="s">
        <v>410</v>
      </c>
      <c r="L118" s="19" t="n">
        <v>0.935</v>
      </c>
      <c r="M118" s="19" t="n">
        <v>0.928</v>
      </c>
      <c r="N118" s="16" t="s">
        <v>335</v>
      </c>
      <c r="O118" s="16" t="s">
        <v>677</v>
      </c>
      <c r="P118" s="16" t="s">
        <v>402</v>
      </c>
      <c r="Q118" s="20" t="n">
        <v>46282</v>
      </c>
      <c r="R118" s="16" t="s">
        <v>789</v>
      </c>
      <c r="S118" s="16" t="s">
        <v>404</v>
      </c>
      <c r="T118" s="17"/>
      <c r="U118" s="21" t="n">
        <v>1</v>
      </c>
      <c r="V118" s="21" t="n">
        <v>1</v>
      </c>
      <c r="W118" s="22" t="n">
        <v>5.1</v>
      </c>
      <c r="X118" s="16" t="s">
        <v>335</v>
      </c>
      <c r="Y118" s="16" t="s">
        <v>338</v>
      </c>
      <c r="Z118" s="16" t="s">
        <v>413</v>
      </c>
      <c r="AA118" s="16" t="s">
        <v>414</v>
      </c>
      <c r="AB118" s="23" t="s">
        <v>790</v>
      </c>
      <c r="AC118" s="17" t="n">
        <v>46282.5739351852</v>
      </c>
      <c r="AD118" s="16" t="s">
        <v>338</v>
      </c>
      <c r="AE118" s="16"/>
      <c r="AF118" s="16" t="str">
        <f aca="false">IF(COUNTIF(لیست_سفید!$A$2:$A$21,B118)&gt;0,"بله","خیر")</f>
        <v>خیر</v>
      </c>
      <c r="AG118" s="24" t="n">
        <f aca="false">IF(H118="","",IF(AD118="فیش مفقودی",تنظیمات!$B$6,(INT(I118/1440)*تنظیمات!$B$5+IF(MOD(I118,1440)&lt;=تنظیمات!$B$2,0,MIN(تنظیمات!$B$5,تنظیمات!$B$3+MAX(0,ROUNDUP((MOD(I118,1440)-60)/60,0))*تنظیمات!$B$4)))*INDEX(تعرفه!$B$2:$B$7,MATCH(AD118,تعرفه!$A$2:$A$7,0))))</f>
        <v>20000</v>
      </c>
      <c r="AH118" s="24" t="n">
        <v>20000</v>
      </c>
      <c r="AI118" s="24" t="n">
        <f aca="false">IF(AG118="","",AH118-AG118)</f>
        <v>0</v>
      </c>
      <c r="AJ118" s="21" t="n">
        <v>0</v>
      </c>
      <c r="AK118" s="21" t="n">
        <v>0</v>
      </c>
      <c r="AL118" s="16" t="s">
        <v>335</v>
      </c>
      <c r="AM118" s="16"/>
      <c r="AN118" s="16" t="s">
        <v>340</v>
      </c>
      <c r="AO118" s="16" t="s">
        <v>340</v>
      </c>
      <c r="AP118" s="16" t="s">
        <v>335</v>
      </c>
      <c r="AQ118" s="16"/>
      <c r="AR118" s="21" t="n">
        <f aca="false">IF(AND(T118&lt;&gt;"",H118&lt;&gt;""),IF(AND((T118-H118)*86400&gt;=0,(T118-H118)*86400&lt;تنظیمات!$B$13),1,0),0)</f>
        <v>0</v>
      </c>
      <c r="AS118" s="21" t="n">
        <f aca="false">IF(Z118="پوز",IF(OR(AB118="",COUNTIF(پوزها!$A$2:$A$5,AA118)=0),1,0),0)</f>
        <v>0</v>
      </c>
      <c r="AT118" s="21" t="n">
        <f aca="false">IF(AI118="",0,IF(AI118&gt;0,1,0))</f>
        <v>0</v>
      </c>
      <c r="AU118" s="21" t="n">
        <f aca="false">IF(AI118="",0,IF(AI118&lt;0,1,0))</f>
        <v>0</v>
      </c>
      <c r="AV118" s="21" t="n">
        <f aca="false">IF(U118&gt;V118,1,0)</f>
        <v>0</v>
      </c>
      <c r="AW118" s="21" t="n">
        <f aca="false">IF(OR(W118&gt;تنظیمات!$B$8,X118="بله"),1,0)</f>
        <v>0</v>
      </c>
      <c r="AX118" s="21" t="n">
        <f aca="false">IF(AND(N118="بله",L118&gt;تنظیمات!$B$9),1,0)</f>
        <v>0</v>
      </c>
      <c r="AY118" s="21" t="n">
        <f aca="false">IF(Y118="معکوس",1,0)</f>
        <v>0</v>
      </c>
      <c r="AZ118" s="21" t="n">
        <f aca="false">IF(ABS(AJ118)&gt;تنظیمات!$B$10,1,0)</f>
        <v>0</v>
      </c>
      <c r="BA118" s="21" t="n">
        <f aca="false">IF(AND(OR(AD118="رایگان/VIP",AD118="جانباز"),AF118="خیر"),1,0)</f>
        <v>0</v>
      </c>
      <c r="BB118" s="21" t="n">
        <f aca="false">IF(AE118="",0,IF(COUNTIF($AE$2:$AE$1001,AE118)&gt;1,1,0))</f>
        <v>0</v>
      </c>
      <c r="BC118" s="21" t="n">
        <f aca="false">IF(AND(H118="",I118&gt;تنظیمات!$B$12*60,AM118="خالی"),1,0)</f>
        <v>0</v>
      </c>
      <c r="BD118" s="21" t="n">
        <f aca="false">IF(AND(AP118="بله",I118&lt;تنظیمات!$B$14,AO118="خیر"),1,0)</f>
        <v>0</v>
      </c>
      <c r="BE118" s="21" t="n">
        <f aca="false">IF(AN118="خیر",1,0)</f>
        <v>0</v>
      </c>
      <c r="BF118" s="21" t="n">
        <f aca="false">IF(AND(AD118="فیش مفقودی",AQ118="بله",I118&gt;تنظیمات!$B$12*60),1,0)</f>
        <v>0</v>
      </c>
      <c r="BG118" s="21" t="n">
        <f aca="false">IF(AND(AK118&gt;تنظیمات!$B$11,AL118="بله"),1,0)</f>
        <v>0</v>
      </c>
      <c r="BH118" s="21" t="n">
        <f aca="false">MIN(100,AR118*تنظیمات!$B$21+AS118*تنظیمات!$B$22+AT118*تنظیمات!$B$23+AU118*تنظیمات!$B$24+AV118*تنظیمات!$B$25+AW118*تنظیمات!$B$26+AX118*تنظیمات!$B$27+AY118*تنظیمات!$B$28+AZ118*تنظیمات!$B$29+BA118*تنظیمات!$B$30+BB118*تنظیمات!$B$31+BC118*تنظیمات!$B$32+BD118*تنظیمات!$B$33+BE118*تنظیمات!$B$34+BF118*تنظیمات!$B$35+BG118*تنظیمات!$B$36)</f>
        <v>0</v>
      </c>
      <c r="BI118" s="16" t="str">
        <f aca="false">IF(BH118&gt;=60,"بحرانی",IF(BH118&gt;=30,"مشکوک",IF(BH118&gt;0,"هشدار","عادی")))</f>
        <v>عادی</v>
      </c>
      <c r="BJ118" s="16" t="s">
        <v>338</v>
      </c>
    </row>
    <row r="119" customFormat="false" ht="15" hidden="false" customHeight="false" outlineLevel="0" collapsed="false">
      <c r="A119" s="16" t="s">
        <v>791</v>
      </c>
      <c r="B119" s="16" t="s">
        <v>792</v>
      </c>
      <c r="C119" s="16"/>
      <c r="D119" s="16" t="s">
        <v>370</v>
      </c>
      <c r="E119" s="16" t="s">
        <v>390</v>
      </c>
      <c r="F119" s="16" t="s">
        <v>333</v>
      </c>
      <c r="G119" s="17" t="n">
        <v>46282.5690740741</v>
      </c>
      <c r="H119" s="17" t="n">
        <v>46282.6121296296</v>
      </c>
      <c r="I119" s="18" t="n">
        <f aca="false">IF(H119="",ROUND((تنظیمات!$B$7-G119)*1440,0),ROUND((H119-G119)*1440,0))</f>
        <v>62</v>
      </c>
      <c r="J119" s="16" t="s">
        <v>334</v>
      </c>
      <c r="K119" s="16" t="s">
        <v>410</v>
      </c>
      <c r="L119" s="19" t="n">
        <v>0.93</v>
      </c>
      <c r="M119" s="19" t="n">
        <v>0.946</v>
      </c>
      <c r="N119" s="16" t="s">
        <v>335</v>
      </c>
      <c r="O119" s="16" t="s">
        <v>441</v>
      </c>
      <c r="P119" s="16" t="s">
        <v>420</v>
      </c>
      <c r="Q119" s="20" t="n">
        <v>46282</v>
      </c>
      <c r="R119" s="16" t="s">
        <v>793</v>
      </c>
      <c r="S119" s="16" t="s">
        <v>404</v>
      </c>
      <c r="T119" s="17"/>
      <c r="U119" s="21" t="n">
        <v>1</v>
      </c>
      <c r="V119" s="21" t="n">
        <v>1</v>
      </c>
      <c r="W119" s="22" t="n">
        <v>4.8</v>
      </c>
      <c r="X119" s="16" t="s">
        <v>335</v>
      </c>
      <c r="Y119" s="16" t="s">
        <v>338</v>
      </c>
      <c r="Z119" s="16" t="s">
        <v>413</v>
      </c>
      <c r="AA119" s="16" t="s">
        <v>414</v>
      </c>
      <c r="AB119" s="23" t="s">
        <v>794</v>
      </c>
      <c r="AC119" s="17" t="n">
        <v>46282.6116782407</v>
      </c>
      <c r="AD119" s="16" t="s">
        <v>338</v>
      </c>
      <c r="AE119" s="16"/>
      <c r="AF119" s="16" t="str">
        <f aca="false">IF(COUNTIF(لیست_سفید!$A$2:$A$21,B119)&gt;0,"بله","خیر")</f>
        <v>خیر</v>
      </c>
      <c r="AG119" s="24" t="n">
        <f aca="false">IF(H119="","",IF(AD119="فیش مفقودی",تنظیمات!$B$6,(INT(I119/1440)*تنظیمات!$B$5+IF(MOD(I119,1440)&lt;=تنظیمات!$B$2,0,MIN(تنظیمات!$B$5,تنظیمات!$B$3+MAX(0,ROUNDUP((MOD(I119,1440)-60)/60,0))*تنظیمات!$B$4)))*INDEX(تعرفه!$B$2:$B$7,MATCH(AD119,تعرفه!$A$2:$A$7,0))))</f>
        <v>34000</v>
      </c>
      <c r="AH119" s="24" t="n">
        <v>34000</v>
      </c>
      <c r="AI119" s="24" t="n">
        <f aca="false">IF(AG119="","",AH119-AG119)</f>
        <v>0</v>
      </c>
      <c r="AJ119" s="21" t="n">
        <v>0</v>
      </c>
      <c r="AK119" s="21" t="n">
        <v>0</v>
      </c>
      <c r="AL119" s="16" t="s">
        <v>335</v>
      </c>
      <c r="AM119" s="16"/>
      <c r="AN119" s="16" t="s">
        <v>340</v>
      </c>
      <c r="AO119" s="16" t="s">
        <v>340</v>
      </c>
      <c r="AP119" s="16" t="s">
        <v>335</v>
      </c>
      <c r="AQ119" s="16"/>
      <c r="AR119" s="21" t="n">
        <f aca="false">IF(AND(T119&lt;&gt;"",H119&lt;&gt;""),IF(AND((T119-H119)*86400&gt;=0,(T119-H119)*86400&lt;تنظیمات!$B$13),1,0),0)</f>
        <v>0</v>
      </c>
      <c r="AS119" s="21" t="n">
        <f aca="false">IF(Z119="پوز",IF(OR(AB119="",COUNTIF(پوزها!$A$2:$A$5,AA119)=0),1,0),0)</f>
        <v>0</v>
      </c>
      <c r="AT119" s="21" t="n">
        <f aca="false">IF(AI119="",0,IF(AI119&gt;0,1,0))</f>
        <v>0</v>
      </c>
      <c r="AU119" s="21" t="n">
        <f aca="false">IF(AI119="",0,IF(AI119&lt;0,1,0))</f>
        <v>0</v>
      </c>
      <c r="AV119" s="21" t="n">
        <f aca="false">IF(U119&gt;V119,1,0)</f>
        <v>0</v>
      </c>
      <c r="AW119" s="21" t="n">
        <f aca="false">IF(OR(W119&gt;تنظیمات!$B$8,X119="بله"),1,0)</f>
        <v>0</v>
      </c>
      <c r="AX119" s="21" t="n">
        <f aca="false">IF(AND(N119="بله",L119&gt;تنظیمات!$B$9),1,0)</f>
        <v>0</v>
      </c>
      <c r="AY119" s="21" t="n">
        <f aca="false">IF(Y119="معکوس",1,0)</f>
        <v>0</v>
      </c>
      <c r="AZ119" s="21" t="n">
        <f aca="false">IF(ABS(AJ119)&gt;تنظیمات!$B$10,1,0)</f>
        <v>0</v>
      </c>
      <c r="BA119" s="21" t="n">
        <f aca="false">IF(AND(OR(AD119="رایگان/VIP",AD119="جانباز"),AF119="خیر"),1,0)</f>
        <v>0</v>
      </c>
      <c r="BB119" s="21" t="n">
        <f aca="false">IF(AE119="",0,IF(COUNTIF($AE$2:$AE$1001,AE119)&gt;1,1,0))</f>
        <v>0</v>
      </c>
      <c r="BC119" s="21" t="n">
        <f aca="false">IF(AND(H119="",I119&gt;تنظیمات!$B$12*60,AM119="خالی"),1,0)</f>
        <v>0</v>
      </c>
      <c r="BD119" s="21" t="n">
        <f aca="false">IF(AND(AP119="بله",I119&lt;تنظیمات!$B$14,AO119="خیر"),1,0)</f>
        <v>0</v>
      </c>
      <c r="BE119" s="21" t="n">
        <f aca="false">IF(AN119="خیر",1,0)</f>
        <v>0</v>
      </c>
      <c r="BF119" s="21" t="n">
        <f aca="false">IF(AND(AD119="فیش مفقودی",AQ119="بله",I119&gt;تنظیمات!$B$12*60),1,0)</f>
        <v>0</v>
      </c>
      <c r="BG119" s="21" t="n">
        <f aca="false">IF(AND(AK119&gt;تنظیمات!$B$11,AL119="بله"),1,0)</f>
        <v>0</v>
      </c>
      <c r="BH119" s="21" t="n">
        <f aca="false">MIN(100,AR119*تنظیمات!$B$21+AS119*تنظیمات!$B$22+AT119*تنظیمات!$B$23+AU119*تنظیمات!$B$24+AV119*تنظیمات!$B$25+AW119*تنظیمات!$B$26+AX119*تنظیمات!$B$27+AY119*تنظیمات!$B$28+AZ119*تنظیمات!$B$29+BA119*تنظیمات!$B$30+BB119*تنظیمات!$B$31+BC119*تنظیمات!$B$32+BD119*تنظیمات!$B$33+BE119*تنظیمات!$B$34+BF119*تنظیمات!$B$35+BG119*تنظیمات!$B$36)</f>
        <v>0</v>
      </c>
      <c r="BI119" s="16" t="str">
        <f aca="false">IF(BH119&gt;=60,"بحرانی",IF(BH119&gt;=30,"مشکوک",IF(BH119&gt;0,"هشدار","عادی")))</f>
        <v>عادی</v>
      </c>
      <c r="BJ119" s="16" t="s">
        <v>338</v>
      </c>
    </row>
    <row r="120" customFormat="false" ht="15" hidden="false" customHeight="false" outlineLevel="0" collapsed="false">
      <c r="A120" s="16" t="s">
        <v>795</v>
      </c>
      <c r="B120" s="16" t="s">
        <v>770</v>
      </c>
      <c r="C120" s="16"/>
      <c r="D120" s="16" t="s">
        <v>431</v>
      </c>
      <c r="E120" s="16" t="s">
        <v>375</v>
      </c>
      <c r="F120" s="16" t="s">
        <v>333</v>
      </c>
      <c r="G120" s="17" t="n">
        <v>46282.5743634259</v>
      </c>
      <c r="H120" s="17" t="n">
        <v>46282.8660300926</v>
      </c>
      <c r="I120" s="18" t="n">
        <f aca="false">IF(H120="",ROUND((تنظیمات!$B$7-G120)*1440,0),ROUND((H120-G120)*1440,0))</f>
        <v>420</v>
      </c>
      <c r="J120" s="16" t="s">
        <v>346</v>
      </c>
      <c r="K120" s="16" t="s">
        <v>400</v>
      </c>
      <c r="L120" s="19" t="n">
        <v>0.953</v>
      </c>
      <c r="M120" s="19" t="n">
        <v>0.949</v>
      </c>
      <c r="N120" s="16" t="s">
        <v>335</v>
      </c>
      <c r="O120" s="16" t="s">
        <v>425</v>
      </c>
      <c r="P120" s="16" t="s">
        <v>420</v>
      </c>
      <c r="Q120" s="20" t="n">
        <v>46282</v>
      </c>
      <c r="R120" s="16" t="s">
        <v>796</v>
      </c>
      <c r="S120" s="16" t="s">
        <v>404</v>
      </c>
      <c r="T120" s="17"/>
      <c r="U120" s="21" t="n">
        <v>1</v>
      </c>
      <c r="V120" s="21" t="n">
        <v>1</v>
      </c>
      <c r="W120" s="22" t="n">
        <v>7.7</v>
      </c>
      <c r="X120" s="16" t="s">
        <v>335</v>
      </c>
      <c r="Y120" s="16" t="s">
        <v>338</v>
      </c>
      <c r="Z120" s="16" t="s">
        <v>443</v>
      </c>
      <c r="AA120" s="16"/>
      <c r="AB120" s="23"/>
      <c r="AC120" s="17"/>
      <c r="AD120" s="16" t="s">
        <v>444</v>
      </c>
      <c r="AE120" s="16"/>
      <c r="AF120" s="16" t="str">
        <f aca="false">IF(COUNTIF(لیست_سفید!$A$2:$A$21,B120)&gt;0,"بله","خیر")</f>
        <v>خیر</v>
      </c>
      <c r="AG120" s="24" t="n">
        <f aca="false">IF(H120="","",IF(AD120="فیش مفقودی",تنظیمات!$B$6,(INT(I120/1440)*تنظیمات!$B$5+IF(MOD(I120,1440)&lt;=تنظیمات!$B$2,0,MIN(تنظیمات!$B$5,تنظیمات!$B$3+MAX(0,ROUNDUP((MOD(I120,1440)-60)/60,0))*تنظیمات!$B$4)))*INDEX(تعرفه!$B$2:$B$7,MATCH(AD120,تعرفه!$A$2:$A$7,0))))</f>
        <v>0</v>
      </c>
      <c r="AH120" s="24" t="n">
        <v>0</v>
      </c>
      <c r="AI120" s="24" t="n">
        <f aca="false">IF(AG120="","",AH120-AG120)</f>
        <v>0</v>
      </c>
      <c r="AJ120" s="21" t="n">
        <v>0</v>
      </c>
      <c r="AK120" s="21" t="n">
        <v>0</v>
      </c>
      <c r="AL120" s="16" t="s">
        <v>335</v>
      </c>
      <c r="AM120" s="16"/>
      <c r="AN120" s="16" t="s">
        <v>340</v>
      </c>
      <c r="AO120" s="16" t="s">
        <v>340</v>
      </c>
      <c r="AP120" s="16" t="s">
        <v>335</v>
      </c>
      <c r="AQ120" s="16"/>
      <c r="AR120" s="21" t="n">
        <f aca="false">IF(AND(T120&lt;&gt;"",H120&lt;&gt;""),IF(AND((T120-H120)*86400&gt;=0,(T120-H120)*86400&lt;تنظیمات!$B$13),1,0),0)</f>
        <v>0</v>
      </c>
      <c r="AS120" s="21" t="n">
        <f aca="false">IF(Z120="پوز",IF(OR(AB120="",COUNTIF(پوزها!$A$2:$A$5,AA120)=0),1,0),0)</f>
        <v>0</v>
      </c>
      <c r="AT120" s="21" t="n">
        <f aca="false">IF(AI120="",0,IF(AI120&gt;0,1,0))</f>
        <v>0</v>
      </c>
      <c r="AU120" s="21" t="n">
        <f aca="false">IF(AI120="",0,IF(AI120&lt;0,1,0))</f>
        <v>0</v>
      </c>
      <c r="AV120" s="21" t="n">
        <f aca="false">IF(U120&gt;V120,1,0)</f>
        <v>0</v>
      </c>
      <c r="AW120" s="21" t="n">
        <f aca="false">IF(OR(W120&gt;تنظیمات!$B$8,X120="بله"),1,0)</f>
        <v>0</v>
      </c>
      <c r="AX120" s="21" t="n">
        <f aca="false">IF(AND(N120="بله",L120&gt;تنظیمات!$B$9),1,0)</f>
        <v>0</v>
      </c>
      <c r="AY120" s="21" t="n">
        <f aca="false">IF(Y120="معکوس",1,0)</f>
        <v>0</v>
      </c>
      <c r="AZ120" s="21" t="n">
        <f aca="false">IF(ABS(AJ120)&gt;تنظیمات!$B$10,1,0)</f>
        <v>0</v>
      </c>
      <c r="BA120" s="21" t="n">
        <f aca="false">IF(AND(OR(AD120="رایگان/VIP",AD120="جانباز"),AF120="خیر"),1,0)</f>
        <v>0</v>
      </c>
      <c r="BB120" s="21" t="n">
        <f aca="false">IF(AE120="",0,IF(COUNTIF($AE$2:$AE$1001,AE120)&gt;1,1,0))</f>
        <v>0</v>
      </c>
      <c r="BC120" s="21" t="n">
        <f aca="false">IF(AND(H120="",I120&gt;تنظیمات!$B$12*60,AM120="خالی"),1,0)</f>
        <v>0</v>
      </c>
      <c r="BD120" s="21" t="n">
        <f aca="false">IF(AND(AP120="بله",I120&lt;تنظیمات!$B$14,AO120="خیر"),1,0)</f>
        <v>0</v>
      </c>
      <c r="BE120" s="21" t="n">
        <f aca="false">IF(AN120="خیر",1,0)</f>
        <v>0</v>
      </c>
      <c r="BF120" s="21" t="n">
        <f aca="false">IF(AND(AD120="فیش مفقودی",AQ120="بله",I120&gt;تنظیمات!$B$12*60),1,0)</f>
        <v>0</v>
      </c>
      <c r="BG120" s="21" t="n">
        <f aca="false">IF(AND(AK120&gt;تنظیمات!$B$11,AL120="بله"),1,0)</f>
        <v>0</v>
      </c>
      <c r="BH120" s="21" t="n">
        <f aca="false">MIN(100,AR120*تنظیمات!$B$21+AS120*تنظیمات!$B$22+AT120*تنظیمات!$B$23+AU120*تنظیمات!$B$24+AV120*تنظیمات!$B$25+AW120*تنظیمات!$B$26+AX120*تنظیمات!$B$27+AY120*تنظیمات!$B$28+AZ120*تنظیمات!$B$29+BA120*تنظیمات!$B$30+BB120*تنظیمات!$B$31+BC120*تنظیمات!$B$32+BD120*تنظیمات!$B$33+BE120*تنظیمات!$B$34+BF120*تنظیمات!$B$35+BG120*تنظیمات!$B$36)</f>
        <v>0</v>
      </c>
      <c r="BI120" s="16" t="str">
        <f aca="false">IF(BH120&gt;=60,"بحرانی",IF(BH120&gt;=30,"مشکوک",IF(BH120&gt;0,"هشدار","عادی")))</f>
        <v>عادی</v>
      </c>
      <c r="BJ120" s="16" t="s">
        <v>338</v>
      </c>
    </row>
    <row r="121" customFormat="false" ht="15" hidden="false" customHeight="false" outlineLevel="0" collapsed="false">
      <c r="A121" s="16" t="s">
        <v>797</v>
      </c>
      <c r="B121" s="16" t="s">
        <v>798</v>
      </c>
      <c r="C121" s="16" t="s">
        <v>799</v>
      </c>
      <c r="D121" s="16" t="s">
        <v>508</v>
      </c>
      <c r="E121" s="16" t="s">
        <v>363</v>
      </c>
      <c r="F121" s="16" t="s">
        <v>333</v>
      </c>
      <c r="G121" s="17" t="n">
        <v>46282.5811458333</v>
      </c>
      <c r="H121" s="17" t="n">
        <v>46282.6519791667</v>
      </c>
      <c r="I121" s="18" t="n">
        <f aca="false">IF(H121="",ROUND((تنظیمات!$B$7-G121)*1440,0),ROUND((H121-G121)*1440,0))</f>
        <v>102</v>
      </c>
      <c r="J121" s="16" t="s">
        <v>334</v>
      </c>
      <c r="K121" s="16" t="s">
        <v>410</v>
      </c>
      <c r="L121" s="19" t="n">
        <v>0.594</v>
      </c>
      <c r="M121" s="19" t="n">
        <v>0.89</v>
      </c>
      <c r="N121" s="16" t="s">
        <v>340</v>
      </c>
      <c r="O121" s="16" t="s">
        <v>441</v>
      </c>
      <c r="P121" s="16" t="s">
        <v>420</v>
      </c>
      <c r="Q121" s="20" t="n">
        <v>46282</v>
      </c>
      <c r="R121" s="16" t="s">
        <v>800</v>
      </c>
      <c r="S121" s="16" t="s">
        <v>404</v>
      </c>
      <c r="T121" s="17"/>
      <c r="U121" s="21" t="n">
        <v>1</v>
      </c>
      <c r="V121" s="21" t="n">
        <v>1</v>
      </c>
      <c r="W121" s="22" t="n">
        <v>4.7</v>
      </c>
      <c r="X121" s="16" t="s">
        <v>335</v>
      </c>
      <c r="Y121" s="16" t="s">
        <v>338</v>
      </c>
      <c r="Z121" s="16" t="s">
        <v>413</v>
      </c>
      <c r="AA121" s="16" t="s">
        <v>414</v>
      </c>
      <c r="AB121" s="23" t="s">
        <v>801</v>
      </c>
      <c r="AC121" s="17" t="n">
        <v>46282.6513194444</v>
      </c>
      <c r="AD121" s="16" t="s">
        <v>338</v>
      </c>
      <c r="AE121" s="16"/>
      <c r="AF121" s="16" t="str">
        <f aca="false">IF(COUNTIF(لیست_سفید!$A$2:$A$21,B121)&gt;0,"بله","خیر")</f>
        <v>خیر</v>
      </c>
      <c r="AG121" s="24" t="n">
        <f aca="false">IF(H121="","",IF(AD121="فیش مفقودی",تنظیمات!$B$6,(INT(I121/1440)*تنظیمات!$B$5+IF(MOD(I121,1440)&lt;=تنظیمات!$B$2,0,MIN(تنظیمات!$B$5,تنظیمات!$B$3+MAX(0,ROUNDUP((MOD(I121,1440)-60)/60,0))*تنظیمات!$B$4)))*INDEX(تعرفه!$B$2:$B$7,MATCH(AD121,تعرفه!$A$2:$A$7,0))))</f>
        <v>34000</v>
      </c>
      <c r="AH121" s="24" t="n">
        <v>34000</v>
      </c>
      <c r="AI121" s="24" t="n">
        <f aca="false">IF(AG121="","",AH121-AG121)</f>
        <v>0</v>
      </c>
      <c r="AJ121" s="21" t="n">
        <v>0</v>
      </c>
      <c r="AK121" s="21" t="n">
        <v>0</v>
      </c>
      <c r="AL121" s="16" t="s">
        <v>335</v>
      </c>
      <c r="AM121" s="16"/>
      <c r="AN121" s="16" t="s">
        <v>340</v>
      </c>
      <c r="AO121" s="16" t="s">
        <v>340</v>
      </c>
      <c r="AP121" s="16" t="s">
        <v>335</v>
      </c>
      <c r="AQ121" s="16"/>
      <c r="AR121" s="21" t="n">
        <f aca="false">IF(AND(T121&lt;&gt;"",H121&lt;&gt;""),IF(AND((T121-H121)*86400&gt;=0,(T121-H121)*86400&lt;تنظیمات!$B$13),1,0),0)</f>
        <v>0</v>
      </c>
      <c r="AS121" s="21" t="n">
        <f aca="false">IF(Z121="پوز",IF(OR(AB121="",COUNTIF(پوزها!$A$2:$A$5,AA121)=0),1,0),0)</f>
        <v>0</v>
      </c>
      <c r="AT121" s="21" t="n">
        <f aca="false">IF(AI121="",0,IF(AI121&gt;0,1,0))</f>
        <v>0</v>
      </c>
      <c r="AU121" s="21" t="n">
        <f aca="false">IF(AI121="",0,IF(AI121&lt;0,1,0))</f>
        <v>0</v>
      </c>
      <c r="AV121" s="21" t="n">
        <f aca="false">IF(U121&gt;V121,1,0)</f>
        <v>0</v>
      </c>
      <c r="AW121" s="21" t="n">
        <f aca="false">IF(OR(W121&gt;تنظیمات!$B$8,X121="بله"),1,0)</f>
        <v>0</v>
      </c>
      <c r="AX121" s="21" t="n">
        <f aca="false">IF(AND(N121="بله",L121&gt;تنظیمات!$B$9),1,0)</f>
        <v>0</v>
      </c>
      <c r="AY121" s="21" t="n">
        <f aca="false">IF(Y121="معکوس",1,0)</f>
        <v>0</v>
      </c>
      <c r="AZ121" s="21" t="n">
        <f aca="false">IF(ABS(AJ121)&gt;تنظیمات!$B$10,1,0)</f>
        <v>0</v>
      </c>
      <c r="BA121" s="21" t="n">
        <f aca="false">IF(AND(OR(AD121="رایگان/VIP",AD121="جانباز"),AF121="خیر"),1,0)</f>
        <v>0</v>
      </c>
      <c r="BB121" s="21" t="n">
        <f aca="false">IF(AE121="",0,IF(COUNTIF($AE$2:$AE$1001,AE121)&gt;1,1,0))</f>
        <v>0</v>
      </c>
      <c r="BC121" s="21" t="n">
        <f aca="false">IF(AND(H121="",I121&gt;تنظیمات!$B$12*60,AM121="خالی"),1,0)</f>
        <v>0</v>
      </c>
      <c r="BD121" s="21" t="n">
        <f aca="false">IF(AND(AP121="بله",I121&lt;تنظیمات!$B$14,AO121="خیر"),1,0)</f>
        <v>0</v>
      </c>
      <c r="BE121" s="21" t="n">
        <f aca="false">IF(AN121="خیر",1,0)</f>
        <v>0</v>
      </c>
      <c r="BF121" s="21" t="n">
        <f aca="false">IF(AND(AD121="فیش مفقودی",AQ121="بله",I121&gt;تنظیمات!$B$12*60),1,0)</f>
        <v>0</v>
      </c>
      <c r="BG121" s="21" t="n">
        <f aca="false">IF(AND(AK121&gt;تنظیمات!$B$11,AL121="بله"),1,0)</f>
        <v>0</v>
      </c>
      <c r="BH121" s="21" t="n">
        <f aca="false">MIN(100,AR121*تنظیمات!$B$21+AS121*تنظیمات!$B$22+AT121*تنظیمات!$B$23+AU121*تنظیمات!$B$24+AV121*تنظیمات!$B$25+AW121*تنظیمات!$B$26+AX121*تنظیمات!$B$27+AY121*تنظیمات!$B$28+AZ121*تنظیمات!$B$29+BA121*تنظیمات!$B$30+BB121*تنظیمات!$B$31+BC121*تنظیمات!$B$32+BD121*تنظیمات!$B$33+BE121*تنظیمات!$B$34+BF121*تنظیمات!$B$35+BG121*تنظیمات!$B$36)</f>
        <v>0</v>
      </c>
      <c r="BI121" s="16" t="str">
        <f aca="false">IF(BH121&gt;=60,"بحرانی",IF(BH121&gt;=30,"مشکوک",IF(BH121&gt;0,"هشدار","عادی")))</f>
        <v>عادی</v>
      </c>
      <c r="BJ121" s="16" t="s">
        <v>338</v>
      </c>
    </row>
    <row r="122" customFormat="false" ht="15" hidden="false" customHeight="false" outlineLevel="0" collapsed="false">
      <c r="A122" s="16" t="s">
        <v>802</v>
      </c>
      <c r="B122" s="16" t="s">
        <v>803</v>
      </c>
      <c r="C122" s="16"/>
      <c r="D122" s="16" t="s">
        <v>382</v>
      </c>
      <c r="E122" s="16" t="s">
        <v>345</v>
      </c>
      <c r="F122" s="16" t="s">
        <v>333</v>
      </c>
      <c r="G122" s="17" t="n">
        <v>46282.5878587963</v>
      </c>
      <c r="H122" s="17" t="n">
        <v>46282.6468865741</v>
      </c>
      <c r="I122" s="18" t="n">
        <f aca="false">IF(H122="",ROUND((تنظیمات!$B$7-G122)*1440,0),ROUND((H122-G122)*1440,0))</f>
        <v>85</v>
      </c>
      <c r="J122" s="16" t="s">
        <v>346</v>
      </c>
      <c r="K122" s="16" t="s">
        <v>410</v>
      </c>
      <c r="L122" s="19" t="n">
        <v>0.901</v>
      </c>
      <c r="M122" s="19" t="n">
        <v>0.929</v>
      </c>
      <c r="N122" s="16" t="s">
        <v>335</v>
      </c>
      <c r="O122" s="16" t="s">
        <v>441</v>
      </c>
      <c r="P122" s="16" t="s">
        <v>420</v>
      </c>
      <c r="Q122" s="20" t="n">
        <v>46282</v>
      </c>
      <c r="R122" s="16" t="s">
        <v>804</v>
      </c>
      <c r="S122" s="16" t="s">
        <v>404</v>
      </c>
      <c r="T122" s="17"/>
      <c r="U122" s="21" t="n">
        <v>1</v>
      </c>
      <c r="V122" s="21" t="n">
        <v>1</v>
      </c>
      <c r="W122" s="22" t="n">
        <v>6.3</v>
      </c>
      <c r="X122" s="16" t="s">
        <v>335</v>
      </c>
      <c r="Y122" s="16" t="s">
        <v>338</v>
      </c>
      <c r="Z122" s="16" t="s">
        <v>413</v>
      </c>
      <c r="AA122" s="16" t="s">
        <v>414</v>
      </c>
      <c r="AB122" s="23" t="s">
        <v>805</v>
      </c>
      <c r="AC122" s="17" t="n">
        <v>46282.6465625</v>
      </c>
      <c r="AD122" s="16" t="s">
        <v>481</v>
      </c>
      <c r="AE122" s="16" t="s">
        <v>806</v>
      </c>
      <c r="AF122" s="16" t="str">
        <f aca="false">IF(COUNTIF(لیست_سفید!$A$2:$A$21,B122)&gt;0,"بله","خیر")</f>
        <v>خیر</v>
      </c>
      <c r="AG122" s="24" t="n">
        <f aca="false">IF(H122="","",IF(AD122="فیش مفقودی",تنظیمات!$B$6,(INT(I122/1440)*تنظیمات!$B$5+IF(MOD(I122,1440)&lt;=تنظیمات!$B$2,0,MIN(تنظیمات!$B$5,تنظیمات!$B$3+MAX(0,ROUNDUP((MOD(I122,1440)-60)/60,0))*تنظیمات!$B$4)))*INDEX(تعرفه!$B$2:$B$7,MATCH(AD122,تعرفه!$A$2:$A$7,0))))</f>
        <v>17000</v>
      </c>
      <c r="AH122" s="24" t="n">
        <v>17000</v>
      </c>
      <c r="AI122" s="24" t="n">
        <f aca="false">IF(AG122="","",AH122-AG122)</f>
        <v>0</v>
      </c>
      <c r="AJ122" s="21" t="n">
        <v>1</v>
      </c>
      <c r="AK122" s="21" t="n">
        <v>0</v>
      </c>
      <c r="AL122" s="16" t="s">
        <v>335</v>
      </c>
      <c r="AM122" s="16"/>
      <c r="AN122" s="16" t="s">
        <v>340</v>
      </c>
      <c r="AO122" s="16" t="s">
        <v>340</v>
      </c>
      <c r="AP122" s="16" t="s">
        <v>335</v>
      </c>
      <c r="AQ122" s="16"/>
      <c r="AR122" s="21" t="n">
        <f aca="false">IF(AND(T122&lt;&gt;"",H122&lt;&gt;""),IF(AND((T122-H122)*86400&gt;=0,(T122-H122)*86400&lt;تنظیمات!$B$13),1,0),0)</f>
        <v>0</v>
      </c>
      <c r="AS122" s="21" t="n">
        <f aca="false">IF(Z122="پوز",IF(OR(AB122="",COUNTIF(پوزها!$A$2:$A$5,AA122)=0),1,0),0)</f>
        <v>0</v>
      </c>
      <c r="AT122" s="21" t="n">
        <f aca="false">IF(AI122="",0,IF(AI122&gt;0,1,0))</f>
        <v>0</v>
      </c>
      <c r="AU122" s="21" t="n">
        <f aca="false">IF(AI122="",0,IF(AI122&lt;0,1,0))</f>
        <v>0</v>
      </c>
      <c r="AV122" s="21" t="n">
        <f aca="false">IF(U122&gt;V122,1,0)</f>
        <v>0</v>
      </c>
      <c r="AW122" s="21" t="n">
        <f aca="false">IF(OR(W122&gt;تنظیمات!$B$8,X122="بله"),1,0)</f>
        <v>0</v>
      </c>
      <c r="AX122" s="21" t="n">
        <f aca="false">IF(AND(N122="بله",L122&gt;تنظیمات!$B$9),1,0)</f>
        <v>0</v>
      </c>
      <c r="AY122" s="21" t="n">
        <f aca="false">IF(Y122="معکوس",1,0)</f>
        <v>0</v>
      </c>
      <c r="AZ122" s="21" t="n">
        <f aca="false">IF(ABS(AJ122)&gt;تنظیمات!$B$10,1,0)</f>
        <v>0</v>
      </c>
      <c r="BA122" s="21" t="n">
        <f aca="false">IF(AND(OR(AD122="رایگان/VIP",AD122="جانباز"),AF122="خیر"),1,0)</f>
        <v>0</v>
      </c>
      <c r="BB122" s="21" t="n">
        <f aca="false">IF(AE122="",0,IF(COUNTIF($AE$2:$AE$1001,AE122)&gt;1,1,0))</f>
        <v>0</v>
      </c>
      <c r="BC122" s="21" t="n">
        <f aca="false">IF(AND(H122="",I122&gt;تنظیمات!$B$12*60,AM122="خالی"),1,0)</f>
        <v>0</v>
      </c>
      <c r="BD122" s="21" t="n">
        <f aca="false">IF(AND(AP122="بله",I122&lt;تنظیمات!$B$14,AO122="خیر"),1,0)</f>
        <v>0</v>
      </c>
      <c r="BE122" s="21" t="n">
        <f aca="false">IF(AN122="خیر",1,0)</f>
        <v>0</v>
      </c>
      <c r="BF122" s="21" t="n">
        <f aca="false">IF(AND(AD122="فیش مفقودی",AQ122="بله",I122&gt;تنظیمات!$B$12*60),1,0)</f>
        <v>0</v>
      </c>
      <c r="BG122" s="21" t="n">
        <f aca="false">IF(AND(AK122&gt;تنظیمات!$B$11,AL122="بله"),1,0)</f>
        <v>0</v>
      </c>
      <c r="BH122" s="21" t="n">
        <f aca="false">MIN(100,AR122*تنظیمات!$B$21+AS122*تنظیمات!$B$22+AT122*تنظیمات!$B$23+AU122*تنظیمات!$B$24+AV122*تنظیمات!$B$25+AW122*تنظیمات!$B$26+AX122*تنظیمات!$B$27+AY122*تنظیمات!$B$28+AZ122*تنظیمات!$B$29+BA122*تنظیمات!$B$30+BB122*تنظیمات!$B$31+BC122*تنظیمات!$B$32+BD122*تنظیمات!$B$33+BE122*تنظیمات!$B$34+BF122*تنظیمات!$B$35+BG122*تنظیمات!$B$36)</f>
        <v>0</v>
      </c>
      <c r="BI122" s="16" t="str">
        <f aca="false">IF(BH122&gt;=60,"بحرانی",IF(BH122&gt;=30,"مشکوک",IF(BH122&gt;0,"هشدار","عادی")))</f>
        <v>عادی</v>
      </c>
      <c r="BJ122" s="16" t="s">
        <v>338</v>
      </c>
    </row>
    <row r="123" customFormat="false" ht="15" hidden="false" customHeight="false" outlineLevel="0" collapsed="false">
      <c r="A123" s="16" t="s">
        <v>807</v>
      </c>
      <c r="B123" s="16" t="s">
        <v>808</v>
      </c>
      <c r="C123" s="16"/>
      <c r="D123" s="16" t="s">
        <v>331</v>
      </c>
      <c r="E123" s="16" t="s">
        <v>351</v>
      </c>
      <c r="F123" s="16" t="s">
        <v>333</v>
      </c>
      <c r="G123" s="17" t="n">
        <v>46282.6337847222</v>
      </c>
      <c r="H123" s="17" t="n">
        <v>46282.7178125</v>
      </c>
      <c r="I123" s="18" t="n">
        <f aca="false">IF(H123="",ROUND((تنظیمات!$B$7-G123)*1440,0),ROUND((H123-G123)*1440,0))</f>
        <v>121</v>
      </c>
      <c r="J123" s="16" t="s">
        <v>334</v>
      </c>
      <c r="K123" s="16" t="s">
        <v>400</v>
      </c>
      <c r="L123" s="19" t="n">
        <v>0.905</v>
      </c>
      <c r="M123" s="19" t="n">
        <v>0.978</v>
      </c>
      <c r="N123" s="16" t="s">
        <v>335</v>
      </c>
      <c r="O123" s="16" t="s">
        <v>425</v>
      </c>
      <c r="P123" s="16" t="s">
        <v>420</v>
      </c>
      <c r="Q123" s="20" t="n">
        <v>46282</v>
      </c>
      <c r="R123" s="16" t="s">
        <v>809</v>
      </c>
      <c r="S123" s="16" t="s">
        <v>404</v>
      </c>
      <c r="T123" s="17"/>
      <c r="U123" s="21" t="n">
        <v>1</v>
      </c>
      <c r="V123" s="21" t="n">
        <v>1</v>
      </c>
      <c r="W123" s="22" t="n">
        <v>5.9</v>
      </c>
      <c r="X123" s="16" t="s">
        <v>335</v>
      </c>
      <c r="Y123" s="16" t="s">
        <v>338</v>
      </c>
      <c r="Z123" s="16" t="s">
        <v>413</v>
      </c>
      <c r="AA123" s="16" t="s">
        <v>427</v>
      </c>
      <c r="AB123" s="23" t="s">
        <v>810</v>
      </c>
      <c r="AC123" s="17" t="n">
        <v>46282.7174074074</v>
      </c>
      <c r="AD123" s="16" t="s">
        <v>338</v>
      </c>
      <c r="AE123" s="16"/>
      <c r="AF123" s="16" t="str">
        <f aca="false">IF(COUNTIF(لیست_سفید!$A$2:$A$21,B123)&gt;0,"بله","خیر")</f>
        <v>خیر</v>
      </c>
      <c r="AG123" s="24" t="n">
        <f aca="false">IF(H123="","",IF(AD123="فیش مفقودی",تنظیمات!$B$6,(INT(I123/1440)*تنظیمات!$B$5+IF(MOD(I123,1440)&lt;=تنظیمات!$B$2,0,MIN(تنظیمات!$B$5,تنظیمات!$B$3+MAX(0,ROUNDUP((MOD(I123,1440)-60)/60,0))*تنظیمات!$B$4)))*INDEX(تعرفه!$B$2:$B$7,MATCH(AD123,تعرفه!$A$2:$A$7,0))))</f>
        <v>48000</v>
      </c>
      <c r="AH123" s="24" t="n">
        <v>48000</v>
      </c>
      <c r="AI123" s="24" t="n">
        <f aca="false">IF(AG123="","",AH123-AG123)</f>
        <v>0</v>
      </c>
      <c r="AJ123" s="21" t="n">
        <v>1</v>
      </c>
      <c r="AK123" s="21" t="n">
        <v>0</v>
      </c>
      <c r="AL123" s="16" t="s">
        <v>335</v>
      </c>
      <c r="AM123" s="16"/>
      <c r="AN123" s="16" t="s">
        <v>340</v>
      </c>
      <c r="AO123" s="16" t="s">
        <v>340</v>
      </c>
      <c r="AP123" s="16" t="s">
        <v>335</v>
      </c>
      <c r="AQ123" s="16"/>
      <c r="AR123" s="21" t="n">
        <f aca="false">IF(AND(T123&lt;&gt;"",H123&lt;&gt;""),IF(AND((T123-H123)*86400&gt;=0,(T123-H123)*86400&lt;تنظیمات!$B$13),1,0),0)</f>
        <v>0</v>
      </c>
      <c r="AS123" s="21" t="n">
        <f aca="false">IF(Z123="پوز",IF(OR(AB123="",COUNTIF(پوزها!$A$2:$A$5,AA123)=0),1,0),0)</f>
        <v>0</v>
      </c>
      <c r="AT123" s="21" t="n">
        <f aca="false">IF(AI123="",0,IF(AI123&gt;0,1,0))</f>
        <v>0</v>
      </c>
      <c r="AU123" s="21" t="n">
        <f aca="false">IF(AI123="",0,IF(AI123&lt;0,1,0))</f>
        <v>0</v>
      </c>
      <c r="AV123" s="21" t="n">
        <f aca="false">IF(U123&gt;V123,1,0)</f>
        <v>0</v>
      </c>
      <c r="AW123" s="21" t="n">
        <f aca="false">IF(OR(W123&gt;تنظیمات!$B$8,X123="بله"),1,0)</f>
        <v>0</v>
      </c>
      <c r="AX123" s="21" t="n">
        <f aca="false">IF(AND(N123="بله",L123&gt;تنظیمات!$B$9),1,0)</f>
        <v>0</v>
      </c>
      <c r="AY123" s="21" t="n">
        <f aca="false">IF(Y123="معکوس",1,0)</f>
        <v>0</v>
      </c>
      <c r="AZ123" s="21" t="n">
        <f aca="false">IF(ABS(AJ123)&gt;تنظیمات!$B$10,1,0)</f>
        <v>0</v>
      </c>
      <c r="BA123" s="21" t="n">
        <f aca="false">IF(AND(OR(AD123="رایگان/VIP",AD123="جانباز"),AF123="خیر"),1,0)</f>
        <v>0</v>
      </c>
      <c r="BB123" s="21" t="n">
        <f aca="false">IF(AE123="",0,IF(COUNTIF($AE$2:$AE$1001,AE123)&gt;1,1,0))</f>
        <v>0</v>
      </c>
      <c r="BC123" s="21" t="n">
        <f aca="false">IF(AND(H123="",I123&gt;تنظیمات!$B$12*60,AM123="خالی"),1,0)</f>
        <v>0</v>
      </c>
      <c r="BD123" s="21" t="n">
        <f aca="false">IF(AND(AP123="بله",I123&lt;تنظیمات!$B$14,AO123="خیر"),1,0)</f>
        <v>0</v>
      </c>
      <c r="BE123" s="21" t="n">
        <f aca="false">IF(AN123="خیر",1,0)</f>
        <v>0</v>
      </c>
      <c r="BF123" s="21" t="n">
        <f aca="false">IF(AND(AD123="فیش مفقودی",AQ123="بله",I123&gt;تنظیمات!$B$12*60),1,0)</f>
        <v>0</v>
      </c>
      <c r="BG123" s="21" t="n">
        <f aca="false">IF(AND(AK123&gt;تنظیمات!$B$11,AL123="بله"),1,0)</f>
        <v>0</v>
      </c>
      <c r="BH123" s="21" t="n">
        <f aca="false">MIN(100,AR123*تنظیمات!$B$21+AS123*تنظیمات!$B$22+AT123*تنظیمات!$B$23+AU123*تنظیمات!$B$24+AV123*تنظیمات!$B$25+AW123*تنظیمات!$B$26+AX123*تنظیمات!$B$27+AY123*تنظیمات!$B$28+AZ123*تنظیمات!$B$29+BA123*تنظیمات!$B$30+BB123*تنظیمات!$B$31+BC123*تنظیمات!$B$32+BD123*تنظیمات!$B$33+BE123*تنظیمات!$B$34+BF123*تنظیمات!$B$35+BG123*تنظیمات!$B$36)</f>
        <v>0</v>
      </c>
      <c r="BI123" s="16" t="str">
        <f aca="false">IF(BH123&gt;=60,"بحرانی",IF(BH123&gt;=30,"مشکوک",IF(BH123&gt;0,"هشدار","عادی")))</f>
        <v>عادی</v>
      </c>
      <c r="BJ123" s="16" t="s">
        <v>338</v>
      </c>
    </row>
    <row r="124" customFormat="false" ht="15" hidden="false" customHeight="false" outlineLevel="0" collapsed="false">
      <c r="A124" s="16" t="s">
        <v>811</v>
      </c>
      <c r="B124" s="16" t="s">
        <v>812</v>
      </c>
      <c r="C124" s="16"/>
      <c r="D124" s="16" t="s">
        <v>531</v>
      </c>
      <c r="E124" s="16" t="s">
        <v>351</v>
      </c>
      <c r="F124" s="16" t="s">
        <v>333</v>
      </c>
      <c r="G124" s="17" t="n">
        <v>46282.636400463</v>
      </c>
      <c r="H124" s="17" t="n">
        <v>46282.6370949074</v>
      </c>
      <c r="I124" s="18" t="n">
        <f aca="false">IF(H124="",ROUND((تنظیمات!$B$7-G124)*1440,0),ROUND((H124-G124)*1440,0))</f>
        <v>1</v>
      </c>
      <c r="J124" s="16" t="s">
        <v>334</v>
      </c>
      <c r="K124" s="16" t="s">
        <v>410</v>
      </c>
      <c r="L124" s="19" t="n">
        <v>0.931</v>
      </c>
      <c r="M124" s="19" t="n">
        <v>0.946</v>
      </c>
      <c r="N124" s="16" t="s">
        <v>335</v>
      </c>
      <c r="O124" s="16" t="s">
        <v>441</v>
      </c>
      <c r="P124" s="16" t="s">
        <v>420</v>
      </c>
      <c r="Q124" s="20" t="n">
        <v>46282</v>
      </c>
      <c r="R124" s="16" t="s">
        <v>813</v>
      </c>
      <c r="S124" s="16" t="s">
        <v>404</v>
      </c>
      <c r="T124" s="17"/>
      <c r="U124" s="21" t="n">
        <v>1</v>
      </c>
      <c r="V124" s="21" t="n">
        <v>1</v>
      </c>
      <c r="W124" s="22" t="n">
        <v>2.7</v>
      </c>
      <c r="X124" s="16" t="s">
        <v>335</v>
      </c>
      <c r="Y124" s="16" t="s">
        <v>338</v>
      </c>
      <c r="Z124" s="16" t="s">
        <v>628</v>
      </c>
      <c r="AA124" s="16"/>
      <c r="AB124" s="23"/>
      <c r="AC124" s="17"/>
      <c r="AD124" s="16" t="s">
        <v>338</v>
      </c>
      <c r="AE124" s="16"/>
      <c r="AF124" s="16" t="str">
        <f aca="false">IF(COUNTIF(لیست_سفید!$A$2:$A$21,B124)&gt;0,"بله","خیر")</f>
        <v>خیر</v>
      </c>
      <c r="AG124" s="24" t="n">
        <f aca="false">IF(H124="","",IF(AD124="فیش مفقودی",تنظیمات!$B$6,(INT(I124/1440)*تنظیمات!$B$5+IF(MOD(I124,1440)&lt;=تنظیمات!$B$2,0,MIN(تنظیمات!$B$5,تنظیمات!$B$3+MAX(0,ROUNDUP((MOD(I124,1440)-60)/60,0))*تنظیمات!$B$4)))*INDEX(تعرفه!$B$2:$B$7,MATCH(AD124,تعرفه!$A$2:$A$7,0))))</f>
        <v>0</v>
      </c>
      <c r="AH124" s="24" t="n">
        <v>0</v>
      </c>
      <c r="AI124" s="24" t="n">
        <f aca="false">IF(AG124="","",AH124-AG124)</f>
        <v>0</v>
      </c>
      <c r="AJ124" s="21" t="n">
        <v>0</v>
      </c>
      <c r="AK124" s="21" t="n">
        <v>0</v>
      </c>
      <c r="AL124" s="16" t="s">
        <v>335</v>
      </c>
      <c r="AM124" s="16"/>
      <c r="AN124" s="16" t="s">
        <v>335</v>
      </c>
      <c r="AO124" s="16" t="s">
        <v>335</v>
      </c>
      <c r="AP124" s="16" t="s">
        <v>335</v>
      </c>
      <c r="AQ124" s="16"/>
      <c r="AR124" s="21" t="n">
        <f aca="false">IF(AND(T124&lt;&gt;"",H124&lt;&gt;""),IF(AND((T124-H124)*86400&gt;=0,(T124-H124)*86400&lt;تنظیمات!$B$13),1,0),0)</f>
        <v>0</v>
      </c>
      <c r="AS124" s="21" t="n">
        <f aca="false">IF(Z124="پوز",IF(OR(AB124="",COUNTIF(پوزها!$A$2:$A$5,AA124)=0),1,0),0)</f>
        <v>0</v>
      </c>
      <c r="AT124" s="21" t="n">
        <f aca="false">IF(AI124="",0,IF(AI124&gt;0,1,0))</f>
        <v>0</v>
      </c>
      <c r="AU124" s="21" t="n">
        <f aca="false">IF(AI124="",0,IF(AI124&lt;0,1,0))</f>
        <v>0</v>
      </c>
      <c r="AV124" s="21" t="n">
        <f aca="false">IF(U124&gt;V124,1,0)</f>
        <v>0</v>
      </c>
      <c r="AW124" s="21" t="n">
        <f aca="false">IF(OR(W124&gt;تنظیمات!$B$8,X124="بله"),1,0)</f>
        <v>0</v>
      </c>
      <c r="AX124" s="21" t="n">
        <f aca="false">IF(AND(N124="بله",L124&gt;تنظیمات!$B$9),1,0)</f>
        <v>0</v>
      </c>
      <c r="AY124" s="21" t="n">
        <f aca="false">IF(Y124="معکوس",1,0)</f>
        <v>0</v>
      </c>
      <c r="AZ124" s="21" t="n">
        <f aca="false">IF(ABS(AJ124)&gt;تنظیمات!$B$10,1,0)</f>
        <v>0</v>
      </c>
      <c r="BA124" s="21" t="n">
        <f aca="false">IF(AND(OR(AD124="رایگان/VIP",AD124="جانباز"),AF124="خیر"),1,0)</f>
        <v>0</v>
      </c>
      <c r="BB124" s="21" t="n">
        <f aca="false">IF(AE124="",0,IF(COUNTIF($AE$2:$AE$1001,AE124)&gt;1,1,0))</f>
        <v>0</v>
      </c>
      <c r="BC124" s="21" t="n">
        <f aca="false">IF(AND(H124="",I124&gt;تنظیمات!$B$12*60,AM124="خالی"),1,0)</f>
        <v>0</v>
      </c>
      <c r="BD124" s="21" t="n">
        <f aca="false">IF(AND(AP124="بله",I124&lt;تنظیمات!$B$14,AO124="خیر"),1,0)</f>
        <v>0</v>
      </c>
      <c r="BE124" s="21" t="n">
        <f aca="false">IF(AN124="خیر",1,0)</f>
        <v>1</v>
      </c>
      <c r="BF124" s="21" t="n">
        <f aca="false">IF(AND(AD124="فیش مفقودی",AQ124="بله",I124&gt;تنظیمات!$B$12*60),1,0)</f>
        <v>0</v>
      </c>
      <c r="BG124" s="21" t="n">
        <f aca="false">IF(AND(AK124&gt;تنظیمات!$B$11,AL124="بله"),1,0)</f>
        <v>0</v>
      </c>
      <c r="BH124" s="21" t="n">
        <f aca="false">MIN(100,AR124*تنظیمات!$B$21+AS124*تنظیمات!$B$22+AT124*تنظیمات!$B$23+AU124*تنظیمات!$B$24+AV124*تنظیمات!$B$25+AW124*تنظیمات!$B$26+AX124*تنظیمات!$B$27+AY124*تنظیمات!$B$28+AZ124*تنظیمات!$B$29+BA124*تنظیمات!$B$30+BB124*تنظیمات!$B$31+BC124*تنظیمات!$B$32+BD124*تنظیمات!$B$33+BE124*تنظیمات!$B$34+BF124*تنظیمات!$B$35+BG124*تنظیمات!$B$36)</f>
        <v>30</v>
      </c>
      <c r="BI124" s="16" t="str">
        <f aca="false">IF(BH124&gt;=60,"بحرانی",IF(BH124&gt;=30,"مشکوک",IF(BH124&gt;0,"هشدار","عادی")))</f>
        <v>مشکوک</v>
      </c>
      <c r="BJ124" s="16" t="s">
        <v>648</v>
      </c>
    </row>
    <row r="125" customFormat="false" ht="15" hidden="false" customHeight="false" outlineLevel="0" collapsed="false">
      <c r="A125" s="16" t="s">
        <v>814</v>
      </c>
      <c r="B125" s="16" t="s">
        <v>815</v>
      </c>
      <c r="C125" s="16"/>
      <c r="D125" s="16" t="s">
        <v>344</v>
      </c>
      <c r="E125" s="16" t="s">
        <v>363</v>
      </c>
      <c r="F125" s="16" t="s">
        <v>333</v>
      </c>
      <c r="G125" s="17" t="n">
        <v>46282.6402430556</v>
      </c>
      <c r="H125" s="17" t="n">
        <v>46282.6784375</v>
      </c>
      <c r="I125" s="18" t="n">
        <f aca="false">IF(H125="",ROUND((تنظیمات!$B$7-G125)*1440,0),ROUND((H125-G125)*1440,0))</f>
        <v>55</v>
      </c>
      <c r="J125" s="16" t="s">
        <v>346</v>
      </c>
      <c r="K125" s="16" t="s">
        <v>410</v>
      </c>
      <c r="L125" s="19" t="n">
        <v>0.946</v>
      </c>
      <c r="M125" s="19" t="n">
        <v>0.957</v>
      </c>
      <c r="N125" s="16" t="s">
        <v>335</v>
      </c>
      <c r="O125" s="16" t="s">
        <v>441</v>
      </c>
      <c r="P125" s="16" t="s">
        <v>420</v>
      </c>
      <c r="Q125" s="20" t="n">
        <v>46282</v>
      </c>
      <c r="R125" s="16" t="s">
        <v>816</v>
      </c>
      <c r="S125" s="16" t="s">
        <v>404</v>
      </c>
      <c r="T125" s="17"/>
      <c r="U125" s="21" t="n">
        <v>1</v>
      </c>
      <c r="V125" s="21" t="n">
        <v>1</v>
      </c>
      <c r="W125" s="22" t="n">
        <v>5.3</v>
      </c>
      <c r="X125" s="16" t="s">
        <v>335</v>
      </c>
      <c r="Y125" s="16" t="s">
        <v>338</v>
      </c>
      <c r="Z125" s="16" t="s">
        <v>413</v>
      </c>
      <c r="AA125" s="16" t="s">
        <v>414</v>
      </c>
      <c r="AB125" s="23" t="s">
        <v>817</v>
      </c>
      <c r="AC125" s="17" t="n">
        <v>46282.6775810185</v>
      </c>
      <c r="AD125" s="16" t="s">
        <v>338</v>
      </c>
      <c r="AE125" s="16"/>
      <c r="AF125" s="16" t="str">
        <f aca="false">IF(COUNTIF(لیست_سفید!$A$2:$A$21,B125)&gt;0,"بله","خیر")</f>
        <v>خیر</v>
      </c>
      <c r="AG125" s="24" t="n">
        <f aca="false">IF(H125="","",IF(AD125="فیش مفقودی",تنظیمات!$B$6,(INT(I125/1440)*تنظیمات!$B$5+IF(MOD(I125,1440)&lt;=تنظیمات!$B$2,0,MIN(تنظیمات!$B$5,تنظیمات!$B$3+MAX(0,ROUNDUP((MOD(I125,1440)-60)/60,0))*تنظیمات!$B$4)))*INDEX(تعرفه!$B$2:$B$7,MATCH(AD125,تعرفه!$A$2:$A$7,0))))</f>
        <v>20000</v>
      </c>
      <c r="AH125" s="24" t="n">
        <v>20000</v>
      </c>
      <c r="AI125" s="24" t="n">
        <f aca="false">IF(AG125="","",AH125-AG125)</f>
        <v>0</v>
      </c>
      <c r="AJ125" s="21" t="n">
        <v>0</v>
      </c>
      <c r="AK125" s="21" t="n">
        <v>0</v>
      </c>
      <c r="AL125" s="16" t="s">
        <v>335</v>
      </c>
      <c r="AM125" s="16"/>
      <c r="AN125" s="16" t="s">
        <v>340</v>
      </c>
      <c r="AO125" s="16" t="s">
        <v>340</v>
      </c>
      <c r="AP125" s="16" t="s">
        <v>335</v>
      </c>
      <c r="AQ125" s="16"/>
      <c r="AR125" s="21" t="n">
        <f aca="false">IF(AND(T125&lt;&gt;"",H125&lt;&gt;""),IF(AND((T125-H125)*86400&gt;=0,(T125-H125)*86400&lt;تنظیمات!$B$13),1,0),0)</f>
        <v>0</v>
      </c>
      <c r="AS125" s="21" t="n">
        <f aca="false">IF(Z125="پوز",IF(OR(AB125="",COUNTIF(پوزها!$A$2:$A$5,AA125)=0),1,0),0)</f>
        <v>0</v>
      </c>
      <c r="AT125" s="21" t="n">
        <f aca="false">IF(AI125="",0,IF(AI125&gt;0,1,0))</f>
        <v>0</v>
      </c>
      <c r="AU125" s="21" t="n">
        <f aca="false">IF(AI125="",0,IF(AI125&lt;0,1,0))</f>
        <v>0</v>
      </c>
      <c r="AV125" s="21" t="n">
        <f aca="false">IF(U125&gt;V125,1,0)</f>
        <v>0</v>
      </c>
      <c r="AW125" s="21" t="n">
        <f aca="false">IF(OR(W125&gt;تنظیمات!$B$8,X125="بله"),1,0)</f>
        <v>0</v>
      </c>
      <c r="AX125" s="21" t="n">
        <f aca="false">IF(AND(N125="بله",L125&gt;تنظیمات!$B$9),1,0)</f>
        <v>0</v>
      </c>
      <c r="AY125" s="21" t="n">
        <f aca="false">IF(Y125="معکوس",1,0)</f>
        <v>0</v>
      </c>
      <c r="AZ125" s="21" t="n">
        <f aca="false">IF(ABS(AJ125)&gt;تنظیمات!$B$10,1,0)</f>
        <v>0</v>
      </c>
      <c r="BA125" s="21" t="n">
        <f aca="false">IF(AND(OR(AD125="رایگان/VIP",AD125="جانباز"),AF125="خیر"),1,0)</f>
        <v>0</v>
      </c>
      <c r="BB125" s="21" t="n">
        <f aca="false">IF(AE125="",0,IF(COUNTIF($AE$2:$AE$1001,AE125)&gt;1,1,0))</f>
        <v>0</v>
      </c>
      <c r="BC125" s="21" t="n">
        <f aca="false">IF(AND(H125="",I125&gt;تنظیمات!$B$12*60,AM125="خالی"),1,0)</f>
        <v>0</v>
      </c>
      <c r="BD125" s="21" t="n">
        <f aca="false">IF(AND(AP125="بله",I125&lt;تنظیمات!$B$14,AO125="خیر"),1,0)</f>
        <v>0</v>
      </c>
      <c r="BE125" s="21" t="n">
        <f aca="false">IF(AN125="خیر",1,0)</f>
        <v>0</v>
      </c>
      <c r="BF125" s="21" t="n">
        <f aca="false">IF(AND(AD125="فیش مفقودی",AQ125="بله",I125&gt;تنظیمات!$B$12*60),1,0)</f>
        <v>0</v>
      </c>
      <c r="BG125" s="21" t="n">
        <f aca="false">IF(AND(AK125&gt;تنظیمات!$B$11,AL125="بله"),1,0)</f>
        <v>0</v>
      </c>
      <c r="BH125" s="21" t="n">
        <f aca="false">MIN(100,AR125*تنظیمات!$B$21+AS125*تنظیمات!$B$22+AT125*تنظیمات!$B$23+AU125*تنظیمات!$B$24+AV125*تنظیمات!$B$25+AW125*تنظیمات!$B$26+AX125*تنظیمات!$B$27+AY125*تنظیمات!$B$28+AZ125*تنظیمات!$B$29+BA125*تنظیمات!$B$30+BB125*تنظیمات!$B$31+BC125*تنظیمات!$B$32+BD125*تنظیمات!$B$33+BE125*تنظیمات!$B$34+BF125*تنظیمات!$B$35+BG125*تنظیمات!$B$36)</f>
        <v>0</v>
      </c>
      <c r="BI125" s="16" t="str">
        <f aca="false">IF(BH125&gt;=60,"بحرانی",IF(BH125&gt;=30,"مشکوک",IF(BH125&gt;0,"هشدار","عادی")))</f>
        <v>عادی</v>
      </c>
      <c r="BJ125" s="16" t="s">
        <v>338</v>
      </c>
    </row>
    <row r="126" customFormat="false" ht="15" hidden="false" customHeight="false" outlineLevel="0" collapsed="false">
      <c r="A126" s="16" t="s">
        <v>818</v>
      </c>
      <c r="B126" s="16" t="s">
        <v>819</v>
      </c>
      <c r="C126" s="16"/>
      <c r="D126" s="16" t="s">
        <v>344</v>
      </c>
      <c r="E126" s="16" t="s">
        <v>363</v>
      </c>
      <c r="F126" s="16" t="s">
        <v>333</v>
      </c>
      <c r="G126" s="17" t="n">
        <v>46282.6495486111</v>
      </c>
      <c r="H126" s="17" t="n">
        <v>46282.7898263889</v>
      </c>
      <c r="I126" s="18" t="n">
        <f aca="false">IF(H126="",ROUND((تنظیمات!$B$7-G126)*1440,0),ROUND((H126-G126)*1440,0))</f>
        <v>202</v>
      </c>
      <c r="J126" s="16" t="s">
        <v>334</v>
      </c>
      <c r="K126" s="16" t="s">
        <v>400</v>
      </c>
      <c r="L126" s="19" t="n">
        <v>0.93</v>
      </c>
      <c r="M126" s="19" t="n">
        <v>0.974</v>
      </c>
      <c r="N126" s="16" t="s">
        <v>335</v>
      </c>
      <c r="O126" s="16" t="s">
        <v>425</v>
      </c>
      <c r="P126" s="16" t="s">
        <v>420</v>
      </c>
      <c r="Q126" s="20" t="n">
        <v>46282</v>
      </c>
      <c r="R126" s="16" t="s">
        <v>820</v>
      </c>
      <c r="S126" s="16" t="s">
        <v>404</v>
      </c>
      <c r="T126" s="17"/>
      <c r="U126" s="21" t="n">
        <v>1</v>
      </c>
      <c r="V126" s="21" t="n">
        <v>1</v>
      </c>
      <c r="W126" s="22" t="n">
        <v>3.7</v>
      </c>
      <c r="X126" s="16" t="s">
        <v>335</v>
      </c>
      <c r="Y126" s="16" t="s">
        <v>338</v>
      </c>
      <c r="Z126" s="16" t="s">
        <v>413</v>
      </c>
      <c r="AA126" s="16" t="s">
        <v>427</v>
      </c>
      <c r="AB126" s="23" t="s">
        <v>821</v>
      </c>
      <c r="AC126" s="17" t="n">
        <v>46282.7892708333</v>
      </c>
      <c r="AD126" s="16" t="s">
        <v>338</v>
      </c>
      <c r="AE126" s="16"/>
      <c r="AF126" s="16" t="str">
        <f aca="false">IF(COUNTIF(لیست_سفید!$A$2:$A$21,B126)&gt;0,"بله","خیر")</f>
        <v>خیر</v>
      </c>
      <c r="AG126" s="24" t="n">
        <f aca="false">IF(H126="","",IF(AD126="فیش مفقودی",تنظیمات!$B$6,(INT(I126/1440)*تنظیمات!$B$5+IF(MOD(I126,1440)&lt;=تنظیمات!$B$2,0,MIN(تنظیمات!$B$5,تنظیمات!$B$3+MAX(0,ROUNDUP((MOD(I126,1440)-60)/60,0))*تنظیمات!$B$4)))*INDEX(تعرفه!$B$2:$B$7,MATCH(AD126,تعرفه!$A$2:$A$7,0))))</f>
        <v>62000</v>
      </c>
      <c r="AH126" s="24" t="n">
        <v>62000</v>
      </c>
      <c r="AI126" s="24" t="n">
        <f aca="false">IF(AG126="","",AH126-AG126)</f>
        <v>0</v>
      </c>
      <c r="AJ126" s="21" t="n">
        <v>0</v>
      </c>
      <c r="AK126" s="21" t="n">
        <v>0</v>
      </c>
      <c r="AL126" s="16" t="s">
        <v>335</v>
      </c>
      <c r="AM126" s="16"/>
      <c r="AN126" s="16" t="s">
        <v>340</v>
      </c>
      <c r="AO126" s="16" t="s">
        <v>340</v>
      </c>
      <c r="AP126" s="16" t="s">
        <v>335</v>
      </c>
      <c r="AQ126" s="16"/>
      <c r="AR126" s="21" t="n">
        <f aca="false">IF(AND(T126&lt;&gt;"",H126&lt;&gt;""),IF(AND((T126-H126)*86400&gt;=0,(T126-H126)*86400&lt;تنظیمات!$B$13),1,0),0)</f>
        <v>0</v>
      </c>
      <c r="AS126" s="21" t="n">
        <f aca="false">IF(Z126="پوز",IF(OR(AB126="",COUNTIF(پوزها!$A$2:$A$5,AA126)=0),1,0),0)</f>
        <v>0</v>
      </c>
      <c r="AT126" s="21" t="n">
        <f aca="false">IF(AI126="",0,IF(AI126&gt;0,1,0))</f>
        <v>0</v>
      </c>
      <c r="AU126" s="21" t="n">
        <f aca="false">IF(AI126="",0,IF(AI126&lt;0,1,0))</f>
        <v>0</v>
      </c>
      <c r="AV126" s="21" t="n">
        <f aca="false">IF(U126&gt;V126,1,0)</f>
        <v>0</v>
      </c>
      <c r="AW126" s="21" t="n">
        <f aca="false">IF(OR(W126&gt;تنظیمات!$B$8,X126="بله"),1,0)</f>
        <v>0</v>
      </c>
      <c r="AX126" s="21" t="n">
        <f aca="false">IF(AND(N126="بله",L126&gt;تنظیمات!$B$9),1,0)</f>
        <v>0</v>
      </c>
      <c r="AY126" s="21" t="n">
        <f aca="false">IF(Y126="معکوس",1,0)</f>
        <v>0</v>
      </c>
      <c r="AZ126" s="21" t="n">
        <f aca="false">IF(ABS(AJ126)&gt;تنظیمات!$B$10,1,0)</f>
        <v>0</v>
      </c>
      <c r="BA126" s="21" t="n">
        <f aca="false">IF(AND(OR(AD126="رایگان/VIP",AD126="جانباز"),AF126="خیر"),1,0)</f>
        <v>0</v>
      </c>
      <c r="BB126" s="21" t="n">
        <f aca="false">IF(AE126="",0,IF(COUNTIF($AE$2:$AE$1001,AE126)&gt;1,1,0))</f>
        <v>0</v>
      </c>
      <c r="BC126" s="21" t="n">
        <f aca="false">IF(AND(H126="",I126&gt;تنظیمات!$B$12*60,AM126="خالی"),1,0)</f>
        <v>0</v>
      </c>
      <c r="BD126" s="21" t="n">
        <f aca="false">IF(AND(AP126="بله",I126&lt;تنظیمات!$B$14,AO126="خیر"),1,0)</f>
        <v>0</v>
      </c>
      <c r="BE126" s="21" t="n">
        <f aca="false">IF(AN126="خیر",1,0)</f>
        <v>0</v>
      </c>
      <c r="BF126" s="21" t="n">
        <f aca="false">IF(AND(AD126="فیش مفقودی",AQ126="بله",I126&gt;تنظیمات!$B$12*60),1,0)</f>
        <v>0</v>
      </c>
      <c r="BG126" s="21" t="n">
        <f aca="false">IF(AND(AK126&gt;تنظیمات!$B$11,AL126="بله"),1,0)</f>
        <v>0</v>
      </c>
      <c r="BH126" s="21" t="n">
        <f aca="false">MIN(100,AR126*تنظیمات!$B$21+AS126*تنظیمات!$B$22+AT126*تنظیمات!$B$23+AU126*تنظیمات!$B$24+AV126*تنظیمات!$B$25+AW126*تنظیمات!$B$26+AX126*تنظیمات!$B$27+AY126*تنظیمات!$B$28+AZ126*تنظیمات!$B$29+BA126*تنظیمات!$B$30+BB126*تنظیمات!$B$31+BC126*تنظیمات!$B$32+BD126*تنظیمات!$B$33+BE126*تنظیمات!$B$34+BF126*تنظیمات!$B$35+BG126*تنظیمات!$B$36)</f>
        <v>0</v>
      </c>
      <c r="BI126" s="16" t="str">
        <f aca="false">IF(BH126&gt;=60,"بحرانی",IF(BH126&gt;=30,"مشکوک",IF(BH126&gt;0,"هشدار","عادی")))</f>
        <v>عادی</v>
      </c>
      <c r="BJ126" s="16" t="s">
        <v>338</v>
      </c>
    </row>
    <row r="127" customFormat="false" ht="15" hidden="false" customHeight="false" outlineLevel="0" collapsed="false">
      <c r="A127" s="16" t="s">
        <v>822</v>
      </c>
      <c r="B127" s="16" t="s">
        <v>823</v>
      </c>
      <c r="C127" s="16" t="s">
        <v>824</v>
      </c>
      <c r="D127" s="16" t="s">
        <v>331</v>
      </c>
      <c r="E127" s="16" t="s">
        <v>345</v>
      </c>
      <c r="F127" s="16" t="s">
        <v>333</v>
      </c>
      <c r="G127" s="17" t="n">
        <v>46282.6502083333</v>
      </c>
      <c r="H127" s="17" t="n">
        <v>46282.7300694444</v>
      </c>
      <c r="I127" s="18" t="n">
        <f aca="false">IF(H127="",ROUND((تنظیمات!$B$7-G127)*1440,0),ROUND((H127-G127)*1440,0))</f>
        <v>115</v>
      </c>
      <c r="J127" s="16" t="s">
        <v>334</v>
      </c>
      <c r="K127" s="16" t="s">
        <v>410</v>
      </c>
      <c r="L127" s="19" t="n">
        <v>0.693</v>
      </c>
      <c r="M127" s="19" t="n">
        <v>0.878</v>
      </c>
      <c r="N127" s="16" t="s">
        <v>340</v>
      </c>
      <c r="O127" s="16" t="s">
        <v>441</v>
      </c>
      <c r="P127" s="16" t="s">
        <v>420</v>
      </c>
      <c r="Q127" s="20" t="n">
        <v>46282</v>
      </c>
      <c r="R127" s="16" t="s">
        <v>825</v>
      </c>
      <c r="S127" s="16" t="s">
        <v>404</v>
      </c>
      <c r="T127" s="17"/>
      <c r="U127" s="21" t="n">
        <v>1</v>
      </c>
      <c r="V127" s="21" t="n">
        <v>1</v>
      </c>
      <c r="W127" s="22" t="n">
        <v>7.2</v>
      </c>
      <c r="X127" s="16" t="s">
        <v>335</v>
      </c>
      <c r="Y127" s="16" t="s">
        <v>338</v>
      </c>
      <c r="Z127" s="16" t="s">
        <v>405</v>
      </c>
      <c r="AA127" s="16"/>
      <c r="AB127" s="23"/>
      <c r="AC127" s="17"/>
      <c r="AD127" s="16" t="s">
        <v>338</v>
      </c>
      <c r="AE127" s="16"/>
      <c r="AF127" s="16" t="str">
        <f aca="false">IF(COUNTIF(لیست_سفید!$A$2:$A$21,B127)&gt;0,"بله","خیر")</f>
        <v>خیر</v>
      </c>
      <c r="AG127" s="24" t="n">
        <f aca="false">IF(H127="","",IF(AD127="فیش مفقودی",تنظیمات!$B$6,(INT(I127/1440)*تنظیمات!$B$5+IF(MOD(I127,1440)&lt;=تنظیمات!$B$2,0,MIN(تنظیمات!$B$5,تنظیمات!$B$3+MAX(0,ROUNDUP((MOD(I127,1440)-60)/60,0))*تنظیمات!$B$4)))*INDEX(تعرفه!$B$2:$B$7,MATCH(AD127,تعرفه!$A$2:$A$7,0))))</f>
        <v>34000</v>
      </c>
      <c r="AH127" s="24" t="n">
        <v>34000</v>
      </c>
      <c r="AI127" s="24" t="n">
        <f aca="false">IF(AG127="","",AH127-AG127)</f>
        <v>0</v>
      </c>
      <c r="AJ127" s="21" t="n">
        <v>1</v>
      </c>
      <c r="AK127" s="21" t="n">
        <v>0</v>
      </c>
      <c r="AL127" s="16" t="s">
        <v>335</v>
      </c>
      <c r="AM127" s="16"/>
      <c r="AN127" s="16" t="s">
        <v>340</v>
      </c>
      <c r="AO127" s="16" t="s">
        <v>340</v>
      </c>
      <c r="AP127" s="16" t="s">
        <v>335</v>
      </c>
      <c r="AQ127" s="16"/>
      <c r="AR127" s="21" t="n">
        <f aca="false">IF(AND(T127&lt;&gt;"",H127&lt;&gt;""),IF(AND((T127-H127)*86400&gt;=0,(T127-H127)*86400&lt;تنظیمات!$B$13),1,0),0)</f>
        <v>0</v>
      </c>
      <c r="AS127" s="21" t="n">
        <f aca="false">IF(Z127="پوز",IF(OR(AB127="",COUNTIF(پوزها!$A$2:$A$5,AA127)=0),1,0),0)</f>
        <v>0</v>
      </c>
      <c r="AT127" s="21" t="n">
        <f aca="false">IF(AI127="",0,IF(AI127&gt;0,1,0))</f>
        <v>0</v>
      </c>
      <c r="AU127" s="21" t="n">
        <f aca="false">IF(AI127="",0,IF(AI127&lt;0,1,0))</f>
        <v>0</v>
      </c>
      <c r="AV127" s="21" t="n">
        <f aca="false">IF(U127&gt;V127,1,0)</f>
        <v>0</v>
      </c>
      <c r="AW127" s="21" t="n">
        <f aca="false">IF(OR(W127&gt;تنظیمات!$B$8,X127="بله"),1,0)</f>
        <v>0</v>
      </c>
      <c r="AX127" s="21" t="n">
        <f aca="false">IF(AND(N127="بله",L127&gt;تنظیمات!$B$9),1,0)</f>
        <v>0</v>
      </c>
      <c r="AY127" s="21" t="n">
        <f aca="false">IF(Y127="معکوس",1,0)</f>
        <v>0</v>
      </c>
      <c r="AZ127" s="21" t="n">
        <f aca="false">IF(ABS(AJ127)&gt;تنظیمات!$B$10,1,0)</f>
        <v>0</v>
      </c>
      <c r="BA127" s="21" t="n">
        <f aca="false">IF(AND(OR(AD127="رایگان/VIP",AD127="جانباز"),AF127="خیر"),1,0)</f>
        <v>0</v>
      </c>
      <c r="BB127" s="21" t="n">
        <f aca="false">IF(AE127="",0,IF(COUNTIF($AE$2:$AE$1001,AE127)&gt;1,1,0))</f>
        <v>0</v>
      </c>
      <c r="BC127" s="21" t="n">
        <f aca="false">IF(AND(H127="",I127&gt;تنظیمات!$B$12*60,AM127="خالی"),1,0)</f>
        <v>0</v>
      </c>
      <c r="BD127" s="21" t="n">
        <f aca="false">IF(AND(AP127="بله",I127&lt;تنظیمات!$B$14,AO127="خیر"),1,0)</f>
        <v>0</v>
      </c>
      <c r="BE127" s="21" t="n">
        <f aca="false">IF(AN127="خیر",1,0)</f>
        <v>0</v>
      </c>
      <c r="BF127" s="21" t="n">
        <f aca="false">IF(AND(AD127="فیش مفقودی",AQ127="بله",I127&gt;تنظیمات!$B$12*60),1,0)</f>
        <v>0</v>
      </c>
      <c r="BG127" s="21" t="n">
        <f aca="false">IF(AND(AK127&gt;تنظیمات!$B$11,AL127="بله"),1,0)</f>
        <v>0</v>
      </c>
      <c r="BH127" s="21" t="n">
        <f aca="false">MIN(100,AR127*تنظیمات!$B$21+AS127*تنظیمات!$B$22+AT127*تنظیمات!$B$23+AU127*تنظیمات!$B$24+AV127*تنظیمات!$B$25+AW127*تنظیمات!$B$26+AX127*تنظیمات!$B$27+AY127*تنظیمات!$B$28+AZ127*تنظیمات!$B$29+BA127*تنظیمات!$B$30+BB127*تنظیمات!$B$31+BC127*تنظیمات!$B$32+BD127*تنظیمات!$B$33+BE127*تنظیمات!$B$34+BF127*تنظیمات!$B$35+BG127*تنظیمات!$B$36)</f>
        <v>0</v>
      </c>
      <c r="BI127" s="16" t="str">
        <f aca="false">IF(BH127&gt;=60,"بحرانی",IF(BH127&gt;=30,"مشکوک",IF(BH127&gt;0,"هشدار","عادی")))</f>
        <v>عادی</v>
      </c>
      <c r="BJ127" s="16" t="s">
        <v>338</v>
      </c>
    </row>
    <row r="128" customFormat="false" ht="15" hidden="false" customHeight="false" outlineLevel="0" collapsed="false">
      <c r="A128" s="16" t="s">
        <v>826</v>
      </c>
      <c r="B128" s="16" t="s">
        <v>827</v>
      </c>
      <c r="C128" s="16"/>
      <c r="D128" s="16" t="s">
        <v>386</v>
      </c>
      <c r="E128" s="16" t="s">
        <v>390</v>
      </c>
      <c r="F128" s="16" t="s">
        <v>333</v>
      </c>
      <c r="G128" s="17" t="n">
        <v>46282.658587963</v>
      </c>
      <c r="H128" s="17" t="n">
        <v>46282.6905324074</v>
      </c>
      <c r="I128" s="18" t="n">
        <f aca="false">IF(H128="",ROUND((تنظیمات!$B$7-G128)*1440,0),ROUND((H128-G128)*1440,0))</f>
        <v>46</v>
      </c>
      <c r="J128" s="16" t="s">
        <v>346</v>
      </c>
      <c r="K128" s="16" t="s">
        <v>410</v>
      </c>
      <c r="L128" s="19" t="n">
        <v>0.922</v>
      </c>
      <c r="M128" s="19" t="n">
        <v>0.922</v>
      </c>
      <c r="N128" s="16" t="s">
        <v>335</v>
      </c>
      <c r="O128" s="16" t="s">
        <v>441</v>
      </c>
      <c r="P128" s="16" t="s">
        <v>420</v>
      </c>
      <c r="Q128" s="20" t="n">
        <v>46282</v>
      </c>
      <c r="R128" s="16" t="s">
        <v>828</v>
      </c>
      <c r="S128" s="16" t="s">
        <v>404</v>
      </c>
      <c r="T128" s="17"/>
      <c r="U128" s="21" t="n">
        <v>1</v>
      </c>
      <c r="V128" s="21" t="n">
        <v>1</v>
      </c>
      <c r="W128" s="22" t="n">
        <v>5.2</v>
      </c>
      <c r="X128" s="16" t="s">
        <v>335</v>
      </c>
      <c r="Y128" s="16" t="s">
        <v>338</v>
      </c>
      <c r="Z128" s="16" t="s">
        <v>413</v>
      </c>
      <c r="AA128" s="16" t="s">
        <v>414</v>
      </c>
      <c r="AB128" s="23" t="s">
        <v>829</v>
      </c>
      <c r="AC128" s="17" t="n">
        <v>46282.6897916667</v>
      </c>
      <c r="AD128" s="16" t="s">
        <v>338</v>
      </c>
      <c r="AE128" s="16"/>
      <c r="AF128" s="16" t="str">
        <f aca="false">IF(COUNTIF(لیست_سفید!$A$2:$A$21,B128)&gt;0,"بله","خیر")</f>
        <v>خیر</v>
      </c>
      <c r="AG128" s="24" t="n">
        <f aca="false">IF(H128="","",IF(AD128="فیش مفقودی",تنظیمات!$B$6,(INT(I128/1440)*تنظیمات!$B$5+IF(MOD(I128,1440)&lt;=تنظیمات!$B$2,0,MIN(تنظیمات!$B$5,تنظیمات!$B$3+MAX(0,ROUNDUP((MOD(I128,1440)-60)/60,0))*تنظیمات!$B$4)))*INDEX(تعرفه!$B$2:$B$7,MATCH(AD128,تعرفه!$A$2:$A$7,0))))</f>
        <v>20000</v>
      </c>
      <c r="AH128" s="24" t="n">
        <v>20000</v>
      </c>
      <c r="AI128" s="24" t="n">
        <f aca="false">IF(AG128="","",AH128-AG128)</f>
        <v>0</v>
      </c>
      <c r="AJ128" s="21" t="n">
        <v>0</v>
      </c>
      <c r="AK128" s="21" t="n">
        <v>0</v>
      </c>
      <c r="AL128" s="16" t="s">
        <v>335</v>
      </c>
      <c r="AM128" s="16"/>
      <c r="AN128" s="16" t="s">
        <v>340</v>
      </c>
      <c r="AO128" s="16" t="s">
        <v>340</v>
      </c>
      <c r="AP128" s="16" t="s">
        <v>335</v>
      </c>
      <c r="AQ128" s="16"/>
      <c r="AR128" s="21" t="n">
        <f aca="false">IF(AND(T128&lt;&gt;"",H128&lt;&gt;""),IF(AND((T128-H128)*86400&gt;=0,(T128-H128)*86400&lt;تنظیمات!$B$13),1,0),0)</f>
        <v>0</v>
      </c>
      <c r="AS128" s="21" t="n">
        <f aca="false">IF(Z128="پوز",IF(OR(AB128="",COUNTIF(پوزها!$A$2:$A$5,AA128)=0),1,0),0)</f>
        <v>0</v>
      </c>
      <c r="AT128" s="21" t="n">
        <f aca="false">IF(AI128="",0,IF(AI128&gt;0,1,0))</f>
        <v>0</v>
      </c>
      <c r="AU128" s="21" t="n">
        <f aca="false">IF(AI128="",0,IF(AI128&lt;0,1,0))</f>
        <v>0</v>
      </c>
      <c r="AV128" s="21" t="n">
        <f aca="false">IF(U128&gt;V128,1,0)</f>
        <v>0</v>
      </c>
      <c r="AW128" s="21" t="n">
        <f aca="false">IF(OR(W128&gt;تنظیمات!$B$8,X128="بله"),1,0)</f>
        <v>0</v>
      </c>
      <c r="AX128" s="21" t="n">
        <f aca="false">IF(AND(N128="بله",L128&gt;تنظیمات!$B$9),1,0)</f>
        <v>0</v>
      </c>
      <c r="AY128" s="21" t="n">
        <f aca="false">IF(Y128="معکوس",1,0)</f>
        <v>0</v>
      </c>
      <c r="AZ128" s="21" t="n">
        <f aca="false">IF(ABS(AJ128)&gt;تنظیمات!$B$10,1,0)</f>
        <v>0</v>
      </c>
      <c r="BA128" s="21" t="n">
        <f aca="false">IF(AND(OR(AD128="رایگان/VIP",AD128="جانباز"),AF128="خیر"),1,0)</f>
        <v>0</v>
      </c>
      <c r="BB128" s="21" t="n">
        <f aca="false">IF(AE128="",0,IF(COUNTIF($AE$2:$AE$1001,AE128)&gt;1,1,0))</f>
        <v>0</v>
      </c>
      <c r="BC128" s="21" t="n">
        <f aca="false">IF(AND(H128="",I128&gt;تنظیمات!$B$12*60,AM128="خالی"),1,0)</f>
        <v>0</v>
      </c>
      <c r="BD128" s="21" t="n">
        <f aca="false">IF(AND(AP128="بله",I128&lt;تنظیمات!$B$14,AO128="خیر"),1,0)</f>
        <v>0</v>
      </c>
      <c r="BE128" s="21" t="n">
        <f aca="false">IF(AN128="خیر",1,0)</f>
        <v>0</v>
      </c>
      <c r="BF128" s="21" t="n">
        <f aca="false">IF(AND(AD128="فیش مفقودی",AQ128="بله",I128&gt;تنظیمات!$B$12*60),1,0)</f>
        <v>0</v>
      </c>
      <c r="BG128" s="21" t="n">
        <f aca="false">IF(AND(AK128&gt;تنظیمات!$B$11,AL128="بله"),1,0)</f>
        <v>0</v>
      </c>
      <c r="BH128" s="21" t="n">
        <f aca="false">MIN(100,AR128*تنظیمات!$B$21+AS128*تنظیمات!$B$22+AT128*تنظیمات!$B$23+AU128*تنظیمات!$B$24+AV128*تنظیمات!$B$25+AW128*تنظیمات!$B$26+AX128*تنظیمات!$B$27+AY128*تنظیمات!$B$28+AZ128*تنظیمات!$B$29+BA128*تنظیمات!$B$30+BB128*تنظیمات!$B$31+BC128*تنظیمات!$B$32+BD128*تنظیمات!$B$33+BE128*تنظیمات!$B$34+BF128*تنظیمات!$B$35+BG128*تنظیمات!$B$36)</f>
        <v>0</v>
      </c>
      <c r="BI128" s="16" t="str">
        <f aca="false">IF(BH128&gt;=60,"بحرانی",IF(BH128&gt;=30,"مشکوک",IF(BH128&gt;0,"هشدار","عادی")))</f>
        <v>عادی</v>
      </c>
      <c r="BJ128" s="16" t="s">
        <v>338</v>
      </c>
    </row>
    <row r="129" customFormat="false" ht="15" hidden="false" customHeight="false" outlineLevel="0" collapsed="false">
      <c r="A129" s="16" t="s">
        <v>830</v>
      </c>
      <c r="B129" s="16" t="s">
        <v>831</v>
      </c>
      <c r="C129" s="16"/>
      <c r="D129" s="16" t="s">
        <v>450</v>
      </c>
      <c r="E129" s="16" t="s">
        <v>345</v>
      </c>
      <c r="F129" s="16" t="s">
        <v>333</v>
      </c>
      <c r="G129" s="17" t="n">
        <v>46282.6634722222</v>
      </c>
      <c r="H129" s="17" t="n">
        <v>46282.7329166667</v>
      </c>
      <c r="I129" s="18" t="n">
        <f aca="false">IF(H129="",ROUND((تنظیمات!$B$7-G129)*1440,0),ROUND((H129-G129)*1440,0))</f>
        <v>100</v>
      </c>
      <c r="J129" s="16" t="s">
        <v>334</v>
      </c>
      <c r="K129" s="16" t="s">
        <v>410</v>
      </c>
      <c r="L129" s="19" t="n">
        <v>0.912</v>
      </c>
      <c r="M129" s="19" t="n">
        <v>0.995</v>
      </c>
      <c r="N129" s="16" t="s">
        <v>335</v>
      </c>
      <c r="O129" s="16" t="s">
        <v>441</v>
      </c>
      <c r="P129" s="16" t="s">
        <v>420</v>
      </c>
      <c r="Q129" s="20" t="n">
        <v>46282</v>
      </c>
      <c r="R129" s="16" t="s">
        <v>832</v>
      </c>
      <c r="S129" s="16" t="s">
        <v>404</v>
      </c>
      <c r="T129" s="17"/>
      <c r="U129" s="21" t="n">
        <v>1</v>
      </c>
      <c r="V129" s="21" t="n">
        <v>1</v>
      </c>
      <c r="W129" s="22" t="n">
        <v>4.5</v>
      </c>
      <c r="X129" s="16" t="s">
        <v>335</v>
      </c>
      <c r="Y129" s="16" t="s">
        <v>338</v>
      </c>
      <c r="Z129" s="16" t="s">
        <v>413</v>
      </c>
      <c r="AA129" s="16" t="s">
        <v>414</v>
      </c>
      <c r="AB129" s="23" t="s">
        <v>833</v>
      </c>
      <c r="AC129" s="17" t="n">
        <v>46282.7325810185</v>
      </c>
      <c r="AD129" s="16" t="s">
        <v>338</v>
      </c>
      <c r="AE129" s="16"/>
      <c r="AF129" s="16" t="str">
        <f aca="false">IF(COUNTIF(لیست_سفید!$A$2:$A$21,B129)&gt;0,"بله","خیر")</f>
        <v>خیر</v>
      </c>
      <c r="AG129" s="24" t="n">
        <f aca="false">IF(H129="","",IF(AD129="فیش مفقودی",تنظیمات!$B$6,(INT(I129/1440)*تنظیمات!$B$5+IF(MOD(I129,1440)&lt;=تنظیمات!$B$2,0,MIN(تنظیمات!$B$5,تنظیمات!$B$3+MAX(0,ROUNDUP((MOD(I129,1440)-60)/60,0))*تنظیمات!$B$4)))*INDEX(تعرفه!$B$2:$B$7,MATCH(AD129,تعرفه!$A$2:$A$7,0))))</f>
        <v>34000</v>
      </c>
      <c r="AH129" s="24" t="n">
        <v>34000</v>
      </c>
      <c r="AI129" s="24" t="n">
        <f aca="false">IF(AG129="","",AH129-AG129)</f>
        <v>0</v>
      </c>
      <c r="AJ129" s="21" t="n">
        <v>2</v>
      </c>
      <c r="AK129" s="21" t="n">
        <v>0</v>
      </c>
      <c r="AL129" s="16" t="s">
        <v>335</v>
      </c>
      <c r="AM129" s="16"/>
      <c r="AN129" s="16" t="s">
        <v>340</v>
      </c>
      <c r="AO129" s="16" t="s">
        <v>340</v>
      </c>
      <c r="AP129" s="16" t="s">
        <v>335</v>
      </c>
      <c r="AQ129" s="16"/>
      <c r="AR129" s="21" t="n">
        <f aca="false">IF(AND(T129&lt;&gt;"",H129&lt;&gt;""),IF(AND((T129-H129)*86400&gt;=0,(T129-H129)*86400&lt;تنظیمات!$B$13),1,0),0)</f>
        <v>0</v>
      </c>
      <c r="AS129" s="21" t="n">
        <f aca="false">IF(Z129="پوز",IF(OR(AB129="",COUNTIF(پوزها!$A$2:$A$5,AA129)=0),1,0),0)</f>
        <v>0</v>
      </c>
      <c r="AT129" s="21" t="n">
        <f aca="false">IF(AI129="",0,IF(AI129&gt;0,1,0))</f>
        <v>0</v>
      </c>
      <c r="AU129" s="21" t="n">
        <f aca="false">IF(AI129="",0,IF(AI129&lt;0,1,0))</f>
        <v>0</v>
      </c>
      <c r="AV129" s="21" t="n">
        <f aca="false">IF(U129&gt;V129,1,0)</f>
        <v>0</v>
      </c>
      <c r="AW129" s="21" t="n">
        <f aca="false">IF(OR(W129&gt;تنظیمات!$B$8,X129="بله"),1,0)</f>
        <v>0</v>
      </c>
      <c r="AX129" s="21" t="n">
        <f aca="false">IF(AND(N129="بله",L129&gt;تنظیمات!$B$9),1,0)</f>
        <v>0</v>
      </c>
      <c r="AY129" s="21" t="n">
        <f aca="false">IF(Y129="معکوس",1,0)</f>
        <v>0</v>
      </c>
      <c r="AZ129" s="21" t="n">
        <f aca="false">IF(ABS(AJ129)&gt;تنظیمات!$B$10,1,0)</f>
        <v>0</v>
      </c>
      <c r="BA129" s="21" t="n">
        <f aca="false">IF(AND(OR(AD129="رایگان/VIP",AD129="جانباز"),AF129="خیر"),1,0)</f>
        <v>0</v>
      </c>
      <c r="BB129" s="21" t="n">
        <f aca="false">IF(AE129="",0,IF(COUNTIF($AE$2:$AE$1001,AE129)&gt;1,1,0))</f>
        <v>0</v>
      </c>
      <c r="BC129" s="21" t="n">
        <f aca="false">IF(AND(H129="",I129&gt;تنظیمات!$B$12*60,AM129="خالی"),1,0)</f>
        <v>0</v>
      </c>
      <c r="BD129" s="21" t="n">
        <f aca="false">IF(AND(AP129="بله",I129&lt;تنظیمات!$B$14,AO129="خیر"),1,0)</f>
        <v>0</v>
      </c>
      <c r="BE129" s="21" t="n">
        <f aca="false">IF(AN129="خیر",1,0)</f>
        <v>0</v>
      </c>
      <c r="BF129" s="21" t="n">
        <f aca="false">IF(AND(AD129="فیش مفقودی",AQ129="بله",I129&gt;تنظیمات!$B$12*60),1,0)</f>
        <v>0</v>
      </c>
      <c r="BG129" s="21" t="n">
        <f aca="false">IF(AND(AK129&gt;تنظیمات!$B$11,AL129="بله"),1,0)</f>
        <v>0</v>
      </c>
      <c r="BH129" s="21" t="n">
        <f aca="false">MIN(100,AR129*تنظیمات!$B$21+AS129*تنظیمات!$B$22+AT129*تنظیمات!$B$23+AU129*تنظیمات!$B$24+AV129*تنظیمات!$B$25+AW129*تنظیمات!$B$26+AX129*تنظیمات!$B$27+AY129*تنظیمات!$B$28+AZ129*تنظیمات!$B$29+BA129*تنظیمات!$B$30+BB129*تنظیمات!$B$31+BC129*تنظیمات!$B$32+BD129*تنظیمات!$B$33+BE129*تنظیمات!$B$34+BF129*تنظیمات!$B$35+BG129*تنظیمات!$B$36)</f>
        <v>0</v>
      </c>
      <c r="BI129" s="16" t="str">
        <f aca="false">IF(BH129&gt;=60,"بحرانی",IF(BH129&gt;=30,"مشکوک",IF(BH129&gt;0,"هشدار","عادی")))</f>
        <v>عادی</v>
      </c>
      <c r="BJ129" s="16" t="s">
        <v>338</v>
      </c>
    </row>
    <row r="130" customFormat="false" ht="15" hidden="false" customHeight="false" outlineLevel="0" collapsed="false">
      <c r="A130" s="16" t="s">
        <v>834</v>
      </c>
      <c r="B130" s="16" t="s">
        <v>835</v>
      </c>
      <c r="C130" s="16"/>
      <c r="D130" s="16" t="s">
        <v>344</v>
      </c>
      <c r="E130" s="16" t="s">
        <v>375</v>
      </c>
      <c r="F130" s="16" t="s">
        <v>333</v>
      </c>
      <c r="G130" s="17" t="n">
        <v>46282.6651041667</v>
      </c>
      <c r="H130" s="17" t="n">
        <v>46282.6949652778</v>
      </c>
      <c r="I130" s="18" t="n">
        <f aca="false">IF(H130="",ROUND((تنظیمات!$B$7-G130)*1440,0),ROUND((H130-G130)*1440,0))</f>
        <v>43</v>
      </c>
      <c r="J130" s="16" t="s">
        <v>334</v>
      </c>
      <c r="K130" s="16" t="s">
        <v>410</v>
      </c>
      <c r="L130" s="19" t="n">
        <v>0.956</v>
      </c>
      <c r="M130" s="19" t="n">
        <v>0.937</v>
      </c>
      <c r="N130" s="16" t="s">
        <v>335</v>
      </c>
      <c r="O130" s="16" t="s">
        <v>441</v>
      </c>
      <c r="P130" s="16" t="s">
        <v>420</v>
      </c>
      <c r="Q130" s="20" t="n">
        <v>46282</v>
      </c>
      <c r="R130" s="16" t="s">
        <v>836</v>
      </c>
      <c r="S130" s="16" t="s">
        <v>404</v>
      </c>
      <c r="T130" s="17"/>
      <c r="U130" s="21" t="n">
        <v>1</v>
      </c>
      <c r="V130" s="21" t="n">
        <v>1</v>
      </c>
      <c r="W130" s="22" t="n">
        <v>5.7</v>
      </c>
      <c r="X130" s="16" t="s">
        <v>335</v>
      </c>
      <c r="Y130" s="16" t="s">
        <v>338</v>
      </c>
      <c r="Z130" s="16" t="s">
        <v>413</v>
      </c>
      <c r="AA130" s="16" t="s">
        <v>414</v>
      </c>
      <c r="AB130" s="23" t="s">
        <v>837</v>
      </c>
      <c r="AC130" s="17" t="n">
        <v>46282.6945486111</v>
      </c>
      <c r="AD130" s="16" t="s">
        <v>338</v>
      </c>
      <c r="AE130" s="16"/>
      <c r="AF130" s="16" t="str">
        <f aca="false">IF(COUNTIF(لیست_سفید!$A$2:$A$21,B130)&gt;0,"بله","خیر")</f>
        <v>خیر</v>
      </c>
      <c r="AG130" s="24" t="n">
        <f aca="false">IF(H130="","",IF(AD130="فیش مفقودی",تنظیمات!$B$6,(INT(I130/1440)*تنظیمات!$B$5+IF(MOD(I130,1440)&lt;=تنظیمات!$B$2,0,MIN(تنظیمات!$B$5,تنظیمات!$B$3+MAX(0,ROUNDUP((MOD(I130,1440)-60)/60,0))*تنظیمات!$B$4)))*INDEX(تعرفه!$B$2:$B$7,MATCH(AD130,تعرفه!$A$2:$A$7,0))))</f>
        <v>20000</v>
      </c>
      <c r="AH130" s="24" t="n">
        <v>20000</v>
      </c>
      <c r="AI130" s="24" t="n">
        <f aca="false">IF(AG130="","",AH130-AG130)</f>
        <v>0</v>
      </c>
      <c r="AJ130" s="21" t="n">
        <v>0</v>
      </c>
      <c r="AK130" s="21" t="n">
        <v>0</v>
      </c>
      <c r="AL130" s="16" t="s">
        <v>335</v>
      </c>
      <c r="AM130" s="16"/>
      <c r="AN130" s="16" t="s">
        <v>340</v>
      </c>
      <c r="AO130" s="16" t="s">
        <v>340</v>
      </c>
      <c r="AP130" s="16" t="s">
        <v>335</v>
      </c>
      <c r="AQ130" s="16"/>
      <c r="AR130" s="21" t="n">
        <f aca="false">IF(AND(T130&lt;&gt;"",H130&lt;&gt;""),IF(AND((T130-H130)*86400&gt;=0,(T130-H130)*86400&lt;تنظیمات!$B$13),1,0),0)</f>
        <v>0</v>
      </c>
      <c r="AS130" s="21" t="n">
        <f aca="false">IF(Z130="پوز",IF(OR(AB130="",COUNTIF(پوزها!$A$2:$A$5,AA130)=0),1,0),0)</f>
        <v>0</v>
      </c>
      <c r="AT130" s="21" t="n">
        <f aca="false">IF(AI130="",0,IF(AI130&gt;0,1,0))</f>
        <v>0</v>
      </c>
      <c r="AU130" s="21" t="n">
        <f aca="false">IF(AI130="",0,IF(AI130&lt;0,1,0))</f>
        <v>0</v>
      </c>
      <c r="AV130" s="21" t="n">
        <f aca="false">IF(U130&gt;V130,1,0)</f>
        <v>0</v>
      </c>
      <c r="AW130" s="21" t="n">
        <f aca="false">IF(OR(W130&gt;تنظیمات!$B$8,X130="بله"),1,0)</f>
        <v>0</v>
      </c>
      <c r="AX130" s="21" t="n">
        <f aca="false">IF(AND(N130="بله",L130&gt;تنظیمات!$B$9),1,0)</f>
        <v>0</v>
      </c>
      <c r="AY130" s="21" t="n">
        <f aca="false">IF(Y130="معکوس",1,0)</f>
        <v>0</v>
      </c>
      <c r="AZ130" s="21" t="n">
        <f aca="false">IF(ABS(AJ130)&gt;تنظیمات!$B$10,1,0)</f>
        <v>0</v>
      </c>
      <c r="BA130" s="21" t="n">
        <f aca="false">IF(AND(OR(AD130="رایگان/VIP",AD130="جانباز"),AF130="خیر"),1,0)</f>
        <v>0</v>
      </c>
      <c r="BB130" s="21" t="n">
        <f aca="false">IF(AE130="",0,IF(COUNTIF($AE$2:$AE$1001,AE130)&gt;1,1,0))</f>
        <v>0</v>
      </c>
      <c r="BC130" s="21" t="n">
        <f aca="false">IF(AND(H130="",I130&gt;تنظیمات!$B$12*60,AM130="خالی"),1,0)</f>
        <v>0</v>
      </c>
      <c r="BD130" s="21" t="n">
        <f aca="false">IF(AND(AP130="بله",I130&lt;تنظیمات!$B$14,AO130="خیر"),1,0)</f>
        <v>0</v>
      </c>
      <c r="BE130" s="21" t="n">
        <f aca="false">IF(AN130="خیر",1,0)</f>
        <v>0</v>
      </c>
      <c r="BF130" s="21" t="n">
        <f aca="false">IF(AND(AD130="فیش مفقودی",AQ130="بله",I130&gt;تنظیمات!$B$12*60),1,0)</f>
        <v>0</v>
      </c>
      <c r="BG130" s="21" t="n">
        <f aca="false">IF(AND(AK130&gt;تنظیمات!$B$11,AL130="بله"),1,0)</f>
        <v>0</v>
      </c>
      <c r="BH130" s="21" t="n">
        <f aca="false">MIN(100,AR130*تنظیمات!$B$21+AS130*تنظیمات!$B$22+AT130*تنظیمات!$B$23+AU130*تنظیمات!$B$24+AV130*تنظیمات!$B$25+AW130*تنظیمات!$B$26+AX130*تنظیمات!$B$27+AY130*تنظیمات!$B$28+AZ130*تنظیمات!$B$29+BA130*تنظیمات!$B$30+BB130*تنظیمات!$B$31+BC130*تنظیمات!$B$32+BD130*تنظیمات!$B$33+BE130*تنظیمات!$B$34+BF130*تنظیمات!$B$35+BG130*تنظیمات!$B$36)</f>
        <v>0</v>
      </c>
      <c r="BI130" s="16" t="str">
        <f aca="false">IF(BH130&gt;=60,"بحرانی",IF(BH130&gt;=30,"مشکوک",IF(BH130&gt;0,"هشدار","عادی")))</f>
        <v>عادی</v>
      </c>
      <c r="BJ130" s="16" t="s">
        <v>338</v>
      </c>
    </row>
    <row r="131" customFormat="false" ht="15" hidden="false" customHeight="false" outlineLevel="0" collapsed="false">
      <c r="A131" s="16" t="s">
        <v>838</v>
      </c>
      <c r="B131" s="16" t="s">
        <v>839</v>
      </c>
      <c r="C131" s="16"/>
      <c r="D131" s="16" t="s">
        <v>431</v>
      </c>
      <c r="E131" s="16" t="s">
        <v>375</v>
      </c>
      <c r="F131" s="16" t="s">
        <v>333</v>
      </c>
      <c r="G131" s="17" t="n">
        <v>46282.670162037</v>
      </c>
      <c r="H131" s="17" t="n">
        <v>46282.7368287037</v>
      </c>
      <c r="I131" s="18" t="n">
        <f aca="false">IF(H131="",ROUND((تنظیمات!$B$7-G131)*1440,0),ROUND((H131-G131)*1440,0))</f>
        <v>96</v>
      </c>
      <c r="J131" s="16" t="s">
        <v>334</v>
      </c>
      <c r="K131" s="16" t="s">
        <v>410</v>
      </c>
      <c r="L131" s="19" t="n">
        <v>0.914</v>
      </c>
      <c r="M131" s="19" t="n">
        <v>0.995</v>
      </c>
      <c r="N131" s="16" t="s">
        <v>335</v>
      </c>
      <c r="O131" s="16" t="s">
        <v>441</v>
      </c>
      <c r="P131" s="16" t="s">
        <v>420</v>
      </c>
      <c r="Q131" s="20" t="n">
        <v>46282</v>
      </c>
      <c r="R131" s="16" t="s">
        <v>840</v>
      </c>
      <c r="S131" s="16" t="s">
        <v>404</v>
      </c>
      <c r="T131" s="17"/>
      <c r="U131" s="21" t="n">
        <v>1</v>
      </c>
      <c r="V131" s="21" t="n">
        <v>1</v>
      </c>
      <c r="W131" s="22" t="n">
        <v>5.6</v>
      </c>
      <c r="X131" s="16" t="s">
        <v>335</v>
      </c>
      <c r="Y131" s="16" t="s">
        <v>338</v>
      </c>
      <c r="Z131" s="16" t="s">
        <v>413</v>
      </c>
      <c r="AA131" s="16" t="s">
        <v>414</v>
      </c>
      <c r="AB131" s="23" t="s">
        <v>841</v>
      </c>
      <c r="AC131" s="17" t="n">
        <v>46282.7362152778</v>
      </c>
      <c r="AD131" s="16" t="s">
        <v>338</v>
      </c>
      <c r="AE131" s="16"/>
      <c r="AF131" s="16" t="str">
        <f aca="false">IF(COUNTIF(لیست_سفید!$A$2:$A$21,B131)&gt;0,"بله","خیر")</f>
        <v>خیر</v>
      </c>
      <c r="AG131" s="24" t="n">
        <f aca="false">IF(H131="","",IF(AD131="فیش مفقودی",تنظیمات!$B$6,(INT(I131/1440)*تنظیمات!$B$5+IF(MOD(I131,1440)&lt;=تنظیمات!$B$2,0,MIN(تنظیمات!$B$5,تنظیمات!$B$3+MAX(0,ROUNDUP((MOD(I131,1440)-60)/60,0))*تنظیمات!$B$4)))*INDEX(تعرفه!$B$2:$B$7,MATCH(AD131,تعرفه!$A$2:$A$7,0))))</f>
        <v>34000</v>
      </c>
      <c r="AH131" s="24" t="n">
        <v>34000</v>
      </c>
      <c r="AI131" s="24" t="n">
        <f aca="false">IF(AG131="","",AH131-AG131)</f>
        <v>0</v>
      </c>
      <c r="AJ131" s="21" t="n">
        <v>0</v>
      </c>
      <c r="AK131" s="21" t="n">
        <v>0</v>
      </c>
      <c r="AL131" s="16" t="s">
        <v>335</v>
      </c>
      <c r="AM131" s="16"/>
      <c r="AN131" s="16" t="s">
        <v>340</v>
      </c>
      <c r="AO131" s="16" t="s">
        <v>340</v>
      </c>
      <c r="AP131" s="16" t="s">
        <v>335</v>
      </c>
      <c r="AQ131" s="16"/>
      <c r="AR131" s="21" t="n">
        <f aca="false">IF(AND(T131&lt;&gt;"",H131&lt;&gt;""),IF(AND((T131-H131)*86400&gt;=0,(T131-H131)*86400&lt;تنظیمات!$B$13),1,0),0)</f>
        <v>0</v>
      </c>
      <c r="AS131" s="21" t="n">
        <f aca="false">IF(Z131="پوز",IF(OR(AB131="",COUNTIF(پوزها!$A$2:$A$5,AA131)=0),1,0),0)</f>
        <v>0</v>
      </c>
      <c r="AT131" s="21" t="n">
        <f aca="false">IF(AI131="",0,IF(AI131&gt;0,1,0))</f>
        <v>0</v>
      </c>
      <c r="AU131" s="21" t="n">
        <f aca="false">IF(AI131="",0,IF(AI131&lt;0,1,0))</f>
        <v>0</v>
      </c>
      <c r="AV131" s="21" t="n">
        <f aca="false">IF(U131&gt;V131,1,0)</f>
        <v>0</v>
      </c>
      <c r="AW131" s="21" t="n">
        <f aca="false">IF(OR(W131&gt;تنظیمات!$B$8,X131="بله"),1,0)</f>
        <v>0</v>
      </c>
      <c r="AX131" s="21" t="n">
        <f aca="false">IF(AND(N131="بله",L131&gt;تنظیمات!$B$9),1,0)</f>
        <v>0</v>
      </c>
      <c r="AY131" s="21" t="n">
        <f aca="false">IF(Y131="معکوس",1,0)</f>
        <v>0</v>
      </c>
      <c r="AZ131" s="21" t="n">
        <f aca="false">IF(ABS(AJ131)&gt;تنظیمات!$B$10,1,0)</f>
        <v>0</v>
      </c>
      <c r="BA131" s="21" t="n">
        <f aca="false">IF(AND(OR(AD131="رایگان/VIP",AD131="جانباز"),AF131="خیر"),1,0)</f>
        <v>0</v>
      </c>
      <c r="BB131" s="21" t="n">
        <f aca="false">IF(AE131="",0,IF(COUNTIF($AE$2:$AE$1001,AE131)&gt;1,1,0))</f>
        <v>0</v>
      </c>
      <c r="BC131" s="21" t="n">
        <f aca="false">IF(AND(H131="",I131&gt;تنظیمات!$B$12*60,AM131="خالی"),1,0)</f>
        <v>0</v>
      </c>
      <c r="BD131" s="21" t="n">
        <f aca="false">IF(AND(AP131="بله",I131&lt;تنظیمات!$B$14,AO131="خیر"),1,0)</f>
        <v>0</v>
      </c>
      <c r="BE131" s="21" t="n">
        <f aca="false">IF(AN131="خیر",1,0)</f>
        <v>0</v>
      </c>
      <c r="BF131" s="21" t="n">
        <f aca="false">IF(AND(AD131="فیش مفقودی",AQ131="بله",I131&gt;تنظیمات!$B$12*60),1,0)</f>
        <v>0</v>
      </c>
      <c r="BG131" s="21" t="n">
        <f aca="false">IF(AND(AK131&gt;تنظیمات!$B$11,AL131="بله"),1,0)</f>
        <v>0</v>
      </c>
      <c r="BH131" s="21" t="n">
        <f aca="false">MIN(100,AR131*تنظیمات!$B$21+AS131*تنظیمات!$B$22+AT131*تنظیمات!$B$23+AU131*تنظیمات!$B$24+AV131*تنظیمات!$B$25+AW131*تنظیمات!$B$26+AX131*تنظیمات!$B$27+AY131*تنظیمات!$B$28+AZ131*تنظیمات!$B$29+BA131*تنظیمات!$B$30+BB131*تنظیمات!$B$31+BC131*تنظیمات!$B$32+BD131*تنظیمات!$B$33+BE131*تنظیمات!$B$34+BF131*تنظیمات!$B$35+BG131*تنظیمات!$B$36)</f>
        <v>0</v>
      </c>
      <c r="BI131" s="16" t="str">
        <f aca="false">IF(BH131&gt;=60,"بحرانی",IF(BH131&gt;=30,"مشکوک",IF(BH131&gt;0,"هشدار","عادی")))</f>
        <v>عادی</v>
      </c>
      <c r="BJ131" s="16" t="s">
        <v>338</v>
      </c>
    </row>
    <row r="132" customFormat="false" ht="15" hidden="false" customHeight="false" outlineLevel="0" collapsed="false">
      <c r="A132" s="16" t="s">
        <v>842</v>
      </c>
      <c r="B132" s="16" t="s">
        <v>843</v>
      </c>
      <c r="C132" s="16" t="s">
        <v>844</v>
      </c>
      <c r="D132" s="16" t="s">
        <v>540</v>
      </c>
      <c r="E132" s="16" t="s">
        <v>332</v>
      </c>
      <c r="F132" s="16" t="s">
        <v>359</v>
      </c>
      <c r="G132" s="17" t="n">
        <v>46282.6871180556</v>
      </c>
      <c r="H132" s="17" t="n">
        <v>46282.9225347222</v>
      </c>
      <c r="I132" s="18" t="n">
        <f aca="false">IF(H132="",ROUND((تنظیمات!$B$7-G132)*1440,0),ROUND((H132-G132)*1440,0))</f>
        <v>339</v>
      </c>
      <c r="J132" s="16" t="s">
        <v>334</v>
      </c>
      <c r="K132" s="16" t="s">
        <v>400</v>
      </c>
      <c r="L132" s="19" t="n">
        <v>0.527</v>
      </c>
      <c r="M132" s="19" t="n">
        <v>0.885</v>
      </c>
      <c r="N132" s="16" t="s">
        <v>340</v>
      </c>
      <c r="O132" s="16" t="s">
        <v>411</v>
      </c>
      <c r="P132" s="16" t="s">
        <v>651</v>
      </c>
      <c r="Q132" s="20" t="n">
        <v>46282</v>
      </c>
      <c r="R132" s="16" t="s">
        <v>845</v>
      </c>
      <c r="S132" s="16" t="s">
        <v>404</v>
      </c>
      <c r="T132" s="17"/>
      <c r="U132" s="21" t="n">
        <v>1</v>
      </c>
      <c r="V132" s="21" t="n">
        <v>1</v>
      </c>
      <c r="W132" s="22" t="n">
        <v>6.8</v>
      </c>
      <c r="X132" s="16" t="s">
        <v>335</v>
      </c>
      <c r="Y132" s="16" t="s">
        <v>338</v>
      </c>
      <c r="Z132" s="16" t="s">
        <v>413</v>
      </c>
      <c r="AA132" s="16" t="s">
        <v>427</v>
      </c>
      <c r="AB132" s="23" t="s">
        <v>846</v>
      </c>
      <c r="AC132" s="17" t="n">
        <v>46282.9217708333</v>
      </c>
      <c r="AD132" s="16" t="s">
        <v>338</v>
      </c>
      <c r="AE132" s="16"/>
      <c r="AF132" s="16" t="str">
        <f aca="false">IF(COUNTIF(لیست_سفید!$A$2:$A$21,B132)&gt;0,"بله","خیر")</f>
        <v>خیر</v>
      </c>
      <c r="AG132" s="24" t="n">
        <f aca="false">IF(H132="","",IF(AD132="فیش مفقودی",تنظیمات!$B$6,(INT(I132/1440)*تنظیمات!$B$5+IF(MOD(I132,1440)&lt;=تنظیمات!$B$2,0,MIN(تنظیمات!$B$5,تنظیمات!$B$3+MAX(0,ROUNDUP((MOD(I132,1440)-60)/60,0))*تنظیمات!$B$4)))*INDEX(تعرفه!$B$2:$B$7,MATCH(AD132,تعرفه!$A$2:$A$7,0))))</f>
        <v>90000</v>
      </c>
      <c r="AH132" s="24" t="n">
        <v>90000</v>
      </c>
      <c r="AI132" s="24" t="n">
        <f aca="false">IF(AG132="","",AH132-AG132)</f>
        <v>0</v>
      </c>
      <c r="AJ132" s="21" t="n">
        <v>4</v>
      </c>
      <c r="AK132" s="21" t="n">
        <v>0</v>
      </c>
      <c r="AL132" s="16" t="s">
        <v>335</v>
      </c>
      <c r="AM132" s="16"/>
      <c r="AN132" s="16" t="s">
        <v>340</v>
      </c>
      <c r="AO132" s="16" t="s">
        <v>340</v>
      </c>
      <c r="AP132" s="16" t="s">
        <v>335</v>
      </c>
      <c r="AQ132" s="16"/>
      <c r="AR132" s="21" t="n">
        <f aca="false">IF(AND(T132&lt;&gt;"",H132&lt;&gt;""),IF(AND((T132-H132)*86400&gt;=0,(T132-H132)*86400&lt;تنظیمات!$B$13),1,0),0)</f>
        <v>0</v>
      </c>
      <c r="AS132" s="21" t="n">
        <f aca="false">IF(Z132="پوز",IF(OR(AB132="",COUNTIF(پوزها!$A$2:$A$5,AA132)=0),1,0),0)</f>
        <v>0</v>
      </c>
      <c r="AT132" s="21" t="n">
        <f aca="false">IF(AI132="",0,IF(AI132&gt;0,1,0))</f>
        <v>0</v>
      </c>
      <c r="AU132" s="21" t="n">
        <f aca="false">IF(AI132="",0,IF(AI132&lt;0,1,0))</f>
        <v>0</v>
      </c>
      <c r="AV132" s="21" t="n">
        <f aca="false">IF(U132&gt;V132,1,0)</f>
        <v>0</v>
      </c>
      <c r="AW132" s="21" t="n">
        <f aca="false">IF(OR(W132&gt;تنظیمات!$B$8,X132="بله"),1,0)</f>
        <v>0</v>
      </c>
      <c r="AX132" s="21" t="n">
        <f aca="false">IF(AND(N132="بله",L132&gt;تنظیمات!$B$9),1,0)</f>
        <v>0</v>
      </c>
      <c r="AY132" s="21" t="n">
        <f aca="false">IF(Y132="معکوس",1,0)</f>
        <v>0</v>
      </c>
      <c r="AZ132" s="21" t="n">
        <f aca="false">IF(ABS(AJ132)&gt;تنظیمات!$B$10,1,0)</f>
        <v>0</v>
      </c>
      <c r="BA132" s="21" t="n">
        <f aca="false">IF(AND(OR(AD132="رایگان/VIP",AD132="جانباز"),AF132="خیر"),1,0)</f>
        <v>0</v>
      </c>
      <c r="BB132" s="21" t="n">
        <f aca="false">IF(AE132="",0,IF(COUNTIF($AE$2:$AE$1001,AE132)&gt;1,1,0))</f>
        <v>0</v>
      </c>
      <c r="BC132" s="21" t="n">
        <f aca="false">IF(AND(H132="",I132&gt;تنظیمات!$B$12*60,AM132="خالی"),1,0)</f>
        <v>0</v>
      </c>
      <c r="BD132" s="21" t="n">
        <f aca="false">IF(AND(AP132="بله",I132&lt;تنظیمات!$B$14,AO132="خیر"),1,0)</f>
        <v>0</v>
      </c>
      <c r="BE132" s="21" t="n">
        <f aca="false">IF(AN132="خیر",1,0)</f>
        <v>0</v>
      </c>
      <c r="BF132" s="21" t="n">
        <f aca="false">IF(AND(AD132="فیش مفقودی",AQ132="بله",I132&gt;تنظیمات!$B$12*60),1,0)</f>
        <v>0</v>
      </c>
      <c r="BG132" s="21" t="n">
        <f aca="false">IF(AND(AK132&gt;تنظیمات!$B$11,AL132="بله"),1,0)</f>
        <v>0</v>
      </c>
      <c r="BH132" s="21" t="n">
        <f aca="false">MIN(100,AR132*تنظیمات!$B$21+AS132*تنظیمات!$B$22+AT132*تنظیمات!$B$23+AU132*تنظیمات!$B$24+AV132*تنظیمات!$B$25+AW132*تنظیمات!$B$26+AX132*تنظیمات!$B$27+AY132*تنظیمات!$B$28+AZ132*تنظیمات!$B$29+BA132*تنظیمات!$B$30+BB132*تنظیمات!$B$31+BC132*تنظیمات!$B$32+BD132*تنظیمات!$B$33+BE132*تنظیمات!$B$34+BF132*تنظیمات!$B$35+BG132*تنظیمات!$B$36)</f>
        <v>0</v>
      </c>
      <c r="BI132" s="16" t="str">
        <f aca="false">IF(BH132&gt;=60,"بحرانی",IF(BH132&gt;=30,"مشکوک",IF(BH132&gt;0,"هشدار","عادی")))</f>
        <v>عادی</v>
      </c>
      <c r="BJ132" s="16" t="s">
        <v>338</v>
      </c>
    </row>
    <row r="133" customFormat="false" ht="15" hidden="false" customHeight="false" outlineLevel="0" collapsed="false">
      <c r="A133" s="16" t="s">
        <v>847</v>
      </c>
      <c r="B133" s="16" t="s">
        <v>848</v>
      </c>
      <c r="C133" s="16"/>
      <c r="D133" s="16" t="s">
        <v>450</v>
      </c>
      <c r="E133" s="16" t="s">
        <v>390</v>
      </c>
      <c r="F133" s="16" t="s">
        <v>333</v>
      </c>
      <c r="G133" s="17" t="n">
        <v>46282.6973958333</v>
      </c>
      <c r="H133" s="17" t="n">
        <v>46282.7710069444</v>
      </c>
      <c r="I133" s="18" t="n">
        <f aca="false">IF(H133="",ROUND((تنظیمات!$B$7-G133)*1440,0),ROUND((H133-G133)*1440,0))</f>
        <v>106</v>
      </c>
      <c r="J133" s="16" t="s">
        <v>346</v>
      </c>
      <c r="K133" s="16" t="s">
        <v>410</v>
      </c>
      <c r="L133" s="19" t="n">
        <v>0.982</v>
      </c>
      <c r="M133" s="19" t="n">
        <v>0.933</v>
      </c>
      <c r="N133" s="16" t="s">
        <v>335</v>
      </c>
      <c r="O133" s="16" t="s">
        <v>441</v>
      </c>
      <c r="P133" s="16" t="s">
        <v>420</v>
      </c>
      <c r="Q133" s="20" t="n">
        <v>46282</v>
      </c>
      <c r="R133" s="16" t="s">
        <v>849</v>
      </c>
      <c r="S133" s="16" t="s">
        <v>404</v>
      </c>
      <c r="T133" s="17"/>
      <c r="U133" s="21" t="n">
        <v>1</v>
      </c>
      <c r="V133" s="21" t="n">
        <v>1</v>
      </c>
      <c r="W133" s="22" t="n">
        <v>5.6</v>
      </c>
      <c r="X133" s="16" t="s">
        <v>335</v>
      </c>
      <c r="Y133" s="16" t="s">
        <v>338</v>
      </c>
      <c r="Z133" s="16" t="s">
        <v>405</v>
      </c>
      <c r="AA133" s="16"/>
      <c r="AB133" s="23"/>
      <c r="AC133" s="17"/>
      <c r="AD133" s="16" t="s">
        <v>338</v>
      </c>
      <c r="AE133" s="16"/>
      <c r="AF133" s="16" t="str">
        <f aca="false">IF(COUNTIF(لیست_سفید!$A$2:$A$21,B133)&gt;0,"بله","خیر")</f>
        <v>خیر</v>
      </c>
      <c r="AG133" s="24" t="n">
        <f aca="false">IF(H133="","",IF(AD133="فیش مفقودی",تنظیمات!$B$6,(INT(I133/1440)*تنظیمات!$B$5+IF(MOD(I133,1440)&lt;=تنظیمات!$B$2,0,MIN(تنظیمات!$B$5,تنظیمات!$B$3+MAX(0,ROUNDUP((MOD(I133,1440)-60)/60,0))*تنظیمات!$B$4)))*INDEX(تعرفه!$B$2:$B$7,MATCH(AD133,تعرفه!$A$2:$A$7,0))))</f>
        <v>34000</v>
      </c>
      <c r="AH133" s="24" t="n">
        <v>34000</v>
      </c>
      <c r="AI133" s="24" t="n">
        <f aca="false">IF(AG133="","",AH133-AG133)</f>
        <v>0</v>
      </c>
      <c r="AJ133" s="21" t="n">
        <v>-4</v>
      </c>
      <c r="AK133" s="21" t="n">
        <v>18</v>
      </c>
      <c r="AL133" s="16" t="s">
        <v>335</v>
      </c>
      <c r="AM133" s="16"/>
      <c r="AN133" s="16" t="s">
        <v>340</v>
      </c>
      <c r="AO133" s="16" t="s">
        <v>340</v>
      </c>
      <c r="AP133" s="16" t="s">
        <v>335</v>
      </c>
      <c r="AQ133" s="16"/>
      <c r="AR133" s="21" t="n">
        <f aca="false">IF(AND(T133&lt;&gt;"",H133&lt;&gt;""),IF(AND((T133-H133)*86400&gt;=0,(T133-H133)*86400&lt;تنظیمات!$B$13),1,0),0)</f>
        <v>0</v>
      </c>
      <c r="AS133" s="21" t="n">
        <f aca="false">IF(Z133="پوز",IF(OR(AB133="",COUNTIF(پوزها!$A$2:$A$5,AA133)=0),1,0),0)</f>
        <v>0</v>
      </c>
      <c r="AT133" s="21" t="n">
        <f aca="false">IF(AI133="",0,IF(AI133&gt;0,1,0))</f>
        <v>0</v>
      </c>
      <c r="AU133" s="21" t="n">
        <f aca="false">IF(AI133="",0,IF(AI133&lt;0,1,0))</f>
        <v>0</v>
      </c>
      <c r="AV133" s="21" t="n">
        <f aca="false">IF(U133&gt;V133,1,0)</f>
        <v>0</v>
      </c>
      <c r="AW133" s="21" t="n">
        <f aca="false">IF(OR(W133&gt;تنظیمات!$B$8,X133="بله"),1,0)</f>
        <v>0</v>
      </c>
      <c r="AX133" s="21" t="n">
        <f aca="false">IF(AND(N133="بله",L133&gt;تنظیمات!$B$9),1,0)</f>
        <v>0</v>
      </c>
      <c r="AY133" s="21" t="n">
        <f aca="false">IF(Y133="معکوس",1,0)</f>
        <v>0</v>
      </c>
      <c r="AZ133" s="21" t="n">
        <f aca="false">IF(ABS(AJ133)&gt;تنظیمات!$B$10,1,0)</f>
        <v>0</v>
      </c>
      <c r="BA133" s="21" t="n">
        <f aca="false">IF(AND(OR(AD133="رایگان/VIP",AD133="جانباز"),AF133="خیر"),1,0)</f>
        <v>0</v>
      </c>
      <c r="BB133" s="21" t="n">
        <f aca="false">IF(AE133="",0,IF(COUNTIF($AE$2:$AE$1001,AE133)&gt;1,1,0))</f>
        <v>0</v>
      </c>
      <c r="BC133" s="21" t="n">
        <f aca="false">IF(AND(H133="",I133&gt;تنظیمات!$B$12*60,AM133="خالی"),1,0)</f>
        <v>0</v>
      </c>
      <c r="BD133" s="21" t="n">
        <f aca="false">IF(AND(AP133="بله",I133&lt;تنظیمات!$B$14,AO133="خیر"),1,0)</f>
        <v>0</v>
      </c>
      <c r="BE133" s="21" t="n">
        <f aca="false">IF(AN133="خیر",1,0)</f>
        <v>0</v>
      </c>
      <c r="BF133" s="21" t="n">
        <f aca="false">IF(AND(AD133="فیش مفقودی",AQ133="بله",I133&gt;تنظیمات!$B$12*60),1,0)</f>
        <v>0</v>
      </c>
      <c r="BG133" s="21" t="n">
        <f aca="false">IF(AND(AK133&gt;تنظیمات!$B$11,AL133="بله"),1,0)</f>
        <v>0</v>
      </c>
      <c r="BH133" s="21" t="n">
        <f aca="false">MIN(100,AR133*تنظیمات!$B$21+AS133*تنظیمات!$B$22+AT133*تنظیمات!$B$23+AU133*تنظیمات!$B$24+AV133*تنظیمات!$B$25+AW133*تنظیمات!$B$26+AX133*تنظیمات!$B$27+AY133*تنظیمات!$B$28+AZ133*تنظیمات!$B$29+BA133*تنظیمات!$B$30+BB133*تنظیمات!$B$31+BC133*تنظیمات!$B$32+BD133*تنظیمات!$B$33+BE133*تنظیمات!$B$34+BF133*تنظیمات!$B$35+BG133*تنظیمات!$B$36)</f>
        <v>0</v>
      </c>
      <c r="BI133" s="16" t="str">
        <f aca="false">IF(BH133&gt;=60,"بحرانی",IF(BH133&gt;=30,"مشکوک",IF(BH133&gt;0,"هشدار","عادی")))</f>
        <v>عادی</v>
      </c>
      <c r="BJ133" s="16" t="s">
        <v>338</v>
      </c>
    </row>
    <row r="134" customFormat="false" ht="15" hidden="false" customHeight="false" outlineLevel="0" collapsed="false">
      <c r="A134" s="16" t="s">
        <v>850</v>
      </c>
      <c r="B134" s="16" t="s">
        <v>851</v>
      </c>
      <c r="C134" s="16"/>
      <c r="D134" s="16" t="s">
        <v>344</v>
      </c>
      <c r="E134" s="16" t="s">
        <v>363</v>
      </c>
      <c r="F134" s="16" t="s">
        <v>333</v>
      </c>
      <c r="G134" s="17" t="n">
        <v>46282.7007175926</v>
      </c>
      <c r="H134" s="17" t="n">
        <v>46282.8430787037</v>
      </c>
      <c r="I134" s="18" t="n">
        <f aca="false">IF(H134="",ROUND((تنظیمات!$B$7-G134)*1440,0),ROUND((H134-G134)*1440,0))</f>
        <v>205</v>
      </c>
      <c r="J134" s="16" t="s">
        <v>346</v>
      </c>
      <c r="K134" s="16" t="s">
        <v>400</v>
      </c>
      <c r="L134" s="19" t="n">
        <v>0.917</v>
      </c>
      <c r="M134" s="19" t="n">
        <v>0.956</v>
      </c>
      <c r="N134" s="16" t="s">
        <v>335</v>
      </c>
      <c r="O134" s="16" t="s">
        <v>425</v>
      </c>
      <c r="P134" s="16" t="s">
        <v>420</v>
      </c>
      <c r="Q134" s="20" t="n">
        <v>46282</v>
      </c>
      <c r="R134" s="16" t="s">
        <v>852</v>
      </c>
      <c r="S134" s="16" t="s">
        <v>404</v>
      </c>
      <c r="T134" s="17"/>
      <c r="U134" s="21" t="n">
        <v>1</v>
      </c>
      <c r="V134" s="21" t="n">
        <v>1</v>
      </c>
      <c r="W134" s="22" t="n">
        <v>4.7</v>
      </c>
      <c r="X134" s="16" t="s">
        <v>335</v>
      </c>
      <c r="Y134" s="16" t="s">
        <v>338</v>
      </c>
      <c r="Z134" s="16" t="s">
        <v>405</v>
      </c>
      <c r="AA134" s="16"/>
      <c r="AB134" s="23"/>
      <c r="AC134" s="17"/>
      <c r="AD134" s="16" t="s">
        <v>338</v>
      </c>
      <c r="AE134" s="16"/>
      <c r="AF134" s="16" t="str">
        <f aca="false">IF(COUNTIF(لیست_سفید!$A$2:$A$21,B134)&gt;0,"بله","خیر")</f>
        <v>خیر</v>
      </c>
      <c r="AG134" s="24" t="n">
        <f aca="false">IF(H134="","",IF(AD134="فیش مفقودی",تنظیمات!$B$6,(INT(I134/1440)*تنظیمات!$B$5+IF(MOD(I134,1440)&lt;=تنظیمات!$B$2,0,MIN(تنظیمات!$B$5,تنظیمات!$B$3+MAX(0,ROUNDUP((MOD(I134,1440)-60)/60,0))*تنظیمات!$B$4)))*INDEX(تعرفه!$B$2:$B$7,MATCH(AD134,تعرفه!$A$2:$A$7,0))))</f>
        <v>62000</v>
      </c>
      <c r="AH134" s="24" t="n">
        <v>62000</v>
      </c>
      <c r="AI134" s="24" t="n">
        <f aca="false">IF(AG134="","",AH134-AG134)</f>
        <v>0</v>
      </c>
      <c r="AJ134" s="21" t="n">
        <v>4</v>
      </c>
      <c r="AK134" s="21" t="n">
        <v>0</v>
      </c>
      <c r="AL134" s="16" t="s">
        <v>335</v>
      </c>
      <c r="AM134" s="16"/>
      <c r="AN134" s="16" t="s">
        <v>340</v>
      </c>
      <c r="AO134" s="16" t="s">
        <v>340</v>
      </c>
      <c r="AP134" s="16" t="s">
        <v>335</v>
      </c>
      <c r="AQ134" s="16"/>
      <c r="AR134" s="21" t="n">
        <f aca="false">IF(AND(T134&lt;&gt;"",H134&lt;&gt;""),IF(AND((T134-H134)*86400&gt;=0,(T134-H134)*86400&lt;تنظیمات!$B$13),1,0),0)</f>
        <v>0</v>
      </c>
      <c r="AS134" s="21" t="n">
        <f aca="false">IF(Z134="پوز",IF(OR(AB134="",COUNTIF(پوزها!$A$2:$A$5,AA134)=0),1,0),0)</f>
        <v>0</v>
      </c>
      <c r="AT134" s="21" t="n">
        <f aca="false">IF(AI134="",0,IF(AI134&gt;0,1,0))</f>
        <v>0</v>
      </c>
      <c r="AU134" s="21" t="n">
        <f aca="false">IF(AI134="",0,IF(AI134&lt;0,1,0))</f>
        <v>0</v>
      </c>
      <c r="AV134" s="21" t="n">
        <f aca="false">IF(U134&gt;V134,1,0)</f>
        <v>0</v>
      </c>
      <c r="AW134" s="21" t="n">
        <f aca="false">IF(OR(W134&gt;تنظیمات!$B$8,X134="بله"),1,0)</f>
        <v>0</v>
      </c>
      <c r="AX134" s="21" t="n">
        <f aca="false">IF(AND(N134="بله",L134&gt;تنظیمات!$B$9),1,0)</f>
        <v>0</v>
      </c>
      <c r="AY134" s="21" t="n">
        <f aca="false">IF(Y134="معکوس",1,0)</f>
        <v>0</v>
      </c>
      <c r="AZ134" s="21" t="n">
        <f aca="false">IF(ABS(AJ134)&gt;تنظیمات!$B$10,1,0)</f>
        <v>0</v>
      </c>
      <c r="BA134" s="21" t="n">
        <f aca="false">IF(AND(OR(AD134="رایگان/VIP",AD134="جانباز"),AF134="خیر"),1,0)</f>
        <v>0</v>
      </c>
      <c r="BB134" s="21" t="n">
        <f aca="false">IF(AE134="",0,IF(COUNTIF($AE$2:$AE$1001,AE134)&gt;1,1,0))</f>
        <v>0</v>
      </c>
      <c r="BC134" s="21" t="n">
        <f aca="false">IF(AND(H134="",I134&gt;تنظیمات!$B$12*60,AM134="خالی"),1,0)</f>
        <v>0</v>
      </c>
      <c r="BD134" s="21" t="n">
        <f aca="false">IF(AND(AP134="بله",I134&lt;تنظیمات!$B$14,AO134="خیر"),1,0)</f>
        <v>0</v>
      </c>
      <c r="BE134" s="21" t="n">
        <f aca="false">IF(AN134="خیر",1,0)</f>
        <v>0</v>
      </c>
      <c r="BF134" s="21" t="n">
        <f aca="false">IF(AND(AD134="فیش مفقودی",AQ134="بله",I134&gt;تنظیمات!$B$12*60),1,0)</f>
        <v>0</v>
      </c>
      <c r="BG134" s="21" t="n">
        <f aca="false">IF(AND(AK134&gt;تنظیمات!$B$11,AL134="بله"),1,0)</f>
        <v>0</v>
      </c>
      <c r="BH134" s="21" t="n">
        <f aca="false">MIN(100,AR134*تنظیمات!$B$21+AS134*تنظیمات!$B$22+AT134*تنظیمات!$B$23+AU134*تنظیمات!$B$24+AV134*تنظیمات!$B$25+AW134*تنظیمات!$B$26+AX134*تنظیمات!$B$27+AY134*تنظیمات!$B$28+AZ134*تنظیمات!$B$29+BA134*تنظیمات!$B$30+BB134*تنظیمات!$B$31+BC134*تنظیمات!$B$32+BD134*تنظیمات!$B$33+BE134*تنظیمات!$B$34+BF134*تنظیمات!$B$35+BG134*تنظیمات!$B$36)</f>
        <v>0</v>
      </c>
      <c r="BI134" s="16" t="str">
        <f aca="false">IF(BH134&gt;=60,"بحرانی",IF(BH134&gt;=30,"مشکوک",IF(BH134&gt;0,"هشدار","عادی")))</f>
        <v>عادی</v>
      </c>
      <c r="BJ134" s="16" t="s">
        <v>338</v>
      </c>
    </row>
    <row r="135" customFormat="false" ht="15" hidden="false" customHeight="false" outlineLevel="0" collapsed="false">
      <c r="A135" s="16" t="s">
        <v>853</v>
      </c>
      <c r="B135" s="16" t="s">
        <v>366</v>
      </c>
      <c r="C135" s="16"/>
      <c r="D135" s="16" t="s">
        <v>344</v>
      </c>
      <c r="E135" s="16" t="s">
        <v>345</v>
      </c>
      <c r="F135" s="16" t="s">
        <v>333</v>
      </c>
      <c r="G135" s="17" t="n">
        <v>46282.7058796296</v>
      </c>
      <c r="H135" s="17" t="n">
        <v>46282.776712963</v>
      </c>
      <c r="I135" s="18" t="n">
        <f aca="false">IF(H135="",ROUND((تنظیمات!$B$7-G135)*1440,0),ROUND((H135-G135)*1440,0))</f>
        <v>102</v>
      </c>
      <c r="J135" s="16" t="s">
        <v>346</v>
      </c>
      <c r="K135" s="16" t="s">
        <v>400</v>
      </c>
      <c r="L135" s="19" t="n">
        <v>0.896</v>
      </c>
      <c r="M135" s="19" t="n">
        <v>0.968</v>
      </c>
      <c r="N135" s="16" t="s">
        <v>335</v>
      </c>
      <c r="O135" s="16" t="s">
        <v>425</v>
      </c>
      <c r="P135" s="16" t="s">
        <v>420</v>
      </c>
      <c r="Q135" s="20" t="n">
        <v>46282</v>
      </c>
      <c r="R135" s="16" t="s">
        <v>854</v>
      </c>
      <c r="S135" s="16" t="s">
        <v>404</v>
      </c>
      <c r="T135" s="17"/>
      <c r="U135" s="21" t="n">
        <v>1</v>
      </c>
      <c r="V135" s="21" t="n">
        <v>1</v>
      </c>
      <c r="W135" s="22" t="n">
        <v>4</v>
      </c>
      <c r="X135" s="16" t="s">
        <v>335</v>
      </c>
      <c r="Y135" s="16" t="s">
        <v>338</v>
      </c>
      <c r="Z135" s="16" t="s">
        <v>405</v>
      </c>
      <c r="AA135" s="16"/>
      <c r="AB135" s="23"/>
      <c r="AC135" s="17"/>
      <c r="AD135" s="16" t="s">
        <v>338</v>
      </c>
      <c r="AE135" s="16"/>
      <c r="AF135" s="16" t="str">
        <f aca="false">IF(COUNTIF(لیست_سفید!$A$2:$A$21,B135)&gt;0,"بله","خیر")</f>
        <v>خیر</v>
      </c>
      <c r="AG135" s="24" t="n">
        <f aca="false">IF(H135="","",IF(AD135="فیش مفقودی",تنظیمات!$B$6,(INT(I135/1440)*تنظیمات!$B$5+IF(MOD(I135,1440)&lt;=تنظیمات!$B$2,0,MIN(تنظیمات!$B$5,تنظیمات!$B$3+MAX(0,ROUNDUP((MOD(I135,1440)-60)/60,0))*تنظیمات!$B$4)))*INDEX(تعرفه!$B$2:$B$7,MATCH(AD135,تعرفه!$A$2:$A$7,0))))</f>
        <v>34000</v>
      </c>
      <c r="AH135" s="24" t="n">
        <v>34000</v>
      </c>
      <c r="AI135" s="24" t="n">
        <f aca="false">IF(AG135="","",AH135-AG135)</f>
        <v>0</v>
      </c>
      <c r="AJ135" s="21" t="n">
        <v>-4</v>
      </c>
      <c r="AK135" s="21" t="n">
        <v>0</v>
      </c>
      <c r="AL135" s="16" t="s">
        <v>335</v>
      </c>
      <c r="AM135" s="16"/>
      <c r="AN135" s="16" t="s">
        <v>340</v>
      </c>
      <c r="AO135" s="16" t="s">
        <v>340</v>
      </c>
      <c r="AP135" s="16" t="s">
        <v>335</v>
      </c>
      <c r="AQ135" s="16"/>
      <c r="AR135" s="21" t="n">
        <f aca="false">IF(AND(T135&lt;&gt;"",H135&lt;&gt;""),IF(AND((T135-H135)*86400&gt;=0,(T135-H135)*86400&lt;تنظیمات!$B$13),1,0),0)</f>
        <v>0</v>
      </c>
      <c r="AS135" s="21" t="n">
        <f aca="false">IF(Z135="پوز",IF(OR(AB135="",COUNTIF(پوزها!$A$2:$A$5,AA135)=0),1,0),0)</f>
        <v>0</v>
      </c>
      <c r="AT135" s="21" t="n">
        <f aca="false">IF(AI135="",0,IF(AI135&gt;0,1,0))</f>
        <v>0</v>
      </c>
      <c r="AU135" s="21" t="n">
        <f aca="false">IF(AI135="",0,IF(AI135&lt;0,1,0))</f>
        <v>0</v>
      </c>
      <c r="AV135" s="21" t="n">
        <f aca="false">IF(U135&gt;V135,1,0)</f>
        <v>0</v>
      </c>
      <c r="AW135" s="21" t="n">
        <f aca="false">IF(OR(W135&gt;تنظیمات!$B$8,X135="بله"),1,0)</f>
        <v>0</v>
      </c>
      <c r="AX135" s="21" t="n">
        <f aca="false">IF(AND(N135="بله",L135&gt;تنظیمات!$B$9),1,0)</f>
        <v>0</v>
      </c>
      <c r="AY135" s="21" t="n">
        <f aca="false">IF(Y135="معکوس",1,0)</f>
        <v>0</v>
      </c>
      <c r="AZ135" s="21" t="n">
        <f aca="false">IF(ABS(AJ135)&gt;تنظیمات!$B$10,1,0)</f>
        <v>0</v>
      </c>
      <c r="BA135" s="21" t="n">
        <f aca="false">IF(AND(OR(AD135="رایگان/VIP",AD135="جانباز"),AF135="خیر"),1,0)</f>
        <v>0</v>
      </c>
      <c r="BB135" s="21" t="n">
        <f aca="false">IF(AE135="",0,IF(COUNTIF($AE$2:$AE$1001,AE135)&gt;1,1,0))</f>
        <v>0</v>
      </c>
      <c r="BC135" s="21" t="n">
        <f aca="false">IF(AND(H135="",I135&gt;تنظیمات!$B$12*60,AM135="خالی"),1,0)</f>
        <v>0</v>
      </c>
      <c r="BD135" s="21" t="n">
        <f aca="false">IF(AND(AP135="بله",I135&lt;تنظیمات!$B$14,AO135="خیر"),1,0)</f>
        <v>0</v>
      </c>
      <c r="BE135" s="21" t="n">
        <f aca="false">IF(AN135="خیر",1,0)</f>
        <v>0</v>
      </c>
      <c r="BF135" s="21" t="n">
        <f aca="false">IF(AND(AD135="فیش مفقودی",AQ135="بله",I135&gt;تنظیمات!$B$12*60),1,0)</f>
        <v>0</v>
      </c>
      <c r="BG135" s="21" t="n">
        <f aca="false">IF(AND(AK135&gt;تنظیمات!$B$11,AL135="بله"),1,0)</f>
        <v>0</v>
      </c>
      <c r="BH135" s="21" t="n">
        <f aca="false">MIN(100,AR135*تنظیمات!$B$21+AS135*تنظیمات!$B$22+AT135*تنظیمات!$B$23+AU135*تنظیمات!$B$24+AV135*تنظیمات!$B$25+AW135*تنظیمات!$B$26+AX135*تنظیمات!$B$27+AY135*تنظیمات!$B$28+AZ135*تنظیمات!$B$29+BA135*تنظیمات!$B$30+BB135*تنظیمات!$B$31+BC135*تنظیمات!$B$32+BD135*تنظیمات!$B$33+BE135*تنظیمات!$B$34+BF135*تنظیمات!$B$35+BG135*تنظیمات!$B$36)</f>
        <v>0</v>
      </c>
      <c r="BI135" s="16" t="str">
        <f aca="false">IF(BH135&gt;=60,"بحرانی",IF(BH135&gt;=30,"مشکوک",IF(BH135&gt;0,"هشدار","عادی")))</f>
        <v>عادی</v>
      </c>
      <c r="BJ135" s="16" t="s">
        <v>338</v>
      </c>
    </row>
    <row r="136" customFormat="false" ht="15" hidden="false" customHeight="false" outlineLevel="0" collapsed="false">
      <c r="A136" s="16" t="s">
        <v>855</v>
      </c>
      <c r="B136" s="16" t="s">
        <v>856</v>
      </c>
      <c r="C136" s="16"/>
      <c r="D136" s="16" t="s">
        <v>523</v>
      </c>
      <c r="E136" s="16" t="s">
        <v>390</v>
      </c>
      <c r="F136" s="16" t="s">
        <v>333</v>
      </c>
      <c r="G136" s="17" t="n">
        <v>46282.7142708333</v>
      </c>
      <c r="H136" s="17" t="n">
        <v>46282.8177430556</v>
      </c>
      <c r="I136" s="18" t="n">
        <f aca="false">IF(H136="",ROUND((تنظیمات!$B$7-G136)*1440,0),ROUND((H136-G136)*1440,0))</f>
        <v>149</v>
      </c>
      <c r="J136" s="16" t="s">
        <v>334</v>
      </c>
      <c r="K136" s="16" t="s">
        <v>400</v>
      </c>
      <c r="L136" s="19" t="n">
        <v>0.927</v>
      </c>
      <c r="M136" s="19" t="n">
        <v>0.889</v>
      </c>
      <c r="N136" s="16" t="s">
        <v>335</v>
      </c>
      <c r="O136" s="16" t="s">
        <v>425</v>
      </c>
      <c r="P136" s="16" t="s">
        <v>420</v>
      </c>
      <c r="Q136" s="20" t="n">
        <v>46282</v>
      </c>
      <c r="R136" s="16" t="s">
        <v>857</v>
      </c>
      <c r="S136" s="16" t="s">
        <v>404</v>
      </c>
      <c r="T136" s="17"/>
      <c r="U136" s="21" t="n">
        <v>1</v>
      </c>
      <c r="V136" s="21" t="n">
        <v>1</v>
      </c>
      <c r="W136" s="22" t="n">
        <v>7.2</v>
      </c>
      <c r="X136" s="16" t="s">
        <v>335</v>
      </c>
      <c r="Y136" s="16" t="s">
        <v>338</v>
      </c>
      <c r="Z136" s="16" t="s">
        <v>413</v>
      </c>
      <c r="AA136" s="16" t="s">
        <v>427</v>
      </c>
      <c r="AB136" s="23" t="s">
        <v>858</v>
      </c>
      <c r="AC136" s="17" t="n">
        <v>46282.8168055556</v>
      </c>
      <c r="AD136" s="16" t="s">
        <v>338</v>
      </c>
      <c r="AE136" s="16"/>
      <c r="AF136" s="16" t="str">
        <f aca="false">IF(COUNTIF(لیست_سفید!$A$2:$A$21,B136)&gt;0,"بله","خیر")</f>
        <v>خیر</v>
      </c>
      <c r="AG136" s="24" t="n">
        <f aca="false">IF(H136="","",IF(AD136="فیش مفقودی",تنظیمات!$B$6,(INT(I136/1440)*تنظیمات!$B$5+IF(MOD(I136,1440)&lt;=تنظیمات!$B$2,0,MIN(تنظیمات!$B$5,تنظیمات!$B$3+MAX(0,ROUNDUP((MOD(I136,1440)-60)/60,0))*تنظیمات!$B$4)))*INDEX(تعرفه!$B$2:$B$7,MATCH(AD136,تعرفه!$A$2:$A$7,0))))</f>
        <v>48000</v>
      </c>
      <c r="AH136" s="24" t="n">
        <v>48000</v>
      </c>
      <c r="AI136" s="24" t="n">
        <f aca="false">IF(AG136="","",AH136-AG136)</f>
        <v>0</v>
      </c>
      <c r="AJ136" s="21" t="n">
        <v>1</v>
      </c>
      <c r="AK136" s="21" t="n">
        <v>0</v>
      </c>
      <c r="AL136" s="16" t="s">
        <v>335</v>
      </c>
      <c r="AM136" s="16"/>
      <c r="AN136" s="16" t="s">
        <v>340</v>
      </c>
      <c r="AO136" s="16" t="s">
        <v>340</v>
      </c>
      <c r="AP136" s="16" t="s">
        <v>335</v>
      </c>
      <c r="AQ136" s="16"/>
      <c r="AR136" s="21" t="n">
        <f aca="false">IF(AND(T136&lt;&gt;"",H136&lt;&gt;""),IF(AND((T136-H136)*86400&gt;=0,(T136-H136)*86400&lt;تنظیمات!$B$13),1,0),0)</f>
        <v>0</v>
      </c>
      <c r="AS136" s="21" t="n">
        <f aca="false">IF(Z136="پوز",IF(OR(AB136="",COUNTIF(پوزها!$A$2:$A$5,AA136)=0),1,0),0)</f>
        <v>0</v>
      </c>
      <c r="AT136" s="21" t="n">
        <f aca="false">IF(AI136="",0,IF(AI136&gt;0,1,0))</f>
        <v>0</v>
      </c>
      <c r="AU136" s="21" t="n">
        <f aca="false">IF(AI136="",0,IF(AI136&lt;0,1,0))</f>
        <v>0</v>
      </c>
      <c r="AV136" s="21" t="n">
        <f aca="false">IF(U136&gt;V136,1,0)</f>
        <v>0</v>
      </c>
      <c r="AW136" s="21" t="n">
        <f aca="false">IF(OR(W136&gt;تنظیمات!$B$8,X136="بله"),1,0)</f>
        <v>0</v>
      </c>
      <c r="AX136" s="21" t="n">
        <f aca="false">IF(AND(N136="بله",L136&gt;تنظیمات!$B$9),1,0)</f>
        <v>0</v>
      </c>
      <c r="AY136" s="21" t="n">
        <f aca="false">IF(Y136="معکوس",1,0)</f>
        <v>0</v>
      </c>
      <c r="AZ136" s="21" t="n">
        <f aca="false">IF(ABS(AJ136)&gt;تنظیمات!$B$10,1,0)</f>
        <v>0</v>
      </c>
      <c r="BA136" s="21" t="n">
        <f aca="false">IF(AND(OR(AD136="رایگان/VIP",AD136="جانباز"),AF136="خیر"),1,0)</f>
        <v>0</v>
      </c>
      <c r="BB136" s="21" t="n">
        <f aca="false">IF(AE136="",0,IF(COUNTIF($AE$2:$AE$1001,AE136)&gt;1,1,0))</f>
        <v>0</v>
      </c>
      <c r="BC136" s="21" t="n">
        <f aca="false">IF(AND(H136="",I136&gt;تنظیمات!$B$12*60,AM136="خالی"),1,0)</f>
        <v>0</v>
      </c>
      <c r="BD136" s="21" t="n">
        <f aca="false">IF(AND(AP136="بله",I136&lt;تنظیمات!$B$14,AO136="خیر"),1,0)</f>
        <v>0</v>
      </c>
      <c r="BE136" s="21" t="n">
        <f aca="false">IF(AN136="خیر",1,0)</f>
        <v>0</v>
      </c>
      <c r="BF136" s="21" t="n">
        <f aca="false">IF(AND(AD136="فیش مفقودی",AQ136="بله",I136&gt;تنظیمات!$B$12*60),1,0)</f>
        <v>0</v>
      </c>
      <c r="BG136" s="21" t="n">
        <f aca="false">IF(AND(AK136&gt;تنظیمات!$B$11,AL136="بله"),1,0)</f>
        <v>0</v>
      </c>
      <c r="BH136" s="21" t="n">
        <f aca="false">MIN(100,AR136*تنظیمات!$B$21+AS136*تنظیمات!$B$22+AT136*تنظیمات!$B$23+AU136*تنظیمات!$B$24+AV136*تنظیمات!$B$25+AW136*تنظیمات!$B$26+AX136*تنظیمات!$B$27+AY136*تنظیمات!$B$28+AZ136*تنظیمات!$B$29+BA136*تنظیمات!$B$30+BB136*تنظیمات!$B$31+BC136*تنظیمات!$B$32+BD136*تنظیمات!$B$33+BE136*تنظیمات!$B$34+BF136*تنظیمات!$B$35+BG136*تنظیمات!$B$36)</f>
        <v>0</v>
      </c>
      <c r="BI136" s="16" t="str">
        <f aca="false">IF(BH136&gt;=60,"بحرانی",IF(BH136&gt;=30,"مشکوک",IF(BH136&gt;0,"هشدار","عادی")))</f>
        <v>عادی</v>
      </c>
      <c r="BJ136" s="16" t="s">
        <v>338</v>
      </c>
    </row>
    <row r="137" customFormat="false" ht="15" hidden="false" customHeight="false" outlineLevel="0" collapsed="false">
      <c r="A137" s="16" t="s">
        <v>859</v>
      </c>
      <c r="B137" s="16" t="s">
        <v>860</v>
      </c>
      <c r="C137" s="16"/>
      <c r="D137" s="16" t="s">
        <v>350</v>
      </c>
      <c r="E137" s="16" t="s">
        <v>390</v>
      </c>
      <c r="F137" s="16" t="s">
        <v>333</v>
      </c>
      <c r="G137" s="17" t="n">
        <v>46282.7170949074</v>
      </c>
      <c r="H137" s="17" t="n">
        <v>46282.7552893519</v>
      </c>
      <c r="I137" s="18" t="n">
        <f aca="false">IF(H137="",ROUND((تنظیمات!$B$7-G137)*1440,0),ROUND((H137-G137)*1440,0))</f>
        <v>55</v>
      </c>
      <c r="J137" s="16" t="s">
        <v>346</v>
      </c>
      <c r="K137" s="16" t="s">
        <v>400</v>
      </c>
      <c r="L137" s="19" t="n">
        <v>0.98</v>
      </c>
      <c r="M137" s="19" t="n">
        <v>0.994</v>
      </c>
      <c r="N137" s="16" t="s">
        <v>335</v>
      </c>
      <c r="O137" s="16" t="s">
        <v>425</v>
      </c>
      <c r="P137" s="16" t="s">
        <v>420</v>
      </c>
      <c r="Q137" s="20" t="n">
        <v>46282</v>
      </c>
      <c r="R137" s="16" t="s">
        <v>861</v>
      </c>
      <c r="S137" s="16" t="s">
        <v>404</v>
      </c>
      <c r="T137" s="17"/>
      <c r="U137" s="21" t="n">
        <v>1</v>
      </c>
      <c r="V137" s="21" t="n">
        <v>1</v>
      </c>
      <c r="W137" s="22" t="n">
        <v>3.1</v>
      </c>
      <c r="X137" s="16" t="s">
        <v>335</v>
      </c>
      <c r="Y137" s="16" t="s">
        <v>338</v>
      </c>
      <c r="Z137" s="16" t="s">
        <v>413</v>
      </c>
      <c r="AA137" s="16" t="s">
        <v>427</v>
      </c>
      <c r="AB137" s="23" t="s">
        <v>862</v>
      </c>
      <c r="AC137" s="17" t="n">
        <v>46282.7542476852</v>
      </c>
      <c r="AD137" s="16" t="s">
        <v>338</v>
      </c>
      <c r="AE137" s="16"/>
      <c r="AF137" s="16" t="str">
        <f aca="false">IF(COUNTIF(لیست_سفید!$A$2:$A$21,B137)&gt;0,"بله","خیر")</f>
        <v>خیر</v>
      </c>
      <c r="AG137" s="24" t="n">
        <f aca="false">IF(H137="","",IF(AD137="فیش مفقودی",تنظیمات!$B$6,(INT(I137/1440)*تنظیمات!$B$5+IF(MOD(I137,1440)&lt;=تنظیمات!$B$2,0,MIN(تنظیمات!$B$5,تنظیمات!$B$3+MAX(0,ROUNDUP((MOD(I137,1440)-60)/60,0))*تنظیمات!$B$4)))*INDEX(تعرفه!$B$2:$B$7,MATCH(AD137,تعرفه!$A$2:$A$7,0))))</f>
        <v>20000</v>
      </c>
      <c r="AH137" s="24" t="n">
        <v>20000</v>
      </c>
      <c r="AI137" s="24" t="n">
        <f aca="false">IF(AG137="","",AH137-AG137)</f>
        <v>0</v>
      </c>
      <c r="AJ137" s="21" t="n">
        <v>-3</v>
      </c>
      <c r="AK137" s="21" t="n">
        <v>0</v>
      </c>
      <c r="AL137" s="16" t="s">
        <v>335</v>
      </c>
      <c r="AM137" s="16"/>
      <c r="AN137" s="16" t="s">
        <v>340</v>
      </c>
      <c r="AO137" s="16" t="s">
        <v>340</v>
      </c>
      <c r="AP137" s="16" t="s">
        <v>335</v>
      </c>
      <c r="AQ137" s="16"/>
      <c r="AR137" s="21" t="n">
        <f aca="false">IF(AND(T137&lt;&gt;"",H137&lt;&gt;""),IF(AND((T137-H137)*86400&gt;=0,(T137-H137)*86400&lt;تنظیمات!$B$13),1,0),0)</f>
        <v>0</v>
      </c>
      <c r="AS137" s="21" t="n">
        <f aca="false">IF(Z137="پوز",IF(OR(AB137="",COUNTIF(پوزها!$A$2:$A$5,AA137)=0),1,0),0)</f>
        <v>0</v>
      </c>
      <c r="AT137" s="21" t="n">
        <f aca="false">IF(AI137="",0,IF(AI137&gt;0,1,0))</f>
        <v>0</v>
      </c>
      <c r="AU137" s="21" t="n">
        <f aca="false">IF(AI137="",0,IF(AI137&lt;0,1,0))</f>
        <v>0</v>
      </c>
      <c r="AV137" s="21" t="n">
        <f aca="false">IF(U137&gt;V137,1,0)</f>
        <v>0</v>
      </c>
      <c r="AW137" s="21" t="n">
        <f aca="false">IF(OR(W137&gt;تنظیمات!$B$8,X137="بله"),1,0)</f>
        <v>0</v>
      </c>
      <c r="AX137" s="21" t="n">
        <f aca="false">IF(AND(N137="بله",L137&gt;تنظیمات!$B$9),1,0)</f>
        <v>0</v>
      </c>
      <c r="AY137" s="21" t="n">
        <f aca="false">IF(Y137="معکوس",1,0)</f>
        <v>0</v>
      </c>
      <c r="AZ137" s="21" t="n">
        <f aca="false">IF(ABS(AJ137)&gt;تنظیمات!$B$10,1,0)</f>
        <v>0</v>
      </c>
      <c r="BA137" s="21" t="n">
        <f aca="false">IF(AND(OR(AD137="رایگان/VIP",AD137="جانباز"),AF137="خیر"),1,0)</f>
        <v>0</v>
      </c>
      <c r="BB137" s="21" t="n">
        <f aca="false">IF(AE137="",0,IF(COUNTIF($AE$2:$AE$1001,AE137)&gt;1,1,0))</f>
        <v>0</v>
      </c>
      <c r="BC137" s="21" t="n">
        <f aca="false">IF(AND(H137="",I137&gt;تنظیمات!$B$12*60,AM137="خالی"),1,0)</f>
        <v>0</v>
      </c>
      <c r="BD137" s="21" t="n">
        <f aca="false">IF(AND(AP137="بله",I137&lt;تنظیمات!$B$14,AO137="خیر"),1,0)</f>
        <v>0</v>
      </c>
      <c r="BE137" s="21" t="n">
        <f aca="false">IF(AN137="خیر",1,0)</f>
        <v>0</v>
      </c>
      <c r="BF137" s="21" t="n">
        <f aca="false">IF(AND(AD137="فیش مفقودی",AQ137="بله",I137&gt;تنظیمات!$B$12*60),1,0)</f>
        <v>0</v>
      </c>
      <c r="BG137" s="21" t="n">
        <f aca="false">IF(AND(AK137&gt;تنظیمات!$B$11,AL137="بله"),1,0)</f>
        <v>0</v>
      </c>
      <c r="BH137" s="21" t="n">
        <f aca="false">MIN(100,AR137*تنظیمات!$B$21+AS137*تنظیمات!$B$22+AT137*تنظیمات!$B$23+AU137*تنظیمات!$B$24+AV137*تنظیمات!$B$25+AW137*تنظیمات!$B$26+AX137*تنظیمات!$B$27+AY137*تنظیمات!$B$28+AZ137*تنظیمات!$B$29+BA137*تنظیمات!$B$30+BB137*تنظیمات!$B$31+BC137*تنظیمات!$B$32+BD137*تنظیمات!$B$33+BE137*تنظیمات!$B$34+BF137*تنظیمات!$B$35+BG137*تنظیمات!$B$36)</f>
        <v>0</v>
      </c>
      <c r="BI137" s="16" t="str">
        <f aca="false">IF(BH137&gt;=60,"بحرانی",IF(BH137&gt;=30,"مشکوک",IF(BH137&gt;0,"هشدار","عادی")))</f>
        <v>عادی</v>
      </c>
      <c r="BJ137" s="16" t="s">
        <v>338</v>
      </c>
    </row>
    <row r="138" customFormat="false" ht="15" hidden="false" customHeight="false" outlineLevel="0" collapsed="false">
      <c r="A138" s="16" t="s">
        <v>863</v>
      </c>
      <c r="B138" s="16" t="s">
        <v>718</v>
      </c>
      <c r="C138" s="16"/>
      <c r="D138" s="16" t="s">
        <v>418</v>
      </c>
      <c r="E138" s="16" t="s">
        <v>390</v>
      </c>
      <c r="F138" s="16" t="s">
        <v>333</v>
      </c>
      <c r="G138" s="17" t="n">
        <v>46282.7306828704</v>
      </c>
      <c r="H138" s="17" t="n">
        <v>46282.7549884259</v>
      </c>
      <c r="I138" s="18" t="n">
        <f aca="false">IF(H138="",ROUND((تنظیمات!$B$7-G138)*1440,0),ROUND((H138-G138)*1440,0))</f>
        <v>35</v>
      </c>
      <c r="J138" s="16" t="s">
        <v>334</v>
      </c>
      <c r="K138" s="16" t="s">
        <v>410</v>
      </c>
      <c r="L138" s="19" t="n">
        <v>0.904</v>
      </c>
      <c r="M138" s="19" t="n">
        <v>0.897</v>
      </c>
      <c r="N138" s="16" t="s">
        <v>335</v>
      </c>
      <c r="O138" s="16" t="s">
        <v>441</v>
      </c>
      <c r="P138" s="16" t="s">
        <v>420</v>
      </c>
      <c r="Q138" s="20" t="n">
        <v>46282</v>
      </c>
      <c r="R138" s="16" t="s">
        <v>864</v>
      </c>
      <c r="S138" s="16" t="s">
        <v>404</v>
      </c>
      <c r="T138" s="17"/>
      <c r="U138" s="21" t="n">
        <v>1</v>
      </c>
      <c r="V138" s="21" t="n">
        <v>1</v>
      </c>
      <c r="W138" s="22" t="n">
        <v>6.5</v>
      </c>
      <c r="X138" s="16" t="s">
        <v>335</v>
      </c>
      <c r="Y138" s="16" t="s">
        <v>338</v>
      </c>
      <c r="Z138" s="16" t="s">
        <v>413</v>
      </c>
      <c r="AA138" s="16" t="s">
        <v>414</v>
      </c>
      <c r="AB138" s="23" t="s">
        <v>865</v>
      </c>
      <c r="AC138" s="17" t="n">
        <v>46282.7543865741</v>
      </c>
      <c r="AD138" s="16" t="s">
        <v>338</v>
      </c>
      <c r="AE138" s="16"/>
      <c r="AF138" s="16" t="str">
        <f aca="false">IF(COUNTIF(لیست_سفید!$A$2:$A$21,B138)&gt;0,"بله","خیر")</f>
        <v>خیر</v>
      </c>
      <c r="AG138" s="24" t="n">
        <f aca="false">IF(H138="","",IF(AD138="فیش مفقودی",تنظیمات!$B$6,(INT(I138/1440)*تنظیمات!$B$5+IF(MOD(I138,1440)&lt;=تنظیمات!$B$2,0,MIN(تنظیمات!$B$5,تنظیمات!$B$3+MAX(0,ROUNDUP((MOD(I138,1440)-60)/60,0))*تنظیمات!$B$4)))*INDEX(تعرفه!$B$2:$B$7,MATCH(AD138,تعرفه!$A$2:$A$7,0))))</f>
        <v>20000</v>
      </c>
      <c r="AH138" s="24" t="n">
        <v>20000</v>
      </c>
      <c r="AI138" s="24" t="n">
        <f aca="false">IF(AG138="","",AH138-AG138)</f>
        <v>0</v>
      </c>
      <c r="AJ138" s="21" t="n">
        <v>-1</v>
      </c>
      <c r="AK138" s="21" t="n">
        <v>0</v>
      </c>
      <c r="AL138" s="16" t="s">
        <v>335</v>
      </c>
      <c r="AM138" s="16"/>
      <c r="AN138" s="16" t="s">
        <v>340</v>
      </c>
      <c r="AO138" s="16" t="s">
        <v>340</v>
      </c>
      <c r="AP138" s="16" t="s">
        <v>335</v>
      </c>
      <c r="AQ138" s="16"/>
      <c r="AR138" s="21" t="n">
        <f aca="false">IF(AND(T138&lt;&gt;"",H138&lt;&gt;""),IF(AND((T138-H138)*86400&gt;=0,(T138-H138)*86400&lt;تنظیمات!$B$13),1,0),0)</f>
        <v>0</v>
      </c>
      <c r="AS138" s="21" t="n">
        <f aca="false">IF(Z138="پوز",IF(OR(AB138="",COUNTIF(پوزها!$A$2:$A$5,AA138)=0),1,0),0)</f>
        <v>0</v>
      </c>
      <c r="AT138" s="21" t="n">
        <f aca="false">IF(AI138="",0,IF(AI138&gt;0,1,0))</f>
        <v>0</v>
      </c>
      <c r="AU138" s="21" t="n">
        <f aca="false">IF(AI138="",0,IF(AI138&lt;0,1,0))</f>
        <v>0</v>
      </c>
      <c r="AV138" s="21" t="n">
        <f aca="false">IF(U138&gt;V138,1,0)</f>
        <v>0</v>
      </c>
      <c r="AW138" s="21" t="n">
        <f aca="false">IF(OR(W138&gt;تنظیمات!$B$8,X138="بله"),1,0)</f>
        <v>0</v>
      </c>
      <c r="AX138" s="21" t="n">
        <f aca="false">IF(AND(N138="بله",L138&gt;تنظیمات!$B$9),1,0)</f>
        <v>0</v>
      </c>
      <c r="AY138" s="21" t="n">
        <f aca="false">IF(Y138="معکوس",1,0)</f>
        <v>0</v>
      </c>
      <c r="AZ138" s="21" t="n">
        <f aca="false">IF(ABS(AJ138)&gt;تنظیمات!$B$10,1,0)</f>
        <v>0</v>
      </c>
      <c r="BA138" s="21" t="n">
        <f aca="false">IF(AND(OR(AD138="رایگان/VIP",AD138="جانباز"),AF138="خیر"),1,0)</f>
        <v>0</v>
      </c>
      <c r="BB138" s="21" t="n">
        <f aca="false">IF(AE138="",0,IF(COUNTIF($AE$2:$AE$1001,AE138)&gt;1,1,0))</f>
        <v>0</v>
      </c>
      <c r="BC138" s="21" t="n">
        <f aca="false">IF(AND(H138="",I138&gt;تنظیمات!$B$12*60,AM138="خالی"),1,0)</f>
        <v>0</v>
      </c>
      <c r="BD138" s="21" t="n">
        <f aca="false">IF(AND(AP138="بله",I138&lt;تنظیمات!$B$14,AO138="خیر"),1,0)</f>
        <v>0</v>
      </c>
      <c r="BE138" s="21" t="n">
        <f aca="false">IF(AN138="خیر",1,0)</f>
        <v>0</v>
      </c>
      <c r="BF138" s="21" t="n">
        <f aca="false">IF(AND(AD138="فیش مفقودی",AQ138="بله",I138&gt;تنظیمات!$B$12*60),1,0)</f>
        <v>0</v>
      </c>
      <c r="BG138" s="21" t="n">
        <f aca="false">IF(AND(AK138&gt;تنظیمات!$B$11,AL138="بله"),1,0)</f>
        <v>0</v>
      </c>
      <c r="BH138" s="21" t="n">
        <f aca="false">MIN(100,AR138*تنظیمات!$B$21+AS138*تنظیمات!$B$22+AT138*تنظیمات!$B$23+AU138*تنظیمات!$B$24+AV138*تنظیمات!$B$25+AW138*تنظیمات!$B$26+AX138*تنظیمات!$B$27+AY138*تنظیمات!$B$28+AZ138*تنظیمات!$B$29+BA138*تنظیمات!$B$30+BB138*تنظیمات!$B$31+BC138*تنظیمات!$B$32+BD138*تنظیمات!$B$33+BE138*تنظیمات!$B$34+BF138*تنظیمات!$B$35+BG138*تنظیمات!$B$36)</f>
        <v>0</v>
      </c>
      <c r="BI138" s="16" t="str">
        <f aca="false">IF(BH138&gt;=60,"بحرانی",IF(BH138&gt;=30,"مشکوک",IF(BH138&gt;0,"هشدار","عادی")))</f>
        <v>عادی</v>
      </c>
      <c r="BJ138" s="16" t="s">
        <v>338</v>
      </c>
    </row>
    <row r="139" customFormat="false" ht="15" hidden="false" customHeight="false" outlineLevel="0" collapsed="false">
      <c r="A139" s="16" t="s">
        <v>866</v>
      </c>
      <c r="B139" s="16" t="s">
        <v>867</v>
      </c>
      <c r="C139" s="16"/>
      <c r="D139" s="16" t="s">
        <v>331</v>
      </c>
      <c r="E139" s="16" t="s">
        <v>375</v>
      </c>
      <c r="F139" s="16" t="s">
        <v>333</v>
      </c>
      <c r="G139" s="17" t="n">
        <v>46282.8153472222</v>
      </c>
      <c r="H139" s="17" t="n">
        <v>46282.9063194445</v>
      </c>
      <c r="I139" s="18" t="n">
        <f aca="false">IF(H139="",ROUND((تنظیمات!$B$7-G139)*1440,0),ROUND((H139-G139)*1440,0))</f>
        <v>131</v>
      </c>
      <c r="J139" s="16" t="s">
        <v>346</v>
      </c>
      <c r="K139" s="16" t="s">
        <v>400</v>
      </c>
      <c r="L139" s="19" t="n">
        <v>0.901</v>
      </c>
      <c r="M139" s="19" t="n">
        <v>0.954</v>
      </c>
      <c r="N139" s="16" t="s">
        <v>335</v>
      </c>
      <c r="O139" s="16" t="s">
        <v>425</v>
      </c>
      <c r="P139" s="16" t="s">
        <v>420</v>
      </c>
      <c r="Q139" s="20" t="n">
        <v>46282</v>
      </c>
      <c r="R139" s="16" t="s">
        <v>868</v>
      </c>
      <c r="S139" s="16" t="s">
        <v>404</v>
      </c>
      <c r="T139" s="17"/>
      <c r="U139" s="21" t="n">
        <v>1</v>
      </c>
      <c r="V139" s="21" t="n">
        <v>1</v>
      </c>
      <c r="W139" s="22" t="n">
        <v>4.7</v>
      </c>
      <c r="X139" s="16" t="s">
        <v>335</v>
      </c>
      <c r="Y139" s="16" t="s">
        <v>338</v>
      </c>
      <c r="Z139" s="16" t="s">
        <v>413</v>
      </c>
      <c r="AA139" s="16" t="s">
        <v>427</v>
      </c>
      <c r="AB139" s="23" t="s">
        <v>869</v>
      </c>
      <c r="AC139" s="17" t="n">
        <v>46282.9056134259</v>
      </c>
      <c r="AD139" s="16" t="s">
        <v>338</v>
      </c>
      <c r="AE139" s="16"/>
      <c r="AF139" s="16" t="str">
        <f aca="false">IF(COUNTIF(لیست_سفید!$A$2:$A$21,B139)&gt;0,"بله","خیر")</f>
        <v>خیر</v>
      </c>
      <c r="AG139" s="24" t="n">
        <f aca="false">IF(H139="","",IF(AD139="فیش مفقودی",تنظیمات!$B$6,(INT(I139/1440)*تنظیمات!$B$5+IF(MOD(I139,1440)&lt;=تنظیمات!$B$2,0,MIN(تنظیمات!$B$5,تنظیمات!$B$3+MAX(0,ROUNDUP((MOD(I139,1440)-60)/60,0))*تنظیمات!$B$4)))*INDEX(تعرفه!$B$2:$B$7,MATCH(AD139,تعرفه!$A$2:$A$7,0))))</f>
        <v>48000</v>
      </c>
      <c r="AH139" s="24" t="n">
        <v>48000</v>
      </c>
      <c r="AI139" s="24" t="n">
        <f aca="false">IF(AG139="","",AH139-AG139)</f>
        <v>0</v>
      </c>
      <c r="AJ139" s="21" t="n">
        <v>2</v>
      </c>
      <c r="AK139" s="21" t="n">
        <v>0</v>
      </c>
      <c r="AL139" s="16" t="s">
        <v>335</v>
      </c>
      <c r="AM139" s="16"/>
      <c r="AN139" s="16" t="s">
        <v>340</v>
      </c>
      <c r="AO139" s="16" t="s">
        <v>340</v>
      </c>
      <c r="AP139" s="16" t="s">
        <v>335</v>
      </c>
      <c r="AQ139" s="16"/>
      <c r="AR139" s="21" t="n">
        <f aca="false">IF(AND(T139&lt;&gt;"",H139&lt;&gt;""),IF(AND((T139-H139)*86400&gt;=0,(T139-H139)*86400&lt;تنظیمات!$B$13),1,0),0)</f>
        <v>0</v>
      </c>
      <c r="AS139" s="21" t="n">
        <f aca="false">IF(Z139="پوز",IF(OR(AB139="",COUNTIF(پوزها!$A$2:$A$5,AA139)=0),1,0),0)</f>
        <v>0</v>
      </c>
      <c r="AT139" s="21" t="n">
        <f aca="false">IF(AI139="",0,IF(AI139&gt;0,1,0))</f>
        <v>0</v>
      </c>
      <c r="AU139" s="21" t="n">
        <f aca="false">IF(AI139="",0,IF(AI139&lt;0,1,0))</f>
        <v>0</v>
      </c>
      <c r="AV139" s="21" t="n">
        <f aca="false">IF(U139&gt;V139,1,0)</f>
        <v>0</v>
      </c>
      <c r="AW139" s="21" t="n">
        <f aca="false">IF(OR(W139&gt;تنظیمات!$B$8,X139="بله"),1,0)</f>
        <v>0</v>
      </c>
      <c r="AX139" s="21" t="n">
        <f aca="false">IF(AND(N139="بله",L139&gt;تنظیمات!$B$9),1,0)</f>
        <v>0</v>
      </c>
      <c r="AY139" s="21" t="n">
        <f aca="false">IF(Y139="معکوس",1,0)</f>
        <v>0</v>
      </c>
      <c r="AZ139" s="21" t="n">
        <f aca="false">IF(ABS(AJ139)&gt;تنظیمات!$B$10,1,0)</f>
        <v>0</v>
      </c>
      <c r="BA139" s="21" t="n">
        <f aca="false">IF(AND(OR(AD139="رایگان/VIP",AD139="جانباز"),AF139="خیر"),1,0)</f>
        <v>0</v>
      </c>
      <c r="BB139" s="21" t="n">
        <f aca="false">IF(AE139="",0,IF(COUNTIF($AE$2:$AE$1001,AE139)&gt;1,1,0))</f>
        <v>0</v>
      </c>
      <c r="BC139" s="21" t="n">
        <f aca="false">IF(AND(H139="",I139&gt;تنظیمات!$B$12*60,AM139="خالی"),1,0)</f>
        <v>0</v>
      </c>
      <c r="BD139" s="21" t="n">
        <f aca="false">IF(AND(AP139="بله",I139&lt;تنظیمات!$B$14,AO139="خیر"),1,0)</f>
        <v>0</v>
      </c>
      <c r="BE139" s="21" t="n">
        <f aca="false">IF(AN139="خیر",1,0)</f>
        <v>0</v>
      </c>
      <c r="BF139" s="21" t="n">
        <f aca="false">IF(AND(AD139="فیش مفقودی",AQ139="بله",I139&gt;تنظیمات!$B$12*60),1,0)</f>
        <v>0</v>
      </c>
      <c r="BG139" s="21" t="n">
        <f aca="false">IF(AND(AK139&gt;تنظیمات!$B$11,AL139="بله"),1,0)</f>
        <v>0</v>
      </c>
      <c r="BH139" s="21" t="n">
        <f aca="false">MIN(100,AR139*تنظیمات!$B$21+AS139*تنظیمات!$B$22+AT139*تنظیمات!$B$23+AU139*تنظیمات!$B$24+AV139*تنظیمات!$B$25+AW139*تنظیمات!$B$26+AX139*تنظیمات!$B$27+AY139*تنظیمات!$B$28+AZ139*تنظیمات!$B$29+BA139*تنظیمات!$B$30+BB139*تنظیمات!$B$31+BC139*تنظیمات!$B$32+BD139*تنظیمات!$B$33+BE139*تنظیمات!$B$34+BF139*تنظیمات!$B$35+BG139*تنظیمات!$B$36)</f>
        <v>0</v>
      </c>
      <c r="BI139" s="16" t="str">
        <f aca="false">IF(BH139&gt;=60,"بحرانی",IF(BH139&gt;=30,"مشکوک",IF(BH139&gt;0,"هشدار","عادی")))</f>
        <v>عادی</v>
      </c>
      <c r="BJ139" s="16" t="s">
        <v>338</v>
      </c>
    </row>
    <row r="140" customFormat="false" ht="15" hidden="false" customHeight="false" outlineLevel="0" collapsed="false">
      <c r="A140" s="16" t="s">
        <v>870</v>
      </c>
      <c r="B140" s="16" t="s">
        <v>871</v>
      </c>
      <c r="C140" s="16"/>
      <c r="D140" s="16" t="s">
        <v>370</v>
      </c>
      <c r="E140" s="16" t="s">
        <v>351</v>
      </c>
      <c r="F140" s="16" t="s">
        <v>333</v>
      </c>
      <c r="G140" s="17" t="n">
        <v>46282.8495486111</v>
      </c>
      <c r="H140" s="17" t="n">
        <v>46282.8877430556</v>
      </c>
      <c r="I140" s="18" t="n">
        <f aca="false">IF(H140="",ROUND((تنظیمات!$B$7-G140)*1440,0),ROUND((H140-G140)*1440,0))</f>
        <v>55</v>
      </c>
      <c r="J140" s="16" t="s">
        <v>346</v>
      </c>
      <c r="K140" s="16" t="s">
        <v>400</v>
      </c>
      <c r="L140" s="19" t="n">
        <v>0.974</v>
      </c>
      <c r="M140" s="19" t="n">
        <v>0.995</v>
      </c>
      <c r="N140" s="16" t="s">
        <v>335</v>
      </c>
      <c r="O140" s="16" t="s">
        <v>425</v>
      </c>
      <c r="P140" s="16" t="s">
        <v>420</v>
      </c>
      <c r="Q140" s="20" t="n">
        <v>46282</v>
      </c>
      <c r="R140" s="16" t="s">
        <v>872</v>
      </c>
      <c r="S140" s="16" t="s">
        <v>404</v>
      </c>
      <c r="T140" s="17"/>
      <c r="U140" s="21" t="n">
        <v>1</v>
      </c>
      <c r="V140" s="21" t="n">
        <v>1</v>
      </c>
      <c r="W140" s="22" t="n">
        <v>4.7</v>
      </c>
      <c r="X140" s="16" t="s">
        <v>335</v>
      </c>
      <c r="Y140" s="16" t="s">
        <v>338</v>
      </c>
      <c r="Z140" s="16" t="s">
        <v>413</v>
      </c>
      <c r="AA140" s="16" t="s">
        <v>427</v>
      </c>
      <c r="AB140" s="23" t="s">
        <v>873</v>
      </c>
      <c r="AC140" s="17" t="n">
        <v>46282.8871875</v>
      </c>
      <c r="AD140" s="16" t="s">
        <v>338</v>
      </c>
      <c r="AE140" s="16"/>
      <c r="AF140" s="16" t="str">
        <f aca="false">IF(COUNTIF(لیست_سفید!$A$2:$A$21,B140)&gt;0,"بله","خیر")</f>
        <v>خیر</v>
      </c>
      <c r="AG140" s="24" t="n">
        <f aca="false">IF(H140="","",IF(AD140="فیش مفقودی",تنظیمات!$B$6,(INT(I140/1440)*تنظیمات!$B$5+IF(MOD(I140,1440)&lt;=تنظیمات!$B$2,0,MIN(تنظیمات!$B$5,تنظیمات!$B$3+MAX(0,ROUNDUP((MOD(I140,1440)-60)/60,0))*تنظیمات!$B$4)))*INDEX(تعرفه!$B$2:$B$7,MATCH(AD140,تعرفه!$A$2:$A$7,0))))</f>
        <v>20000</v>
      </c>
      <c r="AH140" s="24" t="n">
        <v>20000</v>
      </c>
      <c r="AI140" s="24" t="n">
        <f aca="false">IF(AG140="","",AH140-AG140)</f>
        <v>0</v>
      </c>
      <c r="AJ140" s="21" t="n">
        <v>3</v>
      </c>
      <c r="AK140" s="21" t="n">
        <v>0</v>
      </c>
      <c r="AL140" s="16" t="s">
        <v>335</v>
      </c>
      <c r="AM140" s="16"/>
      <c r="AN140" s="16" t="s">
        <v>340</v>
      </c>
      <c r="AO140" s="16" t="s">
        <v>340</v>
      </c>
      <c r="AP140" s="16" t="s">
        <v>335</v>
      </c>
      <c r="AQ140" s="16"/>
      <c r="AR140" s="21" t="n">
        <f aca="false">IF(AND(T140&lt;&gt;"",H140&lt;&gt;""),IF(AND((T140-H140)*86400&gt;=0,(T140-H140)*86400&lt;تنظیمات!$B$13),1,0),0)</f>
        <v>0</v>
      </c>
      <c r="AS140" s="21" t="n">
        <f aca="false">IF(Z140="پوز",IF(OR(AB140="",COUNTIF(پوزها!$A$2:$A$5,AA140)=0),1,0),0)</f>
        <v>0</v>
      </c>
      <c r="AT140" s="21" t="n">
        <f aca="false">IF(AI140="",0,IF(AI140&gt;0,1,0))</f>
        <v>0</v>
      </c>
      <c r="AU140" s="21" t="n">
        <f aca="false">IF(AI140="",0,IF(AI140&lt;0,1,0))</f>
        <v>0</v>
      </c>
      <c r="AV140" s="21" t="n">
        <f aca="false">IF(U140&gt;V140,1,0)</f>
        <v>0</v>
      </c>
      <c r="AW140" s="21" t="n">
        <f aca="false">IF(OR(W140&gt;تنظیمات!$B$8,X140="بله"),1,0)</f>
        <v>0</v>
      </c>
      <c r="AX140" s="21" t="n">
        <f aca="false">IF(AND(N140="بله",L140&gt;تنظیمات!$B$9),1,0)</f>
        <v>0</v>
      </c>
      <c r="AY140" s="21" t="n">
        <f aca="false">IF(Y140="معکوس",1,0)</f>
        <v>0</v>
      </c>
      <c r="AZ140" s="21" t="n">
        <f aca="false">IF(ABS(AJ140)&gt;تنظیمات!$B$10,1,0)</f>
        <v>0</v>
      </c>
      <c r="BA140" s="21" t="n">
        <f aca="false">IF(AND(OR(AD140="رایگان/VIP",AD140="جانباز"),AF140="خیر"),1,0)</f>
        <v>0</v>
      </c>
      <c r="BB140" s="21" t="n">
        <f aca="false">IF(AE140="",0,IF(COUNTIF($AE$2:$AE$1001,AE140)&gt;1,1,0))</f>
        <v>0</v>
      </c>
      <c r="BC140" s="21" t="n">
        <f aca="false">IF(AND(H140="",I140&gt;تنظیمات!$B$12*60,AM140="خالی"),1,0)</f>
        <v>0</v>
      </c>
      <c r="BD140" s="21" t="n">
        <f aca="false">IF(AND(AP140="بله",I140&lt;تنظیمات!$B$14,AO140="خیر"),1,0)</f>
        <v>0</v>
      </c>
      <c r="BE140" s="21" t="n">
        <f aca="false">IF(AN140="خیر",1,0)</f>
        <v>0</v>
      </c>
      <c r="BF140" s="21" t="n">
        <f aca="false">IF(AND(AD140="فیش مفقودی",AQ140="بله",I140&gt;تنظیمات!$B$12*60),1,0)</f>
        <v>0</v>
      </c>
      <c r="BG140" s="21" t="n">
        <f aca="false">IF(AND(AK140&gt;تنظیمات!$B$11,AL140="بله"),1,0)</f>
        <v>0</v>
      </c>
      <c r="BH140" s="21" t="n">
        <f aca="false">MIN(100,AR140*تنظیمات!$B$21+AS140*تنظیمات!$B$22+AT140*تنظیمات!$B$23+AU140*تنظیمات!$B$24+AV140*تنظیمات!$B$25+AW140*تنظیمات!$B$26+AX140*تنظیمات!$B$27+AY140*تنظیمات!$B$28+AZ140*تنظیمات!$B$29+BA140*تنظیمات!$B$30+BB140*تنظیمات!$B$31+BC140*تنظیمات!$B$32+BD140*تنظیمات!$B$33+BE140*تنظیمات!$B$34+BF140*تنظیمات!$B$35+BG140*تنظیمات!$B$36)</f>
        <v>0</v>
      </c>
      <c r="BI140" s="16" t="str">
        <f aca="false">IF(BH140&gt;=60,"بحرانی",IF(BH140&gt;=30,"مشکوک",IF(BH140&gt;0,"هشدار","عادی")))</f>
        <v>عادی</v>
      </c>
      <c r="BJ140" s="16" t="s">
        <v>338</v>
      </c>
    </row>
    <row r="141" customFormat="false" ht="15" hidden="false" customHeight="false" outlineLevel="0" collapsed="false">
      <c r="A141" s="16" t="s">
        <v>874</v>
      </c>
      <c r="B141" s="16" t="s">
        <v>875</v>
      </c>
      <c r="C141" s="16"/>
      <c r="D141" s="16" t="s">
        <v>418</v>
      </c>
      <c r="E141" s="16" t="s">
        <v>332</v>
      </c>
      <c r="F141" s="16" t="s">
        <v>333</v>
      </c>
      <c r="G141" s="17" t="n">
        <v>46282.8683101852</v>
      </c>
      <c r="H141" s="17" t="n">
        <v>46282.896087963</v>
      </c>
      <c r="I141" s="18" t="n">
        <f aca="false">IF(H141="",ROUND((تنظیمات!$B$7-G141)*1440,0),ROUND((H141-G141)*1440,0))</f>
        <v>40</v>
      </c>
      <c r="J141" s="16" t="s">
        <v>334</v>
      </c>
      <c r="K141" s="16" t="s">
        <v>400</v>
      </c>
      <c r="L141" s="19" t="n">
        <v>0.907</v>
      </c>
      <c r="M141" s="19" t="n">
        <v>0.921</v>
      </c>
      <c r="N141" s="16" t="s">
        <v>335</v>
      </c>
      <c r="O141" s="16" t="s">
        <v>425</v>
      </c>
      <c r="P141" s="16" t="s">
        <v>420</v>
      </c>
      <c r="Q141" s="20" t="n">
        <v>46282</v>
      </c>
      <c r="R141" s="16" t="s">
        <v>876</v>
      </c>
      <c r="S141" s="16" t="s">
        <v>404</v>
      </c>
      <c r="T141" s="17"/>
      <c r="U141" s="21" t="n">
        <v>1</v>
      </c>
      <c r="V141" s="21" t="n">
        <v>1</v>
      </c>
      <c r="W141" s="22" t="n">
        <v>5.5</v>
      </c>
      <c r="X141" s="16" t="s">
        <v>335</v>
      </c>
      <c r="Y141" s="16" t="s">
        <v>338</v>
      </c>
      <c r="Z141" s="16" t="s">
        <v>413</v>
      </c>
      <c r="AA141" s="16" t="s">
        <v>427</v>
      </c>
      <c r="AB141" s="23" t="s">
        <v>877</v>
      </c>
      <c r="AC141" s="17" t="n">
        <v>46282.8953472222</v>
      </c>
      <c r="AD141" s="16" t="s">
        <v>338</v>
      </c>
      <c r="AE141" s="16"/>
      <c r="AF141" s="16" t="str">
        <f aca="false">IF(COUNTIF(لیست_سفید!$A$2:$A$21,B141)&gt;0,"بله","خیر")</f>
        <v>خیر</v>
      </c>
      <c r="AG141" s="24" t="n">
        <f aca="false">IF(H141="","",IF(AD141="فیش مفقودی",تنظیمات!$B$6,(INT(I141/1440)*تنظیمات!$B$5+IF(MOD(I141,1440)&lt;=تنظیمات!$B$2,0,MIN(تنظیمات!$B$5,تنظیمات!$B$3+MAX(0,ROUNDUP((MOD(I141,1440)-60)/60,0))*تنظیمات!$B$4)))*INDEX(تعرفه!$B$2:$B$7,MATCH(AD141,تعرفه!$A$2:$A$7,0))))</f>
        <v>20000</v>
      </c>
      <c r="AH141" s="24" t="n">
        <v>20000</v>
      </c>
      <c r="AI141" s="24" t="n">
        <f aca="false">IF(AG141="","",AH141-AG141)</f>
        <v>0</v>
      </c>
      <c r="AJ141" s="21" t="n">
        <v>0</v>
      </c>
      <c r="AK141" s="21" t="n">
        <v>0</v>
      </c>
      <c r="AL141" s="16" t="s">
        <v>335</v>
      </c>
      <c r="AM141" s="16"/>
      <c r="AN141" s="16" t="s">
        <v>340</v>
      </c>
      <c r="AO141" s="16" t="s">
        <v>340</v>
      </c>
      <c r="AP141" s="16" t="s">
        <v>335</v>
      </c>
      <c r="AQ141" s="16"/>
      <c r="AR141" s="21" t="n">
        <f aca="false">IF(AND(T141&lt;&gt;"",H141&lt;&gt;""),IF(AND((T141-H141)*86400&gt;=0,(T141-H141)*86400&lt;تنظیمات!$B$13),1,0),0)</f>
        <v>0</v>
      </c>
      <c r="AS141" s="21" t="n">
        <f aca="false">IF(Z141="پوز",IF(OR(AB141="",COUNTIF(پوزها!$A$2:$A$5,AA141)=0),1,0),0)</f>
        <v>0</v>
      </c>
      <c r="AT141" s="21" t="n">
        <f aca="false">IF(AI141="",0,IF(AI141&gt;0,1,0))</f>
        <v>0</v>
      </c>
      <c r="AU141" s="21" t="n">
        <f aca="false">IF(AI141="",0,IF(AI141&lt;0,1,0))</f>
        <v>0</v>
      </c>
      <c r="AV141" s="21" t="n">
        <f aca="false">IF(U141&gt;V141,1,0)</f>
        <v>0</v>
      </c>
      <c r="AW141" s="21" t="n">
        <f aca="false">IF(OR(W141&gt;تنظیمات!$B$8,X141="بله"),1,0)</f>
        <v>0</v>
      </c>
      <c r="AX141" s="21" t="n">
        <f aca="false">IF(AND(N141="بله",L141&gt;تنظیمات!$B$9),1,0)</f>
        <v>0</v>
      </c>
      <c r="AY141" s="21" t="n">
        <f aca="false">IF(Y141="معکوس",1,0)</f>
        <v>0</v>
      </c>
      <c r="AZ141" s="21" t="n">
        <f aca="false">IF(ABS(AJ141)&gt;تنظیمات!$B$10,1,0)</f>
        <v>0</v>
      </c>
      <c r="BA141" s="21" t="n">
        <f aca="false">IF(AND(OR(AD141="رایگان/VIP",AD141="جانباز"),AF141="خیر"),1,0)</f>
        <v>0</v>
      </c>
      <c r="BB141" s="21" t="n">
        <f aca="false">IF(AE141="",0,IF(COUNTIF($AE$2:$AE$1001,AE141)&gt;1,1,0))</f>
        <v>0</v>
      </c>
      <c r="BC141" s="21" t="n">
        <f aca="false">IF(AND(H141="",I141&gt;تنظیمات!$B$12*60,AM141="خالی"),1,0)</f>
        <v>0</v>
      </c>
      <c r="BD141" s="21" t="n">
        <f aca="false">IF(AND(AP141="بله",I141&lt;تنظیمات!$B$14,AO141="خیر"),1,0)</f>
        <v>0</v>
      </c>
      <c r="BE141" s="21" t="n">
        <f aca="false">IF(AN141="خیر",1,0)</f>
        <v>0</v>
      </c>
      <c r="BF141" s="21" t="n">
        <f aca="false">IF(AND(AD141="فیش مفقودی",AQ141="بله",I141&gt;تنظیمات!$B$12*60),1,0)</f>
        <v>0</v>
      </c>
      <c r="BG141" s="21" t="n">
        <f aca="false">IF(AND(AK141&gt;تنظیمات!$B$11,AL141="بله"),1,0)</f>
        <v>0</v>
      </c>
      <c r="BH141" s="21" t="n">
        <f aca="false">MIN(100,AR141*تنظیمات!$B$21+AS141*تنظیمات!$B$22+AT141*تنظیمات!$B$23+AU141*تنظیمات!$B$24+AV141*تنظیمات!$B$25+AW141*تنظیمات!$B$26+AX141*تنظیمات!$B$27+AY141*تنظیمات!$B$28+AZ141*تنظیمات!$B$29+BA141*تنظیمات!$B$30+BB141*تنظیمات!$B$31+BC141*تنظیمات!$B$32+BD141*تنظیمات!$B$33+BE141*تنظیمات!$B$34+BF141*تنظیمات!$B$35+BG141*تنظیمات!$B$36)</f>
        <v>0</v>
      </c>
      <c r="BI141" s="16" t="str">
        <f aca="false">IF(BH141&gt;=60,"بحرانی",IF(BH141&gt;=30,"مشکوک",IF(BH141&gt;0,"هشدار","عادی")))</f>
        <v>عادی</v>
      </c>
      <c r="BJ141" s="16" t="s">
        <v>338</v>
      </c>
    </row>
    <row r="142" customFormat="false" ht="15" hidden="false" customHeight="false" outlineLevel="0" collapsed="false">
      <c r="A142" s="16" t="s">
        <v>878</v>
      </c>
      <c r="B142" s="16" t="s">
        <v>879</v>
      </c>
      <c r="C142" s="16"/>
      <c r="D142" s="16" t="s">
        <v>431</v>
      </c>
      <c r="E142" s="16" t="s">
        <v>375</v>
      </c>
      <c r="F142" s="16" t="s">
        <v>333</v>
      </c>
      <c r="G142" s="17" t="n">
        <v>46282.8993171296</v>
      </c>
      <c r="H142" s="17" t="n">
        <v>46283.3062615741</v>
      </c>
      <c r="I142" s="18" t="n">
        <f aca="false">IF(H142="",ROUND((تنظیمات!$B$7-G142)*1440,0),ROUND((H142-G142)*1440,0))</f>
        <v>586</v>
      </c>
      <c r="J142" s="16" t="s">
        <v>334</v>
      </c>
      <c r="K142" s="16" t="s">
        <v>410</v>
      </c>
      <c r="L142" s="19" t="n">
        <v>0.946</v>
      </c>
      <c r="M142" s="19" t="n">
        <v>0.956</v>
      </c>
      <c r="N142" s="16" t="s">
        <v>335</v>
      </c>
      <c r="O142" s="16" t="s">
        <v>419</v>
      </c>
      <c r="P142" s="16" t="s">
        <v>402</v>
      </c>
      <c r="Q142" s="20" t="n">
        <v>46283</v>
      </c>
      <c r="R142" s="16" t="s">
        <v>880</v>
      </c>
      <c r="S142" s="16" t="s">
        <v>404</v>
      </c>
      <c r="T142" s="17"/>
      <c r="U142" s="21" t="n">
        <v>1</v>
      </c>
      <c r="V142" s="21" t="n">
        <v>1</v>
      </c>
      <c r="W142" s="22" t="n">
        <v>6.2</v>
      </c>
      <c r="X142" s="16" t="s">
        <v>335</v>
      </c>
      <c r="Y142" s="16" t="s">
        <v>338</v>
      </c>
      <c r="Z142" s="16" t="s">
        <v>443</v>
      </c>
      <c r="AA142" s="16"/>
      <c r="AB142" s="23"/>
      <c r="AC142" s="17"/>
      <c r="AD142" s="16" t="s">
        <v>444</v>
      </c>
      <c r="AE142" s="16"/>
      <c r="AF142" s="16" t="str">
        <f aca="false">IF(COUNTIF(لیست_سفید!$A$2:$A$21,B142)&gt;0,"بله","خیر")</f>
        <v>خیر</v>
      </c>
      <c r="AG142" s="24" t="n">
        <f aca="false">IF(H142="","",IF(AD142="فیش مفقودی",تنظیمات!$B$6,(INT(I142/1440)*تنظیمات!$B$5+IF(MOD(I142,1440)&lt;=تنظیمات!$B$2,0,MIN(تنظیمات!$B$5,تنظیمات!$B$3+MAX(0,ROUNDUP((MOD(I142,1440)-60)/60,0))*تنظیمات!$B$4)))*INDEX(تعرفه!$B$2:$B$7,MATCH(AD142,تعرفه!$A$2:$A$7,0))))</f>
        <v>0</v>
      </c>
      <c r="AH142" s="24" t="n">
        <v>0</v>
      </c>
      <c r="AI142" s="24" t="n">
        <f aca="false">IF(AG142="","",AH142-AG142)</f>
        <v>0</v>
      </c>
      <c r="AJ142" s="21" t="n">
        <v>0</v>
      </c>
      <c r="AK142" s="21" t="n">
        <v>0</v>
      </c>
      <c r="AL142" s="16" t="s">
        <v>335</v>
      </c>
      <c r="AM142" s="16"/>
      <c r="AN142" s="16" t="s">
        <v>340</v>
      </c>
      <c r="AO142" s="16" t="s">
        <v>340</v>
      </c>
      <c r="AP142" s="16" t="s">
        <v>335</v>
      </c>
      <c r="AQ142" s="16"/>
      <c r="AR142" s="21" t="n">
        <f aca="false">IF(AND(T142&lt;&gt;"",H142&lt;&gt;""),IF(AND((T142-H142)*86400&gt;=0,(T142-H142)*86400&lt;تنظیمات!$B$13),1,0),0)</f>
        <v>0</v>
      </c>
      <c r="AS142" s="21" t="n">
        <f aca="false">IF(Z142="پوز",IF(OR(AB142="",COUNTIF(پوزها!$A$2:$A$5,AA142)=0),1,0),0)</f>
        <v>0</v>
      </c>
      <c r="AT142" s="21" t="n">
        <f aca="false">IF(AI142="",0,IF(AI142&gt;0,1,0))</f>
        <v>0</v>
      </c>
      <c r="AU142" s="21" t="n">
        <f aca="false">IF(AI142="",0,IF(AI142&lt;0,1,0))</f>
        <v>0</v>
      </c>
      <c r="AV142" s="21" t="n">
        <f aca="false">IF(U142&gt;V142,1,0)</f>
        <v>0</v>
      </c>
      <c r="AW142" s="21" t="n">
        <f aca="false">IF(OR(W142&gt;تنظیمات!$B$8,X142="بله"),1,0)</f>
        <v>0</v>
      </c>
      <c r="AX142" s="21" t="n">
        <f aca="false">IF(AND(N142="بله",L142&gt;تنظیمات!$B$9),1,0)</f>
        <v>0</v>
      </c>
      <c r="AY142" s="21" t="n">
        <f aca="false">IF(Y142="معکوس",1,0)</f>
        <v>0</v>
      </c>
      <c r="AZ142" s="21" t="n">
        <f aca="false">IF(ABS(AJ142)&gt;تنظیمات!$B$10,1,0)</f>
        <v>0</v>
      </c>
      <c r="BA142" s="21" t="n">
        <f aca="false">IF(AND(OR(AD142="رایگان/VIP",AD142="جانباز"),AF142="خیر"),1,0)</f>
        <v>0</v>
      </c>
      <c r="BB142" s="21" t="n">
        <f aca="false">IF(AE142="",0,IF(COUNTIF($AE$2:$AE$1001,AE142)&gt;1,1,0))</f>
        <v>0</v>
      </c>
      <c r="BC142" s="21" t="n">
        <f aca="false">IF(AND(H142="",I142&gt;تنظیمات!$B$12*60,AM142="خالی"),1,0)</f>
        <v>0</v>
      </c>
      <c r="BD142" s="21" t="n">
        <f aca="false">IF(AND(AP142="بله",I142&lt;تنظیمات!$B$14,AO142="خیر"),1,0)</f>
        <v>0</v>
      </c>
      <c r="BE142" s="21" t="n">
        <f aca="false">IF(AN142="خیر",1,0)</f>
        <v>0</v>
      </c>
      <c r="BF142" s="21" t="n">
        <f aca="false">IF(AND(AD142="فیش مفقودی",AQ142="بله",I142&gt;تنظیمات!$B$12*60),1,0)</f>
        <v>0</v>
      </c>
      <c r="BG142" s="21" t="n">
        <f aca="false">IF(AND(AK142&gt;تنظیمات!$B$11,AL142="بله"),1,0)</f>
        <v>0</v>
      </c>
      <c r="BH142" s="21" t="n">
        <f aca="false">MIN(100,AR142*تنظیمات!$B$21+AS142*تنظیمات!$B$22+AT142*تنظیمات!$B$23+AU142*تنظیمات!$B$24+AV142*تنظیمات!$B$25+AW142*تنظیمات!$B$26+AX142*تنظیمات!$B$27+AY142*تنظیمات!$B$28+AZ142*تنظیمات!$B$29+BA142*تنظیمات!$B$30+BB142*تنظیمات!$B$31+BC142*تنظیمات!$B$32+BD142*تنظیمات!$B$33+BE142*تنظیمات!$B$34+BF142*تنظیمات!$B$35+BG142*تنظیمات!$B$36)</f>
        <v>0</v>
      </c>
      <c r="BI142" s="16" t="str">
        <f aca="false">IF(BH142&gt;=60,"بحرانی",IF(BH142&gt;=30,"مشکوک",IF(BH142&gt;0,"هشدار","عادی")))</f>
        <v>عادی</v>
      </c>
      <c r="BJ142" s="16" t="s">
        <v>338</v>
      </c>
    </row>
    <row r="143" customFormat="false" ht="15" hidden="false" customHeight="false" outlineLevel="0" collapsed="false">
      <c r="A143" s="16" t="s">
        <v>881</v>
      </c>
      <c r="B143" s="16" t="s">
        <v>839</v>
      </c>
      <c r="C143" s="16"/>
      <c r="D143" s="16" t="s">
        <v>431</v>
      </c>
      <c r="E143" s="16" t="s">
        <v>375</v>
      </c>
      <c r="F143" s="16" t="s">
        <v>333</v>
      </c>
      <c r="G143" s="17" t="n">
        <v>46282.9131018519</v>
      </c>
      <c r="H143" s="17" t="n">
        <v>46282.9207407407</v>
      </c>
      <c r="I143" s="18" t="n">
        <f aca="false">IF(H143="",ROUND((تنظیمات!$B$7-G143)*1440,0),ROUND((H143-G143)*1440,0))</f>
        <v>11</v>
      </c>
      <c r="J143" s="16" t="s">
        <v>334</v>
      </c>
      <c r="K143" s="16" t="s">
        <v>400</v>
      </c>
      <c r="L143" s="19" t="n">
        <v>0.95</v>
      </c>
      <c r="M143" s="19" t="n">
        <v>0.956</v>
      </c>
      <c r="N143" s="16" t="s">
        <v>335</v>
      </c>
      <c r="O143" s="16" t="s">
        <v>411</v>
      </c>
      <c r="P143" s="16" t="s">
        <v>651</v>
      </c>
      <c r="Q143" s="20" t="n">
        <v>46282</v>
      </c>
      <c r="R143" s="16" t="s">
        <v>882</v>
      </c>
      <c r="S143" s="16" t="s">
        <v>404</v>
      </c>
      <c r="T143" s="17"/>
      <c r="U143" s="21" t="n">
        <v>1</v>
      </c>
      <c r="V143" s="21" t="n">
        <v>1</v>
      </c>
      <c r="W143" s="22" t="n">
        <v>4.4</v>
      </c>
      <c r="X143" s="16" t="s">
        <v>335</v>
      </c>
      <c r="Y143" s="16" t="s">
        <v>338</v>
      </c>
      <c r="Z143" s="16" t="s">
        <v>413</v>
      </c>
      <c r="AA143" s="16" t="s">
        <v>427</v>
      </c>
      <c r="AB143" s="23" t="s">
        <v>883</v>
      </c>
      <c r="AC143" s="17" t="n">
        <v>46282.9198032407</v>
      </c>
      <c r="AD143" s="16" t="s">
        <v>338</v>
      </c>
      <c r="AE143" s="16"/>
      <c r="AF143" s="16" t="str">
        <f aca="false">IF(COUNTIF(لیست_سفید!$A$2:$A$21,B143)&gt;0,"بله","خیر")</f>
        <v>خیر</v>
      </c>
      <c r="AG143" s="24" t="n">
        <f aca="false">IF(H143="","",IF(AD143="فیش مفقودی",تنظیمات!$B$6,(INT(I143/1440)*تنظیمات!$B$5+IF(MOD(I143,1440)&lt;=تنظیمات!$B$2,0,MIN(تنظیمات!$B$5,تنظیمات!$B$3+MAX(0,ROUNDUP((MOD(I143,1440)-60)/60,0))*تنظیمات!$B$4)))*INDEX(تعرفه!$B$2:$B$7,MATCH(AD143,تعرفه!$A$2:$A$7,0))))</f>
        <v>20000</v>
      </c>
      <c r="AH143" s="24" t="n">
        <v>20000</v>
      </c>
      <c r="AI143" s="24" t="n">
        <f aca="false">IF(AG143="","",AH143-AG143)</f>
        <v>0</v>
      </c>
      <c r="AJ143" s="21" t="n">
        <v>5</v>
      </c>
      <c r="AK143" s="21" t="n">
        <v>0</v>
      </c>
      <c r="AL143" s="16" t="s">
        <v>335</v>
      </c>
      <c r="AM143" s="16"/>
      <c r="AN143" s="16" t="s">
        <v>340</v>
      </c>
      <c r="AO143" s="16" t="s">
        <v>340</v>
      </c>
      <c r="AP143" s="16" t="s">
        <v>335</v>
      </c>
      <c r="AQ143" s="16"/>
      <c r="AR143" s="21" t="n">
        <f aca="false">IF(AND(T143&lt;&gt;"",H143&lt;&gt;""),IF(AND((T143-H143)*86400&gt;=0,(T143-H143)*86400&lt;تنظیمات!$B$13),1,0),0)</f>
        <v>0</v>
      </c>
      <c r="AS143" s="21" t="n">
        <f aca="false">IF(Z143="پوز",IF(OR(AB143="",COUNTIF(پوزها!$A$2:$A$5,AA143)=0),1,0),0)</f>
        <v>0</v>
      </c>
      <c r="AT143" s="21" t="n">
        <f aca="false">IF(AI143="",0,IF(AI143&gt;0,1,0))</f>
        <v>0</v>
      </c>
      <c r="AU143" s="21" t="n">
        <f aca="false">IF(AI143="",0,IF(AI143&lt;0,1,0))</f>
        <v>0</v>
      </c>
      <c r="AV143" s="21" t="n">
        <f aca="false">IF(U143&gt;V143,1,0)</f>
        <v>0</v>
      </c>
      <c r="AW143" s="21" t="n">
        <f aca="false">IF(OR(W143&gt;تنظیمات!$B$8,X143="بله"),1,0)</f>
        <v>0</v>
      </c>
      <c r="AX143" s="21" t="n">
        <f aca="false">IF(AND(N143="بله",L143&gt;تنظیمات!$B$9),1,0)</f>
        <v>0</v>
      </c>
      <c r="AY143" s="21" t="n">
        <f aca="false">IF(Y143="معکوس",1,0)</f>
        <v>0</v>
      </c>
      <c r="AZ143" s="21" t="n">
        <f aca="false">IF(ABS(AJ143)&gt;تنظیمات!$B$10,1,0)</f>
        <v>0</v>
      </c>
      <c r="BA143" s="21" t="n">
        <f aca="false">IF(AND(OR(AD143="رایگان/VIP",AD143="جانباز"),AF143="خیر"),1,0)</f>
        <v>0</v>
      </c>
      <c r="BB143" s="21" t="n">
        <f aca="false">IF(AE143="",0,IF(COUNTIF($AE$2:$AE$1001,AE143)&gt;1,1,0))</f>
        <v>0</v>
      </c>
      <c r="BC143" s="21" t="n">
        <f aca="false">IF(AND(H143="",I143&gt;تنظیمات!$B$12*60,AM143="خالی"),1,0)</f>
        <v>0</v>
      </c>
      <c r="BD143" s="21" t="n">
        <f aca="false">IF(AND(AP143="بله",I143&lt;تنظیمات!$B$14,AO143="خیر"),1,0)</f>
        <v>0</v>
      </c>
      <c r="BE143" s="21" t="n">
        <f aca="false">IF(AN143="خیر",1,0)</f>
        <v>0</v>
      </c>
      <c r="BF143" s="21" t="n">
        <f aca="false">IF(AND(AD143="فیش مفقودی",AQ143="بله",I143&gt;تنظیمات!$B$12*60),1,0)</f>
        <v>0</v>
      </c>
      <c r="BG143" s="21" t="n">
        <f aca="false">IF(AND(AK143&gt;تنظیمات!$B$11,AL143="بله"),1,0)</f>
        <v>0</v>
      </c>
      <c r="BH143" s="21" t="n">
        <f aca="false">MIN(100,AR143*تنظیمات!$B$21+AS143*تنظیمات!$B$22+AT143*تنظیمات!$B$23+AU143*تنظیمات!$B$24+AV143*تنظیمات!$B$25+AW143*تنظیمات!$B$26+AX143*تنظیمات!$B$27+AY143*تنظیمات!$B$28+AZ143*تنظیمات!$B$29+BA143*تنظیمات!$B$30+BB143*تنظیمات!$B$31+BC143*تنظیمات!$B$32+BD143*تنظیمات!$B$33+BE143*تنظیمات!$B$34+BF143*تنظیمات!$B$35+BG143*تنظیمات!$B$36)</f>
        <v>0</v>
      </c>
      <c r="BI143" s="16" t="str">
        <f aca="false">IF(BH143&gt;=60,"بحرانی",IF(BH143&gt;=30,"مشکوک",IF(BH143&gt;0,"هشدار","عادی")))</f>
        <v>عادی</v>
      </c>
      <c r="BJ143" s="16" t="s">
        <v>338</v>
      </c>
    </row>
    <row r="144" customFormat="false" ht="15" hidden="false" customHeight="false" outlineLevel="0" collapsed="false">
      <c r="A144" s="16" t="s">
        <v>884</v>
      </c>
      <c r="B144" s="16" t="s">
        <v>885</v>
      </c>
      <c r="C144" s="16"/>
      <c r="D144" s="16" t="s">
        <v>469</v>
      </c>
      <c r="E144" s="16" t="s">
        <v>351</v>
      </c>
      <c r="F144" s="16" t="s">
        <v>359</v>
      </c>
      <c r="G144" s="17" t="n">
        <v>46282.948599537</v>
      </c>
      <c r="H144" s="17" t="n">
        <v>46283.0263773148</v>
      </c>
      <c r="I144" s="18" t="n">
        <f aca="false">IF(H144="",ROUND((تنظیمات!$B$7-G144)*1440,0),ROUND((H144-G144)*1440,0))</f>
        <v>112</v>
      </c>
      <c r="J144" s="16" t="s">
        <v>334</v>
      </c>
      <c r="K144" s="16" t="s">
        <v>400</v>
      </c>
      <c r="L144" s="19" t="n">
        <v>0.897</v>
      </c>
      <c r="M144" s="19" t="n">
        <v>0.84</v>
      </c>
      <c r="N144" s="16" t="s">
        <v>335</v>
      </c>
      <c r="O144" s="16" t="s">
        <v>411</v>
      </c>
      <c r="P144" s="16" t="s">
        <v>651</v>
      </c>
      <c r="Q144" s="20" t="n">
        <v>46282</v>
      </c>
      <c r="R144" s="16" t="s">
        <v>886</v>
      </c>
      <c r="S144" s="16" t="s">
        <v>404</v>
      </c>
      <c r="T144" s="17"/>
      <c r="U144" s="21" t="n">
        <v>1</v>
      </c>
      <c r="V144" s="21" t="n">
        <v>1</v>
      </c>
      <c r="W144" s="22" t="n">
        <v>3.9</v>
      </c>
      <c r="X144" s="16" t="s">
        <v>335</v>
      </c>
      <c r="Y144" s="16" t="s">
        <v>338</v>
      </c>
      <c r="Z144" s="16" t="s">
        <v>413</v>
      </c>
      <c r="AA144" s="16" t="s">
        <v>427</v>
      </c>
      <c r="AB144" s="23" t="s">
        <v>887</v>
      </c>
      <c r="AC144" s="17" t="n">
        <v>46283.0254050926</v>
      </c>
      <c r="AD144" s="16" t="s">
        <v>338</v>
      </c>
      <c r="AE144" s="16"/>
      <c r="AF144" s="16" t="str">
        <f aca="false">IF(COUNTIF(لیست_سفید!$A$2:$A$21,B144)&gt;0,"بله","خیر")</f>
        <v>خیر</v>
      </c>
      <c r="AG144" s="24" t="n">
        <f aca="false">IF(H144="","",IF(AD144="فیش مفقودی",تنظیمات!$B$6,(INT(I144/1440)*تنظیمات!$B$5+IF(MOD(I144,1440)&lt;=تنظیمات!$B$2,0,MIN(تنظیمات!$B$5,تنظیمات!$B$3+MAX(0,ROUNDUP((MOD(I144,1440)-60)/60,0))*تنظیمات!$B$4)))*INDEX(تعرفه!$B$2:$B$7,MATCH(AD144,تعرفه!$A$2:$A$7,0))))</f>
        <v>34000</v>
      </c>
      <c r="AH144" s="24" t="n">
        <v>34000</v>
      </c>
      <c r="AI144" s="24" t="n">
        <f aca="false">IF(AG144="","",AH144-AG144)</f>
        <v>0</v>
      </c>
      <c r="AJ144" s="21" t="n">
        <v>-2</v>
      </c>
      <c r="AK144" s="21" t="n">
        <v>0</v>
      </c>
      <c r="AL144" s="16" t="s">
        <v>335</v>
      </c>
      <c r="AM144" s="16"/>
      <c r="AN144" s="16" t="s">
        <v>340</v>
      </c>
      <c r="AO144" s="16" t="s">
        <v>340</v>
      </c>
      <c r="AP144" s="16" t="s">
        <v>335</v>
      </c>
      <c r="AQ144" s="16"/>
      <c r="AR144" s="21" t="n">
        <f aca="false">IF(AND(T144&lt;&gt;"",H144&lt;&gt;""),IF(AND((T144-H144)*86400&gt;=0,(T144-H144)*86400&lt;تنظیمات!$B$13),1,0),0)</f>
        <v>0</v>
      </c>
      <c r="AS144" s="21" t="n">
        <f aca="false">IF(Z144="پوز",IF(OR(AB144="",COUNTIF(پوزها!$A$2:$A$5,AA144)=0),1,0),0)</f>
        <v>0</v>
      </c>
      <c r="AT144" s="21" t="n">
        <f aca="false">IF(AI144="",0,IF(AI144&gt;0,1,0))</f>
        <v>0</v>
      </c>
      <c r="AU144" s="21" t="n">
        <f aca="false">IF(AI144="",0,IF(AI144&lt;0,1,0))</f>
        <v>0</v>
      </c>
      <c r="AV144" s="21" t="n">
        <f aca="false">IF(U144&gt;V144,1,0)</f>
        <v>0</v>
      </c>
      <c r="AW144" s="21" t="n">
        <f aca="false">IF(OR(W144&gt;تنظیمات!$B$8,X144="بله"),1,0)</f>
        <v>0</v>
      </c>
      <c r="AX144" s="21" t="n">
        <f aca="false">IF(AND(N144="بله",L144&gt;تنظیمات!$B$9),1,0)</f>
        <v>0</v>
      </c>
      <c r="AY144" s="21" t="n">
        <f aca="false">IF(Y144="معکوس",1,0)</f>
        <v>0</v>
      </c>
      <c r="AZ144" s="21" t="n">
        <f aca="false">IF(ABS(AJ144)&gt;تنظیمات!$B$10,1,0)</f>
        <v>0</v>
      </c>
      <c r="BA144" s="21" t="n">
        <f aca="false">IF(AND(OR(AD144="رایگان/VIP",AD144="جانباز"),AF144="خیر"),1,0)</f>
        <v>0</v>
      </c>
      <c r="BB144" s="21" t="n">
        <f aca="false">IF(AE144="",0,IF(COUNTIF($AE$2:$AE$1001,AE144)&gt;1,1,0))</f>
        <v>0</v>
      </c>
      <c r="BC144" s="21" t="n">
        <f aca="false">IF(AND(H144="",I144&gt;تنظیمات!$B$12*60,AM144="خالی"),1,0)</f>
        <v>0</v>
      </c>
      <c r="BD144" s="21" t="n">
        <f aca="false">IF(AND(AP144="بله",I144&lt;تنظیمات!$B$14,AO144="خیر"),1,0)</f>
        <v>0</v>
      </c>
      <c r="BE144" s="21" t="n">
        <f aca="false">IF(AN144="خیر",1,0)</f>
        <v>0</v>
      </c>
      <c r="BF144" s="21" t="n">
        <f aca="false">IF(AND(AD144="فیش مفقودی",AQ144="بله",I144&gt;تنظیمات!$B$12*60),1,0)</f>
        <v>0</v>
      </c>
      <c r="BG144" s="21" t="n">
        <f aca="false">IF(AND(AK144&gt;تنظیمات!$B$11,AL144="بله"),1,0)</f>
        <v>0</v>
      </c>
      <c r="BH144" s="21" t="n">
        <f aca="false">MIN(100,AR144*تنظیمات!$B$21+AS144*تنظیمات!$B$22+AT144*تنظیمات!$B$23+AU144*تنظیمات!$B$24+AV144*تنظیمات!$B$25+AW144*تنظیمات!$B$26+AX144*تنظیمات!$B$27+AY144*تنظیمات!$B$28+AZ144*تنظیمات!$B$29+BA144*تنظیمات!$B$30+BB144*تنظیمات!$B$31+BC144*تنظیمات!$B$32+BD144*تنظیمات!$B$33+BE144*تنظیمات!$B$34+BF144*تنظیمات!$B$35+BG144*تنظیمات!$B$36)</f>
        <v>0</v>
      </c>
      <c r="BI144" s="16" t="str">
        <f aca="false">IF(BH144&gt;=60,"بحرانی",IF(BH144&gt;=30,"مشکوک",IF(BH144&gt;0,"هشدار","عادی")))</f>
        <v>عادی</v>
      </c>
      <c r="BJ144" s="16" t="s">
        <v>338</v>
      </c>
    </row>
    <row r="145" customFormat="false" ht="15" hidden="false" customHeight="false" outlineLevel="0" collapsed="false">
      <c r="A145" s="16" t="s">
        <v>888</v>
      </c>
      <c r="B145" s="16" t="s">
        <v>889</v>
      </c>
      <c r="C145" s="16"/>
      <c r="D145" s="16" t="s">
        <v>440</v>
      </c>
      <c r="E145" s="16" t="s">
        <v>390</v>
      </c>
      <c r="F145" s="16" t="s">
        <v>359</v>
      </c>
      <c r="G145" s="17" t="n">
        <v>46283.0183449074</v>
      </c>
      <c r="H145" s="17" t="n">
        <v>46283.3183449074</v>
      </c>
      <c r="I145" s="18" t="n">
        <f aca="false">IF(H145="",ROUND((تنظیمات!$B$7-G145)*1440,0),ROUND((H145-G145)*1440,0))</f>
        <v>432</v>
      </c>
      <c r="J145" s="16" t="s">
        <v>346</v>
      </c>
      <c r="K145" s="16" t="s">
        <v>410</v>
      </c>
      <c r="L145" s="19" t="n">
        <v>0.982</v>
      </c>
      <c r="M145" s="19" t="n">
        <v>0.964</v>
      </c>
      <c r="N145" s="16" t="s">
        <v>335</v>
      </c>
      <c r="O145" s="16" t="s">
        <v>419</v>
      </c>
      <c r="P145" s="16" t="s">
        <v>402</v>
      </c>
      <c r="Q145" s="20" t="n">
        <v>46283</v>
      </c>
      <c r="R145" s="16" t="s">
        <v>890</v>
      </c>
      <c r="S145" s="16" t="s">
        <v>404</v>
      </c>
      <c r="T145" s="17"/>
      <c r="U145" s="21" t="n">
        <v>1</v>
      </c>
      <c r="V145" s="21" t="n">
        <v>1</v>
      </c>
      <c r="W145" s="22" t="n">
        <v>6.4</v>
      </c>
      <c r="X145" s="16" t="s">
        <v>335</v>
      </c>
      <c r="Y145" s="16" t="s">
        <v>338</v>
      </c>
      <c r="Z145" s="16" t="s">
        <v>405</v>
      </c>
      <c r="AA145" s="16"/>
      <c r="AB145" s="23"/>
      <c r="AC145" s="17"/>
      <c r="AD145" s="16" t="s">
        <v>338</v>
      </c>
      <c r="AE145" s="16"/>
      <c r="AF145" s="16" t="str">
        <f aca="false">IF(COUNTIF(لیست_سفید!$A$2:$A$21,B145)&gt;0,"بله","خیر")</f>
        <v>خیر</v>
      </c>
      <c r="AG145" s="24" t="n">
        <f aca="false">IF(H145="","",IF(AD145="فیش مفقودی",تنظیمات!$B$6,(INT(I145/1440)*تنظیمات!$B$5+IF(MOD(I145,1440)&lt;=تنظیمات!$B$2,0,MIN(تنظیمات!$B$5,تنظیمات!$B$3+MAX(0,ROUNDUP((MOD(I145,1440)-60)/60,0))*تنظیمات!$B$4)))*INDEX(تعرفه!$B$2:$B$7,MATCH(AD145,تعرفه!$A$2:$A$7,0))))</f>
        <v>118000</v>
      </c>
      <c r="AH145" s="24" t="n">
        <v>118000</v>
      </c>
      <c r="AI145" s="24" t="n">
        <f aca="false">IF(AG145="","",AH145-AG145)</f>
        <v>0</v>
      </c>
      <c r="AJ145" s="21" t="n">
        <v>0</v>
      </c>
      <c r="AK145" s="21" t="n">
        <v>0</v>
      </c>
      <c r="AL145" s="16" t="s">
        <v>335</v>
      </c>
      <c r="AM145" s="16"/>
      <c r="AN145" s="16" t="s">
        <v>340</v>
      </c>
      <c r="AO145" s="16" t="s">
        <v>340</v>
      </c>
      <c r="AP145" s="16" t="s">
        <v>335</v>
      </c>
      <c r="AQ145" s="16"/>
      <c r="AR145" s="21" t="n">
        <f aca="false">IF(AND(T145&lt;&gt;"",H145&lt;&gt;""),IF(AND((T145-H145)*86400&gt;=0,(T145-H145)*86400&lt;تنظیمات!$B$13),1,0),0)</f>
        <v>0</v>
      </c>
      <c r="AS145" s="21" t="n">
        <f aca="false">IF(Z145="پوز",IF(OR(AB145="",COUNTIF(پوزها!$A$2:$A$5,AA145)=0),1,0),0)</f>
        <v>0</v>
      </c>
      <c r="AT145" s="21" t="n">
        <f aca="false">IF(AI145="",0,IF(AI145&gt;0,1,0))</f>
        <v>0</v>
      </c>
      <c r="AU145" s="21" t="n">
        <f aca="false">IF(AI145="",0,IF(AI145&lt;0,1,0))</f>
        <v>0</v>
      </c>
      <c r="AV145" s="21" t="n">
        <f aca="false">IF(U145&gt;V145,1,0)</f>
        <v>0</v>
      </c>
      <c r="AW145" s="21" t="n">
        <f aca="false">IF(OR(W145&gt;تنظیمات!$B$8,X145="بله"),1,0)</f>
        <v>0</v>
      </c>
      <c r="AX145" s="21" t="n">
        <f aca="false">IF(AND(N145="بله",L145&gt;تنظیمات!$B$9),1,0)</f>
        <v>0</v>
      </c>
      <c r="AY145" s="21" t="n">
        <f aca="false">IF(Y145="معکوس",1,0)</f>
        <v>0</v>
      </c>
      <c r="AZ145" s="21" t="n">
        <f aca="false">IF(ABS(AJ145)&gt;تنظیمات!$B$10,1,0)</f>
        <v>0</v>
      </c>
      <c r="BA145" s="21" t="n">
        <f aca="false">IF(AND(OR(AD145="رایگان/VIP",AD145="جانباز"),AF145="خیر"),1,0)</f>
        <v>0</v>
      </c>
      <c r="BB145" s="21" t="n">
        <f aca="false">IF(AE145="",0,IF(COUNTIF($AE$2:$AE$1001,AE145)&gt;1,1,0))</f>
        <v>0</v>
      </c>
      <c r="BC145" s="21" t="n">
        <f aca="false">IF(AND(H145="",I145&gt;تنظیمات!$B$12*60,AM145="خالی"),1,0)</f>
        <v>0</v>
      </c>
      <c r="BD145" s="21" t="n">
        <f aca="false">IF(AND(AP145="بله",I145&lt;تنظیمات!$B$14,AO145="خیر"),1,0)</f>
        <v>0</v>
      </c>
      <c r="BE145" s="21" t="n">
        <f aca="false">IF(AN145="خیر",1,0)</f>
        <v>0</v>
      </c>
      <c r="BF145" s="21" t="n">
        <f aca="false">IF(AND(AD145="فیش مفقودی",AQ145="بله",I145&gt;تنظیمات!$B$12*60),1,0)</f>
        <v>0</v>
      </c>
      <c r="BG145" s="21" t="n">
        <f aca="false">IF(AND(AK145&gt;تنظیمات!$B$11,AL145="بله"),1,0)</f>
        <v>0</v>
      </c>
      <c r="BH145" s="21" t="n">
        <f aca="false">MIN(100,AR145*تنظیمات!$B$21+AS145*تنظیمات!$B$22+AT145*تنظیمات!$B$23+AU145*تنظیمات!$B$24+AV145*تنظیمات!$B$25+AW145*تنظیمات!$B$26+AX145*تنظیمات!$B$27+AY145*تنظیمات!$B$28+AZ145*تنظیمات!$B$29+BA145*تنظیمات!$B$30+BB145*تنظیمات!$B$31+BC145*تنظیمات!$B$32+BD145*تنظیمات!$B$33+BE145*تنظیمات!$B$34+BF145*تنظیمات!$B$35+BG145*تنظیمات!$B$36)</f>
        <v>0</v>
      </c>
      <c r="BI145" s="16" t="str">
        <f aca="false">IF(BH145&gt;=60,"بحرانی",IF(BH145&gt;=30,"مشکوک",IF(BH145&gt;0,"هشدار","عادی")))</f>
        <v>عادی</v>
      </c>
      <c r="BJ145" s="16" t="s">
        <v>338</v>
      </c>
    </row>
    <row r="146" customFormat="false" ht="15" hidden="false" customHeight="false" outlineLevel="0" collapsed="false">
      <c r="A146" s="16" t="s">
        <v>891</v>
      </c>
      <c r="B146" s="16" t="s">
        <v>892</v>
      </c>
      <c r="C146" s="16"/>
      <c r="D146" s="16" t="s">
        <v>382</v>
      </c>
      <c r="E146" s="16" t="s">
        <v>332</v>
      </c>
      <c r="F146" s="16" t="s">
        <v>333</v>
      </c>
      <c r="G146" s="17" t="n">
        <v>46283.0964814815</v>
      </c>
      <c r="H146" s="17" t="n">
        <v>46283.1284259259</v>
      </c>
      <c r="I146" s="18" t="n">
        <f aca="false">IF(H146="",ROUND((تنظیمات!$B$7-G146)*1440,0),ROUND((H146-G146)*1440,0))</f>
        <v>46</v>
      </c>
      <c r="J146" s="16" t="s">
        <v>346</v>
      </c>
      <c r="K146" s="16" t="s">
        <v>400</v>
      </c>
      <c r="L146" s="19" t="n">
        <v>0.923</v>
      </c>
      <c r="M146" s="19" t="n">
        <v>0.959</v>
      </c>
      <c r="N146" s="16" t="s">
        <v>335</v>
      </c>
      <c r="O146" s="16" t="s">
        <v>411</v>
      </c>
      <c r="P146" s="16" t="s">
        <v>651</v>
      </c>
      <c r="Q146" s="20" t="n">
        <v>46282</v>
      </c>
      <c r="R146" s="16" t="s">
        <v>893</v>
      </c>
      <c r="S146" s="16" t="s">
        <v>404</v>
      </c>
      <c r="T146" s="17"/>
      <c r="U146" s="21" t="n">
        <v>1</v>
      </c>
      <c r="V146" s="21" t="n">
        <v>1</v>
      </c>
      <c r="W146" s="22" t="n">
        <v>5.7</v>
      </c>
      <c r="X146" s="16" t="s">
        <v>335</v>
      </c>
      <c r="Y146" s="16" t="s">
        <v>338</v>
      </c>
      <c r="Z146" s="16" t="s">
        <v>413</v>
      </c>
      <c r="AA146" s="16" t="s">
        <v>427</v>
      </c>
      <c r="AB146" s="23" t="s">
        <v>894</v>
      </c>
      <c r="AC146" s="17" t="n">
        <v>46283.1281481482</v>
      </c>
      <c r="AD146" s="16" t="s">
        <v>338</v>
      </c>
      <c r="AE146" s="16"/>
      <c r="AF146" s="16" t="str">
        <f aca="false">IF(COUNTIF(لیست_سفید!$A$2:$A$21,B146)&gt;0,"بله","خیر")</f>
        <v>خیر</v>
      </c>
      <c r="AG146" s="24" t="n">
        <f aca="false">IF(H146="","",IF(AD146="فیش مفقودی",تنظیمات!$B$6,(INT(I146/1440)*تنظیمات!$B$5+IF(MOD(I146,1440)&lt;=تنظیمات!$B$2,0,MIN(تنظیمات!$B$5,تنظیمات!$B$3+MAX(0,ROUNDUP((MOD(I146,1440)-60)/60,0))*تنظیمات!$B$4)))*INDEX(تعرفه!$B$2:$B$7,MATCH(AD146,تعرفه!$A$2:$A$7,0))))</f>
        <v>20000</v>
      </c>
      <c r="AH146" s="24" t="n">
        <v>20000</v>
      </c>
      <c r="AI146" s="24" t="n">
        <f aca="false">IF(AG146="","",AH146-AG146)</f>
        <v>0</v>
      </c>
      <c r="AJ146" s="21" t="n">
        <v>7</v>
      </c>
      <c r="AK146" s="21" t="n">
        <v>0</v>
      </c>
      <c r="AL146" s="16" t="s">
        <v>335</v>
      </c>
      <c r="AM146" s="16"/>
      <c r="AN146" s="16" t="s">
        <v>340</v>
      </c>
      <c r="AO146" s="16" t="s">
        <v>340</v>
      </c>
      <c r="AP146" s="16" t="s">
        <v>335</v>
      </c>
      <c r="AQ146" s="16"/>
      <c r="AR146" s="21" t="n">
        <f aca="false">IF(AND(T146&lt;&gt;"",H146&lt;&gt;""),IF(AND((T146-H146)*86400&gt;=0,(T146-H146)*86400&lt;تنظیمات!$B$13),1,0),0)</f>
        <v>0</v>
      </c>
      <c r="AS146" s="21" t="n">
        <f aca="false">IF(Z146="پوز",IF(OR(AB146="",COUNTIF(پوزها!$A$2:$A$5,AA146)=0),1,0),0)</f>
        <v>0</v>
      </c>
      <c r="AT146" s="21" t="n">
        <f aca="false">IF(AI146="",0,IF(AI146&gt;0,1,0))</f>
        <v>0</v>
      </c>
      <c r="AU146" s="21" t="n">
        <f aca="false">IF(AI146="",0,IF(AI146&lt;0,1,0))</f>
        <v>0</v>
      </c>
      <c r="AV146" s="21" t="n">
        <f aca="false">IF(U146&gt;V146,1,0)</f>
        <v>0</v>
      </c>
      <c r="AW146" s="21" t="n">
        <f aca="false">IF(OR(W146&gt;تنظیمات!$B$8,X146="بله"),1,0)</f>
        <v>0</v>
      </c>
      <c r="AX146" s="21" t="n">
        <f aca="false">IF(AND(N146="بله",L146&gt;تنظیمات!$B$9),1,0)</f>
        <v>0</v>
      </c>
      <c r="AY146" s="21" t="n">
        <f aca="false">IF(Y146="معکوس",1,0)</f>
        <v>0</v>
      </c>
      <c r="AZ146" s="21" t="n">
        <f aca="false">IF(ABS(AJ146)&gt;تنظیمات!$B$10,1,0)</f>
        <v>0</v>
      </c>
      <c r="BA146" s="21" t="n">
        <f aca="false">IF(AND(OR(AD146="رایگان/VIP",AD146="جانباز"),AF146="خیر"),1,0)</f>
        <v>0</v>
      </c>
      <c r="BB146" s="21" t="n">
        <f aca="false">IF(AE146="",0,IF(COUNTIF($AE$2:$AE$1001,AE146)&gt;1,1,0))</f>
        <v>0</v>
      </c>
      <c r="BC146" s="21" t="n">
        <f aca="false">IF(AND(H146="",I146&gt;تنظیمات!$B$12*60,AM146="خالی"),1,0)</f>
        <v>0</v>
      </c>
      <c r="BD146" s="21" t="n">
        <f aca="false">IF(AND(AP146="بله",I146&lt;تنظیمات!$B$14,AO146="خیر"),1,0)</f>
        <v>0</v>
      </c>
      <c r="BE146" s="21" t="n">
        <f aca="false">IF(AN146="خیر",1,0)</f>
        <v>0</v>
      </c>
      <c r="BF146" s="21" t="n">
        <f aca="false">IF(AND(AD146="فیش مفقودی",AQ146="بله",I146&gt;تنظیمات!$B$12*60),1,0)</f>
        <v>0</v>
      </c>
      <c r="BG146" s="21" t="n">
        <f aca="false">IF(AND(AK146&gt;تنظیمات!$B$11,AL146="بله"),1,0)</f>
        <v>0</v>
      </c>
      <c r="BH146" s="21" t="n">
        <f aca="false">MIN(100,AR146*تنظیمات!$B$21+AS146*تنظیمات!$B$22+AT146*تنظیمات!$B$23+AU146*تنظیمات!$B$24+AV146*تنظیمات!$B$25+AW146*تنظیمات!$B$26+AX146*تنظیمات!$B$27+AY146*تنظیمات!$B$28+AZ146*تنظیمات!$B$29+BA146*تنظیمات!$B$30+BB146*تنظیمات!$B$31+BC146*تنظیمات!$B$32+BD146*تنظیمات!$B$33+BE146*تنظیمات!$B$34+BF146*تنظیمات!$B$35+BG146*تنظیمات!$B$36)</f>
        <v>0</v>
      </c>
      <c r="BI146" s="16" t="str">
        <f aca="false">IF(BH146&gt;=60,"بحرانی",IF(BH146&gt;=30,"مشکوک",IF(BH146&gt;0,"هشدار","عادی")))</f>
        <v>عادی</v>
      </c>
      <c r="BJ146" s="16" t="s">
        <v>338</v>
      </c>
    </row>
    <row r="147" customFormat="false" ht="15" hidden="false" customHeight="false" outlineLevel="0" collapsed="false">
      <c r="A147" s="16" t="s">
        <v>895</v>
      </c>
      <c r="B147" s="16" t="s">
        <v>669</v>
      </c>
      <c r="C147" s="16"/>
      <c r="D147" s="16" t="s">
        <v>508</v>
      </c>
      <c r="E147" s="16" t="s">
        <v>390</v>
      </c>
      <c r="F147" s="16" t="s">
        <v>333</v>
      </c>
      <c r="G147" s="17" t="n">
        <v>46283.1302083333</v>
      </c>
      <c r="H147" s="17" t="n">
        <v>46283.3038194445</v>
      </c>
      <c r="I147" s="18" t="n">
        <f aca="false">IF(H147="",ROUND((تنظیمات!$B$7-G147)*1440,0),ROUND((H147-G147)*1440,0))</f>
        <v>250</v>
      </c>
      <c r="J147" s="16" t="s">
        <v>334</v>
      </c>
      <c r="K147" s="16" t="s">
        <v>400</v>
      </c>
      <c r="L147" s="19" t="n">
        <v>0.901</v>
      </c>
      <c r="M147" s="19" t="n">
        <v>0.953</v>
      </c>
      <c r="N147" s="16" t="s">
        <v>335</v>
      </c>
      <c r="O147" s="16" t="s">
        <v>401</v>
      </c>
      <c r="P147" s="16" t="s">
        <v>402</v>
      </c>
      <c r="Q147" s="20" t="n">
        <v>46283</v>
      </c>
      <c r="R147" s="16" t="s">
        <v>896</v>
      </c>
      <c r="S147" s="16" t="s">
        <v>404</v>
      </c>
      <c r="T147" s="17"/>
      <c r="U147" s="21" t="n">
        <v>1</v>
      </c>
      <c r="V147" s="21" t="n">
        <v>1</v>
      </c>
      <c r="W147" s="22" t="n">
        <v>5.6</v>
      </c>
      <c r="X147" s="16" t="s">
        <v>335</v>
      </c>
      <c r="Y147" s="16" t="s">
        <v>338</v>
      </c>
      <c r="Z147" s="16" t="s">
        <v>413</v>
      </c>
      <c r="AA147" s="16" t="s">
        <v>427</v>
      </c>
      <c r="AB147" s="23" t="s">
        <v>897</v>
      </c>
      <c r="AC147" s="17" t="n">
        <v>46283.3028819444</v>
      </c>
      <c r="AD147" s="16" t="s">
        <v>338</v>
      </c>
      <c r="AE147" s="16"/>
      <c r="AF147" s="16" t="str">
        <f aca="false">IF(COUNTIF(لیست_سفید!$A$2:$A$21,B147)&gt;0,"بله","خیر")</f>
        <v>خیر</v>
      </c>
      <c r="AG147" s="24" t="n">
        <f aca="false">IF(H147="","",IF(AD147="فیش مفقودی",تنظیمات!$B$6,(INT(I147/1440)*تنظیمات!$B$5+IF(MOD(I147,1440)&lt;=تنظیمات!$B$2,0,MIN(تنظیمات!$B$5,تنظیمات!$B$3+MAX(0,ROUNDUP((MOD(I147,1440)-60)/60,0))*تنظیمات!$B$4)))*INDEX(تعرفه!$B$2:$B$7,MATCH(AD147,تعرفه!$A$2:$A$7,0))))</f>
        <v>76000</v>
      </c>
      <c r="AH147" s="24" t="n">
        <v>76000</v>
      </c>
      <c r="AI147" s="24" t="n">
        <f aca="false">IF(AG147="","",AH147-AG147)</f>
        <v>0</v>
      </c>
      <c r="AJ147" s="21" t="n">
        <v>0</v>
      </c>
      <c r="AK147" s="21" t="n">
        <v>0</v>
      </c>
      <c r="AL147" s="16" t="s">
        <v>335</v>
      </c>
      <c r="AM147" s="16"/>
      <c r="AN147" s="16" t="s">
        <v>340</v>
      </c>
      <c r="AO147" s="16" t="s">
        <v>340</v>
      </c>
      <c r="AP147" s="16" t="s">
        <v>335</v>
      </c>
      <c r="AQ147" s="16"/>
      <c r="AR147" s="21" t="n">
        <f aca="false">IF(AND(T147&lt;&gt;"",H147&lt;&gt;""),IF(AND((T147-H147)*86400&gt;=0,(T147-H147)*86400&lt;تنظیمات!$B$13),1,0),0)</f>
        <v>0</v>
      </c>
      <c r="AS147" s="21" t="n">
        <f aca="false">IF(Z147="پوز",IF(OR(AB147="",COUNTIF(پوزها!$A$2:$A$5,AA147)=0),1,0),0)</f>
        <v>0</v>
      </c>
      <c r="AT147" s="21" t="n">
        <f aca="false">IF(AI147="",0,IF(AI147&gt;0,1,0))</f>
        <v>0</v>
      </c>
      <c r="AU147" s="21" t="n">
        <f aca="false">IF(AI147="",0,IF(AI147&lt;0,1,0))</f>
        <v>0</v>
      </c>
      <c r="AV147" s="21" t="n">
        <f aca="false">IF(U147&gt;V147,1,0)</f>
        <v>0</v>
      </c>
      <c r="AW147" s="21" t="n">
        <f aca="false">IF(OR(W147&gt;تنظیمات!$B$8,X147="بله"),1,0)</f>
        <v>0</v>
      </c>
      <c r="AX147" s="21" t="n">
        <f aca="false">IF(AND(N147="بله",L147&gt;تنظیمات!$B$9),1,0)</f>
        <v>0</v>
      </c>
      <c r="AY147" s="21" t="n">
        <f aca="false">IF(Y147="معکوس",1,0)</f>
        <v>0</v>
      </c>
      <c r="AZ147" s="21" t="n">
        <f aca="false">IF(ABS(AJ147)&gt;تنظیمات!$B$10,1,0)</f>
        <v>0</v>
      </c>
      <c r="BA147" s="21" t="n">
        <f aca="false">IF(AND(OR(AD147="رایگان/VIP",AD147="جانباز"),AF147="خیر"),1,0)</f>
        <v>0</v>
      </c>
      <c r="BB147" s="21" t="n">
        <f aca="false">IF(AE147="",0,IF(COUNTIF($AE$2:$AE$1001,AE147)&gt;1,1,0))</f>
        <v>0</v>
      </c>
      <c r="BC147" s="21" t="n">
        <f aca="false">IF(AND(H147="",I147&gt;تنظیمات!$B$12*60,AM147="خالی"),1,0)</f>
        <v>0</v>
      </c>
      <c r="BD147" s="21" t="n">
        <f aca="false">IF(AND(AP147="بله",I147&lt;تنظیمات!$B$14,AO147="خیر"),1,0)</f>
        <v>0</v>
      </c>
      <c r="BE147" s="21" t="n">
        <f aca="false">IF(AN147="خیر",1,0)</f>
        <v>0</v>
      </c>
      <c r="BF147" s="21" t="n">
        <f aca="false">IF(AND(AD147="فیش مفقودی",AQ147="بله",I147&gt;تنظیمات!$B$12*60),1,0)</f>
        <v>0</v>
      </c>
      <c r="BG147" s="21" t="n">
        <f aca="false">IF(AND(AK147&gt;تنظیمات!$B$11,AL147="بله"),1,0)</f>
        <v>0</v>
      </c>
      <c r="BH147" s="21" t="n">
        <f aca="false">MIN(100,AR147*تنظیمات!$B$21+AS147*تنظیمات!$B$22+AT147*تنظیمات!$B$23+AU147*تنظیمات!$B$24+AV147*تنظیمات!$B$25+AW147*تنظیمات!$B$26+AX147*تنظیمات!$B$27+AY147*تنظیمات!$B$28+AZ147*تنظیمات!$B$29+BA147*تنظیمات!$B$30+BB147*تنظیمات!$B$31+BC147*تنظیمات!$B$32+BD147*تنظیمات!$B$33+BE147*تنظیمات!$B$34+BF147*تنظیمات!$B$35+BG147*تنظیمات!$B$36)</f>
        <v>0</v>
      </c>
      <c r="BI147" s="16" t="str">
        <f aca="false">IF(BH147&gt;=60,"بحرانی",IF(BH147&gt;=30,"مشکوک",IF(BH147&gt;0,"هشدار","عادی")))</f>
        <v>عادی</v>
      </c>
      <c r="BJ147" s="16" t="s">
        <v>338</v>
      </c>
    </row>
    <row r="148" customFormat="false" ht="15" hidden="false" customHeight="false" outlineLevel="0" collapsed="false">
      <c r="A148" s="16" t="s">
        <v>898</v>
      </c>
      <c r="B148" s="16" t="s">
        <v>472</v>
      </c>
      <c r="C148" s="16"/>
      <c r="D148" s="16" t="s">
        <v>331</v>
      </c>
      <c r="E148" s="16" t="s">
        <v>345</v>
      </c>
      <c r="F148" s="16" t="s">
        <v>333</v>
      </c>
      <c r="G148" s="17" t="n">
        <v>46283.1874768519</v>
      </c>
      <c r="H148" s="17" t="n">
        <v>46283.4819212963</v>
      </c>
      <c r="I148" s="18" t="n">
        <f aca="false">IF(H148="",ROUND((تنظیمات!$B$7-G148)*1440,0),ROUND((H148-G148)*1440,0))</f>
        <v>424</v>
      </c>
      <c r="J148" s="16" t="s">
        <v>334</v>
      </c>
      <c r="K148" s="16" t="s">
        <v>400</v>
      </c>
      <c r="L148" s="19" t="n">
        <v>0.995</v>
      </c>
      <c r="M148" s="19" t="n">
        <v>0.942</v>
      </c>
      <c r="N148" s="16" t="s">
        <v>335</v>
      </c>
      <c r="O148" s="16" t="s">
        <v>401</v>
      </c>
      <c r="P148" s="16" t="s">
        <v>402</v>
      </c>
      <c r="Q148" s="20" t="n">
        <v>46283</v>
      </c>
      <c r="R148" s="16" t="s">
        <v>899</v>
      </c>
      <c r="S148" s="16" t="s">
        <v>404</v>
      </c>
      <c r="T148" s="17"/>
      <c r="U148" s="21" t="n">
        <v>1</v>
      </c>
      <c r="V148" s="21" t="n">
        <v>1</v>
      </c>
      <c r="W148" s="22" t="n">
        <v>6.1</v>
      </c>
      <c r="X148" s="16" t="s">
        <v>335</v>
      </c>
      <c r="Y148" s="16" t="s">
        <v>338</v>
      </c>
      <c r="Z148" s="16" t="s">
        <v>465</v>
      </c>
      <c r="AA148" s="16"/>
      <c r="AB148" s="23"/>
      <c r="AC148" s="17"/>
      <c r="AD148" s="16" t="s">
        <v>466</v>
      </c>
      <c r="AE148" s="16"/>
      <c r="AF148" s="16" t="str">
        <f aca="false">IF(COUNTIF(لیست_سفید!$A$2:$A$21,B148)&gt;0,"بله","خیر")</f>
        <v>بله</v>
      </c>
      <c r="AG148" s="24" t="n">
        <f aca="false">IF(H148="","",IF(AD148="فیش مفقودی",تنظیمات!$B$6,(INT(I148/1440)*تنظیمات!$B$5+IF(MOD(I148,1440)&lt;=تنظیمات!$B$2,0,MIN(تنظیمات!$B$5,تنظیمات!$B$3+MAX(0,ROUNDUP((MOD(I148,1440)-60)/60,0))*تنظیمات!$B$4)))*INDEX(تعرفه!$B$2:$B$7,MATCH(AD148,تعرفه!$A$2:$A$7,0))))</f>
        <v>0</v>
      </c>
      <c r="AH148" s="24" t="n">
        <v>0</v>
      </c>
      <c r="AI148" s="24" t="n">
        <f aca="false">IF(AG148="","",AH148-AG148)</f>
        <v>0</v>
      </c>
      <c r="AJ148" s="21" t="n">
        <v>0</v>
      </c>
      <c r="AK148" s="21" t="n">
        <v>0</v>
      </c>
      <c r="AL148" s="16" t="s">
        <v>335</v>
      </c>
      <c r="AM148" s="16"/>
      <c r="AN148" s="16" t="s">
        <v>340</v>
      </c>
      <c r="AO148" s="16" t="s">
        <v>340</v>
      </c>
      <c r="AP148" s="16" t="s">
        <v>335</v>
      </c>
      <c r="AQ148" s="16"/>
      <c r="AR148" s="21" t="n">
        <f aca="false">IF(AND(T148&lt;&gt;"",H148&lt;&gt;""),IF(AND((T148-H148)*86400&gt;=0,(T148-H148)*86400&lt;تنظیمات!$B$13),1,0),0)</f>
        <v>0</v>
      </c>
      <c r="AS148" s="21" t="n">
        <f aca="false">IF(Z148="پوز",IF(OR(AB148="",COUNTIF(پوزها!$A$2:$A$5,AA148)=0),1,0),0)</f>
        <v>0</v>
      </c>
      <c r="AT148" s="21" t="n">
        <f aca="false">IF(AI148="",0,IF(AI148&gt;0,1,0))</f>
        <v>0</v>
      </c>
      <c r="AU148" s="21" t="n">
        <f aca="false">IF(AI148="",0,IF(AI148&lt;0,1,0))</f>
        <v>0</v>
      </c>
      <c r="AV148" s="21" t="n">
        <f aca="false">IF(U148&gt;V148,1,0)</f>
        <v>0</v>
      </c>
      <c r="AW148" s="21" t="n">
        <f aca="false">IF(OR(W148&gt;تنظیمات!$B$8,X148="بله"),1,0)</f>
        <v>0</v>
      </c>
      <c r="AX148" s="21" t="n">
        <f aca="false">IF(AND(N148="بله",L148&gt;تنظیمات!$B$9),1,0)</f>
        <v>0</v>
      </c>
      <c r="AY148" s="21" t="n">
        <f aca="false">IF(Y148="معکوس",1,0)</f>
        <v>0</v>
      </c>
      <c r="AZ148" s="21" t="n">
        <f aca="false">IF(ABS(AJ148)&gt;تنظیمات!$B$10,1,0)</f>
        <v>0</v>
      </c>
      <c r="BA148" s="21" t="n">
        <f aca="false">IF(AND(OR(AD148="رایگان/VIP",AD148="جانباز"),AF148="خیر"),1,0)</f>
        <v>0</v>
      </c>
      <c r="BB148" s="21" t="n">
        <f aca="false">IF(AE148="",0,IF(COUNTIF($AE$2:$AE$1001,AE148)&gt;1,1,0))</f>
        <v>0</v>
      </c>
      <c r="BC148" s="21" t="n">
        <f aca="false">IF(AND(H148="",I148&gt;تنظیمات!$B$12*60,AM148="خالی"),1,0)</f>
        <v>0</v>
      </c>
      <c r="BD148" s="21" t="n">
        <f aca="false">IF(AND(AP148="بله",I148&lt;تنظیمات!$B$14,AO148="خیر"),1,0)</f>
        <v>0</v>
      </c>
      <c r="BE148" s="21" t="n">
        <f aca="false">IF(AN148="خیر",1,0)</f>
        <v>0</v>
      </c>
      <c r="BF148" s="21" t="n">
        <f aca="false">IF(AND(AD148="فیش مفقودی",AQ148="بله",I148&gt;تنظیمات!$B$12*60),1,0)</f>
        <v>0</v>
      </c>
      <c r="BG148" s="21" t="n">
        <f aca="false">IF(AND(AK148&gt;تنظیمات!$B$11,AL148="بله"),1,0)</f>
        <v>0</v>
      </c>
      <c r="BH148" s="21" t="n">
        <f aca="false">MIN(100,AR148*تنظیمات!$B$21+AS148*تنظیمات!$B$22+AT148*تنظیمات!$B$23+AU148*تنظیمات!$B$24+AV148*تنظیمات!$B$25+AW148*تنظیمات!$B$26+AX148*تنظیمات!$B$27+AY148*تنظیمات!$B$28+AZ148*تنظیمات!$B$29+BA148*تنظیمات!$B$30+BB148*تنظیمات!$B$31+BC148*تنظیمات!$B$32+BD148*تنظیمات!$B$33+BE148*تنظیمات!$B$34+BF148*تنظیمات!$B$35+BG148*تنظیمات!$B$36)</f>
        <v>0</v>
      </c>
      <c r="BI148" s="16" t="str">
        <f aca="false">IF(BH148&gt;=60,"بحرانی",IF(BH148&gt;=30,"مشکوک",IF(BH148&gt;0,"هشدار","عادی")))</f>
        <v>عادی</v>
      </c>
      <c r="BJ148" s="16" t="s">
        <v>338</v>
      </c>
    </row>
    <row r="149" customFormat="false" ht="15" hidden="false" customHeight="false" outlineLevel="0" collapsed="false">
      <c r="A149" s="16" t="s">
        <v>900</v>
      </c>
      <c r="B149" s="16" t="s">
        <v>901</v>
      </c>
      <c r="C149" s="16"/>
      <c r="D149" s="16" t="s">
        <v>386</v>
      </c>
      <c r="E149" s="16" t="s">
        <v>375</v>
      </c>
      <c r="F149" s="16" t="s">
        <v>333</v>
      </c>
      <c r="G149" s="17" t="n">
        <v>46283.2242708333</v>
      </c>
      <c r="H149" s="17" t="n">
        <v>46283.3478819444</v>
      </c>
      <c r="I149" s="18" t="n">
        <f aca="false">IF(H149="",ROUND((تنظیمات!$B$7-G149)*1440,0),ROUND((H149-G149)*1440,0))</f>
        <v>178</v>
      </c>
      <c r="J149" s="16" t="s">
        <v>346</v>
      </c>
      <c r="K149" s="16" t="s">
        <v>410</v>
      </c>
      <c r="L149" s="19" t="n">
        <v>0.93</v>
      </c>
      <c r="M149" s="19" t="n">
        <v>0.943</v>
      </c>
      <c r="N149" s="16" t="s">
        <v>335</v>
      </c>
      <c r="O149" s="16" t="s">
        <v>419</v>
      </c>
      <c r="P149" s="16" t="s">
        <v>402</v>
      </c>
      <c r="Q149" s="20" t="n">
        <v>46283</v>
      </c>
      <c r="R149" s="16" t="s">
        <v>902</v>
      </c>
      <c r="S149" s="16" t="s">
        <v>404</v>
      </c>
      <c r="T149" s="17"/>
      <c r="U149" s="21" t="n">
        <v>1</v>
      </c>
      <c r="V149" s="21" t="n">
        <v>1</v>
      </c>
      <c r="W149" s="22" t="n">
        <v>5.7</v>
      </c>
      <c r="X149" s="16" t="s">
        <v>335</v>
      </c>
      <c r="Y149" s="16" t="s">
        <v>338</v>
      </c>
      <c r="Z149" s="16" t="s">
        <v>413</v>
      </c>
      <c r="AA149" s="16" t="s">
        <v>414</v>
      </c>
      <c r="AB149" s="23" t="s">
        <v>903</v>
      </c>
      <c r="AC149" s="17" t="n">
        <v>46283.3476041667</v>
      </c>
      <c r="AD149" s="16" t="s">
        <v>338</v>
      </c>
      <c r="AE149" s="16"/>
      <c r="AF149" s="16" t="str">
        <f aca="false">IF(COUNTIF(لیست_سفید!$A$2:$A$21,B149)&gt;0,"بله","خیر")</f>
        <v>خیر</v>
      </c>
      <c r="AG149" s="24" t="n">
        <f aca="false">IF(H149="","",IF(AD149="فیش مفقودی",تنظیمات!$B$6,(INT(I149/1440)*تنظیمات!$B$5+IF(MOD(I149,1440)&lt;=تنظیمات!$B$2,0,MIN(تنظیمات!$B$5,تنظیمات!$B$3+MAX(0,ROUNDUP((MOD(I149,1440)-60)/60,0))*تنظیمات!$B$4)))*INDEX(تعرفه!$B$2:$B$7,MATCH(AD149,تعرفه!$A$2:$A$7,0))))</f>
        <v>48000</v>
      </c>
      <c r="AH149" s="24" t="n">
        <v>48000</v>
      </c>
      <c r="AI149" s="24" t="n">
        <f aca="false">IF(AG149="","",AH149-AG149)</f>
        <v>0</v>
      </c>
      <c r="AJ149" s="21" t="n">
        <v>-1</v>
      </c>
      <c r="AK149" s="21" t="n">
        <v>0</v>
      </c>
      <c r="AL149" s="16" t="s">
        <v>335</v>
      </c>
      <c r="AM149" s="16"/>
      <c r="AN149" s="16" t="s">
        <v>340</v>
      </c>
      <c r="AO149" s="16" t="s">
        <v>340</v>
      </c>
      <c r="AP149" s="16" t="s">
        <v>335</v>
      </c>
      <c r="AQ149" s="16"/>
      <c r="AR149" s="21" t="n">
        <f aca="false">IF(AND(T149&lt;&gt;"",H149&lt;&gt;""),IF(AND((T149-H149)*86400&gt;=0,(T149-H149)*86400&lt;تنظیمات!$B$13),1,0),0)</f>
        <v>0</v>
      </c>
      <c r="AS149" s="21" t="n">
        <f aca="false">IF(Z149="پوز",IF(OR(AB149="",COUNTIF(پوزها!$A$2:$A$5,AA149)=0),1,0),0)</f>
        <v>0</v>
      </c>
      <c r="AT149" s="21" t="n">
        <f aca="false">IF(AI149="",0,IF(AI149&gt;0,1,0))</f>
        <v>0</v>
      </c>
      <c r="AU149" s="21" t="n">
        <f aca="false">IF(AI149="",0,IF(AI149&lt;0,1,0))</f>
        <v>0</v>
      </c>
      <c r="AV149" s="21" t="n">
        <f aca="false">IF(U149&gt;V149,1,0)</f>
        <v>0</v>
      </c>
      <c r="AW149" s="21" t="n">
        <f aca="false">IF(OR(W149&gt;تنظیمات!$B$8,X149="بله"),1,0)</f>
        <v>0</v>
      </c>
      <c r="AX149" s="21" t="n">
        <f aca="false">IF(AND(N149="بله",L149&gt;تنظیمات!$B$9),1,0)</f>
        <v>0</v>
      </c>
      <c r="AY149" s="21" t="n">
        <f aca="false">IF(Y149="معکوس",1,0)</f>
        <v>0</v>
      </c>
      <c r="AZ149" s="21" t="n">
        <f aca="false">IF(ABS(AJ149)&gt;تنظیمات!$B$10,1,0)</f>
        <v>0</v>
      </c>
      <c r="BA149" s="21" t="n">
        <f aca="false">IF(AND(OR(AD149="رایگان/VIP",AD149="جانباز"),AF149="خیر"),1,0)</f>
        <v>0</v>
      </c>
      <c r="BB149" s="21" t="n">
        <f aca="false">IF(AE149="",0,IF(COUNTIF($AE$2:$AE$1001,AE149)&gt;1,1,0))</f>
        <v>0</v>
      </c>
      <c r="BC149" s="21" t="n">
        <f aca="false">IF(AND(H149="",I149&gt;تنظیمات!$B$12*60,AM149="خالی"),1,0)</f>
        <v>0</v>
      </c>
      <c r="BD149" s="21" t="n">
        <f aca="false">IF(AND(AP149="بله",I149&lt;تنظیمات!$B$14,AO149="خیر"),1,0)</f>
        <v>0</v>
      </c>
      <c r="BE149" s="21" t="n">
        <f aca="false">IF(AN149="خیر",1,0)</f>
        <v>0</v>
      </c>
      <c r="BF149" s="21" t="n">
        <f aca="false">IF(AND(AD149="فیش مفقودی",AQ149="بله",I149&gt;تنظیمات!$B$12*60),1,0)</f>
        <v>0</v>
      </c>
      <c r="BG149" s="21" t="n">
        <f aca="false">IF(AND(AK149&gt;تنظیمات!$B$11,AL149="بله"),1,0)</f>
        <v>0</v>
      </c>
      <c r="BH149" s="21" t="n">
        <f aca="false">MIN(100,AR149*تنظیمات!$B$21+AS149*تنظیمات!$B$22+AT149*تنظیمات!$B$23+AU149*تنظیمات!$B$24+AV149*تنظیمات!$B$25+AW149*تنظیمات!$B$26+AX149*تنظیمات!$B$27+AY149*تنظیمات!$B$28+AZ149*تنظیمات!$B$29+BA149*تنظیمات!$B$30+BB149*تنظیمات!$B$31+BC149*تنظیمات!$B$32+BD149*تنظیمات!$B$33+BE149*تنظیمات!$B$34+BF149*تنظیمات!$B$35+BG149*تنظیمات!$B$36)</f>
        <v>0</v>
      </c>
      <c r="BI149" s="16" t="str">
        <f aca="false">IF(BH149&gt;=60,"بحرانی",IF(BH149&gt;=30,"مشکوک",IF(BH149&gt;0,"هشدار","عادی")))</f>
        <v>عادی</v>
      </c>
      <c r="BJ149" s="16" t="s">
        <v>338</v>
      </c>
    </row>
    <row r="150" customFormat="false" ht="15" hidden="false" customHeight="false" outlineLevel="0" collapsed="false">
      <c r="A150" s="16" t="s">
        <v>904</v>
      </c>
      <c r="B150" s="16" t="s">
        <v>905</v>
      </c>
      <c r="C150" s="16"/>
      <c r="D150" s="16" t="s">
        <v>431</v>
      </c>
      <c r="E150" s="16" t="s">
        <v>375</v>
      </c>
      <c r="F150" s="16" t="s">
        <v>333</v>
      </c>
      <c r="G150" s="17" t="n">
        <v>46283.280775463</v>
      </c>
      <c r="H150" s="17" t="n">
        <v>46283.568275463</v>
      </c>
      <c r="I150" s="18" t="n">
        <f aca="false">IF(H150="",ROUND((تنظیمات!$B$7-G150)*1440,0),ROUND((H150-G150)*1440,0))</f>
        <v>414</v>
      </c>
      <c r="J150" s="16" t="s">
        <v>346</v>
      </c>
      <c r="K150" s="16" t="s">
        <v>410</v>
      </c>
      <c r="L150" s="19" t="n">
        <v>0.915</v>
      </c>
      <c r="M150" s="19" t="n">
        <v>0.988</v>
      </c>
      <c r="N150" s="16" t="s">
        <v>335</v>
      </c>
      <c r="O150" s="16" t="s">
        <v>419</v>
      </c>
      <c r="P150" s="16" t="s">
        <v>402</v>
      </c>
      <c r="Q150" s="20" t="n">
        <v>46283</v>
      </c>
      <c r="R150" s="16" t="s">
        <v>906</v>
      </c>
      <c r="S150" s="16" t="s">
        <v>404</v>
      </c>
      <c r="T150" s="17"/>
      <c r="U150" s="21" t="n">
        <v>1</v>
      </c>
      <c r="V150" s="21" t="n">
        <v>1</v>
      </c>
      <c r="W150" s="22" t="n">
        <v>5.8</v>
      </c>
      <c r="X150" s="16" t="s">
        <v>335</v>
      </c>
      <c r="Y150" s="16" t="s">
        <v>338</v>
      </c>
      <c r="Z150" s="16" t="s">
        <v>413</v>
      </c>
      <c r="AA150" s="16" t="s">
        <v>414</v>
      </c>
      <c r="AB150" s="23" t="s">
        <v>907</v>
      </c>
      <c r="AC150" s="17" t="n">
        <v>46283.5678472222</v>
      </c>
      <c r="AD150" s="16" t="s">
        <v>338</v>
      </c>
      <c r="AE150" s="16"/>
      <c r="AF150" s="16" t="str">
        <f aca="false">IF(COUNTIF(لیست_سفید!$A$2:$A$21,B150)&gt;0,"بله","خیر")</f>
        <v>خیر</v>
      </c>
      <c r="AG150" s="24" t="n">
        <f aca="false">IF(H150="","",IF(AD150="فیش مفقودی",تنظیمات!$B$6,(INT(I150/1440)*تنظیمات!$B$5+IF(MOD(I150,1440)&lt;=تنظیمات!$B$2,0,MIN(تنظیمات!$B$5,تنظیمات!$B$3+MAX(0,ROUNDUP((MOD(I150,1440)-60)/60,0))*تنظیمات!$B$4)))*INDEX(تعرفه!$B$2:$B$7,MATCH(AD150,تعرفه!$A$2:$A$7,0))))</f>
        <v>104000</v>
      </c>
      <c r="AH150" s="24" t="n">
        <v>104000</v>
      </c>
      <c r="AI150" s="24" t="n">
        <f aca="false">IF(AG150="","",AH150-AG150)</f>
        <v>0</v>
      </c>
      <c r="AJ150" s="21" t="n">
        <v>0</v>
      </c>
      <c r="AK150" s="21" t="n">
        <v>0</v>
      </c>
      <c r="AL150" s="16" t="s">
        <v>335</v>
      </c>
      <c r="AM150" s="16"/>
      <c r="AN150" s="16" t="s">
        <v>340</v>
      </c>
      <c r="AO150" s="16" t="s">
        <v>340</v>
      </c>
      <c r="AP150" s="16" t="s">
        <v>335</v>
      </c>
      <c r="AQ150" s="16"/>
      <c r="AR150" s="21" t="n">
        <f aca="false">IF(AND(T150&lt;&gt;"",H150&lt;&gt;""),IF(AND((T150-H150)*86400&gt;=0,(T150-H150)*86400&lt;تنظیمات!$B$13),1,0),0)</f>
        <v>0</v>
      </c>
      <c r="AS150" s="21" t="n">
        <f aca="false">IF(Z150="پوز",IF(OR(AB150="",COUNTIF(پوزها!$A$2:$A$5,AA150)=0),1,0),0)</f>
        <v>0</v>
      </c>
      <c r="AT150" s="21" t="n">
        <f aca="false">IF(AI150="",0,IF(AI150&gt;0,1,0))</f>
        <v>0</v>
      </c>
      <c r="AU150" s="21" t="n">
        <f aca="false">IF(AI150="",0,IF(AI150&lt;0,1,0))</f>
        <v>0</v>
      </c>
      <c r="AV150" s="21" t="n">
        <f aca="false">IF(U150&gt;V150,1,0)</f>
        <v>0</v>
      </c>
      <c r="AW150" s="21" t="n">
        <f aca="false">IF(OR(W150&gt;تنظیمات!$B$8,X150="بله"),1,0)</f>
        <v>0</v>
      </c>
      <c r="AX150" s="21" t="n">
        <f aca="false">IF(AND(N150="بله",L150&gt;تنظیمات!$B$9),1,0)</f>
        <v>0</v>
      </c>
      <c r="AY150" s="21" t="n">
        <f aca="false">IF(Y150="معکوس",1,0)</f>
        <v>0</v>
      </c>
      <c r="AZ150" s="21" t="n">
        <f aca="false">IF(ABS(AJ150)&gt;تنظیمات!$B$10,1,0)</f>
        <v>0</v>
      </c>
      <c r="BA150" s="21" t="n">
        <f aca="false">IF(AND(OR(AD150="رایگان/VIP",AD150="جانباز"),AF150="خیر"),1,0)</f>
        <v>0</v>
      </c>
      <c r="BB150" s="21" t="n">
        <f aca="false">IF(AE150="",0,IF(COUNTIF($AE$2:$AE$1001,AE150)&gt;1,1,0))</f>
        <v>0</v>
      </c>
      <c r="BC150" s="21" t="n">
        <f aca="false">IF(AND(H150="",I150&gt;تنظیمات!$B$12*60,AM150="خالی"),1,0)</f>
        <v>0</v>
      </c>
      <c r="BD150" s="21" t="n">
        <f aca="false">IF(AND(AP150="بله",I150&lt;تنظیمات!$B$14,AO150="خیر"),1,0)</f>
        <v>0</v>
      </c>
      <c r="BE150" s="21" t="n">
        <f aca="false">IF(AN150="خیر",1,0)</f>
        <v>0</v>
      </c>
      <c r="BF150" s="21" t="n">
        <f aca="false">IF(AND(AD150="فیش مفقودی",AQ150="بله",I150&gt;تنظیمات!$B$12*60),1,0)</f>
        <v>0</v>
      </c>
      <c r="BG150" s="21" t="n">
        <f aca="false">IF(AND(AK150&gt;تنظیمات!$B$11,AL150="بله"),1,0)</f>
        <v>0</v>
      </c>
      <c r="BH150" s="21" t="n">
        <f aca="false">MIN(100,AR150*تنظیمات!$B$21+AS150*تنظیمات!$B$22+AT150*تنظیمات!$B$23+AU150*تنظیمات!$B$24+AV150*تنظیمات!$B$25+AW150*تنظیمات!$B$26+AX150*تنظیمات!$B$27+AY150*تنظیمات!$B$28+AZ150*تنظیمات!$B$29+BA150*تنظیمات!$B$30+BB150*تنظیمات!$B$31+BC150*تنظیمات!$B$32+BD150*تنظیمات!$B$33+BE150*تنظیمات!$B$34+BF150*تنظیمات!$B$35+BG150*تنظیمات!$B$36)</f>
        <v>0</v>
      </c>
      <c r="BI150" s="16" t="str">
        <f aca="false">IF(BH150&gt;=60,"بحرانی",IF(BH150&gt;=30,"مشکوک",IF(BH150&gt;0,"هشدار","عادی")))</f>
        <v>عادی</v>
      </c>
      <c r="BJ150" s="16" t="s">
        <v>338</v>
      </c>
    </row>
    <row r="151" customFormat="false" ht="15" hidden="false" customHeight="false" outlineLevel="0" collapsed="false">
      <c r="A151" s="16" t="s">
        <v>908</v>
      </c>
      <c r="B151" s="16" t="s">
        <v>543</v>
      </c>
      <c r="C151" s="16"/>
      <c r="D151" s="16" t="s">
        <v>431</v>
      </c>
      <c r="E151" s="16" t="s">
        <v>332</v>
      </c>
      <c r="F151" s="16" t="s">
        <v>333</v>
      </c>
      <c r="G151" s="17" t="n">
        <v>46283.2917476852</v>
      </c>
      <c r="H151" s="17" t="n">
        <v>46283.3660532407</v>
      </c>
      <c r="I151" s="18" t="n">
        <f aca="false">IF(H151="",ROUND((تنظیمات!$B$7-G151)*1440,0),ROUND((H151-G151)*1440,0))</f>
        <v>107</v>
      </c>
      <c r="J151" s="16" t="s">
        <v>346</v>
      </c>
      <c r="K151" s="16" t="s">
        <v>400</v>
      </c>
      <c r="L151" s="19" t="n">
        <v>0.908</v>
      </c>
      <c r="M151" s="19" t="n">
        <v>0.947</v>
      </c>
      <c r="N151" s="16" t="s">
        <v>335</v>
      </c>
      <c r="O151" s="16" t="s">
        <v>401</v>
      </c>
      <c r="P151" s="16" t="s">
        <v>402</v>
      </c>
      <c r="Q151" s="20" t="n">
        <v>46283</v>
      </c>
      <c r="R151" s="16" t="s">
        <v>909</v>
      </c>
      <c r="S151" s="16" t="s">
        <v>404</v>
      </c>
      <c r="T151" s="17"/>
      <c r="U151" s="21" t="n">
        <v>1</v>
      </c>
      <c r="V151" s="21" t="n">
        <v>1</v>
      </c>
      <c r="W151" s="22" t="n">
        <v>6.5</v>
      </c>
      <c r="X151" s="16" t="s">
        <v>335</v>
      </c>
      <c r="Y151" s="16" t="s">
        <v>338</v>
      </c>
      <c r="Z151" s="16" t="s">
        <v>413</v>
      </c>
      <c r="AA151" s="16" t="s">
        <v>427</v>
      </c>
      <c r="AB151" s="23" t="s">
        <v>910</v>
      </c>
      <c r="AC151" s="17" t="n">
        <v>46283.3655208333</v>
      </c>
      <c r="AD151" s="16" t="s">
        <v>338</v>
      </c>
      <c r="AE151" s="16"/>
      <c r="AF151" s="16" t="str">
        <f aca="false">IF(COUNTIF(لیست_سفید!$A$2:$A$21,B151)&gt;0,"بله","خیر")</f>
        <v>خیر</v>
      </c>
      <c r="AG151" s="24" t="n">
        <f aca="false">IF(H151="","",IF(AD151="فیش مفقودی",تنظیمات!$B$6,(INT(I151/1440)*تنظیمات!$B$5+IF(MOD(I151,1440)&lt;=تنظیمات!$B$2,0,MIN(تنظیمات!$B$5,تنظیمات!$B$3+MAX(0,ROUNDUP((MOD(I151,1440)-60)/60,0))*تنظیمات!$B$4)))*INDEX(تعرفه!$B$2:$B$7,MATCH(AD151,تعرفه!$A$2:$A$7,0))))</f>
        <v>34000</v>
      </c>
      <c r="AH151" s="24" t="n">
        <v>34000</v>
      </c>
      <c r="AI151" s="24" t="n">
        <f aca="false">IF(AG151="","",AH151-AG151)</f>
        <v>0</v>
      </c>
      <c r="AJ151" s="21" t="n">
        <v>-2</v>
      </c>
      <c r="AK151" s="21" t="n">
        <v>0</v>
      </c>
      <c r="AL151" s="16" t="s">
        <v>335</v>
      </c>
      <c r="AM151" s="16"/>
      <c r="AN151" s="16" t="s">
        <v>340</v>
      </c>
      <c r="AO151" s="16" t="s">
        <v>340</v>
      </c>
      <c r="AP151" s="16" t="s">
        <v>335</v>
      </c>
      <c r="AQ151" s="16"/>
      <c r="AR151" s="21" t="n">
        <f aca="false">IF(AND(T151&lt;&gt;"",H151&lt;&gt;""),IF(AND((T151-H151)*86400&gt;=0,(T151-H151)*86400&lt;تنظیمات!$B$13),1,0),0)</f>
        <v>0</v>
      </c>
      <c r="AS151" s="21" t="n">
        <f aca="false">IF(Z151="پوز",IF(OR(AB151="",COUNTIF(پوزها!$A$2:$A$5,AA151)=0),1,0),0)</f>
        <v>0</v>
      </c>
      <c r="AT151" s="21" t="n">
        <f aca="false">IF(AI151="",0,IF(AI151&gt;0,1,0))</f>
        <v>0</v>
      </c>
      <c r="AU151" s="21" t="n">
        <f aca="false">IF(AI151="",0,IF(AI151&lt;0,1,0))</f>
        <v>0</v>
      </c>
      <c r="AV151" s="21" t="n">
        <f aca="false">IF(U151&gt;V151,1,0)</f>
        <v>0</v>
      </c>
      <c r="AW151" s="21" t="n">
        <f aca="false">IF(OR(W151&gt;تنظیمات!$B$8,X151="بله"),1,0)</f>
        <v>0</v>
      </c>
      <c r="AX151" s="21" t="n">
        <f aca="false">IF(AND(N151="بله",L151&gt;تنظیمات!$B$9),1,0)</f>
        <v>0</v>
      </c>
      <c r="AY151" s="21" t="n">
        <f aca="false">IF(Y151="معکوس",1,0)</f>
        <v>0</v>
      </c>
      <c r="AZ151" s="21" t="n">
        <f aca="false">IF(ABS(AJ151)&gt;تنظیمات!$B$10,1,0)</f>
        <v>0</v>
      </c>
      <c r="BA151" s="21" t="n">
        <f aca="false">IF(AND(OR(AD151="رایگان/VIP",AD151="جانباز"),AF151="خیر"),1,0)</f>
        <v>0</v>
      </c>
      <c r="BB151" s="21" t="n">
        <f aca="false">IF(AE151="",0,IF(COUNTIF($AE$2:$AE$1001,AE151)&gt;1,1,0))</f>
        <v>0</v>
      </c>
      <c r="BC151" s="21" t="n">
        <f aca="false">IF(AND(H151="",I151&gt;تنظیمات!$B$12*60,AM151="خالی"),1,0)</f>
        <v>0</v>
      </c>
      <c r="BD151" s="21" t="n">
        <f aca="false">IF(AND(AP151="بله",I151&lt;تنظیمات!$B$14,AO151="خیر"),1,0)</f>
        <v>0</v>
      </c>
      <c r="BE151" s="21" t="n">
        <f aca="false">IF(AN151="خیر",1,0)</f>
        <v>0</v>
      </c>
      <c r="BF151" s="21" t="n">
        <f aca="false">IF(AND(AD151="فیش مفقودی",AQ151="بله",I151&gt;تنظیمات!$B$12*60),1,0)</f>
        <v>0</v>
      </c>
      <c r="BG151" s="21" t="n">
        <f aca="false">IF(AND(AK151&gt;تنظیمات!$B$11,AL151="بله"),1,0)</f>
        <v>0</v>
      </c>
      <c r="BH151" s="21" t="n">
        <f aca="false">MIN(100,AR151*تنظیمات!$B$21+AS151*تنظیمات!$B$22+AT151*تنظیمات!$B$23+AU151*تنظیمات!$B$24+AV151*تنظیمات!$B$25+AW151*تنظیمات!$B$26+AX151*تنظیمات!$B$27+AY151*تنظیمات!$B$28+AZ151*تنظیمات!$B$29+BA151*تنظیمات!$B$30+BB151*تنظیمات!$B$31+BC151*تنظیمات!$B$32+BD151*تنظیمات!$B$33+BE151*تنظیمات!$B$34+BF151*تنظیمات!$B$35+BG151*تنظیمات!$B$36)</f>
        <v>0</v>
      </c>
      <c r="BI151" s="16" t="str">
        <f aca="false">IF(BH151&gt;=60,"بحرانی",IF(BH151&gt;=30,"مشکوک",IF(BH151&gt;0,"هشدار","عادی")))</f>
        <v>عادی</v>
      </c>
      <c r="BJ151" s="16" t="s">
        <v>338</v>
      </c>
    </row>
    <row r="152" customFormat="false" ht="15" hidden="false" customHeight="false" outlineLevel="0" collapsed="false">
      <c r="A152" s="16" t="s">
        <v>911</v>
      </c>
      <c r="B152" s="16" t="s">
        <v>409</v>
      </c>
      <c r="C152" s="16"/>
      <c r="D152" s="16" t="s">
        <v>382</v>
      </c>
      <c r="E152" s="16" t="s">
        <v>363</v>
      </c>
      <c r="F152" s="16" t="s">
        <v>333</v>
      </c>
      <c r="G152" s="17" t="n">
        <v>46283.3061458333</v>
      </c>
      <c r="H152" s="17" t="n">
        <v>46283.3873958333</v>
      </c>
      <c r="I152" s="18" t="n">
        <f aca="false">IF(H152="",ROUND((تنظیمات!$B$7-G152)*1440,0),ROUND((H152-G152)*1440,0))</f>
        <v>117</v>
      </c>
      <c r="J152" s="16" t="s">
        <v>346</v>
      </c>
      <c r="K152" s="16" t="s">
        <v>410</v>
      </c>
      <c r="L152" s="19" t="n">
        <v>0.995</v>
      </c>
      <c r="M152" s="19" t="n">
        <v>0.921</v>
      </c>
      <c r="N152" s="16" t="s">
        <v>335</v>
      </c>
      <c r="O152" s="16" t="s">
        <v>419</v>
      </c>
      <c r="P152" s="16" t="s">
        <v>402</v>
      </c>
      <c r="Q152" s="20" t="n">
        <v>46283</v>
      </c>
      <c r="R152" s="16" t="s">
        <v>912</v>
      </c>
      <c r="S152" s="16" t="s">
        <v>404</v>
      </c>
      <c r="T152" s="17"/>
      <c r="U152" s="21" t="n">
        <v>1</v>
      </c>
      <c r="V152" s="21" t="n">
        <v>1</v>
      </c>
      <c r="W152" s="22" t="n">
        <v>4.5</v>
      </c>
      <c r="X152" s="16" t="s">
        <v>335</v>
      </c>
      <c r="Y152" s="16" t="s">
        <v>338</v>
      </c>
      <c r="Z152" s="16" t="s">
        <v>413</v>
      </c>
      <c r="AA152" s="16" t="s">
        <v>414</v>
      </c>
      <c r="AB152" s="23" t="s">
        <v>913</v>
      </c>
      <c r="AC152" s="17" t="n">
        <v>46283.3868634259</v>
      </c>
      <c r="AD152" s="16" t="s">
        <v>338</v>
      </c>
      <c r="AE152" s="16"/>
      <c r="AF152" s="16" t="str">
        <f aca="false">IF(COUNTIF(لیست_سفید!$A$2:$A$21,B152)&gt;0,"بله","خیر")</f>
        <v>خیر</v>
      </c>
      <c r="AG152" s="24" t="n">
        <f aca="false">IF(H152="","",IF(AD152="فیش مفقودی",تنظیمات!$B$6,(INT(I152/1440)*تنظیمات!$B$5+IF(MOD(I152,1440)&lt;=تنظیمات!$B$2,0,MIN(تنظیمات!$B$5,تنظیمات!$B$3+MAX(0,ROUNDUP((MOD(I152,1440)-60)/60,0))*تنظیمات!$B$4)))*INDEX(تعرفه!$B$2:$B$7,MATCH(AD152,تعرفه!$A$2:$A$7,0))))</f>
        <v>34000</v>
      </c>
      <c r="AH152" s="24" t="n">
        <v>34000</v>
      </c>
      <c r="AI152" s="24" t="n">
        <f aca="false">IF(AG152="","",AH152-AG152)</f>
        <v>0</v>
      </c>
      <c r="AJ152" s="21" t="n">
        <v>3</v>
      </c>
      <c r="AK152" s="21" t="n">
        <v>0</v>
      </c>
      <c r="AL152" s="16" t="s">
        <v>335</v>
      </c>
      <c r="AM152" s="16"/>
      <c r="AN152" s="16" t="s">
        <v>340</v>
      </c>
      <c r="AO152" s="16" t="s">
        <v>340</v>
      </c>
      <c r="AP152" s="16" t="s">
        <v>335</v>
      </c>
      <c r="AQ152" s="16"/>
      <c r="AR152" s="21" t="n">
        <f aca="false">IF(AND(T152&lt;&gt;"",H152&lt;&gt;""),IF(AND((T152-H152)*86400&gt;=0,(T152-H152)*86400&lt;تنظیمات!$B$13),1,0),0)</f>
        <v>0</v>
      </c>
      <c r="AS152" s="21" t="n">
        <f aca="false">IF(Z152="پوز",IF(OR(AB152="",COUNTIF(پوزها!$A$2:$A$5,AA152)=0),1,0),0)</f>
        <v>0</v>
      </c>
      <c r="AT152" s="21" t="n">
        <f aca="false">IF(AI152="",0,IF(AI152&gt;0,1,0))</f>
        <v>0</v>
      </c>
      <c r="AU152" s="21" t="n">
        <f aca="false">IF(AI152="",0,IF(AI152&lt;0,1,0))</f>
        <v>0</v>
      </c>
      <c r="AV152" s="21" t="n">
        <f aca="false">IF(U152&gt;V152,1,0)</f>
        <v>0</v>
      </c>
      <c r="AW152" s="21" t="n">
        <f aca="false">IF(OR(W152&gt;تنظیمات!$B$8,X152="بله"),1,0)</f>
        <v>0</v>
      </c>
      <c r="AX152" s="21" t="n">
        <f aca="false">IF(AND(N152="بله",L152&gt;تنظیمات!$B$9),1,0)</f>
        <v>0</v>
      </c>
      <c r="AY152" s="21" t="n">
        <f aca="false">IF(Y152="معکوس",1,0)</f>
        <v>0</v>
      </c>
      <c r="AZ152" s="21" t="n">
        <f aca="false">IF(ABS(AJ152)&gt;تنظیمات!$B$10,1,0)</f>
        <v>0</v>
      </c>
      <c r="BA152" s="21" t="n">
        <f aca="false">IF(AND(OR(AD152="رایگان/VIP",AD152="جانباز"),AF152="خیر"),1,0)</f>
        <v>0</v>
      </c>
      <c r="BB152" s="21" t="n">
        <f aca="false">IF(AE152="",0,IF(COUNTIF($AE$2:$AE$1001,AE152)&gt;1,1,0))</f>
        <v>0</v>
      </c>
      <c r="BC152" s="21" t="n">
        <f aca="false">IF(AND(H152="",I152&gt;تنظیمات!$B$12*60,AM152="خالی"),1,0)</f>
        <v>0</v>
      </c>
      <c r="BD152" s="21" t="n">
        <f aca="false">IF(AND(AP152="بله",I152&lt;تنظیمات!$B$14,AO152="خیر"),1,0)</f>
        <v>0</v>
      </c>
      <c r="BE152" s="21" t="n">
        <f aca="false">IF(AN152="خیر",1,0)</f>
        <v>0</v>
      </c>
      <c r="BF152" s="21" t="n">
        <f aca="false">IF(AND(AD152="فیش مفقودی",AQ152="بله",I152&gt;تنظیمات!$B$12*60),1,0)</f>
        <v>0</v>
      </c>
      <c r="BG152" s="21" t="n">
        <f aca="false">IF(AND(AK152&gt;تنظیمات!$B$11,AL152="بله"),1,0)</f>
        <v>0</v>
      </c>
      <c r="BH152" s="21" t="n">
        <f aca="false">MIN(100,AR152*تنظیمات!$B$21+AS152*تنظیمات!$B$22+AT152*تنظیمات!$B$23+AU152*تنظیمات!$B$24+AV152*تنظیمات!$B$25+AW152*تنظیمات!$B$26+AX152*تنظیمات!$B$27+AY152*تنظیمات!$B$28+AZ152*تنظیمات!$B$29+BA152*تنظیمات!$B$30+BB152*تنظیمات!$B$31+BC152*تنظیمات!$B$32+BD152*تنظیمات!$B$33+BE152*تنظیمات!$B$34+BF152*تنظیمات!$B$35+BG152*تنظیمات!$B$36)</f>
        <v>0</v>
      </c>
      <c r="BI152" s="16" t="str">
        <f aca="false">IF(BH152&gt;=60,"بحرانی",IF(BH152&gt;=30,"مشکوک",IF(BH152&gt;0,"هشدار","عادی")))</f>
        <v>عادی</v>
      </c>
      <c r="BJ152" s="16" t="s">
        <v>338</v>
      </c>
    </row>
    <row r="153" customFormat="false" ht="15" hidden="false" customHeight="false" outlineLevel="0" collapsed="false">
      <c r="A153" s="16" t="s">
        <v>914</v>
      </c>
      <c r="B153" s="16" t="s">
        <v>915</v>
      </c>
      <c r="C153" s="16"/>
      <c r="D153" s="16" t="s">
        <v>374</v>
      </c>
      <c r="E153" s="16" t="s">
        <v>332</v>
      </c>
      <c r="F153" s="16" t="s">
        <v>359</v>
      </c>
      <c r="G153" s="17" t="n">
        <v>46283.3282407407</v>
      </c>
      <c r="H153" s="17" t="n">
        <v>46283.387962963</v>
      </c>
      <c r="I153" s="18" t="n">
        <f aca="false">IF(H153="",ROUND((تنظیمات!$B$7-G153)*1440,0),ROUND((H153-G153)*1440,0))</f>
        <v>86</v>
      </c>
      <c r="J153" s="16" t="s">
        <v>334</v>
      </c>
      <c r="K153" s="16" t="s">
        <v>410</v>
      </c>
      <c r="L153" s="19" t="n">
        <v>0.981</v>
      </c>
      <c r="M153" s="19"/>
      <c r="N153" s="16" t="s">
        <v>335</v>
      </c>
      <c r="O153" s="16" t="s">
        <v>419</v>
      </c>
      <c r="P153" s="16" t="s">
        <v>402</v>
      </c>
      <c r="Q153" s="20" t="n">
        <v>46283</v>
      </c>
      <c r="R153" s="16" t="s">
        <v>916</v>
      </c>
      <c r="S153" s="16" t="s">
        <v>404</v>
      </c>
      <c r="T153" s="17"/>
      <c r="U153" s="21" t="n">
        <v>1</v>
      </c>
      <c r="V153" s="21" t="n">
        <v>1</v>
      </c>
      <c r="W153" s="22" t="n">
        <v>5.1</v>
      </c>
      <c r="X153" s="16" t="s">
        <v>335</v>
      </c>
      <c r="Y153" s="16" t="s">
        <v>338</v>
      </c>
      <c r="Z153" s="16" t="s">
        <v>413</v>
      </c>
      <c r="AA153" s="16" t="s">
        <v>414</v>
      </c>
      <c r="AB153" s="23" t="s">
        <v>917</v>
      </c>
      <c r="AC153" s="17" t="n">
        <v>46283.3875694444</v>
      </c>
      <c r="AD153" s="16" t="s">
        <v>338</v>
      </c>
      <c r="AE153" s="16"/>
      <c r="AF153" s="16" t="str">
        <f aca="false">IF(COUNTIF(لیست_سفید!$A$2:$A$21,B153)&gt;0,"بله","خیر")</f>
        <v>خیر</v>
      </c>
      <c r="AG153" s="24" t="n">
        <f aca="false">IF(H153="","",IF(AD153="فیش مفقودی",تنظیمات!$B$6,(INT(I153/1440)*تنظیمات!$B$5+IF(MOD(I153,1440)&lt;=تنظیمات!$B$2,0,MIN(تنظیمات!$B$5,تنظیمات!$B$3+MAX(0,ROUNDUP((MOD(I153,1440)-60)/60,0))*تنظیمات!$B$4)))*INDEX(تعرفه!$B$2:$B$7,MATCH(AD153,تعرفه!$A$2:$A$7,0))))</f>
        <v>34000</v>
      </c>
      <c r="AH153" s="24" t="n">
        <v>34000</v>
      </c>
      <c r="AI153" s="24" t="n">
        <f aca="false">IF(AG153="","",AH153-AG153)</f>
        <v>0</v>
      </c>
      <c r="AJ153" s="21" t="n">
        <v>-4</v>
      </c>
      <c r="AK153" s="21" t="n">
        <v>343</v>
      </c>
      <c r="AL153" s="16" t="s">
        <v>340</v>
      </c>
      <c r="AM153" s="16"/>
      <c r="AN153" s="16" t="s">
        <v>340</v>
      </c>
      <c r="AO153" s="16" t="s">
        <v>340</v>
      </c>
      <c r="AP153" s="16" t="s">
        <v>335</v>
      </c>
      <c r="AQ153" s="16"/>
      <c r="AR153" s="21" t="n">
        <f aca="false">IF(AND(T153&lt;&gt;"",H153&lt;&gt;""),IF(AND((T153-H153)*86400&gt;=0,(T153-H153)*86400&lt;تنظیمات!$B$13),1,0),0)</f>
        <v>0</v>
      </c>
      <c r="AS153" s="21" t="n">
        <f aca="false">IF(Z153="پوز",IF(OR(AB153="",COUNTIF(پوزها!$A$2:$A$5,AA153)=0),1,0),0)</f>
        <v>0</v>
      </c>
      <c r="AT153" s="21" t="n">
        <f aca="false">IF(AI153="",0,IF(AI153&gt;0,1,0))</f>
        <v>0</v>
      </c>
      <c r="AU153" s="21" t="n">
        <f aca="false">IF(AI153="",0,IF(AI153&lt;0,1,0))</f>
        <v>0</v>
      </c>
      <c r="AV153" s="21" t="n">
        <f aca="false">IF(U153&gt;V153,1,0)</f>
        <v>0</v>
      </c>
      <c r="AW153" s="21" t="n">
        <f aca="false">IF(OR(W153&gt;تنظیمات!$B$8,X153="بله"),1,0)</f>
        <v>0</v>
      </c>
      <c r="AX153" s="21" t="n">
        <f aca="false">IF(AND(N153="بله",L153&gt;تنظیمات!$B$9),1,0)</f>
        <v>0</v>
      </c>
      <c r="AY153" s="21" t="n">
        <f aca="false">IF(Y153="معکوس",1,0)</f>
        <v>0</v>
      </c>
      <c r="AZ153" s="21" t="n">
        <f aca="false">IF(ABS(AJ153)&gt;تنظیمات!$B$10,1,0)</f>
        <v>0</v>
      </c>
      <c r="BA153" s="21" t="n">
        <f aca="false">IF(AND(OR(AD153="رایگان/VIP",AD153="جانباز"),AF153="خیر"),1,0)</f>
        <v>0</v>
      </c>
      <c r="BB153" s="21" t="n">
        <f aca="false">IF(AE153="",0,IF(COUNTIF($AE$2:$AE$1001,AE153)&gt;1,1,0))</f>
        <v>0</v>
      </c>
      <c r="BC153" s="21" t="n">
        <f aca="false">IF(AND(H153="",I153&gt;تنظیمات!$B$12*60,AM153="خالی"),1,0)</f>
        <v>0</v>
      </c>
      <c r="BD153" s="21" t="n">
        <f aca="false">IF(AND(AP153="بله",I153&lt;تنظیمات!$B$14,AO153="خیر"),1,0)</f>
        <v>0</v>
      </c>
      <c r="BE153" s="21" t="n">
        <f aca="false">IF(AN153="خیر",1,0)</f>
        <v>0</v>
      </c>
      <c r="BF153" s="21" t="n">
        <f aca="false">IF(AND(AD153="فیش مفقودی",AQ153="بله",I153&gt;تنظیمات!$B$12*60),1,0)</f>
        <v>0</v>
      </c>
      <c r="BG153" s="21" t="n">
        <f aca="false">IF(AND(AK153&gt;تنظیمات!$B$11,AL153="بله"),1,0)</f>
        <v>1</v>
      </c>
      <c r="BH153" s="21" t="n">
        <f aca="false">MIN(100,AR153*تنظیمات!$B$21+AS153*تنظیمات!$B$22+AT153*تنظیمات!$B$23+AU153*تنظیمات!$B$24+AV153*تنظیمات!$B$25+AW153*تنظیمات!$B$26+AX153*تنظیمات!$B$27+AY153*تنظیمات!$B$28+AZ153*تنظیمات!$B$29+BA153*تنظیمات!$B$30+BB153*تنظیمات!$B$31+BC153*تنظیمات!$B$32+BD153*تنظیمات!$B$33+BE153*تنظیمات!$B$34+BF153*تنظیمات!$B$35+BG153*تنظیمات!$B$36)</f>
        <v>15</v>
      </c>
      <c r="BI153" s="16" t="str">
        <f aca="false">IF(BH153&gt;=60,"بحرانی",IF(BH153&gt;=30,"مشکوک",IF(BH153&gt;0,"هشدار","عادی")))</f>
        <v>هشدار</v>
      </c>
      <c r="BJ153" s="16" t="s">
        <v>918</v>
      </c>
    </row>
    <row r="154" customFormat="false" ht="15" hidden="false" customHeight="false" outlineLevel="0" collapsed="false">
      <c r="A154" s="16" t="s">
        <v>919</v>
      </c>
      <c r="B154" s="16" t="s">
        <v>624</v>
      </c>
      <c r="C154" s="16"/>
      <c r="D154" s="16" t="s">
        <v>469</v>
      </c>
      <c r="E154" s="16" t="s">
        <v>332</v>
      </c>
      <c r="F154" s="16" t="s">
        <v>359</v>
      </c>
      <c r="G154" s="17" t="n">
        <v>46283.3353819445</v>
      </c>
      <c r="H154" s="17" t="n">
        <v>46283.4319097222</v>
      </c>
      <c r="I154" s="18" t="n">
        <f aca="false">IF(H154="",ROUND((تنظیمات!$B$7-G154)*1440,0),ROUND((H154-G154)*1440,0))</f>
        <v>139</v>
      </c>
      <c r="J154" s="16" t="s">
        <v>334</v>
      </c>
      <c r="K154" s="16" t="s">
        <v>400</v>
      </c>
      <c r="L154" s="19" t="n">
        <v>0.909</v>
      </c>
      <c r="M154" s="19" t="n">
        <v>0.959</v>
      </c>
      <c r="N154" s="16" t="s">
        <v>335</v>
      </c>
      <c r="O154" s="16" t="s">
        <v>401</v>
      </c>
      <c r="P154" s="16" t="s">
        <v>402</v>
      </c>
      <c r="Q154" s="20" t="n">
        <v>46283</v>
      </c>
      <c r="R154" s="16" t="s">
        <v>920</v>
      </c>
      <c r="S154" s="16" t="s">
        <v>404</v>
      </c>
      <c r="T154" s="17"/>
      <c r="U154" s="21" t="n">
        <v>1</v>
      </c>
      <c r="V154" s="21" t="n">
        <v>1</v>
      </c>
      <c r="W154" s="22" t="n">
        <v>6.2</v>
      </c>
      <c r="X154" s="16" t="s">
        <v>335</v>
      </c>
      <c r="Y154" s="16" t="s">
        <v>338</v>
      </c>
      <c r="Z154" s="16" t="s">
        <v>413</v>
      </c>
      <c r="AA154" s="16" t="s">
        <v>427</v>
      </c>
      <c r="AB154" s="23" t="s">
        <v>921</v>
      </c>
      <c r="AC154" s="17" t="n">
        <v>46283.4312037037</v>
      </c>
      <c r="AD154" s="16" t="s">
        <v>338</v>
      </c>
      <c r="AE154" s="16"/>
      <c r="AF154" s="16" t="str">
        <f aca="false">IF(COUNTIF(لیست_سفید!$A$2:$A$21,B154)&gt;0,"بله","خیر")</f>
        <v>خیر</v>
      </c>
      <c r="AG154" s="24" t="n">
        <f aca="false">IF(H154="","",IF(AD154="فیش مفقودی",تنظیمات!$B$6,(INT(I154/1440)*تنظیمات!$B$5+IF(MOD(I154,1440)&lt;=تنظیمات!$B$2,0,MIN(تنظیمات!$B$5,تنظیمات!$B$3+MAX(0,ROUNDUP((MOD(I154,1440)-60)/60,0))*تنظیمات!$B$4)))*INDEX(تعرفه!$B$2:$B$7,MATCH(AD154,تعرفه!$A$2:$A$7,0))))</f>
        <v>48000</v>
      </c>
      <c r="AH154" s="24" t="n">
        <v>62000</v>
      </c>
      <c r="AI154" s="24" t="n">
        <f aca="false">IF(AG154="","",AH154-AG154)</f>
        <v>14000</v>
      </c>
      <c r="AJ154" s="21" t="n">
        <v>-1</v>
      </c>
      <c r="AK154" s="21" t="n">
        <v>0</v>
      </c>
      <c r="AL154" s="16" t="s">
        <v>335</v>
      </c>
      <c r="AM154" s="16"/>
      <c r="AN154" s="16" t="s">
        <v>340</v>
      </c>
      <c r="AO154" s="16" t="s">
        <v>340</v>
      </c>
      <c r="AP154" s="16" t="s">
        <v>335</v>
      </c>
      <c r="AQ154" s="16"/>
      <c r="AR154" s="21" t="n">
        <f aca="false">IF(AND(T154&lt;&gt;"",H154&lt;&gt;""),IF(AND((T154-H154)*86400&gt;=0,(T154-H154)*86400&lt;تنظیمات!$B$13),1,0),0)</f>
        <v>0</v>
      </c>
      <c r="AS154" s="21" t="n">
        <f aca="false">IF(Z154="پوز",IF(OR(AB154="",COUNTIF(پوزها!$A$2:$A$5,AA154)=0),1,0),0)</f>
        <v>0</v>
      </c>
      <c r="AT154" s="21" t="n">
        <f aca="false">IF(AI154="",0,IF(AI154&gt;0,1,0))</f>
        <v>1</v>
      </c>
      <c r="AU154" s="21" t="n">
        <f aca="false">IF(AI154="",0,IF(AI154&lt;0,1,0))</f>
        <v>0</v>
      </c>
      <c r="AV154" s="21" t="n">
        <f aca="false">IF(U154&gt;V154,1,0)</f>
        <v>0</v>
      </c>
      <c r="AW154" s="21" t="n">
        <f aca="false">IF(OR(W154&gt;تنظیمات!$B$8,X154="بله"),1,0)</f>
        <v>0</v>
      </c>
      <c r="AX154" s="21" t="n">
        <f aca="false">IF(AND(N154="بله",L154&gt;تنظیمات!$B$9),1,0)</f>
        <v>0</v>
      </c>
      <c r="AY154" s="21" t="n">
        <f aca="false">IF(Y154="معکوس",1,0)</f>
        <v>0</v>
      </c>
      <c r="AZ154" s="21" t="n">
        <f aca="false">IF(ABS(AJ154)&gt;تنظیمات!$B$10,1,0)</f>
        <v>0</v>
      </c>
      <c r="BA154" s="21" t="n">
        <f aca="false">IF(AND(OR(AD154="رایگان/VIP",AD154="جانباز"),AF154="خیر"),1,0)</f>
        <v>0</v>
      </c>
      <c r="BB154" s="21" t="n">
        <f aca="false">IF(AE154="",0,IF(COUNTIF($AE$2:$AE$1001,AE154)&gt;1,1,0))</f>
        <v>0</v>
      </c>
      <c r="BC154" s="21" t="n">
        <f aca="false">IF(AND(H154="",I154&gt;تنظیمات!$B$12*60,AM154="خالی"),1,0)</f>
        <v>0</v>
      </c>
      <c r="BD154" s="21" t="n">
        <f aca="false">IF(AND(AP154="بله",I154&lt;تنظیمات!$B$14,AO154="خیر"),1,0)</f>
        <v>0</v>
      </c>
      <c r="BE154" s="21" t="n">
        <f aca="false">IF(AN154="خیر",1,0)</f>
        <v>0</v>
      </c>
      <c r="BF154" s="21" t="n">
        <f aca="false">IF(AND(AD154="فیش مفقودی",AQ154="بله",I154&gt;تنظیمات!$B$12*60),1,0)</f>
        <v>0</v>
      </c>
      <c r="BG154" s="21" t="n">
        <f aca="false">IF(AND(AK154&gt;تنظیمات!$B$11,AL154="بله"),1,0)</f>
        <v>0</v>
      </c>
      <c r="BH154" s="21" t="n">
        <f aca="false">MIN(100,AR154*تنظیمات!$B$21+AS154*تنظیمات!$B$22+AT154*تنظیمات!$B$23+AU154*تنظیمات!$B$24+AV154*تنظیمات!$B$25+AW154*تنظیمات!$B$26+AX154*تنظیمات!$B$27+AY154*تنظیمات!$B$28+AZ154*تنظیمات!$B$29+BA154*تنظیمات!$B$30+BB154*تنظیمات!$B$31+BC154*تنظیمات!$B$32+BD154*تنظیمات!$B$33+BE154*تنظیمات!$B$34+BF154*تنظیمات!$B$35+BG154*تنظیمات!$B$36)</f>
        <v>25</v>
      </c>
      <c r="BI154" s="16" t="str">
        <f aca="false">IF(BH154&gt;=60,"بحرانی",IF(BH154&gt;=30,"مشکوک",IF(BH154&gt;0,"هشدار","عادی")))</f>
        <v>هشدار</v>
      </c>
      <c r="BJ154" s="16" t="s">
        <v>922</v>
      </c>
    </row>
    <row r="155" customFormat="false" ht="15" hidden="false" customHeight="false" outlineLevel="0" collapsed="false">
      <c r="A155" s="16" t="s">
        <v>923</v>
      </c>
      <c r="B155" s="16" t="s">
        <v>924</v>
      </c>
      <c r="C155" s="16"/>
      <c r="D155" s="16" t="s">
        <v>523</v>
      </c>
      <c r="E155" s="16" t="s">
        <v>390</v>
      </c>
      <c r="F155" s="16" t="s">
        <v>333</v>
      </c>
      <c r="G155" s="17" t="n">
        <v>46283.3431712963</v>
      </c>
      <c r="H155" s="17" t="n">
        <v>46283.6737268519</v>
      </c>
      <c r="I155" s="18" t="n">
        <f aca="false">IF(H155="",ROUND((تنظیمات!$B$7-G155)*1440,0),ROUND((H155-G155)*1440,0))</f>
        <v>476</v>
      </c>
      <c r="J155" s="16" t="s">
        <v>334</v>
      </c>
      <c r="K155" s="16" t="s">
        <v>410</v>
      </c>
      <c r="L155" s="19" t="n">
        <v>0.944</v>
      </c>
      <c r="M155" s="19" t="n">
        <v>0.936</v>
      </c>
      <c r="N155" s="16" t="s">
        <v>335</v>
      </c>
      <c r="O155" s="16" t="s">
        <v>666</v>
      </c>
      <c r="P155" s="16" t="s">
        <v>420</v>
      </c>
      <c r="Q155" s="20" t="n">
        <v>46283</v>
      </c>
      <c r="R155" s="16" t="s">
        <v>925</v>
      </c>
      <c r="S155" s="16" t="s">
        <v>404</v>
      </c>
      <c r="T155" s="17"/>
      <c r="U155" s="21" t="n">
        <v>1</v>
      </c>
      <c r="V155" s="21" t="n">
        <v>1</v>
      </c>
      <c r="W155" s="22" t="n">
        <v>5.5</v>
      </c>
      <c r="X155" s="16" t="s">
        <v>335</v>
      </c>
      <c r="Y155" s="16" t="s">
        <v>338</v>
      </c>
      <c r="Z155" s="16" t="s">
        <v>413</v>
      </c>
      <c r="AA155" s="16" t="s">
        <v>414</v>
      </c>
      <c r="AB155" s="23" t="s">
        <v>926</v>
      </c>
      <c r="AC155" s="17" t="n">
        <v>46283.6731018519</v>
      </c>
      <c r="AD155" s="16" t="s">
        <v>338</v>
      </c>
      <c r="AE155" s="16"/>
      <c r="AF155" s="16" t="str">
        <f aca="false">IF(COUNTIF(لیست_سفید!$A$2:$A$21,B155)&gt;0,"بله","خیر")</f>
        <v>خیر</v>
      </c>
      <c r="AG155" s="24" t="n">
        <f aca="false">IF(H155="","",IF(AD155="فیش مفقودی",تنظیمات!$B$6,(INT(I155/1440)*تنظیمات!$B$5+IF(MOD(I155,1440)&lt;=تنظیمات!$B$2,0,MIN(تنظیمات!$B$5,تنظیمات!$B$3+MAX(0,ROUNDUP((MOD(I155,1440)-60)/60,0))*تنظیمات!$B$4)))*INDEX(تعرفه!$B$2:$B$7,MATCH(AD155,تعرفه!$A$2:$A$7,0))))</f>
        <v>118000</v>
      </c>
      <c r="AH155" s="24" t="n">
        <v>118000</v>
      </c>
      <c r="AI155" s="24" t="n">
        <f aca="false">IF(AG155="","",AH155-AG155)</f>
        <v>0</v>
      </c>
      <c r="AJ155" s="21" t="n">
        <v>-2</v>
      </c>
      <c r="AK155" s="21" t="n">
        <v>0</v>
      </c>
      <c r="AL155" s="16" t="s">
        <v>335</v>
      </c>
      <c r="AM155" s="16"/>
      <c r="AN155" s="16" t="s">
        <v>340</v>
      </c>
      <c r="AO155" s="16" t="s">
        <v>340</v>
      </c>
      <c r="AP155" s="16" t="s">
        <v>335</v>
      </c>
      <c r="AQ155" s="16"/>
      <c r="AR155" s="21" t="n">
        <f aca="false">IF(AND(T155&lt;&gt;"",H155&lt;&gt;""),IF(AND((T155-H155)*86400&gt;=0,(T155-H155)*86400&lt;تنظیمات!$B$13),1,0),0)</f>
        <v>0</v>
      </c>
      <c r="AS155" s="21" t="n">
        <f aca="false">IF(Z155="پوز",IF(OR(AB155="",COUNTIF(پوزها!$A$2:$A$5,AA155)=0),1,0),0)</f>
        <v>0</v>
      </c>
      <c r="AT155" s="21" t="n">
        <f aca="false">IF(AI155="",0,IF(AI155&gt;0,1,0))</f>
        <v>0</v>
      </c>
      <c r="AU155" s="21" t="n">
        <f aca="false">IF(AI155="",0,IF(AI155&lt;0,1,0))</f>
        <v>0</v>
      </c>
      <c r="AV155" s="21" t="n">
        <f aca="false">IF(U155&gt;V155,1,0)</f>
        <v>0</v>
      </c>
      <c r="AW155" s="21" t="n">
        <f aca="false">IF(OR(W155&gt;تنظیمات!$B$8,X155="بله"),1,0)</f>
        <v>0</v>
      </c>
      <c r="AX155" s="21" t="n">
        <f aca="false">IF(AND(N155="بله",L155&gt;تنظیمات!$B$9),1,0)</f>
        <v>0</v>
      </c>
      <c r="AY155" s="21" t="n">
        <f aca="false">IF(Y155="معکوس",1,0)</f>
        <v>0</v>
      </c>
      <c r="AZ155" s="21" t="n">
        <f aca="false">IF(ABS(AJ155)&gt;تنظیمات!$B$10,1,0)</f>
        <v>0</v>
      </c>
      <c r="BA155" s="21" t="n">
        <f aca="false">IF(AND(OR(AD155="رایگان/VIP",AD155="جانباز"),AF155="خیر"),1,0)</f>
        <v>0</v>
      </c>
      <c r="BB155" s="21" t="n">
        <f aca="false">IF(AE155="",0,IF(COUNTIF($AE$2:$AE$1001,AE155)&gt;1,1,0))</f>
        <v>0</v>
      </c>
      <c r="BC155" s="21" t="n">
        <f aca="false">IF(AND(H155="",I155&gt;تنظیمات!$B$12*60,AM155="خالی"),1,0)</f>
        <v>0</v>
      </c>
      <c r="BD155" s="21" t="n">
        <f aca="false">IF(AND(AP155="بله",I155&lt;تنظیمات!$B$14,AO155="خیر"),1,0)</f>
        <v>0</v>
      </c>
      <c r="BE155" s="21" t="n">
        <f aca="false">IF(AN155="خیر",1,0)</f>
        <v>0</v>
      </c>
      <c r="BF155" s="21" t="n">
        <f aca="false">IF(AND(AD155="فیش مفقودی",AQ155="بله",I155&gt;تنظیمات!$B$12*60),1,0)</f>
        <v>0</v>
      </c>
      <c r="BG155" s="21" t="n">
        <f aca="false">IF(AND(AK155&gt;تنظیمات!$B$11,AL155="بله"),1,0)</f>
        <v>0</v>
      </c>
      <c r="BH155" s="21" t="n">
        <f aca="false">MIN(100,AR155*تنظیمات!$B$21+AS155*تنظیمات!$B$22+AT155*تنظیمات!$B$23+AU155*تنظیمات!$B$24+AV155*تنظیمات!$B$25+AW155*تنظیمات!$B$26+AX155*تنظیمات!$B$27+AY155*تنظیمات!$B$28+AZ155*تنظیمات!$B$29+BA155*تنظیمات!$B$30+BB155*تنظیمات!$B$31+BC155*تنظیمات!$B$32+BD155*تنظیمات!$B$33+BE155*تنظیمات!$B$34+BF155*تنظیمات!$B$35+BG155*تنظیمات!$B$36)</f>
        <v>0</v>
      </c>
      <c r="BI155" s="16" t="str">
        <f aca="false">IF(BH155&gt;=60,"بحرانی",IF(BH155&gt;=30,"مشکوک",IF(BH155&gt;0,"هشدار","عادی")))</f>
        <v>عادی</v>
      </c>
      <c r="BJ155" s="16" t="s">
        <v>338</v>
      </c>
    </row>
    <row r="156" customFormat="false" ht="15" hidden="false" customHeight="false" outlineLevel="0" collapsed="false">
      <c r="A156" s="16" t="s">
        <v>927</v>
      </c>
      <c r="B156" s="16" t="s">
        <v>928</v>
      </c>
      <c r="C156" s="16"/>
      <c r="D156" s="16" t="s">
        <v>331</v>
      </c>
      <c r="E156" s="16" t="s">
        <v>351</v>
      </c>
      <c r="F156" s="16" t="s">
        <v>333</v>
      </c>
      <c r="G156" s="17" t="n">
        <v>46283.3472453704</v>
      </c>
      <c r="H156" s="17" t="n">
        <v>46283.8347453704</v>
      </c>
      <c r="I156" s="18" t="n">
        <f aca="false">IF(H156="",ROUND((تنظیمات!$B$7-G156)*1440,0),ROUND((H156-G156)*1440,0))</f>
        <v>702</v>
      </c>
      <c r="J156" s="16" t="s">
        <v>346</v>
      </c>
      <c r="K156" s="16" t="s">
        <v>400</v>
      </c>
      <c r="L156" s="19" t="n">
        <v>0.983</v>
      </c>
      <c r="M156" s="19" t="n">
        <v>0.97</v>
      </c>
      <c r="N156" s="16" t="s">
        <v>335</v>
      </c>
      <c r="O156" s="16" t="s">
        <v>650</v>
      </c>
      <c r="P156" s="16" t="s">
        <v>420</v>
      </c>
      <c r="Q156" s="20" t="n">
        <v>46283</v>
      </c>
      <c r="R156" s="16" t="s">
        <v>929</v>
      </c>
      <c r="S156" s="16" t="s">
        <v>404</v>
      </c>
      <c r="T156" s="17"/>
      <c r="U156" s="21" t="n">
        <v>1</v>
      </c>
      <c r="V156" s="21" t="n">
        <v>1</v>
      </c>
      <c r="W156" s="22" t="n">
        <v>3</v>
      </c>
      <c r="X156" s="16" t="s">
        <v>335</v>
      </c>
      <c r="Y156" s="16" t="s">
        <v>338</v>
      </c>
      <c r="Z156" s="16" t="s">
        <v>413</v>
      </c>
      <c r="AA156" s="16" t="s">
        <v>427</v>
      </c>
      <c r="AB156" s="23" t="s">
        <v>930</v>
      </c>
      <c r="AC156" s="17" t="n">
        <v>46283.8344212963</v>
      </c>
      <c r="AD156" s="16" t="s">
        <v>406</v>
      </c>
      <c r="AE156" s="16"/>
      <c r="AF156" s="16" t="str">
        <f aca="false">IF(COUNTIF(لیست_سفید!$A$2:$A$21,B156)&gt;0,"بله","خیر")</f>
        <v>خیر</v>
      </c>
      <c r="AG156" s="24" t="n">
        <f aca="false">IF(H156="","",IF(AD156="فیش مفقودی",تنظیمات!$B$6,(INT(I156/1440)*تنظیمات!$B$5+IF(MOD(I156,1440)&lt;=تنظیمات!$B$2,0,MIN(تنظیمات!$B$5,تنظیمات!$B$3+MAX(0,ROUNDUP((MOD(I156,1440)-60)/60,0))*تنظیمات!$B$4)))*INDEX(تعرفه!$B$2:$B$7,MATCH(AD156,تعرفه!$A$2:$A$7,0))))</f>
        <v>300000</v>
      </c>
      <c r="AH156" s="24" t="n">
        <v>300000</v>
      </c>
      <c r="AI156" s="24" t="n">
        <f aca="false">IF(AG156="","",AH156-AG156)</f>
        <v>0</v>
      </c>
      <c r="AJ156" s="21" t="n">
        <v>2</v>
      </c>
      <c r="AK156" s="21" t="n">
        <v>0</v>
      </c>
      <c r="AL156" s="16" t="s">
        <v>335</v>
      </c>
      <c r="AM156" s="16"/>
      <c r="AN156" s="16" t="s">
        <v>340</v>
      </c>
      <c r="AO156" s="16" t="s">
        <v>340</v>
      </c>
      <c r="AP156" s="16" t="s">
        <v>335</v>
      </c>
      <c r="AQ156" s="16" t="s">
        <v>340</v>
      </c>
      <c r="AR156" s="21" t="n">
        <f aca="false">IF(AND(T156&lt;&gt;"",H156&lt;&gt;""),IF(AND((T156-H156)*86400&gt;=0,(T156-H156)*86400&lt;تنظیمات!$B$13),1,0),0)</f>
        <v>0</v>
      </c>
      <c r="AS156" s="21" t="n">
        <f aca="false">IF(Z156="پوز",IF(OR(AB156="",COUNTIF(پوزها!$A$2:$A$5,AA156)=0),1,0),0)</f>
        <v>0</v>
      </c>
      <c r="AT156" s="21" t="n">
        <f aca="false">IF(AI156="",0,IF(AI156&gt;0,1,0))</f>
        <v>0</v>
      </c>
      <c r="AU156" s="21" t="n">
        <f aca="false">IF(AI156="",0,IF(AI156&lt;0,1,0))</f>
        <v>0</v>
      </c>
      <c r="AV156" s="21" t="n">
        <f aca="false">IF(U156&gt;V156,1,0)</f>
        <v>0</v>
      </c>
      <c r="AW156" s="21" t="n">
        <f aca="false">IF(OR(W156&gt;تنظیمات!$B$8,X156="بله"),1,0)</f>
        <v>0</v>
      </c>
      <c r="AX156" s="21" t="n">
        <f aca="false">IF(AND(N156="بله",L156&gt;تنظیمات!$B$9),1,0)</f>
        <v>0</v>
      </c>
      <c r="AY156" s="21" t="n">
        <f aca="false">IF(Y156="معکوس",1,0)</f>
        <v>0</v>
      </c>
      <c r="AZ156" s="21" t="n">
        <f aca="false">IF(ABS(AJ156)&gt;تنظیمات!$B$10,1,0)</f>
        <v>0</v>
      </c>
      <c r="BA156" s="21" t="n">
        <f aca="false">IF(AND(OR(AD156="رایگان/VIP",AD156="جانباز"),AF156="خیر"),1,0)</f>
        <v>0</v>
      </c>
      <c r="BB156" s="21" t="n">
        <f aca="false">IF(AE156="",0,IF(COUNTIF($AE$2:$AE$1001,AE156)&gt;1,1,0))</f>
        <v>0</v>
      </c>
      <c r="BC156" s="21" t="n">
        <f aca="false">IF(AND(H156="",I156&gt;تنظیمات!$B$12*60,AM156="خالی"),1,0)</f>
        <v>0</v>
      </c>
      <c r="BD156" s="21" t="n">
        <f aca="false">IF(AND(AP156="بله",I156&lt;تنظیمات!$B$14,AO156="خیر"),1,0)</f>
        <v>0</v>
      </c>
      <c r="BE156" s="21" t="n">
        <f aca="false">IF(AN156="خیر",1,0)</f>
        <v>0</v>
      </c>
      <c r="BF156" s="21" t="n">
        <f aca="false">IF(AND(AD156="فیش مفقودی",AQ156="بله",I156&gt;تنظیمات!$B$12*60),1,0)</f>
        <v>0</v>
      </c>
      <c r="BG156" s="21" t="n">
        <f aca="false">IF(AND(AK156&gt;تنظیمات!$B$11,AL156="بله"),1,0)</f>
        <v>0</v>
      </c>
      <c r="BH156" s="21" t="n">
        <f aca="false">MIN(100,AR156*تنظیمات!$B$21+AS156*تنظیمات!$B$22+AT156*تنظیمات!$B$23+AU156*تنظیمات!$B$24+AV156*تنظیمات!$B$25+AW156*تنظیمات!$B$26+AX156*تنظیمات!$B$27+AY156*تنظیمات!$B$28+AZ156*تنظیمات!$B$29+BA156*تنظیمات!$B$30+BB156*تنظیمات!$B$31+BC156*تنظیمات!$B$32+BD156*تنظیمات!$B$33+BE156*تنظیمات!$B$34+BF156*تنظیمات!$B$35+BG156*تنظیمات!$B$36)</f>
        <v>0</v>
      </c>
      <c r="BI156" s="16" t="str">
        <f aca="false">IF(BH156&gt;=60,"بحرانی",IF(BH156&gt;=30,"مشکوک",IF(BH156&gt;0,"هشدار","عادی")))</f>
        <v>عادی</v>
      </c>
      <c r="BJ156" s="16" t="s">
        <v>338</v>
      </c>
    </row>
    <row r="157" customFormat="false" ht="15" hidden="false" customHeight="false" outlineLevel="0" collapsed="false">
      <c r="A157" s="16" t="s">
        <v>931</v>
      </c>
      <c r="B157" s="16" t="s">
        <v>932</v>
      </c>
      <c r="C157" s="16"/>
      <c r="D157" s="16" t="s">
        <v>418</v>
      </c>
      <c r="E157" s="16" t="s">
        <v>345</v>
      </c>
      <c r="F157" s="16" t="s">
        <v>333</v>
      </c>
      <c r="G157" s="17" t="n">
        <v>46283.357962963</v>
      </c>
      <c r="H157" s="17" t="n">
        <v>46283.6197685185</v>
      </c>
      <c r="I157" s="18" t="n">
        <f aca="false">IF(H157="",ROUND((تنظیمات!$B$7-G157)*1440,0),ROUND((H157-G157)*1440,0))</f>
        <v>377</v>
      </c>
      <c r="J157" s="16" t="s">
        <v>346</v>
      </c>
      <c r="K157" s="16" t="s">
        <v>410</v>
      </c>
      <c r="L157" s="19" t="n">
        <v>0.947</v>
      </c>
      <c r="M157" s="19" t="n">
        <v>0.904</v>
      </c>
      <c r="N157" s="16" t="s">
        <v>335</v>
      </c>
      <c r="O157" s="16" t="s">
        <v>666</v>
      </c>
      <c r="P157" s="16" t="s">
        <v>420</v>
      </c>
      <c r="Q157" s="20" t="n">
        <v>46283</v>
      </c>
      <c r="R157" s="16" t="s">
        <v>933</v>
      </c>
      <c r="S157" s="16" t="s">
        <v>404</v>
      </c>
      <c r="T157" s="17"/>
      <c r="U157" s="21" t="n">
        <v>1</v>
      </c>
      <c r="V157" s="21" t="n">
        <v>1</v>
      </c>
      <c r="W157" s="22" t="n">
        <v>5.4</v>
      </c>
      <c r="X157" s="16" t="s">
        <v>335</v>
      </c>
      <c r="Y157" s="16" t="s">
        <v>338</v>
      </c>
      <c r="Z157" s="16" t="s">
        <v>413</v>
      </c>
      <c r="AA157" s="16" t="s">
        <v>414</v>
      </c>
      <c r="AB157" s="23" t="s">
        <v>934</v>
      </c>
      <c r="AC157" s="17" t="n">
        <v>46283.6193981482</v>
      </c>
      <c r="AD157" s="16" t="s">
        <v>338</v>
      </c>
      <c r="AE157" s="16"/>
      <c r="AF157" s="16" t="str">
        <f aca="false">IF(COUNTIF(لیست_سفید!$A$2:$A$21,B157)&gt;0,"بله","خیر")</f>
        <v>خیر</v>
      </c>
      <c r="AG157" s="24" t="n">
        <f aca="false">IF(H157="","",IF(AD157="فیش مفقودی",تنظیمات!$B$6,(INT(I157/1440)*تنظیمات!$B$5+IF(MOD(I157,1440)&lt;=تنظیمات!$B$2,0,MIN(تنظیمات!$B$5,تنظیمات!$B$3+MAX(0,ROUNDUP((MOD(I157,1440)-60)/60,0))*تنظیمات!$B$4)))*INDEX(تعرفه!$B$2:$B$7,MATCH(AD157,تعرفه!$A$2:$A$7,0))))</f>
        <v>104000</v>
      </c>
      <c r="AH157" s="24" t="n">
        <v>104000</v>
      </c>
      <c r="AI157" s="24" t="n">
        <f aca="false">IF(AG157="","",AH157-AG157)</f>
        <v>0</v>
      </c>
      <c r="AJ157" s="21" t="n">
        <v>1</v>
      </c>
      <c r="AK157" s="21" t="n">
        <v>0</v>
      </c>
      <c r="AL157" s="16" t="s">
        <v>335</v>
      </c>
      <c r="AM157" s="16"/>
      <c r="AN157" s="16" t="s">
        <v>340</v>
      </c>
      <c r="AO157" s="16" t="s">
        <v>340</v>
      </c>
      <c r="AP157" s="16" t="s">
        <v>335</v>
      </c>
      <c r="AQ157" s="16"/>
      <c r="AR157" s="21" t="n">
        <f aca="false">IF(AND(T157&lt;&gt;"",H157&lt;&gt;""),IF(AND((T157-H157)*86400&gt;=0,(T157-H157)*86400&lt;تنظیمات!$B$13),1,0),0)</f>
        <v>0</v>
      </c>
      <c r="AS157" s="21" t="n">
        <f aca="false">IF(Z157="پوز",IF(OR(AB157="",COUNTIF(پوزها!$A$2:$A$5,AA157)=0),1,0),0)</f>
        <v>0</v>
      </c>
      <c r="AT157" s="21" t="n">
        <f aca="false">IF(AI157="",0,IF(AI157&gt;0,1,0))</f>
        <v>0</v>
      </c>
      <c r="AU157" s="21" t="n">
        <f aca="false">IF(AI157="",0,IF(AI157&lt;0,1,0))</f>
        <v>0</v>
      </c>
      <c r="AV157" s="21" t="n">
        <f aca="false">IF(U157&gt;V157,1,0)</f>
        <v>0</v>
      </c>
      <c r="AW157" s="21" t="n">
        <f aca="false">IF(OR(W157&gt;تنظیمات!$B$8,X157="بله"),1,0)</f>
        <v>0</v>
      </c>
      <c r="AX157" s="21" t="n">
        <f aca="false">IF(AND(N157="بله",L157&gt;تنظیمات!$B$9),1,0)</f>
        <v>0</v>
      </c>
      <c r="AY157" s="21" t="n">
        <f aca="false">IF(Y157="معکوس",1,0)</f>
        <v>0</v>
      </c>
      <c r="AZ157" s="21" t="n">
        <f aca="false">IF(ABS(AJ157)&gt;تنظیمات!$B$10,1,0)</f>
        <v>0</v>
      </c>
      <c r="BA157" s="21" t="n">
        <f aca="false">IF(AND(OR(AD157="رایگان/VIP",AD157="جانباز"),AF157="خیر"),1,0)</f>
        <v>0</v>
      </c>
      <c r="BB157" s="21" t="n">
        <f aca="false">IF(AE157="",0,IF(COUNTIF($AE$2:$AE$1001,AE157)&gt;1,1,0))</f>
        <v>0</v>
      </c>
      <c r="BC157" s="21" t="n">
        <f aca="false">IF(AND(H157="",I157&gt;تنظیمات!$B$12*60,AM157="خالی"),1,0)</f>
        <v>0</v>
      </c>
      <c r="BD157" s="21" t="n">
        <f aca="false">IF(AND(AP157="بله",I157&lt;تنظیمات!$B$14,AO157="خیر"),1,0)</f>
        <v>0</v>
      </c>
      <c r="BE157" s="21" t="n">
        <f aca="false">IF(AN157="خیر",1,0)</f>
        <v>0</v>
      </c>
      <c r="BF157" s="21" t="n">
        <f aca="false">IF(AND(AD157="فیش مفقودی",AQ157="بله",I157&gt;تنظیمات!$B$12*60),1,0)</f>
        <v>0</v>
      </c>
      <c r="BG157" s="21" t="n">
        <f aca="false">IF(AND(AK157&gt;تنظیمات!$B$11,AL157="بله"),1,0)</f>
        <v>0</v>
      </c>
      <c r="BH157" s="21" t="n">
        <f aca="false">MIN(100,AR157*تنظیمات!$B$21+AS157*تنظیمات!$B$22+AT157*تنظیمات!$B$23+AU157*تنظیمات!$B$24+AV157*تنظیمات!$B$25+AW157*تنظیمات!$B$26+AX157*تنظیمات!$B$27+AY157*تنظیمات!$B$28+AZ157*تنظیمات!$B$29+BA157*تنظیمات!$B$30+BB157*تنظیمات!$B$31+BC157*تنظیمات!$B$32+BD157*تنظیمات!$B$33+BE157*تنظیمات!$B$34+BF157*تنظیمات!$B$35+BG157*تنظیمات!$B$36)</f>
        <v>0</v>
      </c>
      <c r="BI157" s="16" t="str">
        <f aca="false">IF(BH157&gt;=60,"بحرانی",IF(BH157&gt;=30,"مشکوک",IF(BH157&gt;0,"هشدار","عادی")))</f>
        <v>عادی</v>
      </c>
      <c r="BJ157" s="16" t="s">
        <v>338</v>
      </c>
    </row>
    <row r="158" customFormat="false" ht="15" hidden="false" customHeight="false" outlineLevel="0" collapsed="false">
      <c r="A158" s="16" t="s">
        <v>935</v>
      </c>
      <c r="B158" s="16" t="s">
        <v>936</v>
      </c>
      <c r="C158" s="16"/>
      <c r="D158" s="16" t="s">
        <v>440</v>
      </c>
      <c r="E158" s="16" t="s">
        <v>332</v>
      </c>
      <c r="F158" s="16" t="s">
        <v>359</v>
      </c>
      <c r="G158" s="17" t="n">
        <v>46283.361712963</v>
      </c>
      <c r="H158" s="17" t="n">
        <v>46283.3999074074</v>
      </c>
      <c r="I158" s="18" t="n">
        <f aca="false">IF(H158="",ROUND((تنظیمات!$B$7-G158)*1440,0),ROUND((H158-G158)*1440,0))</f>
        <v>55</v>
      </c>
      <c r="J158" s="16" t="s">
        <v>346</v>
      </c>
      <c r="K158" s="16" t="s">
        <v>410</v>
      </c>
      <c r="L158" s="19" t="n">
        <v>0.995</v>
      </c>
      <c r="M158" s="19" t="n">
        <v>0.904</v>
      </c>
      <c r="N158" s="16" t="s">
        <v>335</v>
      </c>
      <c r="O158" s="16" t="s">
        <v>419</v>
      </c>
      <c r="P158" s="16" t="s">
        <v>402</v>
      </c>
      <c r="Q158" s="20" t="n">
        <v>46283</v>
      </c>
      <c r="R158" s="16" t="s">
        <v>937</v>
      </c>
      <c r="S158" s="16" t="s">
        <v>404</v>
      </c>
      <c r="T158" s="17"/>
      <c r="U158" s="21" t="n">
        <v>1</v>
      </c>
      <c r="V158" s="21" t="n">
        <v>1</v>
      </c>
      <c r="W158" s="22" t="n">
        <v>6.6</v>
      </c>
      <c r="X158" s="16" t="s">
        <v>335</v>
      </c>
      <c r="Y158" s="16" t="s">
        <v>338</v>
      </c>
      <c r="Z158" s="16" t="s">
        <v>413</v>
      </c>
      <c r="AA158" s="16" t="s">
        <v>414</v>
      </c>
      <c r="AB158" s="23" t="s">
        <v>938</v>
      </c>
      <c r="AC158" s="17" t="n">
        <v>46283.3990972222</v>
      </c>
      <c r="AD158" s="16" t="s">
        <v>338</v>
      </c>
      <c r="AE158" s="16"/>
      <c r="AF158" s="16" t="str">
        <f aca="false">IF(COUNTIF(لیست_سفید!$A$2:$A$21,B158)&gt;0,"بله","خیر")</f>
        <v>خیر</v>
      </c>
      <c r="AG158" s="24" t="n">
        <f aca="false">IF(H158="","",IF(AD158="فیش مفقودی",تنظیمات!$B$6,(INT(I158/1440)*تنظیمات!$B$5+IF(MOD(I158,1440)&lt;=تنظیمات!$B$2,0,MIN(تنظیمات!$B$5,تنظیمات!$B$3+MAX(0,ROUNDUP((MOD(I158,1440)-60)/60,0))*تنظیمات!$B$4)))*INDEX(تعرفه!$B$2:$B$7,MATCH(AD158,تعرفه!$A$2:$A$7,0))))</f>
        <v>20000</v>
      </c>
      <c r="AH158" s="24" t="n">
        <v>20000</v>
      </c>
      <c r="AI158" s="24" t="n">
        <f aca="false">IF(AG158="","",AH158-AG158)</f>
        <v>0</v>
      </c>
      <c r="AJ158" s="21" t="n">
        <v>-2700</v>
      </c>
      <c r="AK158" s="21" t="n">
        <v>0</v>
      </c>
      <c r="AL158" s="16" t="s">
        <v>335</v>
      </c>
      <c r="AM158" s="16"/>
      <c r="AN158" s="16" t="s">
        <v>340</v>
      </c>
      <c r="AO158" s="16" t="s">
        <v>340</v>
      </c>
      <c r="AP158" s="16" t="s">
        <v>335</v>
      </c>
      <c r="AQ158" s="16"/>
      <c r="AR158" s="21" t="n">
        <f aca="false">IF(AND(T158&lt;&gt;"",H158&lt;&gt;""),IF(AND((T158-H158)*86400&gt;=0,(T158-H158)*86400&lt;تنظیمات!$B$13),1,0),0)</f>
        <v>0</v>
      </c>
      <c r="AS158" s="21" t="n">
        <f aca="false">IF(Z158="پوز",IF(OR(AB158="",COUNTIF(پوزها!$A$2:$A$5,AA158)=0),1,0),0)</f>
        <v>0</v>
      </c>
      <c r="AT158" s="21" t="n">
        <f aca="false">IF(AI158="",0,IF(AI158&gt;0,1,0))</f>
        <v>0</v>
      </c>
      <c r="AU158" s="21" t="n">
        <f aca="false">IF(AI158="",0,IF(AI158&lt;0,1,0))</f>
        <v>0</v>
      </c>
      <c r="AV158" s="21" t="n">
        <f aca="false">IF(U158&gt;V158,1,0)</f>
        <v>0</v>
      </c>
      <c r="AW158" s="21" t="n">
        <f aca="false">IF(OR(W158&gt;تنظیمات!$B$8,X158="بله"),1,0)</f>
        <v>0</v>
      </c>
      <c r="AX158" s="21" t="n">
        <f aca="false">IF(AND(N158="بله",L158&gt;تنظیمات!$B$9),1,0)</f>
        <v>0</v>
      </c>
      <c r="AY158" s="21" t="n">
        <f aca="false">IF(Y158="معکوس",1,0)</f>
        <v>0</v>
      </c>
      <c r="AZ158" s="21" t="n">
        <f aca="false">IF(ABS(AJ158)&gt;تنظیمات!$B$10,1,0)</f>
        <v>1</v>
      </c>
      <c r="BA158" s="21" t="n">
        <f aca="false">IF(AND(OR(AD158="رایگان/VIP",AD158="جانباز"),AF158="خیر"),1,0)</f>
        <v>0</v>
      </c>
      <c r="BB158" s="21" t="n">
        <f aca="false">IF(AE158="",0,IF(COUNTIF($AE$2:$AE$1001,AE158)&gt;1,1,0))</f>
        <v>0</v>
      </c>
      <c r="BC158" s="21" t="n">
        <f aca="false">IF(AND(H158="",I158&gt;تنظیمات!$B$12*60,AM158="خالی"),1,0)</f>
        <v>0</v>
      </c>
      <c r="BD158" s="21" t="n">
        <f aca="false">IF(AND(AP158="بله",I158&lt;تنظیمات!$B$14,AO158="خیر"),1,0)</f>
        <v>0</v>
      </c>
      <c r="BE158" s="21" t="n">
        <f aca="false">IF(AN158="خیر",1,0)</f>
        <v>0</v>
      </c>
      <c r="BF158" s="21" t="n">
        <f aca="false">IF(AND(AD158="فیش مفقودی",AQ158="بله",I158&gt;تنظیمات!$B$12*60),1,0)</f>
        <v>0</v>
      </c>
      <c r="BG158" s="21" t="n">
        <f aca="false">IF(AND(AK158&gt;تنظیمات!$B$11,AL158="بله"),1,0)</f>
        <v>0</v>
      </c>
      <c r="BH158" s="21" t="n">
        <f aca="false">MIN(100,AR158*تنظیمات!$B$21+AS158*تنظیمات!$B$22+AT158*تنظیمات!$B$23+AU158*تنظیمات!$B$24+AV158*تنظیمات!$B$25+AW158*تنظیمات!$B$26+AX158*تنظیمات!$B$27+AY158*تنظیمات!$B$28+AZ158*تنظیمات!$B$29+BA158*تنظیمات!$B$30+BB158*تنظیمات!$B$31+BC158*تنظیمات!$B$32+BD158*تنظیمات!$B$33+BE158*تنظیمات!$B$34+BF158*تنظیمات!$B$35+BG158*تنظیمات!$B$36)</f>
        <v>30</v>
      </c>
      <c r="BI158" s="16" t="str">
        <f aca="false">IF(BH158&gt;=60,"بحرانی",IF(BH158&gt;=30,"مشکوک",IF(BH158&gt;0,"هشدار","عادی")))</f>
        <v>مشکوک</v>
      </c>
      <c r="BJ158" s="16" t="s">
        <v>939</v>
      </c>
    </row>
    <row r="159" customFormat="false" ht="15" hidden="false" customHeight="false" outlineLevel="0" collapsed="false">
      <c r="A159" s="16" t="s">
        <v>940</v>
      </c>
      <c r="B159" s="16" t="s">
        <v>941</v>
      </c>
      <c r="C159" s="16"/>
      <c r="D159" s="16" t="s">
        <v>531</v>
      </c>
      <c r="E159" s="16" t="s">
        <v>375</v>
      </c>
      <c r="F159" s="16" t="s">
        <v>333</v>
      </c>
      <c r="G159" s="17" t="n">
        <v>46283.3703703704</v>
      </c>
      <c r="H159" s="17" t="n">
        <v>46283.6439814815</v>
      </c>
      <c r="I159" s="18" t="n">
        <f aca="false">IF(H159="",ROUND((تنظیمات!$B$7-G159)*1440,0),ROUND((H159-G159)*1440,0))</f>
        <v>394</v>
      </c>
      <c r="J159" s="16" t="s">
        <v>346</v>
      </c>
      <c r="K159" s="16" t="s">
        <v>400</v>
      </c>
      <c r="L159" s="19" t="n">
        <v>0.981</v>
      </c>
      <c r="M159" s="19" t="n">
        <v>0.9</v>
      </c>
      <c r="N159" s="16" t="s">
        <v>335</v>
      </c>
      <c r="O159" s="16" t="s">
        <v>650</v>
      </c>
      <c r="P159" s="16" t="s">
        <v>420</v>
      </c>
      <c r="Q159" s="20" t="n">
        <v>46283</v>
      </c>
      <c r="R159" s="16" t="s">
        <v>942</v>
      </c>
      <c r="S159" s="16" t="s">
        <v>404</v>
      </c>
      <c r="T159" s="17"/>
      <c r="U159" s="21" t="n">
        <v>1</v>
      </c>
      <c r="V159" s="21" t="n">
        <v>1</v>
      </c>
      <c r="W159" s="22" t="n">
        <v>5.7</v>
      </c>
      <c r="X159" s="16" t="s">
        <v>335</v>
      </c>
      <c r="Y159" s="16" t="s">
        <v>338</v>
      </c>
      <c r="Z159" s="16" t="s">
        <v>443</v>
      </c>
      <c r="AA159" s="16"/>
      <c r="AB159" s="23"/>
      <c r="AC159" s="17"/>
      <c r="AD159" s="16" t="s">
        <v>444</v>
      </c>
      <c r="AE159" s="16"/>
      <c r="AF159" s="16" t="str">
        <f aca="false">IF(COUNTIF(لیست_سفید!$A$2:$A$21,B159)&gt;0,"بله","خیر")</f>
        <v>خیر</v>
      </c>
      <c r="AG159" s="24" t="n">
        <f aca="false">IF(H159="","",IF(AD159="فیش مفقودی",تنظیمات!$B$6,(INT(I159/1440)*تنظیمات!$B$5+IF(MOD(I159,1440)&lt;=تنظیمات!$B$2,0,MIN(تنظیمات!$B$5,تنظیمات!$B$3+MAX(0,ROUNDUP((MOD(I159,1440)-60)/60,0))*تنظیمات!$B$4)))*INDEX(تعرفه!$B$2:$B$7,MATCH(AD159,تعرفه!$A$2:$A$7,0))))</f>
        <v>0</v>
      </c>
      <c r="AH159" s="24" t="n">
        <v>0</v>
      </c>
      <c r="AI159" s="24" t="n">
        <f aca="false">IF(AG159="","",AH159-AG159)</f>
        <v>0</v>
      </c>
      <c r="AJ159" s="21" t="n">
        <v>-1</v>
      </c>
      <c r="AK159" s="21" t="n">
        <v>0</v>
      </c>
      <c r="AL159" s="16" t="s">
        <v>335</v>
      </c>
      <c r="AM159" s="16"/>
      <c r="AN159" s="16" t="s">
        <v>340</v>
      </c>
      <c r="AO159" s="16" t="s">
        <v>340</v>
      </c>
      <c r="AP159" s="16" t="s">
        <v>335</v>
      </c>
      <c r="AQ159" s="16"/>
      <c r="AR159" s="21" t="n">
        <f aca="false">IF(AND(T159&lt;&gt;"",H159&lt;&gt;""),IF(AND((T159-H159)*86400&gt;=0,(T159-H159)*86400&lt;تنظیمات!$B$13),1,0),0)</f>
        <v>0</v>
      </c>
      <c r="AS159" s="21" t="n">
        <f aca="false">IF(Z159="پوز",IF(OR(AB159="",COUNTIF(پوزها!$A$2:$A$5,AA159)=0),1,0),0)</f>
        <v>0</v>
      </c>
      <c r="AT159" s="21" t="n">
        <f aca="false">IF(AI159="",0,IF(AI159&gt;0,1,0))</f>
        <v>0</v>
      </c>
      <c r="AU159" s="21" t="n">
        <f aca="false">IF(AI159="",0,IF(AI159&lt;0,1,0))</f>
        <v>0</v>
      </c>
      <c r="AV159" s="21" t="n">
        <f aca="false">IF(U159&gt;V159,1,0)</f>
        <v>0</v>
      </c>
      <c r="AW159" s="21" t="n">
        <f aca="false">IF(OR(W159&gt;تنظیمات!$B$8,X159="بله"),1,0)</f>
        <v>0</v>
      </c>
      <c r="AX159" s="21" t="n">
        <f aca="false">IF(AND(N159="بله",L159&gt;تنظیمات!$B$9),1,0)</f>
        <v>0</v>
      </c>
      <c r="AY159" s="21" t="n">
        <f aca="false">IF(Y159="معکوس",1,0)</f>
        <v>0</v>
      </c>
      <c r="AZ159" s="21" t="n">
        <f aca="false">IF(ABS(AJ159)&gt;تنظیمات!$B$10,1,0)</f>
        <v>0</v>
      </c>
      <c r="BA159" s="21" t="n">
        <f aca="false">IF(AND(OR(AD159="رایگان/VIP",AD159="جانباز"),AF159="خیر"),1,0)</f>
        <v>0</v>
      </c>
      <c r="BB159" s="21" t="n">
        <f aca="false">IF(AE159="",0,IF(COUNTIF($AE$2:$AE$1001,AE159)&gt;1,1,0))</f>
        <v>0</v>
      </c>
      <c r="BC159" s="21" t="n">
        <f aca="false">IF(AND(H159="",I159&gt;تنظیمات!$B$12*60,AM159="خالی"),1,0)</f>
        <v>0</v>
      </c>
      <c r="BD159" s="21" t="n">
        <f aca="false">IF(AND(AP159="بله",I159&lt;تنظیمات!$B$14,AO159="خیر"),1,0)</f>
        <v>0</v>
      </c>
      <c r="BE159" s="21" t="n">
        <f aca="false">IF(AN159="خیر",1,0)</f>
        <v>0</v>
      </c>
      <c r="BF159" s="21" t="n">
        <f aca="false">IF(AND(AD159="فیش مفقودی",AQ159="بله",I159&gt;تنظیمات!$B$12*60),1,0)</f>
        <v>0</v>
      </c>
      <c r="BG159" s="21" t="n">
        <f aca="false">IF(AND(AK159&gt;تنظیمات!$B$11,AL159="بله"),1,0)</f>
        <v>0</v>
      </c>
      <c r="BH159" s="21" t="n">
        <f aca="false">MIN(100,AR159*تنظیمات!$B$21+AS159*تنظیمات!$B$22+AT159*تنظیمات!$B$23+AU159*تنظیمات!$B$24+AV159*تنظیمات!$B$25+AW159*تنظیمات!$B$26+AX159*تنظیمات!$B$27+AY159*تنظیمات!$B$28+AZ159*تنظیمات!$B$29+BA159*تنظیمات!$B$30+BB159*تنظیمات!$B$31+BC159*تنظیمات!$B$32+BD159*تنظیمات!$B$33+BE159*تنظیمات!$B$34+BF159*تنظیمات!$B$35+BG159*تنظیمات!$B$36)</f>
        <v>0</v>
      </c>
      <c r="BI159" s="16" t="str">
        <f aca="false">IF(BH159&gt;=60,"بحرانی",IF(BH159&gt;=30,"مشکوک",IF(BH159&gt;0,"هشدار","عادی")))</f>
        <v>عادی</v>
      </c>
      <c r="BJ159" s="16" t="s">
        <v>338</v>
      </c>
    </row>
    <row r="160" customFormat="false" ht="15" hidden="false" customHeight="false" outlineLevel="0" collapsed="false">
      <c r="A160" s="16" t="s">
        <v>943</v>
      </c>
      <c r="B160" s="16" t="s">
        <v>944</v>
      </c>
      <c r="C160" s="16"/>
      <c r="D160" s="16" t="s">
        <v>350</v>
      </c>
      <c r="E160" s="16" t="s">
        <v>351</v>
      </c>
      <c r="F160" s="16" t="s">
        <v>333</v>
      </c>
      <c r="G160" s="17" t="n">
        <v>46283.3816087963</v>
      </c>
      <c r="H160" s="17" t="n">
        <v>46283.4413310185</v>
      </c>
      <c r="I160" s="18" t="n">
        <f aca="false">IF(H160="",ROUND((تنظیمات!$B$7-G160)*1440,0),ROUND((H160-G160)*1440,0))</f>
        <v>86</v>
      </c>
      <c r="J160" s="16" t="s">
        <v>346</v>
      </c>
      <c r="K160" s="16" t="s">
        <v>400</v>
      </c>
      <c r="L160" s="19" t="n">
        <v>0.956</v>
      </c>
      <c r="M160" s="19" t="n">
        <v>0.96</v>
      </c>
      <c r="N160" s="16" t="s">
        <v>335</v>
      </c>
      <c r="O160" s="16" t="s">
        <v>401</v>
      </c>
      <c r="P160" s="16" t="s">
        <v>402</v>
      </c>
      <c r="Q160" s="20" t="n">
        <v>46283</v>
      </c>
      <c r="R160" s="16" t="s">
        <v>945</v>
      </c>
      <c r="S160" s="16" t="s">
        <v>606</v>
      </c>
      <c r="T160" s="17" t="n">
        <v>46283.4425231482</v>
      </c>
      <c r="U160" s="21" t="n">
        <v>1</v>
      </c>
      <c r="V160" s="21" t="n">
        <v>1</v>
      </c>
      <c r="W160" s="22" t="n">
        <v>6.2</v>
      </c>
      <c r="X160" s="16" t="s">
        <v>335</v>
      </c>
      <c r="Y160" s="16" t="s">
        <v>338</v>
      </c>
      <c r="Z160" s="16" t="s">
        <v>405</v>
      </c>
      <c r="AA160" s="16"/>
      <c r="AB160" s="23"/>
      <c r="AC160" s="17"/>
      <c r="AD160" s="16" t="s">
        <v>338</v>
      </c>
      <c r="AE160" s="16"/>
      <c r="AF160" s="16" t="str">
        <f aca="false">IF(COUNTIF(لیست_سفید!$A$2:$A$21,B160)&gt;0,"بله","خیر")</f>
        <v>خیر</v>
      </c>
      <c r="AG160" s="24" t="n">
        <f aca="false">IF(H160="","",IF(AD160="فیش مفقودی",تنظیمات!$B$6,(INT(I160/1440)*تنظیمات!$B$5+IF(MOD(I160,1440)&lt;=تنظیمات!$B$2,0,MIN(تنظیمات!$B$5,تنظیمات!$B$3+MAX(0,ROUNDUP((MOD(I160,1440)-60)/60,0))*تنظیمات!$B$4)))*INDEX(تعرفه!$B$2:$B$7,MATCH(AD160,تعرفه!$A$2:$A$7,0))))</f>
        <v>34000</v>
      </c>
      <c r="AH160" s="24" t="n">
        <v>0</v>
      </c>
      <c r="AI160" s="24" t="n">
        <f aca="false">IF(AG160="","",AH160-AG160)</f>
        <v>-34000</v>
      </c>
      <c r="AJ160" s="21" t="n">
        <v>0</v>
      </c>
      <c r="AK160" s="21" t="n">
        <v>0</v>
      </c>
      <c r="AL160" s="16" t="s">
        <v>335</v>
      </c>
      <c r="AM160" s="16"/>
      <c r="AN160" s="16" t="s">
        <v>340</v>
      </c>
      <c r="AO160" s="16" t="s">
        <v>340</v>
      </c>
      <c r="AP160" s="16" t="s">
        <v>335</v>
      </c>
      <c r="AQ160" s="16"/>
      <c r="AR160" s="21" t="n">
        <f aca="false">IF(AND(T160&lt;&gt;"",H160&lt;&gt;""),IF(AND((T160-H160)*86400&gt;=0,(T160-H160)*86400&lt;تنظیمات!$B$13),1,0),0)</f>
        <v>1</v>
      </c>
      <c r="AS160" s="21" t="n">
        <f aca="false">IF(Z160="پوز",IF(OR(AB160="",COUNTIF(پوزها!$A$2:$A$5,AA160)=0),1,0),0)</f>
        <v>0</v>
      </c>
      <c r="AT160" s="21" t="n">
        <f aca="false">IF(AI160="",0,IF(AI160&gt;0,1,0))</f>
        <v>0</v>
      </c>
      <c r="AU160" s="21" t="n">
        <f aca="false">IF(AI160="",0,IF(AI160&lt;0,1,0))</f>
        <v>1</v>
      </c>
      <c r="AV160" s="21" t="n">
        <f aca="false">IF(U160&gt;V160,1,0)</f>
        <v>0</v>
      </c>
      <c r="AW160" s="21" t="n">
        <f aca="false">IF(OR(W160&gt;تنظیمات!$B$8,X160="بله"),1,0)</f>
        <v>0</v>
      </c>
      <c r="AX160" s="21" t="n">
        <f aca="false">IF(AND(N160="بله",L160&gt;تنظیمات!$B$9),1,0)</f>
        <v>0</v>
      </c>
      <c r="AY160" s="21" t="n">
        <f aca="false">IF(Y160="معکوس",1,0)</f>
        <v>0</v>
      </c>
      <c r="AZ160" s="21" t="n">
        <f aca="false">IF(ABS(AJ160)&gt;تنظیمات!$B$10,1,0)</f>
        <v>0</v>
      </c>
      <c r="BA160" s="21" t="n">
        <f aca="false">IF(AND(OR(AD160="رایگان/VIP",AD160="جانباز"),AF160="خیر"),1,0)</f>
        <v>0</v>
      </c>
      <c r="BB160" s="21" t="n">
        <f aca="false">IF(AE160="",0,IF(COUNTIF($AE$2:$AE$1001,AE160)&gt;1,1,0))</f>
        <v>0</v>
      </c>
      <c r="BC160" s="21" t="n">
        <f aca="false">IF(AND(H160="",I160&gt;تنظیمات!$B$12*60,AM160="خالی"),1,0)</f>
        <v>0</v>
      </c>
      <c r="BD160" s="21" t="n">
        <f aca="false">IF(AND(AP160="بله",I160&lt;تنظیمات!$B$14,AO160="خیر"),1,0)</f>
        <v>0</v>
      </c>
      <c r="BE160" s="21" t="n">
        <f aca="false">IF(AN160="خیر",1,0)</f>
        <v>0</v>
      </c>
      <c r="BF160" s="21" t="n">
        <f aca="false">IF(AND(AD160="فیش مفقودی",AQ160="بله",I160&gt;تنظیمات!$B$12*60),1,0)</f>
        <v>0</v>
      </c>
      <c r="BG160" s="21" t="n">
        <f aca="false">IF(AND(AK160&gt;تنظیمات!$B$11,AL160="بله"),1,0)</f>
        <v>0</v>
      </c>
      <c r="BH160" s="21" t="n">
        <f aca="false">MIN(100,AR160*تنظیمات!$B$21+AS160*تنظیمات!$B$22+AT160*تنظیمات!$B$23+AU160*تنظیمات!$B$24+AV160*تنظیمات!$B$25+AW160*تنظیمات!$B$26+AX160*تنظیمات!$B$27+AY160*تنظیمات!$B$28+AZ160*تنظیمات!$B$29+BA160*تنظیمات!$B$30+BB160*تنظیمات!$B$31+BC160*تنظیمات!$B$32+BD160*تنظیمات!$B$33+BE160*تنظیمات!$B$34+BF160*تنظیمات!$B$35+BG160*تنظیمات!$B$36)</f>
        <v>65</v>
      </c>
      <c r="BI160" s="16" t="str">
        <f aca="false">IF(BH160&gt;=60,"بحرانی",IF(BH160&gt;=30,"مشکوک",IF(BH160&gt;0,"هشدار","عادی")))</f>
        <v>بحرانی</v>
      </c>
      <c r="BJ160" s="16" t="s">
        <v>607</v>
      </c>
    </row>
    <row r="161" customFormat="false" ht="15" hidden="false" customHeight="false" outlineLevel="0" collapsed="false">
      <c r="A161" s="16" t="s">
        <v>946</v>
      </c>
      <c r="B161" s="16" t="s">
        <v>947</v>
      </c>
      <c r="C161" s="16"/>
      <c r="D161" s="16" t="s">
        <v>370</v>
      </c>
      <c r="E161" s="16" t="s">
        <v>351</v>
      </c>
      <c r="F161" s="16" t="s">
        <v>333</v>
      </c>
      <c r="G161" s="17" t="n">
        <v>46283.3828703704</v>
      </c>
      <c r="H161" s="17" t="n">
        <v>46283.5516203704</v>
      </c>
      <c r="I161" s="18" t="n">
        <f aca="false">IF(H161="",ROUND((تنظیمات!$B$7-G161)*1440,0),ROUND((H161-G161)*1440,0))</f>
        <v>243</v>
      </c>
      <c r="J161" s="16" t="s">
        <v>334</v>
      </c>
      <c r="K161" s="16" t="s">
        <v>400</v>
      </c>
      <c r="L161" s="19" t="n">
        <v>0.995</v>
      </c>
      <c r="M161" s="19" t="n">
        <v>0.937</v>
      </c>
      <c r="N161" s="16" t="s">
        <v>335</v>
      </c>
      <c r="O161" s="16" t="s">
        <v>401</v>
      </c>
      <c r="P161" s="16" t="s">
        <v>402</v>
      </c>
      <c r="Q161" s="20" t="n">
        <v>46283</v>
      </c>
      <c r="R161" s="16" t="s">
        <v>948</v>
      </c>
      <c r="S161" s="16" t="s">
        <v>404</v>
      </c>
      <c r="T161" s="17"/>
      <c r="U161" s="21" t="n">
        <v>1</v>
      </c>
      <c r="V161" s="21" t="n">
        <v>1</v>
      </c>
      <c r="W161" s="22" t="n">
        <v>5.6</v>
      </c>
      <c r="X161" s="16" t="s">
        <v>335</v>
      </c>
      <c r="Y161" s="16" t="s">
        <v>338</v>
      </c>
      <c r="Z161" s="16" t="s">
        <v>405</v>
      </c>
      <c r="AA161" s="16"/>
      <c r="AB161" s="23"/>
      <c r="AC161" s="17"/>
      <c r="AD161" s="16" t="s">
        <v>481</v>
      </c>
      <c r="AE161" s="16" t="s">
        <v>949</v>
      </c>
      <c r="AF161" s="16" t="str">
        <f aca="false">IF(COUNTIF(لیست_سفید!$A$2:$A$21,B161)&gt;0,"بله","خیر")</f>
        <v>خیر</v>
      </c>
      <c r="AG161" s="24" t="n">
        <f aca="false">IF(H161="","",IF(AD161="فیش مفقودی",تنظیمات!$B$6,(INT(I161/1440)*تنظیمات!$B$5+IF(MOD(I161,1440)&lt;=تنظیمات!$B$2,0,MIN(تنظیمات!$B$5,تنظیمات!$B$3+MAX(0,ROUNDUP((MOD(I161,1440)-60)/60,0))*تنظیمات!$B$4)))*INDEX(تعرفه!$B$2:$B$7,MATCH(AD161,تعرفه!$A$2:$A$7,0))))</f>
        <v>38000</v>
      </c>
      <c r="AH161" s="24" t="n">
        <v>38000</v>
      </c>
      <c r="AI161" s="24" t="n">
        <f aca="false">IF(AG161="","",AH161-AG161)</f>
        <v>0</v>
      </c>
      <c r="AJ161" s="21" t="n">
        <v>0</v>
      </c>
      <c r="AK161" s="21" t="n">
        <v>0</v>
      </c>
      <c r="AL161" s="16" t="s">
        <v>335</v>
      </c>
      <c r="AM161" s="16"/>
      <c r="AN161" s="16" t="s">
        <v>340</v>
      </c>
      <c r="AO161" s="16" t="s">
        <v>340</v>
      </c>
      <c r="AP161" s="16" t="s">
        <v>335</v>
      </c>
      <c r="AQ161" s="16"/>
      <c r="AR161" s="21" t="n">
        <f aca="false">IF(AND(T161&lt;&gt;"",H161&lt;&gt;""),IF(AND((T161-H161)*86400&gt;=0,(T161-H161)*86400&lt;تنظیمات!$B$13),1,0),0)</f>
        <v>0</v>
      </c>
      <c r="AS161" s="21" t="n">
        <f aca="false">IF(Z161="پوز",IF(OR(AB161="",COUNTIF(پوزها!$A$2:$A$5,AA161)=0),1,0),0)</f>
        <v>0</v>
      </c>
      <c r="AT161" s="21" t="n">
        <f aca="false">IF(AI161="",0,IF(AI161&gt;0,1,0))</f>
        <v>0</v>
      </c>
      <c r="AU161" s="21" t="n">
        <f aca="false">IF(AI161="",0,IF(AI161&lt;0,1,0))</f>
        <v>0</v>
      </c>
      <c r="AV161" s="21" t="n">
        <f aca="false">IF(U161&gt;V161,1,0)</f>
        <v>0</v>
      </c>
      <c r="AW161" s="21" t="n">
        <f aca="false">IF(OR(W161&gt;تنظیمات!$B$8,X161="بله"),1,0)</f>
        <v>0</v>
      </c>
      <c r="AX161" s="21" t="n">
        <f aca="false">IF(AND(N161="بله",L161&gt;تنظیمات!$B$9),1,0)</f>
        <v>0</v>
      </c>
      <c r="AY161" s="21" t="n">
        <f aca="false">IF(Y161="معکوس",1,0)</f>
        <v>0</v>
      </c>
      <c r="AZ161" s="21" t="n">
        <f aca="false">IF(ABS(AJ161)&gt;تنظیمات!$B$10,1,0)</f>
        <v>0</v>
      </c>
      <c r="BA161" s="21" t="n">
        <f aca="false">IF(AND(OR(AD161="رایگان/VIP",AD161="جانباز"),AF161="خیر"),1,0)</f>
        <v>0</v>
      </c>
      <c r="BB161" s="21" t="n">
        <f aca="false">IF(AE161="",0,IF(COUNTIF($AE$2:$AE$1001,AE161)&gt;1,1,0))</f>
        <v>1</v>
      </c>
      <c r="BC161" s="21" t="n">
        <f aca="false">IF(AND(H161="",I161&gt;تنظیمات!$B$12*60,AM161="خالی"),1,0)</f>
        <v>0</v>
      </c>
      <c r="BD161" s="21" t="n">
        <f aca="false">IF(AND(AP161="بله",I161&lt;تنظیمات!$B$14,AO161="خیر"),1,0)</f>
        <v>0</v>
      </c>
      <c r="BE161" s="21" t="n">
        <f aca="false">IF(AN161="خیر",1,0)</f>
        <v>0</v>
      </c>
      <c r="BF161" s="21" t="n">
        <f aca="false">IF(AND(AD161="فیش مفقودی",AQ161="بله",I161&gt;تنظیمات!$B$12*60),1,0)</f>
        <v>0</v>
      </c>
      <c r="BG161" s="21" t="n">
        <f aca="false">IF(AND(AK161&gt;تنظیمات!$B$11,AL161="بله"),1,0)</f>
        <v>0</v>
      </c>
      <c r="BH161" s="21" t="n">
        <f aca="false">MIN(100,AR161*تنظیمات!$B$21+AS161*تنظیمات!$B$22+AT161*تنظیمات!$B$23+AU161*تنظیمات!$B$24+AV161*تنظیمات!$B$25+AW161*تنظیمات!$B$26+AX161*تنظیمات!$B$27+AY161*تنظیمات!$B$28+AZ161*تنظیمات!$B$29+BA161*تنظیمات!$B$30+BB161*تنظیمات!$B$31+BC161*تنظیمات!$B$32+BD161*تنظیمات!$B$33+BE161*تنظیمات!$B$34+BF161*تنظیمات!$B$35+BG161*تنظیمات!$B$36)</f>
        <v>25</v>
      </c>
      <c r="BI161" s="16" t="str">
        <f aca="false">IF(BH161&gt;=60,"بحرانی",IF(BH161&gt;=30,"مشکوک",IF(BH161&gt;0,"هشدار","عادی")))</f>
        <v>هشدار</v>
      </c>
      <c r="BJ161" s="16" t="s">
        <v>950</v>
      </c>
    </row>
    <row r="162" customFormat="false" ht="15" hidden="false" customHeight="false" outlineLevel="0" collapsed="false">
      <c r="A162" s="16" t="s">
        <v>951</v>
      </c>
      <c r="B162" s="16" t="s">
        <v>560</v>
      </c>
      <c r="C162" s="16"/>
      <c r="D162" s="16" t="s">
        <v>350</v>
      </c>
      <c r="E162" s="16" t="s">
        <v>390</v>
      </c>
      <c r="F162" s="16" t="s">
        <v>333</v>
      </c>
      <c r="G162" s="17" t="n">
        <v>46283.3857986111</v>
      </c>
      <c r="H162" s="17" t="n">
        <v>46283.4226041667</v>
      </c>
      <c r="I162" s="18" t="n">
        <f aca="false">IF(H162="",ROUND((تنظیمات!$B$7-G162)*1440,0),ROUND((H162-G162)*1440,0))</f>
        <v>53</v>
      </c>
      <c r="J162" s="16" t="s">
        <v>334</v>
      </c>
      <c r="K162" s="16" t="s">
        <v>410</v>
      </c>
      <c r="L162" s="19" t="n">
        <v>0.947</v>
      </c>
      <c r="M162" s="19" t="n">
        <v>0.955</v>
      </c>
      <c r="N162" s="16" t="s">
        <v>335</v>
      </c>
      <c r="O162" s="16" t="s">
        <v>419</v>
      </c>
      <c r="P162" s="16" t="s">
        <v>402</v>
      </c>
      <c r="Q162" s="20" t="n">
        <v>46283</v>
      </c>
      <c r="R162" s="16" t="s">
        <v>952</v>
      </c>
      <c r="S162" s="16" t="s">
        <v>404</v>
      </c>
      <c r="T162" s="17"/>
      <c r="U162" s="21" t="n">
        <v>1</v>
      </c>
      <c r="V162" s="21" t="n">
        <v>1</v>
      </c>
      <c r="W162" s="22" t="n">
        <v>3.5</v>
      </c>
      <c r="X162" s="16" t="s">
        <v>335</v>
      </c>
      <c r="Y162" s="16" t="s">
        <v>338</v>
      </c>
      <c r="Z162" s="16" t="s">
        <v>405</v>
      </c>
      <c r="AA162" s="16"/>
      <c r="AB162" s="23"/>
      <c r="AC162" s="17"/>
      <c r="AD162" s="16" t="s">
        <v>338</v>
      </c>
      <c r="AE162" s="16"/>
      <c r="AF162" s="16" t="str">
        <f aca="false">IF(COUNTIF(لیست_سفید!$A$2:$A$21,B162)&gt;0,"بله","خیر")</f>
        <v>خیر</v>
      </c>
      <c r="AG162" s="24" t="n">
        <f aca="false">IF(H162="","",IF(AD162="فیش مفقودی",تنظیمات!$B$6,(INT(I162/1440)*تنظیمات!$B$5+IF(MOD(I162,1440)&lt;=تنظیمات!$B$2,0,MIN(تنظیمات!$B$5,تنظیمات!$B$3+MAX(0,ROUNDUP((MOD(I162,1440)-60)/60,0))*تنظیمات!$B$4)))*INDEX(تعرفه!$B$2:$B$7,MATCH(AD162,تعرفه!$A$2:$A$7,0))))</f>
        <v>20000</v>
      </c>
      <c r="AH162" s="24" t="n">
        <v>20000</v>
      </c>
      <c r="AI162" s="24" t="n">
        <f aca="false">IF(AG162="","",AH162-AG162)</f>
        <v>0</v>
      </c>
      <c r="AJ162" s="21" t="n">
        <v>0</v>
      </c>
      <c r="AK162" s="21" t="n">
        <v>0</v>
      </c>
      <c r="AL162" s="16" t="s">
        <v>335</v>
      </c>
      <c r="AM162" s="16"/>
      <c r="AN162" s="16" t="s">
        <v>340</v>
      </c>
      <c r="AO162" s="16" t="s">
        <v>340</v>
      </c>
      <c r="AP162" s="16" t="s">
        <v>335</v>
      </c>
      <c r="AQ162" s="16"/>
      <c r="AR162" s="21" t="n">
        <f aca="false">IF(AND(T162&lt;&gt;"",H162&lt;&gt;""),IF(AND((T162-H162)*86400&gt;=0,(T162-H162)*86400&lt;تنظیمات!$B$13),1,0),0)</f>
        <v>0</v>
      </c>
      <c r="AS162" s="21" t="n">
        <f aca="false">IF(Z162="پوز",IF(OR(AB162="",COUNTIF(پوزها!$A$2:$A$5,AA162)=0),1,0),0)</f>
        <v>0</v>
      </c>
      <c r="AT162" s="21" t="n">
        <f aca="false">IF(AI162="",0,IF(AI162&gt;0,1,0))</f>
        <v>0</v>
      </c>
      <c r="AU162" s="21" t="n">
        <f aca="false">IF(AI162="",0,IF(AI162&lt;0,1,0))</f>
        <v>0</v>
      </c>
      <c r="AV162" s="21" t="n">
        <f aca="false">IF(U162&gt;V162,1,0)</f>
        <v>0</v>
      </c>
      <c r="AW162" s="21" t="n">
        <f aca="false">IF(OR(W162&gt;تنظیمات!$B$8,X162="بله"),1,0)</f>
        <v>0</v>
      </c>
      <c r="AX162" s="21" t="n">
        <f aca="false">IF(AND(N162="بله",L162&gt;تنظیمات!$B$9),1,0)</f>
        <v>0</v>
      </c>
      <c r="AY162" s="21" t="n">
        <f aca="false">IF(Y162="معکوس",1,0)</f>
        <v>0</v>
      </c>
      <c r="AZ162" s="21" t="n">
        <f aca="false">IF(ABS(AJ162)&gt;تنظیمات!$B$10,1,0)</f>
        <v>0</v>
      </c>
      <c r="BA162" s="21" t="n">
        <f aca="false">IF(AND(OR(AD162="رایگان/VIP",AD162="جانباز"),AF162="خیر"),1,0)</f>
        <v>0</v>
      </c>
      <c r="BB162" s="21" t="n">
        <f aca="false">IF(AE162="",0,IF(COUNTIF($AE$2:$AE$1001,AE162)&gt;1,1,0))</f>
        <v>0</v>
      </c>
      <c r="BC162" s="21" t="n">
        <f aca="false">IF(AND(H162="",I162&gt;تنظیمات!$B$12*60,AM162="خالی"),1,0)</f>
        <v>0</v>
      </c>
      <c r="BD162" s="21" t="n">
        <f aca="false">IF(AND(AP162="بله",I162&lt;تنظیمات!$B$14,AO162="خیر"),1,0)</f>
        <v>0</v>
      </c>
      <c r="BE162" s="21" t="n">
        <f aca="false">IF(AN162="خیر",1,0)</f>
        <v>0</v>
      </c>
      <c r="BF162" s="21" t="n">
        <f aca="false">IF(AND(AD162="فیش مفقودی",AQ162="بله",I162&gt;تنظیمات!$B$12*60),1,0)</f>
        <v>0</v>
      </c>
      <c r="BG162" s="21" t="n">
        <f aca="false">IF(AND(AK162&gt;تنظیمات!$B$11,AL162="بله"),1,0)</f>
        <v>0</v>
      </c>
      <c r="BH162" s="21" t="n">
        <f aca="false">MIN(100,AR162*تنظیمات!$B$21+AS162*تنظیمات!$B$22+AT162*تنظیمات!$B$23+AU162*تنظیمات!$B$24+AV162*تنظیمات!$B$25+AW162*تنظیمات!$B$26+AX162*تنظیمات!$B$27+AY162*تنظیمات!$B$28+AZ162*تنظیمات!$B$29+BA162*تنظیمات!$B$30+BB162*تنظیمات!$B$31+BC162*تنظیمات!$B$32+BD162*تنظیمات!$B$33+BE162*تنظیمات!$B$34+BF162*تنظیمات!$B$35+BG162*تنظیمات!$B$36)</f>
        <v>0</v>
      </c>
      <c r="BI162" s="16" t="str">
        <f aca="false">IF(BH162&gt;=60,"بحرانی",IF(BH162&gt;=30,"مشکوک",IF(BH162&gt;0,"هشدار","عادی")))</f>
        <v>عادی</v>
      </c>
      <c r="BJ162" s="16" t="s">
        <v>338</v>
      </c>
    </row>
    <row r="163" customFormat="false" ht="15" hidden="false" customHeight="false" outlineLevel="0" collapsed="false">
      <c r="A163" s="16" t="s">
        <v>953</v>
      </c>
      <c r="B163" s="16" t="s">
        <v>954</v>
      </c>
      <c r="C163" s="16"/>
      <c r="D163" s="16" t="s">
        <v>386</v>
      </c>
      <c r="E163" s="16" t="s">
        <v>345</v>
      </c>
      <c r="F163" s="16" t="s">
        <v>333</v>
      </c>
      <c r="G163" s="17" t="n">
        <v>46283.3878472222</v>
      </c>
      <c r="H163" s="17" t="n">
        <v>46283.4420138889</v>
      </c>
      <c r="I163" s="18" t="n">
        <f aca="false">IF(H163="",ROUND((تنظیمات!$B$7-G163)*1440,0),ROUND((H163-G163)*1440,0))</f>
        <v>78</v>
      </c>
      <c r="J163" s="16" t="s">
        <v>334</v>
      </c>
      <c r="K163" s="16" t="s">
        <v>410</v>
      </c>
      <c r="L163" s="19" t="n">
        <v>0.995</v>
      </c>
      <c r="M163" s="19" t="n">
        <v>0.995</v>
      </c>
      <c r="N163" s="16" t="s">
        <v>335</v>
      </c>
      <c r="O163" s="16" t="s">
        <v>419</v>
      </c>
      <c r="P163" s="16" t="s">
        <v>402</v>
      </c>
      <c r="Q163" s="20" t="n">
        <v>46283</v>
      </c>
      <c r="R163" s="16" t="s">
        <v>955</v>
      </c>
      <c r="S163" s="16" t="s">
        <v>404</v>
      </c>
      <c r="T163" s="17"/>
      <c r="U163" s="21" t="n">
        <v>1</v>
      </c>
      <c r="V163" s="21" t="n">
        <v>1</v>
      </c>
      <c r="W163" s="22" t="n">
        <v>5.6</v>
      </c>
      <c r="X163" s="16" t="s">
        <v>335</v>
      </c>
      <c r="Y163" s="16" t="s">
        <v>338</v>
      </c>
      <c r="Z163" s="16" t="s">
        <v>413</v>
      </c>
      <c r="AA163" s="16" t="s">
        <v>414</v>
      </c>
      <c r="AB163" s="23" t="s">
        <v>956</v>
      </c>
      <c r="AC163" s="17" t="n">
        <v>46283.4413541667</v>
      </c>
      <c r="AD163" s="16" t="s">
        <v>338</v>
      </c>
      <c r="AE163" s="16"/>
      <c r="AF163" s="16" t="str">
        <f aca="false">IF(COUNTIF(لیست_سفید!$A$2:$A$21,B163)&gt;0,"بله","خیر")</f>
        <v>خیر</v>
      </c>
      <c r="AG163" s="24" t="n">
        <f aca="false">IF(H163="","",IF(AD163="فیش مفقودی",تنظیمات!$B$6,(INT(I163/1440)*تنظیمات!$B$5+IF(MOD(I163,1440)&lt;=تنظیمات!$B$2,0,MIN(تنظیمات!$B$5,تنظیمات!$B$3+MAX(0,ROUNDUP((MOD(I163,1440)-60)/60,0))*تنظیمات!$B$4)))*INDEX(تعرفه!$B$2:$B$7,MATCH(AD163,تعرفه!$A$2:$A$7,0))))</f>
        <v>34000</v>
      </c>
      <c r="AH163" s="24" t="n">
        <v>34000</v>
      </c>
      <c r="AI163" s="24" t="n">
        <f aca="false">IF(AG163="","",AH163-AG163)</f>
        <v>0</v>
      </c>
      <c r="AJ163" s="21" t="n">
        <v>0</v>
      </c>
      <c r="AK163" s="21" t="n">
        <v>0</v>
      </c>
      <c r="AL163" s="16" t="s">
        <v>335</v>
      </c>
      <c r="AM163" s="16"/>
      <c r="AN163" s="16" t="s">
        <v>340</v>
      </c>
      <c r="AO163" s="16" t="s">
        <v>340</v>
      </c>
      <c r="AP163" s="16" t="s">
        <v>335</v>
      </c>
      <c r="AQ163" s="16"/>
      <c r="AR163" s="21" t="n">
        <f aca="false">IF(AND(T163&lt;&gt;"",H163&lt;&gt;""),IF(AND((T163-H163)*86400&gt;=0,(T163-H163)*86400&lt;تنظیمات!$B$13),1,0),0)</f>
        <v>0</v>
      </c>
      <c r="AS163" s="21" t="n">
        <f aca="false">IF(Z163="پوز",IF(OR(AB163="",COUNTIF(پوزها!$A$2:$A$5,AA163)=0),1,0),0)</f>
        <v>0</v>
      </c>
      <c r="AT163" s="21" t="n">
        <f aca="false">IF(AI163="",0,IF(AI163&gt;0,1,0))</f>
        <v>0</v>
      </c>
      <c r="AU163" s="21" t="n">
        <f aca="false">IF(AI163="",0,IF(AI163&lt;0,1,0))</f>
        <v>0</v>
      </c>
      <c r="AV163" s="21" t="n">
        <f aca="false">IF(U163&gt;V163,1,0)</f>
        <v>0</v>
      </c>
      <c r="AW163" s="21" t="n">
        <f aca="false">IF(OR(W163&gt;تنظیمات!$B$8,X163="بله"),1,0)</f>
        <v>0</v>
      </c>
      <c r="AX163" s="21" t="n">
        <f aca="false">IF(AND(N163="بله",L163&gt;تنظیمات!$B$9),1,0)</f>
        <v>0</v>
      </c>
      <c r="AY163" s="21" t="n">
        <f aca="false">IF(Y163="معکوس",1,0)</f>
        <v>0</v>
      </c>
      <c r="AZ163" s="21" t="n">
        <f aca="false">IF(ABS(AJ163)&gt;تنظیمات!$B$10,1,0)</f>
        <v>0</v>
      </c>
      <c r="BA163" s="21" t="n">
        <f aca="false">IF(AND(OR(AD163="رایگان/VIP",AD163="جانباز"),AF163="خیر"),1,0)</f>
        <v>0</v>
      </c>
      <c r="BB163" s="21" t="n">
        <f aca="false">IF(AE163="",0,IF(COUNTIF($AE$2:$AE$1001,AE163)&gt;1,1,0))</f>
        <v>0</v>
      </c>
      <c r="BC163" s="21" t="n">
        <f aca="false">IF(AND(H163="",I163&gt;تنظیمات!$B$12*60,AM163="خالی"),1,0)</f>
        <v>0</v>
      </c>
      <c r="BD163" s="21" t="n">
        <f aca="false">IF(AND(AP163="بله",I163&lt;تنظیمات!$B$14,AO163="خیر"),1,0)</f>
        <v>0</v>
      </c>
      <c r="BE163" s="21" t="n">
        <f aca="false">IF(AN163="خیر",1,0)</f>
        <v>0</v>
      </c>
      <c r="BF163" s="21" t="n">
        <f aca="false">IF(AND(AD163="فیش مفقودی",AQ163="بله",I163&gt;تنظیمات!$B$12*60),1,0)</f>
        <v>0</v>
      </c>
      <c r="BG163" s="21" t="n">
        <f aca="false">IF(AND(AK163&gt;تنظیمات!$B$11,AL163="بله"),1,0)</f>
        <v>0</v>
      </c>
      <c r="BH163" s="21" t="n">
        <f aca="false">MIN(100,AR163*تنظیمات!$B$21+AS163*تنظیمات!$B$22+AT163*تنظیمات!$B$23+AU163*تنظیمات!$B$24+AV163*تنظیمات!$B$25+AW163*تنظیمات!$B$26+AX163*تنظیمات!$B$27+AY163*تنظیمات!$B$28+AZ163*تنظیمات!$B$29+BA163*تنظیمات!$B$30+BB163*تنظیمات!$B$31+BC163*تنظیمات!$B$32+BD163*تنظیمات!$B$33+BE163*تنظیمات!$B$34+BF163*تنظیمات!$B$35+BG163*تنظیمات!$B$36)</f>
        <v>0</v>
      </c>
      <c r="BI163" s="16" t="str">
        <f aca="false">IF(BH163&gt;=60,"بحرانی",IF(BH163&gt;=30,"مشکوک",IF(BH163&gt;0,"هشدار","عادی")))</f>
        <v>عادی</v>
      </c>
      <c r="BJ163" s="16" t="s">
        <v>338</v>
      </c>
    </row>
    <row r="164" customFormat="false" ht="15" hidden="false" customHeight="false" outlineLevel="0" collapsed="false">
      <c r="A164" s="16" t="s">
        <v>957</v>
      </c>
      <c r="B164" s="16" t="s">
        <v>958</v>
      </c>
      <c r="C164" s="16"/>
      <c r="D164" s="16" t="s">
        <v>431</v>
      </c>
      <c r="E164" s="16" t="s">
        <v>351</v>
      </c>
      <c r="F164" s="16" t="s">
        <v>333</v>
      </c>
      <c r="G164" s="17" t="n">
        <v>46283.3934722222</v>
      </c>
      <c r="H164" s="17" t="n">
        <v>46283.4886111111</v>
      </c>
      <c r="I164" s="18" t="n">
        <f aca="false">IF(H164="",ROUND((تنظیمات!$B$7-G164)*1440,0),ROUND((H164-G164)*1440,0))</f>
        <v>137</v>
      </c>
      <c r="J164" s="16" t="s">
        <v>334</v>
      </c>
      <c r="K164" s="16" t="s">
        <v>400</v>
      </c>
      <c r="L164" s="19" t="n">
        <v>0.911</v>
      </c>
      <c r="M164" s="19" t="n">
        <v>0.901</v>
      </c>
      <c r="N164" s="16" t="s">
        <v>335</v>
      </c>
      <c r="O164" s="16" t="s">
        <v>401</v>
      </c>
      <c r="P164" s="16" t="s">
        <v>402</v>
      </c>
      <c r="Q164" s="20" t="n">
        <v>46283</v>
      </c>
      <c r="R164" s="16" t="s">
        <v>959</v>
      </c>
      <c r="S164" s="16" t="s">
        <v>404</v>
      </c>
      <c r="T164" s="17"/>
      <c r="U164" s="21" t="n">
        <v>1</v>
      </c>
      <c r="V164" s="21" t="n">
        <v>1</v>
      </c>
      <c r="W164" s="22" t="n">
        <v>4.3</v>
      </c>
      <c r="X164" s="16" t="s">
        <v>335</v>
      </c>
      <c r="Y164" s="16" t="s">
        <v>338</v>
      </c>
      <c r="Z164" s="16" t="s">
        <v>413</v>
      </c>
      <c r="AA164" s="16" t="s">
        <v>427</v>
      </c>
      <c r="AB164" s="23" t="s">
        <v>960</v>
      </c>
      <c r="AC164" s="17" t="n">
        <v>46283.4878125</v>
      </c>
      <c r="AD164" s="16" t="s">
        <v>338</v>
      </c>
      <c r="AE164" s="16"/>
      <c r="AF164" s="16" t="str">
        <f aca="false">IF(COUNTIF(لیست_سفید!$A$2:$A$21,B164)&gt;0,"بله","خیر")</f>
        <v>خیر</v>
      </c>
      <c r="AG164" s="24" t="n">
        <f aca="false">IF(H164="","",IF(AD164="فیش مفقودی",تنظیمات!$B$6,(INT(I164/1440)*تنظیمات!$B$5+IF(MOD(I164,1440)&lt;=تنظیمات!$B$2,0,MIN(تنظیمات!$B$5,تنظیمات!$B$3+MAX(0,ROUNDUP((MOD(I164,1440)-60)/60,0))*تنظیمات!$B$4)))*INDEX(تعرفه!$B$2:$B$7,MATCH(AD164,تعرفه!$A$2:$A$7,0))))</f>
        <v>48000</v>
      </c>
      <c r="AH164" s="24" t="n">
        <v>62000</v>
      </c>
      <c r="AI164" s="24" t="n">
        <f aca="false">IF(AG164="","",AH164-AG164)</f>
        <v>14000</v>
      </c>
      <c r="AJ164" s="21" t="n">
        <v>3</v>
      </c>
      <c r="AK164" s="21" t="n">
        <v>0</v>
      </c>
      <c r="AL164" s="16" t="s">
        <v>335</v>
      </c>
      <c r="AM164" s="16"/>
      <c r="AN164" s="16" t="s">
        <v>340</v>
      </c>
      <c r="AO164" s="16" t="s">
        <v>340</v>
      </c>
      <c r="AP164" s="16" t="s">
        <v>335</v>
      </c>
      <c r="AQ164" s="16"/>
      <c r="AR164" s="21" t="n">
        <f aca="false">IF(AND(T164&lt;&gt;"",H164&lt;&gt;""),IF(AND((T164-H164)*86400&gt;=0,(T164-H164)*86400&lt;تنظیمات!$B$13),1,0),0)</f>
        <v>0</v>
      </c>
      <c r="AS164" s="21" t="n">
        <f aca="false">IF(Z164="پوز",IF(OR(AB164="",COUNTIF(پوزها!$A$2:$A$5,AA164)=0),1,0),0)</f>
        <v>0</v>
      </c>
      <c r="AT164" s="21" t="n">
        <f aca="false">IF(AI164="",0,IF(AI164&gt;0,1,0))</f>
        <v>1</v>
      </c>
      <c r="AU164" s="21" t="n">
        <f aca="false">IF(AI164="",0,IF(AI164&lt;0,1,0))</f>
        <v>0</v>
      </c>
      <c r="AV164" s="21" t="n">
        <f aca="false">IF(U164&gt;V164,1,0)</f>
        <v>0</v>
      </c>
      <c r="AW164" s="21" t="n">
        <f aca="false">IF(OR(W164&gt;تنظیمات!$B$8,X164="بله"),1,0)</f>
        <v>0</v>
      </c>
      <c r="AX164" s="21" t="n">
        <f aca="false">IF(AND(N164="بله",L164&gt;تنظیمات!$B$9),1,0)</f>
        <v>0</v>
      </c>
      <c r="AY164" s="21" t="n">
        <f aca="false">IF(Y164="معکوس",1,0)</f>
        <v>0</v>
      </c>
      <c r="AZ164" s="21" t="n">
        <f aca="false">IF(ABS(AJ164)&gt;تنظیمات!$B$10,1,0)</f>
        <v>0</v>
      </c>
      <c r="BA164" s="21" t="n">
        <f aca="false">IF(AND(OR(AD164="رایگان/VIP",AD164="جانباز"),AF164="خیر"),1,0)</f>
        <v>0</v>
      </c>
      <c r="BB164" s="21" t="n">
        <f aca="false">IF(AE164="",0,IF(COUNTIF($AE$2:$AE$1001,AE164)&gt;1,1,0))</f>
        <v>0</v>
      </c>
      <c r="BC164" s="21" t="n">
        <f aca="false">IF(AND(H164="",I164&gt;تنظیمات!$B$12*60,AM164="خالی"),1,0)</f>
        <v>0</v>
      </c>
      <c r="BD164" s="21" t="n">
        <f aca="false">IF(AND(AP164="بله",I164&lt;تنظیمات!$B$14,AO164="خیر"),1,0)</f>
        <v>0</v>
      </c>
      <c r="BE164" s="21" t="n">
        <f aca="false">IF(AN164="خیر",1,0)</f>
        <v>0</v>
      </c>
      <c r="BF164" s="21" t="n">
        <f aca="false">IF(AND(AD164="فیش مفقودی",AQ164="بله",I164&gt;تنظیمات!$B$12*60),1,0)</f>
        <v>0</v>
      </c>
      <c r="BG164" s="21" t="n">
        <f aca="false">IF(AND(AK164&gt;تنظیمات!$B$11,AL164="بله"),1,0)</f>
        <v>0</v>
      </c>
      <c r="BH164" s="21" t="n">
        <f aca="false">MIN(100,AR164*تنظیمات!$B$21+AS164*تنظیمات!$B$22+AT164*تنظیمات!$B$23+AU164*تنظیمات!$B$24+AV164*تنظیمات!$B$25+AW164*تنظیمات!$B$26+AX164*تنظیمات!$B$27+AY164*تنظیمات!$B$28+AZ164*تنظیمات!$B$29+BA164*تنظیمات!$B$30+BB164*تنظیمات!$B$31+BC164*تنظیمات!$B$32+BD164*تنظیمات!$B$33+BE164*تنظیمات!$B$34+BF164*تنظیمات!$B$35+BG164*تنظیمات!$B$36)</f>
        <v>25</v>
      </c>
      <c r="BI164" s="16" t="str">
        <f aca="false">IF(BH164&gt;=60,"بحرانی",IF(BH164&gt;=30,"مشکوک",IF(BH164&gt;0,"هشدار","عادی")))</f>
        <v>هشدار</v>
      </c>
      <c r="BJ164" s="16" t="s">
        <v>922</v>
      </c>
    </row>
    <row r="165" customFormat="false" ht="15" hidden="false" customHeight="false" outlineLevel="0" collapsed="false">
      <c r="A165" s="16" t="s">
        <v>961</v>
      </c>
      <c r="B165" s="16" t="s">
        <v>856</v>
      </c>
      <c r="C165" s="16"/>
      <c r="D165" s="16" t="s">
        <v>523</v>
      </c>
      <c r="E165" s="16" t="s">
        <v>390</v>
      </c>
      <c r="F165" s="16" t="s">
        <v>333</v>
      </c>
      <c r="G165" s="17" t="n">
        <v>46283.4028703704</v>
      </c>
      <c r="H165" s="17" t="n">
        <v>46283.4174537037</v>
      </c>
      <c r="I165" s="18" t="n">
        <f aca="false">IF(H165="",ROUND((تنظیمات!$B$7-G165)*1440,0),ROUND((H165-G165)*1440,0))</f>
        <v>21</v>
      </c>
      <c r="J165" s="16" t="s">
        <v>334</v>
      </c>
      <c r="K165" s="16" t="s">
        <v>400</v>
      </c>
      <c r="L165" s="19" t="n">
        <v>0.968</v>
      </c>
      <c r="M165" s="19" t="n">
        <v>0.991</v>
      </c>
      <c r="N165" s="16" t="s">
        <v>335</v>
      </c>
      <c r="O165" s="16" t="s">
        <v>401</v>
      </c>
      <c r="P165" s="16" t="s">
        <v>402</v>
      </c>
      <c r="Q165" s="20" t="n">
        <v>46283</v>
      </c>
      <c r="R165" s="16" t="s">
        <v>962</v>
      </c>
      <c r="S165" s="16" t="s">
        <v>404</v>
      </c>
      <c r="T165" s="17"/>
      <c r="U165" s="21" t="n">
        <v>1</v>
      </c>
      <c r="V165" s="21" t="n">
        <v>1</v>
      </c>
      <c r="W165" s="22" t="n">
        <v>6.1</v>
      </c>
      <c r="X165" s="16" t="s">
        <v>335</v>
      </c>
      <c r="Y165" s="16" t="s">
        <v>338</v>
      </c>
      <c r="Z165" s="16" t="s">
        <v>413</v>
      </c>
      <c r="AA165" s="16" t="s">
        <v>427</v>
      </c>
      <c r="AB165" s="23"/>
      <c r="AC165" s="17" t="n">
        <v>46283.4171180556</v>
      </c>
      <c r="AD165" s="16" t="s">
        <v>338</v>
      </c>
      <c r="AE165" s="16"/>
      <c r="AF165" s="16" t="str">
        <f aca="false">IF(COUNTIF(لیست_سفید!$A$2:$A$21,B165)&gt;0,"بله","خیر")</f>
        <v>خیر</v>
      </c>
      <c r="AG165" s="24" t="n">
        <f aca="false">IF(H165="","",IF(AD165="فیش مفقودی",تنظیمات!$B$6,(INT(I165/1440)*تنظیمات!$B$5+IF(MOD(I165,1440)&lt;=تنظیمات!$B$2,0,MIN(تنظیمات!$B$5,تنظیمات!$B$3+MAX(0,ROUNDUP((MOD(I165,1440)-60)/60,0))*تنظیمات!$B$4)))*INDEX(تعرفه!$B$2:$B$7,MATCH(AD165,تعرفه!$A$2:$A$7,0))))</f>
        <v>20000</v>
      </c>
      <c r="AH165" s="24" t="n">
        <v>20000</v>
      </c>
      <c r="AI165" s="24" t="n">
        <f aca="false">IF(AG165="","",AH165-AG165)</f>
        <v>0</v>
      </c>
      <c r="AJ165" s="21" t="n">
        <v>2</v>
      </c>
      <c r="AK165" s="21" t="n">
        <v>0</v>
      </c>
      <c r="AL165" s="16" t="s">
        <v>335</v>
      </c>
      <c r="AM165" s="16"/>
      <c r="AN165" s="16" t="s">
        <v>340</v>
      </c>
      <c r="AO165" s="16" t="s">
        <v>340</v>
      </c>
      <c r="AP165" s="16" t="s">
        <v>335</v>
      </c>
      <c r="AQ165" s="16"/>
      <c r="AR165" s="21" t="n">
        <f aca="false">IF(AND(T165&lt;&gt;"",H165&lt;&gt;""),IF(AND((T165-H165)*86400&gt;=0,(T165-H165)*86400&lt;تنظیمات!$B$13),1,0),0)</f>
        <v>0</v>
      </c>
      <c r="AS165" s="21" t="n">
        <f aca="false">IF(Z165="پوز",IF(OR(AB165="",COUNTIF(پوزها!$A$2:$A$5,AA165)=0),1,0),0)</f>
        <v>1</v>
      </c>
      <c r="AT165" s="21" t="n">
        <f aca="false">IF(AI165="",0,IF(AI165&gt;0,1,0))</f>
        <v>0</v>
      </c>
      <c r="AU165" s="21" t="n">
        <f aca="false">IF(AI165="",0,IF(AI165&lt;0,1,0))</f>
        <v>0</v>
      </c>
      <c r="AV165" s="21" t="n">
        <f aca="false">IF(U165&gt;V165,1,0)</f>
        <v>0</v>
      </c>
      <c r="AW165" s="21" t="n">
        <f aca="false">IF(OR(W165&gt;تنظیمات!$B$8,X165="بله"),1,0)</f>
        <v>0</v>
      </c>
      <c r="AX165" s="21" t="n">
        <f aca="false">IF(AND(N165="بله",L165&gt;تنظیمات!$B$9),1,0)</f>
        <v>0</v>
      </c>
      <c r="AY165" s="21" t="n">
        <f aca="false">IF(Y165="معکوس",1,0)</f>
        <v>0</v>
      </c>
      <c r="AZ165" s="21" t="n">
        <f aca="false">IF(ABS(AJ165)&gt;تنظیمات!$B$10,1,0)</f>
        <v>0</v>
      </c>
      <c r="BA165" s="21" t="n">
        <f aca="false">IF(AND(OR(AD165="رایگان/VIP",AD165="جانباز"),AF165="خیر"),1,0)</f>
        <v>0</v>
      </c>
      <c r="BB165" s="21" t="n">
        <f aca="false">IF(AE165="",0,IF(COUNTIF($AE$2:$AE$1001,AE165)&gt;1,1,0))</f>
        <v>0</v>
      </c>
      <c r="BC165" s="21" t="n">
        <f aca="false">IF(AND(H165="",I165&gt;تنظیمات!$B$12*60,AM165="خالی"),1,0)</f>
        <v>0</v>
      </c>
      <c r="BD165" s="21" t="n">
        <f aca="false">IF(AND(AP165="بله",I165&lt;تنظیمات!$B$14,AO165="خیر"),1,0)</f>
        <v>0</v>
      </c>
      <c r="BE165" s="21" t="n">
        <f aca="false">IF(AN165="خیر",1,0)</f>
        <v>0</v>
      </c>
      <c r="BF165" s="21" t="n">
        <f aca="false">IF(AND(AD165="فیش مفقودی",AQ165="بله",I165&gt;تنظیمات!$B$12*60),1,0)</f>
        <v>0</v>
      </c>
      <c r="BG165" s="21" t="n">
        <f aca="false">IF(AND(AK165&gt;تنظیمات!$B$11,AL165="بله"),1,0)</f>
        <v>0</v>
      </c>
      <c r="BH165" s="21" t="n">
        <f aca="false">MIN(100,AR165*تنظیمات!$B$21+AS165*تنظیمات!$B$22+AT165*تنظیمات!$B$23+AU165*تنظیمات!$B$24+AV165*تنظیمات!$B$25+AW165*تنظیمات!$B$26+AX165*تنظیمات!$B$27+AY165*تنظیمات!$B$28+AZ165*تنظیمات!$B$29+BA165*تنظیمات!$B$30+BB165*تنظیمات!$B$31+BC165*تنظیمات!$B$32+BD165*تنظیمات!$B$33+BE165*تنظیمات!$B$34+BF165*تنظیمات!$B$35+BG165*تنظیمات!$B$36)</f>
        <v>35</v>
      </c>
      <c r="BI165" s="16" t="str">
        <f aca="false">IF(BH165&gt;=60,"بحرانی",IF(BH165&gt;=30,"مشکوک",IF(BH165&gt;0,"هشدار","عادی")))</f>
        <v>مشکوک</v>
      </c>
      <c r="BJ165" s="16" t="s">
        <v>722</v>
      </c>
    </row>
    <row r="166" customFormat="false" ht="15" hidden="false" customHeight="false" outlineLevel="0" collapsed="false">
      <c r="A166" s="16" t="s">
        <v>963</v>
      </c>
      <c r="B166" s="16" t="s">
        <v>518</v>
      </c>
      <c r="C166" s="16"/>
      <c r="D166" s="16" t="s">
        <v>508</v>
      </c>
      <c r="E166" s="16" t="s">
        <v>351</v>
      </c>
      <c r="F166" s="16" t="s">
        <v>333</v>
      </c>
      <c r="G166" s="17" t="n">
        <v>46283.4242592593</v>
      </c>
      <c r="H166" s="17" t="n">
        <v>46283.5103703704</v>
      </c>
      <c r="I166" s="18" t="n">
        <f aca="false">IF(H166="",ROUND((تنظیمات!$B$7-G166)*1440,0),ROUND((H166-G166)*1440,0))</f>
        <v>124</v>
      </c>
      <c r="J166" s="16" t="s">
        <v>334</v>
      </c>
      <c r="K166" s="16" t="s">
        <v>400</v>
      </c>
      <c r="L166" s="19" t="n">
        <v>0.929</v>
      </c>
      <c r="M166" s="19" t="n">
        <v>0.939</v>
      </c>
      <c r="N166" s="16" t="s">
        <v>335</v>
      </c>
      <c r="O166" s="16" t="s">
        <v>401</v>
      </c>
      <c r="P166" s="16" t="s">
        <v>402</v>
      </c>
      <c r="Q166" s="20" t="n">
        <v>46283</v>
      </c>
      <c r="R166" s="16" t="s">
        <v>964</v>
      </c>
      <c r="S166" s="16" t="s">
        <v>404</v>
      </c>
      <c r="T166" s="17"/>
      <c r="U166" s="21" t="n">
        <v>1</v>
      </c>
      <c r="V166" s="21" t="n">
        <v>1</v>
      </c>
      <c r="W166" s="22" t="n">
        <v>6.7</v>
      </c>
      <c r="X166" s="16" t="s">
        <v>335</v>
      </c>
      <c r="Y166" s="16" t="s">
        <v>338</v>
      </c>
      <c r="Z166" s="16" t="s">
        <v>413</v>
      </c>
      <c r="AA166" s="16" t="s">
        <v>427</v>
      </c>
      <c r="AB166" s="23" t="s">
        <v>965</v>
      </c>
      <c r="AC166" s="17" t="n">
        <v>46283.5096759259</v>
      </c>
      <c r="AD166" s="16" t="s">
        <v>338</v>
      </c>
      <c r="AE166" s="16"/>
      <c r="AF166" s="16" t="str">
        <f aca="false">IF(COUNTIF(لیست_سفید!$A$2:$A$21,B166)&gt;0,"بله","خیر")</f>
        <v>خیر</v>
      </c>
      <c r="AG166" s="24" t="n">
        <f aca="false">IF(H166="","",IF(AD166="فیش مفقودی",تنظیمات!$B$6,(INT(I166/1440)*تنظیمات!$B$5+IF(MOD(I166,1440)&lt;=تنظیمات!$B$2,0,MIN(تنظیمات!$B$5,تنظیمات!$B$3+MAX(0,ROUNDUP((MOD(I166,1440)-60)/60,0))*تنظیمات!$B$4)))*INDEX(تعرفه!$B$2:$B$7,MATCH(AD166,تعرفه!$A$2:$A$7,0))))</f>
        <v>48000</v>
      </c>
      <c r="AH166" s="24" t="n">
        <v>48000</v>
      </c>
      <c r="AI166" s="24" t="n">
        <f aca="false">IF(AG166="","",AH166-AG166)</f>
        <v>0</v>
      </c>
      <c r="AJ166" s="21" t="n">
        <v>-1</v>
      </c>
      <c r="AK166" s="21" t="n">
        <v>0</v>
      </c>
      <c r="AL166" s="16" t="s">
        <v>335</v>
      </c>
      <c r="AM166" s="16"/>
      <c r="AN166" s="16" t="s">
        <v>340</v>
      </c>
      <c r="AO166" s="16" t="s">
        <v>340</v>
      </c>
      <c r="AP166" s="16" t="s">
        <v>335</v>
      </c>
      <c r="AQ166" s="16"/>
      <c r="AR166" s="21" t="n">
        <f aca="false">IF(AND(T166&lt;&gt;"",H166&lt;&gt;""),IF(AND((T166-H166)*86400&gt;=0,(T166-H166)*86400&lt;تنظیمات!$B$13),1,0),0)</f>
        <v>0</v>
      </c>
      <c r="AS166" s="21" t="n">
        <f aca="false">IF(Z166="پوز",IF(OR(AB166="",COUNTIF(پوزها!$A$2:$A$5,AA166)=0),1,0),0)</f>
        <v>0</v>
      </c>
      <c r="AT166" s="21" t="n">
        <f aca="false">IF(AI166="",0,IF(AI166&gt;0,1,0))</f>
        <v>0</v>
      </c>
      <c r="AU166" s="21" t="n">
        <f aca="false">IF(AI166="",0,IF(AI166&lt;0,1,0))</f>
        <v>0</v>
      </c>
      <c r="AV166" s="21" t="n">
        <f aca="false">IF(U166&gt;V166,1,0)</f>
        <v>0</v>
      </c>
      <c r="AW166" s="21" t="n">
        <f aca="false">IF(OR(W166&gt;تنظیمات!$B$8,X166="بله"),1,0)</f>
        <v>0</v>
      </c>
      <c r="AX166" s="21" t="n">
        <f aca="false">IF(AND(N166="بله",L166&gt;تنظیمات!$B$9),1,0)</f>
        <v>0</v>
      </c>
      <c r="AY166" s="21" t="n">
        <f aca="false">IF(Y166="معکوس",1,0)</f>
        <v>0</v>
      </c>
      <c r="AZ166" s="21" t="n">
        <f aca="false">IF(ABS(AJ166)&gt;تنظیمات!$B$10,1,0)</f>
        <v>0</v>
      </c>
      <c r="BA166" s="21" t="n">
        <f aca="false">IF(AND(OR(AD166="رایگان/VIP",AD166="جانباز"),AF166="خیر"),1,0)</f>
        <v>0</v>
      </c>
      <c r="BB166" s="21" t="n">
        <f aca="false">IF(AE166="",0,IF(COUNTIF($AE$2:$AE$1001,AE166)&gt;1,1,0))</f>
        <v>0</v>
      </c>
      <c r="BC166" s="21" t="n">
        <f aca="false">IF(AND(H166="",I166&gt;تنظیمات!$B$12*60,AM166="خالی"),1,0)</f>
        <v>0</v>
      </c>
      <c r="BD166" s="21" t="n">
        <f aca="false">IF(AND(AP166="بله",I166&lt;تنظیمات!$B$14,AO166="خیر"),1,0)</f>
        <v>0</v>
      </c>
      <c r="BE166" s="21" t="n">
        <f aca="false">IF(AN166="خیر",1,0)</f>
        <v>0</v>
      </c>
      <c r="BF166" s="21" t="n">
        <f aca="false">IF(AND(AD166="فیش مفقودی",AQ166="بله",I166&gt;تنظیمات!$B$12*60),1,0)</f>
        <v>0</v>
      </c>
      <c r="BG166" s="21" t="n">
        <f aca="false">IF(AND(AK166&gt;تنظیمات!$B$11,AL166="بله"),1,0)</f>
        <v>0</v>
      </c>
      <c r="BH166" s="21" t="n">
        <f aca="false">MIN(100,AR166*تنظیمات!$B$21+AS166*تنظیمات!$B$22+AT166*تنظیمات!$B$23+AU166*تنظیمات!$B$24+AV166*تنظیمات!$B$25+AW166*تنظیمات!$B$26+AX166*تنظیمات!$B$27+AY166*تنظیمات!$B$28+AZ166*تنظیمات!$B$29+BA166*تنظیمات!$B$30+BB166*تنظیمات!$B$31+BC166*تنظیمات!$B$32+BD166*تنظیمات!$B$33+BE166*تنظیمات!$B$34+BF166*تنظیمات!$B$35+BG166*تنظیمات!$B$36)</f>
        <v>0</v>
      </c>
      <c r="BI166" s="16" t="str">
        <f aca="false">IF(BH166&gt;=60,"بحرانی",IF(BH166&gt;=30,"مشکوک",IF(BH166&gt;0,"هشدار","عادی")))</f>
        <v>عادی</v>
      </c>
      <c r="BJ166" s="16" t="s">
        <v>338</v>
      </c>
    </row>
    <row r="167" customFormat="false" ht="15" hidden="false" customHeight="false" outlineLevel="0" collapsed="false">
      <c r="A167" s="16" t="s">
        <v>966</v>
      </c>
      <c r="B167" s="16" t="s">
        <v>967</v>
      </c>
      <c r="C167" s="16"/>
      <c r="D167" s="16" t="s">
        <v>523</v>
      </c>
      <c r="E167" s="16" t="s">
        <v>375</v>
      </c>
      <c r="F167" s="16" t="s">
        <v>333</v>
      </c>
      <c r="G167" s="17" t="n">
        <v>46283.4364467593</v>
      </c>
      <c r="H167" s="17" t="n">
        <v>46283.495474537</v>
      </c>
      <c r="I167" s="18" t="n">
        <f aca="false">IF(H167="",ROUND((تنظیمات!$B$7-G167)*1440,0),ROUND((H167-G167)*1440,0))</f>
        <v>85</v>
      </c>
      <c r="J167" s="16" t="s">
        <v>334</v>
      </c>
      <c r="K167" s="16" t="s">
        <v>400</v>
      </c>
      <c r="L167" s="19" t="n">
        <v>0.945</v>
      </c>
      <c r="M167" s="19" t="n">
        <v>0.939</v>
      </c>
      <c r="N167" s="16" t="s">
        <v>335</v>
      </c>
      <c r="O167" s="16" t="s">
        <v>401</v>
      </c>
      <c r="P167" s="16" t="s">
        <v>402</v>
      </c>
      <c r="Q167" s="20" t="n">
        <v>46283</v>
      </c>
      <c r="R167" s="16" t="s">
        <v>968</v>
      </c>
      <c r="S167" s="16" t="s">
        <v>606</v>
      </c>
      <c r="T167" s="17" t="n">
        <v>46283.4963541667</v>
      </c>
      <c r="U167" s="21" t="n">
        <v>1</v>
      </c>
      <c r="V167" s="21" t="n">
        <v>1</v>
      </c>
      <c r="W167" s="22" t="n">
        <v>5.4</v>
      </c>
      <c r="X167" s="16" t="s">
        <v>335</v>
      </c>
      <c r="Y167" s="16" t="s">
        <v>338</v>
      </c>
      <c r="Z167" s="16" t="s">
        <v>405</v>
      </c>
      <c r="AA167" s="16"/>
      <c r="AB167" s="23"/>
      <c r="AC167" s="17"/>
      <c r="AD167" s="16" t="s">
        <v>338</v>
      </c>
      <c r="AE167" s="16"/>
      <c r="AF167" s="16" t="str">
        <f aca="false">IF(COUNTIF(لیست_سفید!$A$2:$A$21,B167)&gt;0,"بله","خیر")</f>
        <v>خیر</v>
      </c>
      <c r="AG167" s="24" t="n">
        <f aca="false">IF(H167="","",IF(AD167="فیش مفقودی",تنظیمات!$B$6,(INT(I167/1440)*تنظیمات!$B$5+IF(MOD(I167,1440)&lt;=تنظیمات!$B$2,0,MIN(تنظیمات!$B$5,تنظیمات!$B$3+MAX(0,ROUNDUP((MOD(I167,1440)-60)/60,0))*تنظیمات!$B$4)))*INDEX(تعرفه!$B$2:$B$7,MATCH(AD167,تعرفه!$A$2:$A$7,0))))</f>
        <v>34000</v>
      </c>
      <c r="AH167" s="24" t="n">
        <v>0</v>
      </c>
      <c r="AI167" s="24" t="n">
        <f aca="false">IF(AG167="","",AH167-AG167)</f>
        <v>-34000</v>
      </c>
      <c r="AJ167" s="21" t="n">
        <v>1</v>
      </c>
      <c r="AK167" s="21" t="n">
        <v>0</v>
      </c>
      <c r="AL167" s="16" t="s">
        <v>335</v>
      </c>
      <c r="AM167" s="16"/>
      <c r="AN167" s="16" t="s">
        <v>340</v>
      </c>
      <c r="AO167" s="16" t="s">
        <v>340</v>
      </c>
      <c r="AP167" s="16" t="s">
        <v>335</v>
      </c>
      <c r="AQ167" s="16"/>
      <c r="AR167" s="21" t="n">
        <f aca="false">IF(AND(T167&lt;&gt;"",H167&lt;&gt;""),IF(AND((T167-H167)*86400&gt;=0,(T167-H167)*86400&lt;تنظیمات!$B$13),1,0),0)</f>
        <v>1</v>
      </c>
      <c r="AS167" s="21" t="n">
        <f aca="false">IF(Z167="پوز",IF(OR(AB167="",COUNTIF(پوزها!$A$2:$A$5,AA167)=0),1,0),0)</f>
        <v>0</v>
      </c>
      <c r="AT167" s="21" t="n">
        <f aca="false">IF(AI167="",0,IF(AI167&gt;0,1,0))</f>
        <v>0</v>
      </c>
      <c r="AU167" s="21" t="n">
        <f aca="false">IF(AI167="",0,IF(AI167&lt;0,1,0))</f>
        <v>1</v>
      </c>
      <c r="AV167" s="21" t="n">
        <f aca="false">IF(U167&gt;V167,1,0)</f>
        <v>0</v>
      </c>
      <c r="AW167" s="21" t="n">
        <f aca="false">IF(OR(W167&gt;تنظیمات!$B$8,X167="بله"),1,0)</f>
        <v>0</v>
      </c>
      <c r="AX167" s="21" t="n">
        <f aca="false">IF(AND(N167="بله",L167&gt;تنظیمات!$B$9),1,0)</f>
        <v>0</v>
      </c>
      <c r="AY167" s="21" t="n">
        <f aca="false">IF(Y167="معکوس",1,0)</f>
        <v>0</v>
      </c>
      <c r="AZ167" s="21" t="n">
        <f aca="false">IF(ABS(AJ167)&gt;تنظیمات!$B$10,1,0)</f>
        <v>0</v>
      </c>
      <c r="BA167" s="21" t="n">
        <f aca="false">IF(AND(OR(AD167="رایگان/VIP",AD167="جانباز"),AF167="خیر"),1,0)</f>
        <v>0</v>
      </c>
      <c r="BB167" s="21" t="n">
        <f aca="false">IF(AE167="",0,IF(COUNTIF($AE$2:$AE$1001,AE167)&gt;1,1,0))</f>
        <v>0</v>
      </c>
      <c r="BC167" s="21" t="n">
        <f aca="false">IF(AND(H167="",I167&gt;تنظیمات!$B$12*60,AM167="خالی"),1,0)</f>
        <v>0</v>
      </c>
      <c r="BD167" s="21" t="n">
        <f aca="false">IF(AND(AP167="بله",I167&lt;تنظیمات!$B$14,AO167="خیر"),1,0)</f>
        <v>0</v>
      </c>
      <c r="BE167" s="21" t="n">
        <f aca="false">IF(AN167="خیر",1,0)</f>
        <v>0</v>
      </c>
      <c r="BF167" s="21" t="n">
        <f aca="false">IF(AND(AD167="فیش مفقودی",AQ167="بله",I167&gt;تنظیمات!$B$12*60),1,0)</f>
        <v>0</v>
      </c>
      <c r="BG167" s="21" t="n">
        <f aca="false">IF(AND(AK167&gt;تنظیمات!$B$11,AL167="بله"),1,0)</f>
        <v>0</v>
      </c>
      <c r="BH167" s="21" t="n">
        <f aca="false">MIN(100,AR167*تنظیمات!$B$21+AS167*تنظیمات!$B$22+AT167*تنظیمات!$B$23+AU167*تنظیمات!$B$24+AV167*تنظیمات!$B$25+AW167*تنظیمات!$B$26+AX167*تنظیمات!$B$27+AY167*تنظیمات!$B$28+AZ167*تنظیمات!$B$29+BA167*تنظیمات!$B$30+BB167*تنظیمات!$B$31+BC167*تنظیمات!$B$32+BD167*تنظیمات!$B$33+BE167*تنظیمات!$B$34+BF167*تنظیمات!$B$35+BG167*تنظیمات!$B$36)</f>
        <v>65</v>
      </c>
      <c r="BI167" s="16" t="str">
        <f aca="false">IF(BH167&gt;=60,"بحرانی",IF(BH167&gt;=30,"مشکوک",IF(BH167&gt;0,"هشدار","عادی")))</f>
        <v>بحرانی</v>
      </c>
      <c r="BJ167" s="16" t="s">
        <v>607</v>
      </c>
    </row>
    <row r="168" customFormat="false" ht="15" hidden="false" customHeight="false" outlineLevel="0" collapsed="false">
      <c r="A168" s="16" t="s">
        <v>969</v>
      </c>
      <c r="B168" s="16" t="s">
        <v>970</v>
      </c>
      <c r="C168" s="16"/>
      <c r="D168" s="16" t="s">
        <v>344</v>
      </c>
      <c r="E168" s="16" t="s">
        <v>375</v>
      </c>
      <c r="F168" s="16" t="s">
        <v>333</v>
      </c>
      <c r="G168" s="17" t="n">
        <v>46283.4531481482</v>
      </c>
      <c r="H168" s="17" t="n">
        <v>46283.5128703704</v>
      </c>
      <c r="I168" s="18" t="n">
        <f aca="false">IF(H168="",ROUND((تنظیمات!$B$7-G168)*1440,0),ROUND((H168-G168)*1440,0))</f>
        <v>86</v>
      </c>
      <c r="J168" s="16" t="s">
        <v>334</v>
      </c>
      <c r="K168" s="16" t="s">
        <v>400</v>
      </c>
      <c r="L168" s="19" t="n">
        <v>0.97</v>
      </c>
      <c r="M168" s="19" t="n">
        <v>0.98</v>
      </c>
      <c r="N168" s="16" t="s">
        <v>335</v>
      </c>
      <c r="O168" s="16" t="s">
        <v>401</v>
      </c>
      <c r="P168" s="16" t="s">
        <v>402</v>
      </c>
      <c r="Q168" s="20" t="n">
        <v>46283</v>
      </c>
      <c r="R168" s="16" t="s">
        <v>971</v>
      </c>
      <c r="S168" s="16" t="s">
        <v>404</v>
      </c>
      <c r="T168" s="17"/>
      <c r="U168" s="21" t="n">
        <v>1</v>
      </c>
      <c r="V168" s="21" t="n">
        <v>1</v>
      </c>
      <c r="W168" s="22" t="n">
        <v>5.4</v>
      </c>
      <c r="X168" s="16" t="s">
        <v>335</v>
      </c>
      <c r="Y168" s="16" t="s">
        <v>338</v>
      </c>
      <c r="Z168" s="16" t="s">
        <v>405</v>
      </c>
      <c r="AA168" s="16"/>
      <c r="AB168" s="23"/>
      <c r="AC168" s="17"/>
      <c r="AD168" s="16" t="s">
        <v>338</v>
      </c>
      <c r="AE168" s="16"/>
      <c r="AF168" s="16" t="str">
        <f aca="false">IF(COUNTIF(لیست_سفید!$A$2:$A$21,B168)&gt;0,"بله","خیر")</f>
        <v>خیر</v>
      </c>
      <c r="AG168" s="24" t="n">
        <f aca="false">IF(H168="","",IF(AD168="فیش مفقودی",تنظیمات!$B$6,(INT(I168/1440)*تنظیمات!$B$5+IF(MOD(I168,1440)&lt;=تنظیمات!$B$2,0,MIN(تنظیمات!$B$5,تنظیمات!$B$3+MAX(0,ROUNDUP((MOD(I168,1440)-60)/60,0))*تنظیمات!$B$4)))*INDEX(تعرفه!$B$2:$B$7,MATCH(AD168,تعرفه!$A$2:$A$7,0))))</f>
        <v>34000</v>
      </c>
      <c r="AH168" s="24" t="n">
        <v>10000</v>
      </c>
      <c r="AI168" s="24" t="n">
        <f aca="false">IF(AG168="","",AH168-AG168)</f>
        <v>-24000</v>
      </c>
      <c r="AJ168" s="21" t="n">
        <v>0</v>
      </c>
      <c r="AK168" s="21" t="n">
        <v>0</v>
      </c>
      <c r="AL168" s="16" t="s">
        <v>335</v>
      </c>
      <c r="AM168" s="16"/>
      <c r="AN168" s="16" t="s">
        <v>340</v>
      </c>
      <c r="AO168" s="16" t="s">
        <v>340</v>
      </c>
      <c r="AP168" s="16" t="s">
        <v>335</v>
      </c>
      <c r="AQ168" s="16"/>
      <c r="AR168" s="21" t="n">
        <f aca="false">IF(AND(T168&lt;&gt;"",H168&lt;&gt;""),IF(AND((T168-H168)*86400&gt;=0,(T168-H168)*86400&lt;تنظیمات!$B$13),1,0),0)</f>
        <v>0</v>
      </c>
      <c r="AS168" s="21" t="n">
        <f aca="false">IF(Z168="پوز",IF(OR(AB168="",COUNTIF(پوزها!$A$2:$A$5,AA168)=0),1,0),0)</f>
        <v>0</v>
      </c>
      <c r="AT168" s="21" t="n">
        <f aca="false">IF(AI168="",0,IF(AI168&gt;0,1,0))</f>
        <v>0</v>
      </c>
      <c r="AU168" s="21" t="n">
        <f aca="false">IF(AI168="",0,IF(AI168&lt;0,1,0))</f>
        <v>1</v>
      </c>
      <c r="AV168" s="21" t="n">
        <f aca="false">IF(U168&gt;V168,1,0)</f>
        <v>0</v>
      </c>
      <c r="AW168" s="21" t="n">
        <f aca="false">IF(OR(W168&gt;تنظیمات!$B$8,X168="بله"),1,0)</f>
        <v>0</v>
      </c>
      <c r="AX168" s="21" t="n">
        <f aca="false">IF(AND(N168="بله",L168&gt;تنظیمات!$B$9),1,0)</f>
        <v>0</v>
      </c>
      <c r="AY168" s="21" t="n">
        <f aca="false">IF(Y168="معکوس",1,0)</f>
        <v>0</v>
      </c>
      <c r="AZ168" s="21" t="n">
        <f aca="false">IF(ABS(AJ168)&gt;تنظیمات!$B$10,1,0)</f>
        <v>0</v>
      </c>
      <c r="BA168" s="21" t="n">
        <f aca="false">IF(AND(OR(AD168="رایگان/VIP",AD168="جانباز"),AF168="خیر"),1,0)</f>
        <v>0</v>
      </c>
      <c r="BB168" s="21" t="n">
        <f aca="false">IF(AE168="",0,IF(COUNTIF($AE$2:$AE$1001,AE168)&gt;1,1,0))</f>
        <v>0</v>
      </c>
      <c r="BC168" s="21" t="n">
        <f aca="false">IF(AND(H168="",I168&gt;تنظیمات!$B$12*60,AM168="خالی"),1,0)</f>
        <v>0</v>
      </c>
      <c r="BD168" s="21" t="n">
        <f aca="false">IF(AND(AP168="بله",I168&lt;تنظیمات!$B$14,AO168="خیر"),1,0)</f>
        <v>0</v>
      </c>
      <c r="BE168" s="21" t="n">
        <f aca="false">IF(AN168="خیر",1,0)</f>
        <v>0</v>
      </c>
      <c r="BF168" s="21" t="n">
        <f aca="false">IF(AND(AD168="فیش مفقودی",AQ168="بله",I168&gt;تنظیمات!$B$12*60),1,0)</f>
        <v>0</v>
      </c>
      <c r="BG168" s="21" t="n">
        <f aca="false">IF(AND(AK168&gt;تنظیمات!$B$11,AL168="بله"),1,0)</f>
        <v>0</v>
      </c>
      <c r="BH168" s="21" t="n">
        <f aca="false">MIN(100,AR168*تنظیمات!$B$21+AS168*تنظیمات!$B$22+AT168*تنظیمات!$B$23+AU168*تنظیمات!$B$24+AV168*تنظیمات!$B$25+AW168*تنظیمات!$B$26+AX168*تنظیمات!$B$27+AY168*تنظیمات!$B$28+AZ168*تنظیمات!$B$29+BA168*تنظیمات!$B$30+BB168*تنظیمات!$B$31+BC168*تنظیمات!$B$32+BD168*تنظیمات!$B$33+BE168*تنظیمات!$B$34+BF168*تنظیمات!$B$35+BG168*تنظیمات!$B$36)</f>
        <v>25</v>
      </c>
      <c r="BI168" s="16" t="str">
        <f aca="false">IF(BH168&gt;=60,"بحرانی",IF(BH168&gt;=30,"مشکوک",IF(BH168&gt;0,"هشدار","عادی")))</f>
        <v>هشدار</v>
      </c>
      <c r="BJ168" s="16" t="s">
        <v>610</v>
      </c>
    </row>
    <row r="169" customFormat="false" ht="15" hidden="false" customHeight="false" outlineLevel="0" collapsed="false">
      <c r="A169" s="16" t="s">
        <v>972</v>
      </c>
      <c r="B169" s="16" t="s">
        <v>973</v>
      </c>
      <c r="C169" s="16"/>
      <c r="D169" s="16" t="s">
        <v>431</v>
      </c>
      <c r="E169" s="16" t="s">
        <v>332</v>
      </c>
      <c r="F169" s="16" t="s">
        <v>333</v>
      </c>
      <c r="G169" s="17" t="n">
        <v>46283.4615162037</v>
      </c>
      <c r="H169" s="17" t="n">
        <v>46283.8642939815</v>
      </c>
      <c r="I169" s="18" t="n">
        <f aca="false">IF(H169="",ROUND((تنظیمات!$B$7-G169)*1440,0),ROUND((H169-G169)*1440,0))</f>
        <v>580</v>
      </c>
      <c r="J169" s="16" t="s">
        <v>334</v>
      </c>
      <c r="K169" s="16" t="s">
        <v>410</v>
      </c>
      <c r="L169" s="19" t="n">
        <v>0.995</v>
      </c>
      <c r="M169" s="19" t="n">
        <v>0.995</v>
      </c>
      <c r="N169" s="16" t="s">
        <v>335</v>
      </c>
      <c r="O169" s="16" t="s">
        <v>666</v>
      </c>
      <c r="P169" s="16" t="s">
        <v>420</v>
      </c>
      <c r="Q169" s="20" t="n">
        <v>46283</v>
      </c>
      <c r="R169" s="16" t="s">
        <v>974</v>
      </c>
      <c r="S169" s="16" t="s">
        <v>404</v>
      </c>
      <c r="T169" s="17"/>
      <c r="U169" s="21" t="n">
        <v>1</v>
      </c>
      <c r="V169" s="21" t="n">
        <v>1</v>
      </c>
      <c r="W169" s="22" t="n">
        <v>5</v>
      </c>
      <c r="X169" s="16" t="s">
        <v>335</v>
      </c>
      <c r="Y169" s="16" t="s">
        <v>338</v>
      </c>
      <c r="Z169" s="16" t="s">
        <v>443</v>
      </c>
      <c r="AA169" s="16"/>
      <c r="AB169" s="23"/>
      <c r="AC169" s="17"/>
      <c r="AD169" s="16" t="s">
        <v>444</v>
      </c>
      <c r="AE169" s="16"/>
      <c r="AF169" s="16" t="str">
        <f aca="false">IF(COUNTIF(لیست_سفید!$A$2:$A$21,B169)&gt;0,"بله","خیر")</f>
        <v>خیر</v>
      </c>
      <c r="AG169" s="24" t="n">
        <f aca="false">IF(H169="","",IF(AD169="فیش مفقودی",تنظیمات!$B$6,(INT(I169/1440)*تنظیمات!$B$5+IF(MOD(I169,1440)&lt;=تنظیمات!$B$2,0,MIN(تنظیمات!$B$5,تنظیمات!$B$3+MAX(0,ROUNDUP((MOD(I169,1440)-60)/60,0))*تنظیمات!$B$4)))*INDEX(تعرفه!$B$2:$B$7,MATCH(AD169,تعرفه!$A$2:$A$7,0))))</f>
        <v>0</v>
      </c>
      <c r="AH169" s="24" t="n">
        <v>0</v>
      </c>
      <c r="AI169" s="24" t="n">
        <f aca="false">IF(AG169="","",AH169-AG169)</f>
        <v>0</v>
      </c>
      <c r="AJ169" s="21" t="n">
        <v>-2</v>
      </c>
      <c r="AK169" s="21" t="n">
        <v>0</v>
      </c>
      <c r="AL169" s="16" t="s">
        <v>335</v>
      </c>
      <c r="AM169" s="16"/>
      <c r="AN169" s="16" t="s">
        <v>340</v>
      </c>
      <c r="AO169" s="16" t="s">
        <v>340</v>
      </c>
      <c r="AP169" s="16" t="s">
        <v>335</v>
      </c>
      <c r="AQ169" s="16"/>
      <c r="AR169" s="21" t="n">
        <f aca="false">IF(AND(T169&lt;&gt;"",H169&lt;&gt;""),IF(AND((T169-H169)*86400&gt;=0,(T169-H169)*86400&lt;تنظیمات!$B$13),1,0),0)</f>
        <v>0</v>
      </c>
      <c r="AS169" s="21" t="n">
        <f aca="false">IF(Z169="پوز",IF(OR(AB169="",COUNTIF(پوزها!$A$2:$A$5,AA169)=0),1,0),0)</f>
        <v>0</v>
      </c>
      <c r="AT169" s="21" t="n">
        <f aca="false">IF(AI169="",0,IF(AI169&gt;0,1,0))</f>
        <v>0</v>
      </c>
      <c r="AU169" s="21" t="n">
        <f aca="false">IF(AI169="",0,IF(AI169&lt;0,1,0))</f>
        <v>0</v>
      </c>
      <c r="AV169" s="21" t="n">
        <f aca="false">IF(U169&gt;V169,1,0)</f>
        <v>0</v>
      </c>
      <c r="AW169" s="21" t="n">
        <f aca="false">IF(OR(W169&gt;تنظیمات!$B$8,X169="بله"),1,0)</f>
        <v>0</v>
      </c>
      <c r="AX169" s="21" t="n">
        <f aca="false">IF(AND(N169="بله",L169&gt;تنظیمات!$B$9),1,0)</f>
        <v>0</v>
      </c>
      <c r="AY169" s="21" t="n">
        <f aca="false">IF(Y169="معکوس",1,0)</f>
        <v>0</v>
      </c>
      <c r="AZ169" s="21" t="n">
        <f aca="false">IF(ABS(AJ169)&gt;تنظیمات!$B$10,1,0)</f>
        <v>0</v>
      </c>
      <c r="BA169" s="21" t="n">
        <f aca="false">IF(AND(OR(AD169="رایگان/VIP",AD169="جانباز"),AF169="خیر"),1,0)</f>
        <v>0</v>
      </c>
      <c r="BB169" s="21" t="n">
        <f aca="false">IF(AE169="",0,IF(COUNTIF($AE$2:$AE$1001,AE169)&gt;1,1,0))</f>
        <v>0</v>
      </c>
      <c r="BC169" s="21" t="n">
        <f aca="false">IF(AND(H169="",I169&gt;تنظیمات!$B$12*60,AM169="خالی"),1,0)</f>
        <v>0</v>
      </c>
      <c r="BD169" s="21" t="n">
        <f aca="false">IF(AND(AP169="بله",I169&lt;تنظیمات!$B$14,AO169="خیر"),1,0)</f>
        <v>0</v>
      </c>
      <c r="BE169" s="21" t="n">
        <f aca="false">IF(AN169="خیر",1,0)</f>
        <v>0</v>
      </c>
      <c r="BF169" s="21" t="n">
        <f aca="false">IF(AND(AD169="فیش مفقودی",AQ169="بله",I169&gt;تنظیمات!$B$12*60),1,0)</f>
        <v>0</v>
      </c>
      <c r="BG169" s="21" t="n">
        <f aca="false">IF(AND(AK169&gt;تنظیمات!$B$11,AL169="بله"),1,0)</f>
        <v>0</v>
      </c>
      <c r="BH169" s="21" t="n">
        <f aca="false">MIN(100,AR169*تنظیمات!$B$21+AS169*تنظیمات!$B$22+AT169*تنظیمات!$B$23+AU169*تنظیمات!$B$24+AV169*تنظیمات!$B$25+AW169*تنظیمات!$B$26+AX169*تنظیمات!$B$27+AY169*تنظیمات!$B$28+AZ169*تنظیمات!$B$29+BA169*تنظیمات!$B$30+BB169*تنظیمات!$B$31+BC169*تنظیمات!$B$32+BD169*تنظیمات!$B$33+BE169*تنظیمات!$B$34+BF169*تنظیمات!$B$35+BG169*تنظیمات!$B$36)</f>
        <v>0</v>
      </c>
      <c r="BI169" s="16" t="str">
        <f aca="false">IF(BH169&gt;=60,"بحرانی",IF(BH169&gt;=30,"مشکوک",IF(BH169&gt;0,"هشدار","عادی")))</f>
        <v>عادی</v>
      </c>
      <c r="BJ169" s="16" t="s">
        <v>338</v>
      </c>
    </row>
    <row r="170" customFormat="false" ht="15" hidden="false" customHeight="false" outlineLevel="0" collapsed="false">
      <c r="A170" s="16" t="s">
        <v>975</v>
      </c>
      <c r="B170" s="16" t="s">
        <v>773</v>
      </c>
      <c r="C170" s="16" t="s">
        <v>976</v>
      </c>
      <c r="D170" s="16" t="s">
        <v>431</v>
      </c>
      <c r="E170" s="16" t="s">
        <v>332</v>
      </c>
      <c r="F170" s="16" t="s">
        <v>333</v>
      </c>
      <c r="G170" s="17" t="n">
        <v>46283.4622569445</v>
      </c>
      <c r="H170" s="17" t="n">
        <v>46283.5226736111</v>
      </c>
      <c r="I170" s="18" t="n">
        <f aca="false">IF(H170="",ROUND((تنظیمات!$B$7-G170)*1440,0),ROUND((H170-G170)*1440,0))</f>
        <v>87</v>
      </c>
      <c r="J170" s="16" t="s">
        <v>334</v>
      </c>
      <c r="K170" s="16" t="s">
        <v>410</v>
      </c>
      <c r="L170" s="19" t="n">
        <v>0.668</v>
      </c>
      <c r="M170" s="19" t="n">
        <v>0.975</v>
      </c>
      <c r="N170" s="16" t="s">
        <v>340</v>
      </c>
      <c r="O170" s="16" t="s">
        <v>419</v>
      </c>
      <c r="P170" s="16" t="s">
        <v>402</v>
      </c>
      <c r="Q170" s="20" t="n">
        <v>46283</v>
      </c>
      <c r="R170" s="16" t="s">
        <v>977</v>
      </c>
      <c r="S170" s="16" t="s">
        <v>404</v>
      </c>
      <c r="T170" s="17"/>
      <c r="U170" s="21" t="n">
        <v>1</v>
      </c>
      <c r="V170" s="21" t="n">
        <v>1</v>
      </c>
      <c r="W170" s="22" t="n">
        <v>6.3</v>
      </c>
      <c r="X170" s="16" t="s">
        <v>335</v>
      </c>
      <c r="Y170" s="16" t="s">
        <v>338</v>
      </c>
      <c r="Z170" s="16" t="s">
        <v>413</v>
      </c>
      <c r="AA170" s="16" t="s">
        <v>414</v>
      </c>
      <c r="AB170" s="23" t="s">
        <v>978</v>
      </c>
      <c r="AC170" s="17" t="n">
        <v>46283.5220138889</v>
      </c>
      <c r="AD170" s="16" t="s">
        <v>338</v>
      </c>
      <c r="AE170" s="16"/>
      <c r="AF170" s="16" t="str">
        <f aca="false">IF(COUNTIF(لیست_سفید!$A$2:$A$21,B170)&gt;0,"بله","خیر")</f>
        <v>خیر</v>
      </c>
      <c r="AG170" s="24" t="n">
        <f aca="false">IF(H170="","",IF(AD170="فیش مفقودی",تنظیمات!$B$6,(INT(I170/1440)*تنظیمات!$B$5+IF(MOD(I170,1440)&lt;=تنظیمات!$B$2,0,MIN(تنظیمات!$B$5,تنظیمات!$B$3+MAX(0,ROUNDUP((MOD(I170,1440)-60)/60,0))*تنظیمات!$B$4)))*INDEX(تعرفه!$B$2:$B$7,MATCH(AD170,تعرفه!$A$2:$A$7,0))))</f>
        <v>34000</v>
      </c>
      <c r="AH170" s="24" t="n">
        <v>34000</v>
      </c>
      <c r="AI170" s="24" t="n">
        <f aca="false">IF(AG170="","",AH170-AG170)</f>
        <v>0</v>
      </c>
      <c r="AJ170" s="21" t="n">
        <v>3</v>
      </c>
      <c r="AK170" s="21" t="n">
        <v>0</v>
      </c>
      <c r="AL170" s="16" t="s">
        <v>335</v>
      </c>
      <c r="AM170" s="16"/>
      <c r="AN170" s="16" t="s">
        <v>340</v>
      </c>
      <c r="AO170" s="16" t="s">
        <v>340</v>
      </c>
      <c r="AP170" s="16" t="s">
        <v>335</v>
      </c>
      <c r="AQ170" s="16"/>
      <c r="AR170" s="21" t="n">
        <f aca="false">IF(AND(T170&lt;&gt;"",H170&lt;&gt;""),IF(AND((T170-H170)*86400&gt;=0,(T170-H170)*86400&lt;تنظیمات!$B$13),1,0),0)</f>
        <v>0</v>
      </c>
      <c r="AS170" s="21" t="n">
        <f aca="false">IF(Z170="پوز",IF(OR(AB170="",COUNTIF(پوزها!$A$2:$A$5,AA170)=0),1,0),0)</f>
        <v>0</v>
      </c>
      <c r="AT170" s="21" t="n">
        <f aca="false">IF(AI170="",0,IF(AI170&gt;0,1,0))</f>
        <v>0</v>
      </c>
      <c r="AU170" s="21" t="n">
        <f aca="false">IF(AI170="",0,IF(AI170&lt;0,1,0))</f>
        <v>0</v>
      </c>
      <c r="AV170" s="21" t="n">
        <f aca="false">IF(U170&gt;V170,1,0)</f>
        <v>0</v>
      </c>
      <c r="AW170" s="21" t="n">
        <f aca="false">IF(OR(W170&gt;تنظیمات!$B$8,X170="بله"),1,0)</f>
        <v>0</v>
      </c>
      <c r="AX170" s="21" t="n">
        <f aca="false">IF(AND(N170="بله",L170&gt;تنظیمات!$B$9),1,0)</f>
        <v>0</v>
      </c>
      <c r="AY170" s="21" t="n">
        <f aca="false">IF(Y170="معکوس",1,0)</f>
        <v>0</v>
      </c>
      <c r="AZ170" s="21" t="n">
        <f aca="false">IF(ABS(AJ170)&gt;تنظیمات!$B$10,1,0)</f>
        <v>0</v>
      </c>
      <c r="BA170" s="21" t="n">
        <f aca="false">IF(AND(OR(AD170="رایگان/VIP",AD170="جانباز"),AF170="خیر"),1,0)</f>
        <v>0</v>
      </c>
      <c r="BB170" s="21" t="n">
        <f aca="false">IF(AE170="",0,IF(COUNTIF($AE$2:$AE$1001,AE170)&gt;1,1,0))</f>
        <v>0</v>
      </c>
      <c r="BC170" s="21" t="n">
        <f aca="false">IF(AND(H170="",I170&gt;تنظیمات!$B$12*60,AM170="خالی"),1,0)</f>
        <v>0</v>
      </c>
      <c r="BD170" s="21" t="n">
        <f aca="false">IF(AND(AP170="بله",I170&lt;تنظیمات!$B$14,AO170="خیر"),1,0)</f>
        <v>0</v>
      </c>
      <c r="BE170" s="21" t="n">
        <f aca="false">IF(AN170="خیر",1,0)</f>
        <v>0</v>
      </c>
      <c r="BF170" s="21" t="n">
        <f aca="false">IF(AND(AD170="فیش مفقودی",AQ170="بله",I170&gt;تنظیمات!$B$12*60),1,0)</f>
        <v>0</v>
      </c>
      <c r="BG170" s="21" t="n">
        <f aca="false">IF(AND(AK170&gt;تنظیمات!$B$11,AL170="بله"),1,0)</f>
        <v>0</v>
      </c>
      <c r="BH170" s="21" t="n">
        <f aca="false">MIN(100,AR170*تنظیمات!$B$21+AS170*تنظیمات!$B$22+AT170*تنظیمات!$B$23+AU170*تنظیمات!$B$24+AV170*تنظیمات!$B$25+AW170*تنظیمات!$B$26+AX170*تنظیمات!$B$27+AY170*تنظیمات!$B$28+AZ170*تنظیمات!$B$29+BA170*تنظیمات!$B$30+BB170*تنظیمات!$B$31+BC170*تنظیمات!$B$32+BD170*تنظیمات!$B$33+BE170*تنظیمات!$B$34+BF170*تنظیمات!$B$35+BG170*تنظیمات!$B$36)</f>
        <v>0</v>
      </c>
      <c r="BI170" s="16" t="str">
        <f aca="false">IF(BH170&gt;=60,"بحرانی",IF(BH170&gt;=30,"مشکوک",IF(BH170&gt;0,"هشدار","عادی")))</f>
        <v>عادی</v>
      </c>
      <c r="BJ170" s="16" t="s">
        <v>338</v>
      </c>
    </row>
    <row r="171" customFormat="false" ht="15" hidden="false" customHeight="false" outlineLevel="0" collapsed="false">
      <c r="A171" s="16" t="s">
        <v>979</v>
      </c>
      <c r="B171" s="16" t="s">
        <v>435</v>
      </c>
      <c r="C171" s="16"/>
      <c r="D171" s="16" t="s">
        <v>418</v>
      </c>
      <c r="E171" s="16" t="s">
        <v>345</v>
      </c>
      <c r="F171" s="16" t="s">
        <v>333</v>
      </c>
      <c r="G171" s="17" t="n">
        <v>46283.4721296296</v>
      </c>
      <c r="H171" s="17" t="n">
        <v>46283.5082407407</v>
      </c>
      <c r="I171" s="18" t="n">
        <f aca="false">IF(H171="",ROUND((تنظیمات!$B$7-G171)*1440,0),ROUND((H171-G171)*1440,0))</f>
        <v>52</v>
      </c>
      <c r="J171" s="16" t="s">
        <v>334</v>
      </c>
      <c r="K171" s="16" t="s">
        <v>410</v>
      </c>
      <c r="L171" s="19" t="n">
        <v>0.95</v>
      </c>
      <c r="M171" s="19" t="n">
        <v>0.958</v>
      </c>
      <c r="N171" s="16" t="s">
        <v>335</v>
      </c>
      <c r="O171" s="16" t="s">
        <v>419</v>
      </c>
      <c r="P171" s="16" t="s">
        <v>402</v>
      </c>
      <c r="Q171" s="20" t="n">
        <v>46283</v>
      </c>
      <c r="R171" s="16" t="s">
        <v>980</v>
      </c>
      <c r="S171" s="16" t="s">
        <v>404</v>
      </c>
      <c r="T171" s="17"/>
      <c r="U171" s="21" t="n">
        <v>1</v>
      </c>
      <c r="V171" s="21" t="n">
        <v>1</v>
      </c>
      <c r="W171" s="22" t="n">
        <v>4.5</v>
      </c>
      <c r="X171" s="16" t="s">
        <v>335</v>
      </c>
      <c r="Y171" s="16" t="s">
        <v>338</v>
      </c>
      <c r="Z171" s="16" t="s">
        <v>413</v>
      </c>
      <c r="AA171" s="16" t="s">
        <v>414</v>
      </c>
      <c r="AB171" s="23" t="s">
        <v>981</v>
      </c>
      <c r="AC171" s="17" t="n">
        <v>46283.5078240741</v>
      </c>
      <c r="AD171" s="16" t="s">
        <v>338</v>
      </c>
      <c r="AE171" s="16"/>
      <c r="AF171" s="16" t="str">
        <f aca="false">IF(COUNTIF(لیست_سفید!$A$2:$A$21,B171)&gt;0,"بله","خیر")</f>
        <v>خیر</v>
      </c>
      <c r="AG171" s="24" t="n">
        <f aca="false">IF(H171="","",IF(AD171="فیش مفقودی",تنظیمات!$B$6,(INT(I171/1440)*تنظیمات!$B$5+IF(MOD(I171,1440)&lt;=تنظیمات!$B$2,0,MIN(تنظیمات!$B$5,تنظیمات!$B$3+MAX(0,ROUNDUP((MOD(I171,1440)-60)/60,0))*تنظیمات!$B$4)))*INDEX(تعرفه!$B$2:$B$7,MATCH(AD171,تعرفه!$A$2:$A$7,0))))</f>
        <v>20000</v>
      </c>
      <c r="AH171" s="24" t="n">
        <v>20000</v>
      </c>
      <c r="AI171" s="24" t="n">
        <f aca="false">IF(AG171="","",AH171-AG171)</f>
        <v>0</v>
      </c>
      <c r="AJ171" s="21" t="n">
        <v>0</v>
      </c>
      <c r="AK171" s="21" t="n">
        <v>0</v>
      </c>
      <c r="AL171" s="16" t="s">
        <v>335</v>
      </c>
      <c r="AM171" s="16"/>
      <c r="AN171" s="16" t="s">
        <v>340</v>
      </c>
      <c r="AO171" s="16" t="s">
        <v>340</v>
      </c>
      <c r="AP171" s="16" t="s">
        <v>335</v>
      </c>
      <c r="AQ171" s="16"/>
      <c r="AR171" s="21" t="n">
        <f aca="false">IF(AND(T171&lt;&gt;"",H171&lt;&gt;""),IF(AND((T171-H171)*86400&gt;=0,(T171-H171)*86400&lt;تنظیمات!$B$13),1,0),0)</f>
        <v>0</v>
      </c>
      <c r="AS171" s="21" t="n">
        <f aca="false">IF(Z171="پوز",IF(OR(AB171="",COUNTIF(پوزها!$A$2:$A$5,AA171)=0),1,0),0)</f>
        <v>0</v>
      </c>
      <c r="AT171" s="21" t="n">
        <f aca="false">IF(AI171="",0,IF(AI171&gt;0,1,0))</f>
        <v>0</v>
      </c>
      <c r="AU171" s="21" t="n">
        <f aca="false">IF(AI171="",0,IF(AI171&lt;0,1,0))</f>
        <v>0</v>
      </c>
      <c r="AV171" s="21" t="n">
        <f aca="false">IF(U171&gt;V171,1,0)</f>
        <v>0</v>
      </c>
      <c r="AW171" s="21" t="n">
        <f aca="false">IF(OR(W171&gt;تنظیمات!$B$8,X171="بله"),1,0)</f>
        <v>0</v>
      </c>
      <c r="AX171" s="21" t="n">
        <f aca="false">IF(AND(N171="بله",L171&gt;تنظیمات!$B$9),1,0)</f>
        <v>0</v>
      </c>
      <c r="AY171" s="21" t="n">
        <f aca="false">IF(Y171="معکوس",1,0)</f>
        <v>0</v>
      </c>
      <c r="AZ171" s="21" t="n">
        <f aca="false">IF(ABS(AJ171)&gt;تنظیمات!$B$10,1,0)</f>
        <v>0</v>
      </c>
      <c r="BA171" s="21" t="n">
        <f aca="false">IF(AND(OR(AD171="رایگان/VIP",AD171="جانباز"),AF171="خیر"),1,0)</f>
        <v>0</v>
      </c>
      <c r="BB171" s="21" t="n">
        <f aca="false">IF(AE171="",0,IF(COUNTIF($AE$2:$AE$1001,AE171)&gt;1,1,0))</f>
        <v>0</v>
      </c>
      <c r="BC171" s="21" t="n">
        <f aca="false">IF(AND(H171="",I171&gt;تنظیمات!$B$12*60,AM171="خالی"),1,0)</f>
        <v>0</v>
      </c>
      <c r="BD171" s="21" t="n">
        <f aca="false">IF(AND(AP171="بله",I171&lt;تنظیمات!$B$14,AO171="خیر"),1,0)</f>
        <v>0</v>
      </c>
      <c r="BE171" s="21" t="n">
        <f aca="false">IF(AN171="خیر",1,0)</f>
        <v>0</v>
      </c>
      <c r="BF171" s="21" t="n">
        <f aca="false">IF(AND(AD171="فیش مفقودی",AQ171="بله",I171&gt;تنظیمات!$B$12*60),1,0)</f>
        <v>0</v>
      </c>
      <c r="BG171" s="21" t="n">
        <f aca="false">IF(AND(AK171&gt;تنظیمات!$B$11,AL171="بله"),1,0)</f>
        <v>0</v>
      </c>
      <c r="BH171" s="21" t="n">
        <f aca="false">MIN(100,AR171*تنظیمات!$B$21+AS171*تنظیمات!$B$22+AT171*تنظیمات!$B$23+AU171*تنظیمات!$B$24+AV171*تنظیمات!$B$25+AW171*تنظیمات!$B$26+AX171*تنظیمات!$B$27+AY171*تنظیمات!$B$28+AZ171*تنظیمات!$B$29+BA171*تنظیمات!$B$30+BB171*تنظیمات!$B$31+BC171*تنظیمات!$B$32+BD171*تنظیمات!$B$33+BE171*تنظیمات!$B$34+BF171*تنظیمات!$B$35+BG171*تنظیمات!$B$36)</f>
        <v>0</v>
      </c>
      <c r="BI171" s="16" t="str">
        <f aca="false">IF(BH171&gt;=60,"بحرانی",IF(BH171&gt;=30,"مشکوک",IF(BH171&gt;0,"هشدار","عادی")))</f>
        <v>عادی</v>
      </c>
      <c r="BJ171" s="16" t="s">
        <v>338</v>
      </c>
    </row>
    <row r="172" customFormat="false" ht="15" hidden="false" customHeight="false" outlineLevel="0" collapsed="false">
      <c r="A172" s="16" t="s">
        <v>982</v>
      </c>
      <c r="B172" s="16" t="s">
        <v>983</v>
      </c>
      <c r="C172" s="16"/>
      <c r="D172" s="16" t="s">
        <v>450</v>
      </c>
      <c r="E172" s="16" t="s">
        <v>351</v>
      </c>
      <c r="F172" s="16" t="s">
        <v>333</v>
      </c>
      <c r="G172" s="17" t="n">
        <v>46283.4787847222</v>
      </c>
      <c r="H172" s="17" t="n">
        <v>46283.5357291667</v>
      </c>
      <c r="I172" s="18" t="n">
        <f aca="false">IF(H172="",ROUND((تنظیمات!$B$7-G172)*1440,0),ROUND((H172-G172)*1440,0))</f>
        <v>82</v>
      </c>
      <c r="J172" s="16" t="s">
        <v>346</v>
      </c>
      <c r="K172" s="16" t="s">
        <v>400</v>
      </c>
      <c r="L172" s="19" t="n">
        <v>0.973</v>
      </c>
      <c r="M172" s="19" t="n">
        <v>0.918</v>
      </c>
      <c r="N172" s="16" t="s">
        <v>335</v>
      </c>
      <c r="O172" s="16" t="s">
        <v>401</v>
      </c>
      <c r="P172" s="16" t="s">
        <v>402</v>
      </c>
      <c r="Q172" s="20" t="n">
        <v>46283</v>
      </c>
      <c r="R172" s="16" t="s">
        <v>984</v>
      </c>
      <c r="S172" s="16" t="s">
        <v>606</v>
      </c>
      <c r="T172" s="17" t="n">
        <v>46283.5371064815</v>
      </c>
      <c r="U172" s="21" t="n">
        <v>1</v>
      </c>
      <c r="V172" s="21" t="n">
        <v>1</v>
      </c>
      <c r="W172" s="22" t="n">
        <v>5.1</v>
      </c>
      <c r="X172" s="16" t="s">
        <v>335</v>
      </c>
      <c r="Y172" s="16" t="s">
        <v>338</v>
      </c>
      <c r="Z172" s="16" t="s">
        <v>405</v>
      </c>
      <c r="AA172" s="16"/>
      <c r="AB172" s="23"/>
      <c r="AC172" s="17"/>
      <c r="AD172" s="16" t="s">
        <v>338</v>
      </c>
      <c r="AE172" s="16"/>
      <c r="AF172" s="16" t="str">
        <f aca="false">IF(COUNTIF(لیست_سفید!$A$2:$A$21,B172)&gt;0,"بله","خیر")</f>
        <v>خیر</v>
      </c>
      <c r="AG172" s="24" t="n">
        <f aca="false">IF(H172="","",IF(AD172="فیش مفقودی",تنظیمات!$B$6,(INT(I172/1440)*تنظیمات!$B$5+IF(MOD(I172,1440)&lt;=تنظیمات!$B$2,0,MIN(تنظیمات!$B$5,تنظیمات!$B$3+MAX(0,ROUNDUP((MOD(I172,1440)-60)/60,0))*تنظیمات!$B$4)))*INDEX(تعرفه!$B$2:$B$7,MATCH(AD172,تعرفه!$A$2:$A$7,0))))</f>
        <v>34000</v>
      </c>
      <c r="AH172" s="24" t="n">
        <v>0</v>
      </c>
      <c r="AI172" s="24" t="n">
        <f aca="false">IF(AG172="","",AH172-AG172)</f>
        <v>-34000</v>
      </c>
      <c r="AJ172" s="21" t="n">
        <v>0</v>
      </c>
      <c r="AK172" s="21" t="n">
        <v>0</v>
      </c>
      <c r="AL172" s="16" t="s">
        <v>335</v>
      </c>
      <c r="AM172" s="16"/>
      <c r="AN172" s="16" t="s">
        <v>340</v>
      </c>
      <c r="AO172" s="16" t="s">
        <v>340</v>
      </c>
      <c r="AP172" s="16" t="s">
        <v>335</v>
      </c>
      <c r="AQ172" s="16"/>
      <c r="AR172" s="21" t="n">
        <f aca="false">IF(AND(T172&lt;&gt;"",H172&lt;&gt;""),IF(AND((T172-H172)*86400&gt;=0,(T172-H172)*86400&lt;تنظیمات!$B$13),1,0),0)</f>
        <v>1</v>
      </c>
      <c r="AS172" s="21" t="n">
        <f aca="false">IF(Z172="پوز",IF(OR(AB172="",COUNTIF(پوزها!$A$2:$A$5,AA172)=0),1,0),0)</f>
        <v>0</v>
      </c>
      <c r="AT172" s="21" t="n">
        <f aca="false">IF(AI172="",0,IF(AI172&gt;0,1,0))</f>
        <v>0</v>
      </c>
      <c r="AU172" s="21" t="n">
        <f aca="false">IF(AI172="",0,IF(AI172&lt;0,1,0))</f>
        <v>1</v>
      </c>
      <c r="AV172" s="21" t="n">
        <f aca="false">IF(U172&gt;V172,1,0)</f>
        <v>0</v>
      </c>
      <c r="AW172" s="21" t="n">
        <f aca="false">IF(OR(W172&gt;تنظیمات!$B$8,X172="بله"),1,0)</f>
        <v>0</v>
      </c>
      <c r="AX172" s="21" t="n">
        <f aca="false">IF(AND(N172="بله",L172&gt;تنظیمات!$B$9),1,0)</f>
        <v>0</v>
      </c>
      <c r="AY172" s="21" t="n">
        <f aca="false">IF(Y172="معکوس",1,0)</f>
        <v>0</v>
      </c>
      <c r="AZ172" s="21" t="n">
        <f aca="false">IF(ABS(AJ172)&gt;تنظیمات!$B$10,1,0)</f>
        <v>0</v>
      </c>
      <c r="BA172" s="21" t="n">
        <f aca="false">IF(AND(OR(AD172="رایگان/VIP",AD172="جانباز"),AF172="خیر"),1,0)</f>
        <v>0</v>
      </c>
      <c r="BB172" s="21" t="n">
        <f aca="false">IF(AE172="",0,IF(COUNTIF($AE$2:$AE$1001,AE172)&gt;1,1,0))</f>
        <v>0</v>
      </c>
      <c r="BC172" s="21" t="n">
        <f aca="false">IF(AND(H172="",I172&gt;تنظیمات!$B$12*60,AM172="خالی"),1,0)</f>
        <v>0</v>
      </c>
      <c r="BD172" s="21" t="n">
        <f aca="false">IF(AND(AP172="بله",I172&lt;تنظیمات!$B$14,AO172="خیر"),1,0)</f>
        <v>0</v>
      </c>
      <c r="BE172" s="21" t="n">
        <f aca="false">IF(AN172="خیر",1,0)</f>
        <v>0</v>
      </c>
      <c r="BF172" s="21" t="n">
        <f aca="false">IF(AND(AD172="فیش مفقودی",AQ172="بله",I172&gt;تنظیمات!$B$12*60),1,0)</f>
        <v>0</v>
      </c>
      <c r="BG172" s="21" t="n">
        <f aca="false">IF(AND(AK172&gt;تنظیمات!$B$11,AL172="بله"),1,0)</f>
        <v>0</v>
      </c>
      <c r="BH172" s="21" t="n">
        <f aca="false">MIN(100,AR172*تنظیمات!$B$21+AS172*تنظیمات!$B$22+AT172*تنظیمات!$B$23+AU172*تنظیمات!$B$24+AV172*تنظیمات!$B$25+AW172*تنظیمات!$B$26+AX172*تنظیمات!$B$27+AY172*تنظیمات!$B$28+AZ172*تنظیمات!$B$29+BA172*تنظیمات!$B$30+BB172*تنظیمات!$B$31+BC172*تنظیمات!$B$32+BD172*تنظیمات!$B$33+BE172*تنظیمات!$B$34+BF172*تنظیمات!$B$35+BG172*تنظیمات!$B$36)</f>
        <v>65</v>
      </c>
      <c r="BI172" s="16" t="str">
        <f aca="false">IF(BH172&gt;=60,"بحرانی",IF(BH172&gt;=30,"مشکوک",IF(BH172&gt;0,"هشدار","عادی")))</f>
        <v>بحرانی</v>
      </c>
      <c r="BJ172" s="16" t="s">
        <v>607</v>
      </c>
    </row>
    <row r="173" customFormat="false" ht="15" hidden="false" customHeight="false" outlineLevel="0" collapsed="false">
      <c r="A173" s="16" t="s">
        <v>985</v>
      </c>
      <c r="B173" s="16" t="s">
        <v>551</v>
      </c>
      <c r="C173" s="16"/>
      <c r="D173" s="16" t="s">
        <v>350</v>
      </c>
      <c r="E173" s="16" t="s">
        <v>332</v>
      </c>
      <c r="F173" s="16" t="s">
        <v>333</v>
      </c>
      <c r="G173" s="17" t="n">
        <v>46283.4856597222</v>
      </c>
      <c r="H173" s="17" t="n">
        <v>46283.5113541667</v>
      </c>
      <c r="I173" s="18" t="n">
        <f aca="false">IF(H173="",ROUND((تنظیمات!$B$7-G173)*1440,0),ROUND((H173-G173)*1440,0))</f>
        <v>37</v>
      </c>
      <c r="J173" s="16" t="s">
        <v>334</v>
      </c>
      <c r="K173" s="16" t="s">
        <v>400</v>
      </c>
      <c r="L173" s="19" t="n">
        <v>0.9</v>
      </c>
      <c r="M173" s="19" t="n">
        <v>0.995</v>
      </c>
      <c r="N173" s="16" t="s">
        <v>335</v>
      </c>
      <c r="O173" s="16" t="s">
        <v>401</v>
      </c>
      <c r="P173" s="16" t="s">
        <v>402</v>
      </c>
      <c r="Q173" s="20" t="n">
        <v>46283</v>
      </c>
      <c r="R173" s="16" t="s">
        <v>986</v>
      </c>
      <c r="S173" s="16" t="s">
        <v>404</v>
      </c>
      <c r="T173" s="17"/>
      <c r="U173" s="21" t="n">
        <v>1</v>
      </c>
      <c r="V173" s="21" t="n">
        <v>1</v>
      </c>
      <c r="W173" s="22" t="n">
        <v>7.2</v>
      </c>
      <c r="X173" s="16" t="s">
        <v>335</v>
      </c>
      <c r="Y173" s="16" t="s">
        <v>338</v>
      </c>
      <c r="Z173" s="16" t="s">
        <v>413</v>
      </c>
      <c r="AA173" s="16" t="s">
        <v>720</v>
      </c>
      <c r="AB173" s="23" t="s">
        <v>987</v>
      </c>
      <c r="AC173" s="17" t="n">
        <v>46283.510775463</v>
      </c>
      <c r="AD173" s="16" t="s">
        <v>338</v>
      </c>
      <c r="AE173" s="16"/>
      <c r="AF173" s="16" t="str">
        <f aca="false">IF(COUNTIF(لیست_سفید!$A$2:$A$21,B173)&gt;0,"بله","خیر")</f>
        <v>خیر</v>
      </c>
      <c r="AG173" s="24" t="n">
        <f aca="false">IF(H173="","",IF(AD173="فیش مفقودی",تنظیمات!$B$6,(INT(I173/1440)*تنظیمات!$B$5+IF(MOD(I173,1440)&lt;=تنظیمات!$B$2,0,MIN(تنظیمات!$B$5,تنظیمات!$B$3+MAX(0,ROUNDUP((MOD(I173,1440)-60)/60,0))*تنظیمات!$B$4)))*INDEX(تعرفه!$B$2:$B$7,MATCH(AD173,تعرفه!$A$2:$A$7,0))))</f>
        <v>20000</v>
      </c>
      <c r="AH173" s="24" t="n">
        <v>20000</v>
      </c>
      <c r="AI173" s="24" t="n">
        <f aca="false">IF(AG173="","",AH173-AG173)</f>
        <v>0</v>
      </c>
      <c r="AJ173" s="21" t="n">
        <v>0</v>
      </c>
      <c r="AK173" s="21" t="n">
        <v>0</v>
      </c>
      <c r="AL173" s="16" t="s">
        <v>335</v>
      </c>
      <c r="AM173" s="16"/>
      <c r="AN173" s="16" t="s">
        <v>340</v>
      </c>
      <c r="AO173" s="16" t="s">
        <v>340</v>
      </c>
      <c r="AP173" s="16" t="s">
        <v>335</v>
      </c>
      <c r="AQ173" s="16"/>
      <c r="AR173" s="21" t="n">
        <f aca="false">IF(AND(T173&lt;&gt;"",H173&lt;&gt;""),IF(AND((T173-H173)*86400&gt;=0,(T173-H173)*86400&lt;تنظیمات!$B$13),1,0),0)</f>
        <v>0</v>
      </c>
      <c r="AS173" s="21" t="n">
        <f aca="false">IF(Z173="پوز",IF(OR(AB173="",COUNTIF(پوزها!$A$2:$A$5,AA173)=0),1,0),0)</f>
        <v>1</v>
      </c>
      <c r="AT173" s="21" t="n">
        <f aca="false">IF(AI173="",0,IF(AI173&gt;0,1,0))</f>
        <v>0</v>
      </c>
      <c r="AU173" s="21" t="n">
        <f aca="false">IF(AI173="",0,IF(AI173&lt;0,1,0))</f>
        <v>0</v>
      </c>
      <c r="AV173" s="21" t="n">
        <f aca="false">IF(U173&gt;V173,1,0)</f>
        <v>0</v>
      </c>
      <c r="AW173" s="21" t="n">
        <f aca="false">IF(OR(W173&gt;تنظیمات!$B$8,X173="بله"),1,0)</f>
        <v>0</v>
      </c>
      <c r="AX173" s="21" t="n">
        <f aca="false">IF(AND(N173="بله",L173&gt;تنظیمات!$B$9),1,0)</f>
        <v>0</v>
      </c>
      <c r="AY173" s="21" t="n">
        <f aca="false">IF(Y173="معکوس",1,0)</f>
        <v>0</v>
      </c>
      <c r="AZ173" s="21" t="n">
        <f aca="false">IF(ABS(AJ173)&gt;تنظیمات!$B$10,1,0)</f>
        <v>0</v>
      </c>
      <c r="BA173" s="21" t="n">
        <f aca="false">IF(AND(OR(AD173="رایگان/VIP",AD173="جانباز"),AF173="خیر"),1,0)</f>
        <v>0</v>
      </c>
      <c r="BB173" s="21" t="n">
        <f aca="false">IF(AE173="",0,IF(COUNTIF($AE$2:$AE$1001,AE173)&gt;1,1,0))</f>
        <v>0</v>
      </c>
      <c r="BC173" s="21" t="n">
        <f aca="false">IF(AND(H173="",I173&gt;تنظیمات!$B$12*60,AM173="خالی"),1,0)</f>
        <v>0</v>
      </c>
      <c r="BD173" s="21" t="n">
        <f aca="false">IF(AND(AP173="بله",I173&lt;تنظیمات!$B$14,AO173="خیر"),1,0)</f>
        <v>0</v>
      </c>
      <c r="BE173" s="21" t="n">
        <f aca="false">IF(AN173="خیر",1,0)</f>
        <v>0</v>
      </c>
      <c r="BF173" s="21" t="n">
        <f aca="false">IF(AND(AD173="فیش مفقودی",AQ173="بله",I173&gt;تنظیمات!$B$12*60),1,0)</f>
        <v>0</v>
      </c>
      <c r="BG173" s="21" t="n">
        <f aca="false">IF(AND(AK173&gt;تنظیمات!$B$11,AL173="بله"),1,0)</f>
        <v>0</v>
      </c>
      <c r="BH173" s="21" t="n">
        <f aca="false">MIN(100,AR173*تنظیمات!$B$21+AS173*تنظیمات!$B$22+AT173*تنظیمات!$B$23+AU173*تنظیمات!$B$24+AV173*تنظیمات!$B$25+AW173*تنظیمات!$B$26+AX173*تنظیمات!$B$27+AY173*تنظیمات!$B$28+AZ173*تنظیمات!$B$29+BA173*تنظیمات!$B$30+BB173*تنظیمات!$B$31+BC173*تنظیمات!$B$32+BD173*تنظیمات!$B$33+BE173*تنظیمات!$B$34+BF173*تنظیمات!$B$35+BG173*تنظیمات!$B$36)</f>
        <v>35</v>
      </c>
      <c r="BI173" s="16" t="str">
        <f aca="false">IF(BH173&gt;=60,"بحرانی",IF(BH173&gt;=30,"مشکوک",IF(BH173&gt;0,"هشدار","عادی")))</f>
        <v>مشکوک</v>
      </c>
      <c r="BJ173" s="16" t="s">
        <v>722</v>
      </c>
    </row>
    <row r="174" customFormat="false" ht="15" hidden="false" customHeight="false" outlineLevel="0" collapsed="false">
      <c r="A174" s="16" t="s">
        <v>988</v>
      </c>
      <c r="B174" s="16" t="s">
        <v>989</v>
      </c>
      <c r="C174" s="16"/>
      <c r="D174" s="16" t="s">
        <v>508</v>
      </c>
      <c r="E174" s="16" t="s">
        <v>375</v>
      </c>
      <c r="F174" s="16" t="s">
        <v>333</v>
      </c>
      <c r="G174" s="17" t="n">
        <v>46283.4903703704</v>
      </c>
      <c r="H174" s="17" t="n">
        <v>46283.7174537037</v>
      </c>
      <c r="I174" s="18" t="n">
        <f aca="false">IF(H174="",ROUND((تنظیمات!$B$7-G174)*1440,0),ROUND((H174-G174)*1440,0))</f>
        <v>327</v>
      </c>
      <c r="J174" s="16" t="s">
        <v>334</v>
      </c>
      <c r="K174" s="16" t="s">
        <v>400</v>
      </c>
      <c r="L174" s="19" t="n">
        <v>0.954</v>
      </c>
      <c r="M174" s="19" t="n">
        <v>0.995</v>
      </c>
      <c r="N174" s="16" t="s">
        <v>335</v>
      </c>
      <c r="O174" s="16" t="s">
        <v>650</v>
      </c>
      <c r="P174" s="16" t="s">
        <v>420</v>
      </c>
      <c r="Q174" s="20" t="n">
        <v>46283</v>
      </c>
      <c r="R174" s="16" t="s">
        <v>990</v>
      </c>
      <c r="S174" s="16" t="s">
        <v>404</v>
      </c>
      <c r="T174" s="17"/>
      <c r="U174" s="21" t="n">
        <v>1</v>
      </c>
      <c r="V174" s="21" t="n">
        <v>1</v>
      </c>
      <c r="W174" s="22" t="n">
        <v>4.1</v>
      </c>
      <c r="X174" s="16" t="s">
        <v>335</v>
      </c>
      <c r="Y174" s="16" t="s">
        <v>338</v>
      </c>
      <c r="Z174" s="16" t="s">
        <v>443</v>
      </c>
      <c r="AA174" s="16"/>
      <c r="AB174" s="23"/>
      <c r="AC174" s="17"/>
      <c r="AD174" s="16" t="s">
        <v>444</v>
      </c>
      <c r="AE174" s="16"/>
      <c r="AF174" s="16" t="str">
        <f aca="false">IF(COUNTIF(لیست_سفید!$A$2:$A$21,B174)&gt;0,"بله","خیر")</f>
        <v>خیر</v>
      </c>
      <c r="AG174" s="24" t="n">
        <f aca="false">IF(H174="","",IF(AD174="فیش مفقودی",تنظیمات!$B$6,(INT(I174/1440)*تنظیمات!$B$5+IF(MOD(I174,1440)&lt;=تنظیمات!$B$2,0,MIN(تنظیمات!$B$5,تنظیمات!$B$3+MAX(0,ROUNDUP((MOD(I174,1440)-60)/60,0))*تنظیمات!$B$4)))*INDEX(تعرفه!$B$2:$B$7,MATCH(AD174,تعرفه!$A$2:$A$7,0))))</f>
        <v>0</v>
      </c>
      <c r="AH174" s="24" t="n">
        <v>0</v>
      </c>
      <c r="AI174" s="24" t="n">
        <f aca="false">IF(AG174="","",AH174-AG174)</f>
        <v>0</v>
      </c>
      <c r="AJ174" s="21" t="n">
        <v>3</v>
      </c>
      <c r="AK174" s="21" t="n">
        <v>0</v>
      </c>
      <c r="AL174" s="16" t="s">
        <v>335</v>
      </c>
      <c r="AM174" s="16"/>
      <c r="AN174" s="16" t="s">
        <v>340</v>
      </c>
      <c r="AO174" s="16" t="s">
        <v>340</v>
      </c>
      <c r="AP174" s="16" t="s">
        <v>335</v>
      </c>
      <c r="AQ174" s="16"/>
      <c r="AR174" s="21" t="n">
        <f aca="false">IF(AND(T174&lt;&gt;"",H174&lt;&gt;""),IF(AND((T174-H174)*86400&gt;=0,(T174-H174)*86400&lt;تنظیمات!$B$13),1,0),0)</f>
        <v>0</v>
      </c>
      <c r="AS174" s="21" t="n">
        <f aca="false">IF(Z174="پوز",IF(OR(AB174="",COUNTIF(پوزها!$A$2:$A$5,AA174)=0),1,0),0)</f>
        <v>0</v>
      </c>
      <c r="AT174" s="21" t="n">
        <f aca="false">IF(AI174="",0,IF(AI174&gt;0,1,0))</f>
        <v>0</v>
      </c>
      <c r="AU174" s="21" t="n">
        <f aca="false">IF(AI174="",0,IF(AI174&lt;0,1,0))</f>
        <v>0</v>
      </c>
      <c r="AV174" s="21" t="n">
        <f aca="false">IF(U174&gt;V174,1,0)</f>
        <v>0</v>
      </c>
      <c r="AW174" s="21" t="n">
        <f aca="false">IF(OR(W174&gt;تنظیمات!$B$8,X174="بله"),1,0)</f>
        <v>0</v>
      </c>
      <c r="AX174" s="21" t="n">
        <f aca="false">IF(AND(N174="بله",L174&gt;تنظیمات!$B$9),1,0)</f>
        <v>0</v>
      </c>
      <c r="AY174" s="21" t="n">
        <f aca="false">IF(Y174="معکوس",1,0)</f>
        <v>0</v>
      </c>
      <c r="AZ174" s="21" t="n">
        <f aca="false">IF(ABS(AJ174)&gt;تنظیمات!$B$10,1,0)</f>
        <v>0</v>
      </c>
      <c r="BA174" s="21" t="n">
        <f aca="false">IF(AND(OR(AD174="رایگان/VIP",AD174="جانباز"),AF174="خیر"),1,0)</f>
        <v>0</v>
      </c>
      <c r="BB174" s="21" t="n">
        <f aca="false">IF(AE174="",0,IF(COUNTIF($AE$2:$AE$1001,AE174)&gt;1,1,0))</f>
        <v>0</v>
      </c>
      <c r="BC174" s="21" t="n">
        <f aca="false">IF(AND(H174="",I174&gt;تنظیمات!$B$12*60,AM174="خالی"),1,0)</f>
        <v>0</v>
      </c>
      <c r="BD174" s="21" t="n">
        <f aca="false">IF(AND(AP174="بله",I174&lt;تنظیمات!$B$14,AO174="خیر"),1,0)</f>
        <v>0</v>
      </c>
      <c r="BE174" s="21" t="n">
        <f aca="false">IF(AN174="خیر",1,0)</f>
        <v>0</v>
      </c>
      <c r="BF174" s="21" t="n">
        <f aca="false">IF(AND(AD174="فیش مفقودی",AQ174="بله",I174&gt;تنظیمات!$B$12*60),1,0)</f>
        <v>0</v>
      </c>
      <c r="BG174" s="21" t="n">
        <f aca="false">IF(AND(AK174&gt;تنظیمات!$B$11,AL174="بله"),1,0)</f>
        <v>0</v>
      </c>
      <c r="BH174" s="21" t="n">
        <f aca="false">MIN(100,AR174*تنظیمات!$B$21+AS174*تنظیمات!$B$22+AT174*تنظیمات!$B$23+AU174*تنظیمات!$B$24+AV174*تنظیمات!$B$25+AW174*تنظیمات!$B$26+AX174*تنظیمات!$B$27+AY174*تنظیمات!$B$28+AZ174*تنظیمات!$B$29+BA174*تنظیمات!$B$30+BB174*تنظیمات!$B$31+BC174*تنظیمات!$B$32+BD174*تنظیمات!$B$33+BE174*تنظیمات!$B$34+BF174*تنظیمات!$B$35+BG174*تنظیمات!$B$36)</f>
        <v>0</v>
      </c>
      <c r="BI174" s="16" t="str">
        <f aca="false">IF(BH174&gt;=60,"بحرانی",IF(BH174&gt;=30,"مشکوک",IF(BH174&gt;0,"هشدار","عادی")))</f>
        <v>عادی</v>
      </c>
      <c r="BJ174" s="16" t="s">
        <v>338</v>
      </c>
    </row>
    <row r="175" customFormat="false" ht="15" hidden="false" customHeight="false" outlineLevel="0" collapsed="false">
      <c r="A175" s="16" t="s">
        <v>991</v>
      </c>
      <c r="B175" s="16" t="s">
        <v>659</v>
      </c>
      <c r="C175" s="16"/>
      <c r="D175" s="16" t="s">
        <v>418</v>
      </c>
      <c r="E175" s="16" t="s">
        <v>345</v>
      </c>
      <c r="F175" s="16" t="s">
        <v>333</v>
      </c>
      <c r="G175" s="17" t="n">
        <v>46283.5218402778</v>
      </c>
      <c r="H175" s="17" t="n">
        <v>46283.5447569444</v>
      </c>
      <c r="I175" s="18" t="n">
        <f aca="false">IF(H175="",ROUND((تنظیمات!$B$7-G175)*1440,0),ROUND((H175-G175)*1440,0))</f>
        <v>33</v>
      </c>
      <c r="J175" s="16" t="s">
        <v>346</v>
      </c>
      <c r="K175" s="16" t="s">
        <v>400</v>
      </c>
      <c r="L175" s="19" t="n">
        <v>0.977</v>
      </c>
      <c r="M175" s="19" t="n">
        <v>0.975</v>
      </c>
      <c r="N175" s="16" t="s">
        <v>335</v>
      </c>
      <c r="O175" s="16" t="s">
        <v>401</v>
      </c>
      <c r="P175" s="16" t="s">
        <v>402</v>
      </c>
      <c r="Q175" s="20" t="n">
        <v>46283</v>
      </c>
      <c r="R175" s="16" t="s">
        <v>992</v>
      </c>
      <c r="S175" s="16" t="s">
        <v>404</v>
      </c>
      <c r="T175" s="17"/>
      <c r="U175" s="21" t="n">
        <v>1</v>
      </c>
      <c r="V175" s="21" t="n">
        <v>1</v>
      </c>
      <c r="W175" s="22" t="n">
        <v>5.7</v>
      </c>
      <c r="X175" s="16" t="s">
        <v>335</v>
      </c>
      <c r="Y175" s="16" t="s">
        <v>338</v>
      </c>
      <c r="Z175" s="16" t="s">
        <v>413</v>
      </c>
      <c r="AA175" s="16" t="s">
        <v>427</v>
      </c>
      <c r="AB175" s="23" t="s">
        <v>993</v>
      </c>
      <c r="AC175" s="17" t="n">
        <v>46283.5440740741</v>
      </c>
      <c r="AD175" s="16" t="s">
        <v>481</v>
      </c>
      <c r="AE175" s="16" t="s">
        <v>994</v>
      </c>
      <c r="AF175" s="16" t="str">
        <f aca="false">IF(COUNTIF(لیست_سفید!$A$2:$A$21,B175)&gt;0,"بله","خیر")</f>
        <v>خیر</v>
      </c>
      <c r="AG175" s="24" t="n">
        <f aca="false">IF(H175="","",IF(AD175="فیش مفقودی",تنظیمات!$B$6,(INT(I175/1440)*تنظیمات!$B$5+IF(MOD(I175,1440)&lt;=تنظیمات!$B$2,0,MIN(تنظیمات!$B$5,تنظیمات!$B$3+MAX(0,ROUNDUP((MOD(I175,1440)-60)/60,0))*تنظیمات!$B$4)))*INDEX(تعرفه!$B$2:$B$7,MATCH(AD175,تعرفه!$A$2:$A$7,0))))</f>
        <v>10000</v>
      </c>
      <c r="AH175" s="24" t="n">
        <v>10000</v>
      </c>
      <c r="AI175" s="24" t="n">
        <f aca="false">IF(AG175="","",AH175-AG175)</f>
        <v>0</v>
      </c>
      <c r="AJ175" s="21" t="n">
        <v>0</v>
      </c>
      <c r="AK175" s="21" t="n">
        <v>0</v>
      </c>
      <c r="AL175" s="16" t="s">
        <v>335</v>
      </c>
      <c r="AM175" s="16"/>
      <c r="AN175" s="16" t="s">
        <v>340</v>
      </c>
      <c r="AO175" s="16" t="s">
        <v>340</v>
      </c>
      <c r="AP175" s="16" t="s">
        <v>335</v>
      </c>
      <c r="AQ175" s="16"/>
      <c r="AR175" s="21" t="n">
        <f aca="false">IF(AND(T175&lt;&gt;"",H175&lt;&gt;""),IF(AND((T175-H175)*86400&gt;=0,(T175-H175)*86400&lt;تنظیمات!$B$13),1,0),0)</f>
        <v>0</v>
      </c>
      <c r="AS175" s="21" t="n">
        <f aca="false">IF(Z175="پوز",IF(OR(AB175="",COUNTIF(پوزها!$A$2:$A$5,AA175)=0),1,0),0)</f>
        <v>0</v>
      </c>
      <c r="AT175" s="21" t="n">
        <f aca="false">IF(AI175="",0,IF(AI175&gt;0,1,0))</f>
        <v>0</v>
      </c>
      <c r="AU175" s="21" t="n">
        <f aca="false">IF(AI175="",0,IF(AI175&lt;0,1,0))</f>
        <v>0</v>
      </c>
      <c r="AV175" s="21" t="n">
        <f aca="false">IF(U175&gt;V175,1,0)</f>
        <v>0</v>
      </c>
      <c r="AW175" s="21" t="n">
        <f aca="false">IF(OR(W175&gt;تنظیمات!$B$8,X175="بله"),1,0)</f>
        <v>0</v>
      </c>
      <c r="AX175" s="21" t="n">
        <f aca="false">IF(AND(N175="بله",L175&gt;تنظیمات!$B$9),1,0)</f>
        <v>0</v>
      </c>
      <c r="AY175" s="21" t="n">
        <f aca="false">IF(Y175="معکوس",1,0)</f>
        <v>0</v>
      </c>
      <c r="AZ175" s="21" t="n">
        <f aca="false">IF(ABS(AJ175)&gt;تنظیمات!$B$10,1,0)</f>
        <v>0</v>
      </c>
      <c r="BA175" s="21" t="n">
        <f aca="false">IF(AND(OR(AD175="رایگان/VIP",AD175="جانباز"),AF175="خیر"),1,0)</f>
        <v>0</v>
      </c>
      <c r="BB175" s="21" t="n">
        <f aca="false">IF(AE175="",0,IF(COUNTIF($AE$2:$AE$1001,AE175)&gt;1,1,0))</f>
        <v>1</v>
      </c>
      <c r="BC175" s="21" t="n">
        <f aca="false">IF(AND(H175="",I175&gt;تنظیمات!$B$12*60,AM175="خالی"),1,0)</f>
        <v>0</v>
      </c>
      <c r="BD175" s="21" t="n">
        <f aca="false">IF(AND(AP175="بله",I175&lt;تنظیمات!$B$14,AO175="خیر"),1,0)</f>
        <v>0</v>
      </c>
      <c r="BE175" s="21" t="n">
        <f aca="false">IF(AN175="خیر",1,0)</f>
        <v>0</v>
      </c>
      <c r="BF175" s="21" t="n">
        <f aca="false">IF(AND(AD175="فیش مفقودی",AQ175="بله",I175&gt;تنظیمات!$B$12*60),1,0)</f>
        <v>0</v>
      </c>
      <c r="BG175" s="21" t="n">
        <f aca="false">IF(AND(AK175&gt;تنظیمات!$B$11,AL175="بله"),1,0)</f>
        <v>0</v>
      </c>
      <c r="BH175" s="21" t="n">
        <f aca="false">MIN(100,AR175*تنظیمات!$B$21+AS175*تنظیمات!$B$22+AT175*تنظیمات!$B$23+AU175*تنظیمات!$B$24+AV175*تنظیمات!$B$25+AW175*تنظیمات!$B$26+AX175*تنظیمات!$B$27+AY175*تنظیمات!$B$28+AZ175*تنظیمات!$B$29+BA175*تنظیمات!$B$30+BB175*تنظیمات!$B$31+BC175*تنظیمات!$B$32+BD175*تنظیمات!$B$33+BE175*تنظیمات!$B$34+BF175*تنظیمات!$B$35+BG175*تنظیمات!$B$36)</f>
        <v>25</v>
      </c>
      <c r="BI175" s="16" t="str">
        <f aca="false">IF(BH175&gt;=60,"بحرانی",IF(BH175&gt;=30,"مشکوک",IF(BH175&gt;0,"هشدار","عادی")))</f>
        <v>هشدار</v>
      </c>
      <c r="BJ175" s="16" t="s">
        <v>950</v>
      </c>
    </row>
    <row r="176" customFormat="false" ht="15" hidden="false" customHeight="false" outlineLevel="0" collapsed="false">
      <c r="A176" s="16" t="s">
        <v>995</v>
      </c>
      <c r="B176" s="16" t="s">
        <v>996</v>
      </c>
      <c r="C176" s="16" t="s">
        <v>997</v>
      </c>
      <c r="D176" s="16" t="s">
        <v>370</v>
      </c>
      <c r="E176" s="16" t="s">
        <v>345</v>
      </c>
      <c r="F176" s="16" t="s">
        <v>333</v>
      </c>
      <c r="G176" s="17" t="n">
        <v>46283.5259259259</v>
      </c>
      <c r="H176" s="17" t="n">
        <v>46283.5356481482</v>
      </c>
      <c r="I176" s="18" t="n">
        <f aca="false">IF(H176="",ROUND((تنظیمات!$B$7-G176)*1440,0),ROUND((H176-G176)*1440,0))</f>
        <v>14</v>
      </c>
      <c r="J176" s="16" t="s">
        <v>334</v>
      </c>
      <c r="K176" s="16" t="s">
        <v>400</v>
      </c>
      <c r="L176" s="19" t="n">
        <v>0.981</v>
      </c>
      <c r="M176" s="19" t="n">
        <v>0.941</v>
      </c>
      <c r="N176" s="16" t="s">
        <v>340</v>
      </c>
      <c r="O176" s="16" t="s">
        <v>401</v>
      </c>
      <c r="P176" s="16" t="s">
        <v>402</v>
      </c>
      <c r="Q176" s="20" t="n">
        <v>46283</v>
      </c>
      <c r="R176" s="16" t="s">
        <v>998</v>
      </c>
      <c r="S176" s="16" t="s">
        <v>404</v>
      </c>
      <c r="T176" s="17"/>
      <c r="U176" s="21" t="n">
        <v>1</v>
      </c>
      <c r="V176" s="21" t="n">
        <v>1</v>
      </c>
      <c r="W176" s="22" t="n">
        <v>5.8</v>
      </c>
      <c r="X176" s="16" t="s">
        <v>335</v>
      </c>
      <c r="Y176" s="16" t="s">
        <v>338</v>
      </c>
      <c r="Z176" s="16" t="s">
        <v>405</v>
      </c>
      <c r="AA176" s="16"/>
      <c r="AB176" s="23"/>
      <c r="AC176" s="17"/>
      <c r="AD176" s="16" t="s">
        <v>338</v>
      </c>
      <c r="AE176" s="16"/>
      <c r="AF176" s="16" t="str">
        <f aca="false">IF(COUNTIF(لیست_سفید!$A$2:$A$21,B176)&gt;0,"بله","خیر")</f>
        <v>خیر</v>
      </c>
      <c r="AG176" s="24" t="n">
        <f aca="false">IF(H176="","",IF(AD176="فیش مفقودی",تنظیمات!$B$6,(INT(I176/1440)*تنظیمات!$B$5+IF(MOD(I176,1440)&lt;=تنظیمات!$B$2,0,MIN(تنظیمات!$B$5,تنظیمات!$B$3+MAX(0,ROUNDUP((MOD(I176,1440)-60)/60,0))*تنظیمات!$B$4)))*INDEX(تعرفه!$B$2:$B$7,MATCH(AD176,تعرفه!$A$2:$A$7,0))))</f>
        <v>20000</v>
      </c>
      <c r="AH176" s="24" t="n">
        <v>20000</v>
      </c>
      <c r="AI176" s="24" t="n">
        <f aca="false">IF(AG176="","",AH176-AG176)</f>
        <v>0</v>
      </c>
      <c r="AJ176" s="21" t="n">
        <v>-5</v>
      </c>
      <c r="AK176" s="21" t="n">
        <v>0</v>
      </c>
      <c r="AL176" s="16" t="s">
        <v>335</v>
      </c>
      <c r="AM176" s="16"/>
      <c r="AN176" s="16" t="s">
        <v>340</v>
      </c>
      <c r="AO176" s="16" t="s">
        <v>340</v>
      </c>
      <c r="AP176" s="16" t="s">
        <v>335</v>
      </c>
      <c r="AQ176" s="16"/>
      <c r="AR176" s="21" t="n">
        <f aca="false">IF(AND(T176&lt;&gt;"",H176&lt;&gt;""),IF(AND((T176-H176)*86400&gt;=0,(T176-H176)*86400&lt;تنظیمات!$B$13),1,0),0)</f>
        <v>0</v>
      </c>
      <c r="AS176" s="21" t="n">
        <f aca="false">IF(Z176="پوز",IF(OR(AB176="",COUNTIF(پوزها!$A$2:$A$5,AA176)=0),1,0),0)</f>
        <v>0</v>
      </c>
      <c r="AT176" s="21" t="n">
        <f aca="false">IF(AI176="",0,IF(AI176&gt;0,1,0))</f>
        <v>0</v>
      </c>
      <c r="AU176" s="21" t="n">
        <f aca="false">IF(AI176="",0,IF(AI176&lt;0,1,0))</f>
        <v>0</v>
      </c>
      <c r="AV176" s="21" t="n">
        <f aca="false">IF(U176&gt;V176,1,0)</f>
        <v>0</v>
      </c>
      <c r="AW176" s="21" t="n">
        <f aca="false">IF(OR(W176&gt;تنظیمات!$B$8,X176="بله"),1,0)</f>
        <v>0</v>
      </c>
      <c r="AX176" s="21" t="n">
        <f aca="false">IF(AND(N176="بله",L176&gt;تنظیمات!$B$9),1,0)</f>
        <v>1</v>
      </c>
      <c r="AY176" s="21" t="n">
        <f aca="false">IF(Y176="معکوس",1,0)</f>
        <v>0</v>
      </c>
      <c r="AZ176" s="21" t="n">
        <f aca="false">IF(ABS(AJ176)&gt;تنظیمات!$B$10,1,0)</f>
        <v>0</v>
      </c>
      <c r="BA176" s="21" t="n">
        <f aca="false">IF(AND(OR(AD176="رایگان/VIP",AD176="جانباز"),AF176="خیر"),1,0)</f>
        <v>0</v>
      </c>
      <c r="BB176" s="21" t="n">
        <f aca="false">IF(AE176="",0,IF(COUNTIF($AE$2:$AE$1001,AE176)&gt;1,1,0))</f>
        <v>0</v>
      </c>
      <c r="BC176" s="21" t="n">
        <f aca="false">IF(AND(H176="",I176&gt;تنظیمات!$B$12*60,AM176="خالی"),1,0)</f>
        <v>0</v>
      </c>
      <c r="BD176" s="21" t="n">
        <f aca="false">IF(AND(AP176="بله",I176&lt;تنظیمات!$B$14,AO176="خیر"),1,0)</f>
        <v>0</v>
      </c>
      <c r="BE176" s="21" t="n">
        <f aca="false">IF(AN176="خیر",1,0)</f>
        <v>0</v>
      </c>
      <c r="BF176" s="21" t="n">
        <f aca="false">IF(AND(AD176="فیش مفقودی",AQ176="بله",I176&gt;تنظیمات!$B$12*60),1,0)</f>
        <v>0</v>
      </c>
      <c r="BG176" s="21" t="n">
        <f aca="false">IF(AND(AK176&gt;تنظیمات!$B$11,AL176="بله"),1,0)</f>
        <v>0</v>
      </c>
      <c r="BH176" s="21" t="n">
        <f aca="false">MIN(100,AR176*تنظیمات!$B$21+AS176*تنظیمات!$B$22+AT176*تنظیمات!$B$23+AU176*تنظیمات!$B$24+AV176*تنظیمات!$B$25+AW176*تنظیمات!$B$26+AX176*تنظیمات!$B$27+AY176*تنظیمات!$B$28+AZ176*تنظیمات!$B$29+BA176*تنظیمات!$B$30+BB176*تنظیمات!$B$31+BC176*تنظیمات!$B$32+BD176*تنظیمات!$B$33+BE176*تنظیمات!$B$34+BF176*تنظیمات!$B$35+BG176*تنظیمات!$B$36)</f>
        <v>30</v>
      </c>
      <c r="BI176" s="16" t="str">
        <f aca="false">IF(BH176&gt;=60,"بحرانی",IF(BH176&gt;=30,"مشکوک",IF(BH176&gt;0,"هشدار","عادی")))</f>
        <v>مشکوک</v>
      </c>
      <c r="BJ176" s="16" t="s">
        <v>622</v>
      </c>
    </row>
    <row r="177" customFormat="false" ht="15" hidden="false" customHeight="false" outlineLevel="0" collapsed="false">
      <c r="A177" s="16" t="s">
        <v>999</v>
      </c>
      <c r="B177" s="16" t="s">
        <v>1000</v>
      </c>
      <c r="C177" s="16"/>
      <c r="D177" s="16" t="s">
        <v>440</v>
      </c>
      <c r="E177" s="16" t="s">
        <v>390</v>
      </c>
      <c r="F177" s="16" t="s">
        <v>359</v>
      </c>
      <c r="G177" s="17" t="n">
        <v>46283.5295833333</v>
      </c>
      <c r="H177" s="17" t="n">
        <v>46283.7261111111</v>
      </c>
      <c r="I177" s="18" t="n">
        <f aca="false">IF(H177="",ROUND((تنظیمات!$B$7-G177)*1440,0),ROUND((H177-G177)*1440,0))</f>
        <v>283</v>
      </c>
      <c r="J177" s="16" t="s">
        <v>334</v>
      </c>
      <c r="K177" s="16" t="s">
        <v>410</v>
      </c>
      <c r="L177" s="19" t="n">
        <v>0.918</v>
      </c>
      <c r="M177" s="19" t="n">
        <v>0.94</v>
      </c>
      <c r="N177" s="16" t="s">
        <v>335</v>
      </c>
      <c r="O177" s="16" t="s">
        <v>666</v>
      </c>
      <c r="P177" s="16" t="s">
        <v>420</v>
      </c>
      <c r="Q177" s="20" t="n">
        <v>46283</v>
      </c>
      <c r="R177" s="16" t="s">
        <v>1001</v>
      </c>
      <c r="S177" s="16" t="s">
        <v>404</v>
      </c>
      <c r="T177" s="17"/>
      <c r="U177" s="21" t="n">
        <v>1</v>
      </c>
      <c r="V177" s="21" t="n">
        <v>1</v>
      </c>
      <c r="W177" s="22" t="n">
        <v>3.3</v>
      </c>
      <c r="X177" s="16" t="s">
        <v>335</v>
      </c>
      <c r="Y177" s="16" t="s">
        <v>338</v>
      </c>
      <c r="Z177" s="16" t="s">
        <v>413</v>
      </c>
      <c r="AA177" s="16" t="s">
        <v>1002</v>
      </c>
      <c r="AB177" s="23" t="s">
        <v>1003</v>
      </c>
      <c r="AC177" s="17" t="n">
        <v>46283.725625</v>
      </c>
      <c r="AD177" s="16" t="s">
        <v>338</v>
      </c>
      <c r="AE177" s="16"/>
      <c r="AF177" s="16" t="str">
        <f aca="false">IF(COUNTIF(لیست_سفید!$A$2:$A$21,B177)&gt;0,"بله","خیر")</f>
        <v>خیر</v>
      </c>
      <c r="AG177" s="24" t="n">
        <f aca="false">IF(H177="","",IF(AD177="فیش مفقودی",تنظیمات!$B$6,(INT(I177/1440)*تنظیمات!$B$5+IF(MOD(I177,1440)&lt;=تنظیمات!$B$2,0,MIN(تنظیمات!$B$5,تنظیمات!$B$3+MAX(0,ROUNDUP((MOD(I177,1440)-60)/60,0))*تنظیمات!$B$4)))*INDEX(تعرفه!$B$2:$B$7,MATCH(AD177,تعرفه!$A$2:$A$7,0))))</f>
        <v>76000</v>
      </c>
      <c r="AH177" s="24" t="n">
        <v>76000</v>
      </c>
      <c r="AI177" s="24" t="n">
        <f aca="false">IF(AG177="","",AH177-AG177)</f>
        <v>0</v>
      </c>
      <c r="AJ177" s="21" t="n">
        <v>-1</v>
      </c>
      <c r="AK177" s="21" t="n">
        <v>0</v>
      </c>
      <c r="AL177" s="16" t="s">
        <v>335</v>
      </c>
      <c r="AM177" s="16"/>
      <c r="AN177" s="16" t="s">
        <v>340</v>
      </c>
      <c r="AO177" s="16" t="s">
        <v>340</v>
      </c>
      <c r="AP177" s="16" t="s">
        <v>335</v>
      </c>
      <c r="AQ177" s="16"/>
      <c r="AR177" s="21" t="n">
        <f aca="false">IF(AND(T177&lt;&gt;"",H177&lt;&gt;""),IF(AND((T177-H177)*86400&gt;=0,(T177-H177)*86400&lt;تنظیمات!$B$13),1,0),0)</f>
        <v>0</v>
      </c>
      <c r="AS177" s="21" t="n">
        <f aca="false">IF(Z177="پوز",IF(OR(AB177="",COUNTIF(پوزها!$A$2:$A$5,AA177)=0),1,0),0)</f>
        <v>1</v>
      </c>
      <c r="AT177" s="21" t="n">
        <f aca="false">IF(AI177="",0,IF(AI177&gt;0,1,0))</f>
        <v>0</v>
      </c>
      <c r="AU177" s="21" t="n">
        <f aca="false">IF(AI177="",0,IF(AI177&lt;0,1,0))</f>
        <v>0</v>
      </c>
      <c r="AV177" s="21" t="n">
        <f aca="false">IF(U177&gt;V177,1,0)</f>
        <v>0</v>
      </c>
      <c r="AW177" s="21" t="n">
        <f aca="false">IF(OR(W177&gt;تنظیمات!$B$8,X177="بله"),1,0)</f>
        <v>0</v>
      </c>
      <c r="AX177" s="21" t="n">
        <f aca="false">IF(AND(N177="بله",L177&gt;تنظیمات!$B$9),1,0)</f>
        <v>0</v>
      </c>
      <c r="AY177" s="21" t="n">
        <f aca="false">IF(Y177="معکوس",1,0)</f>
        <v>0</v>
      </c>
      <c r="AZ177" s="21" t="n">
        <f aca="false">IF(ABS(AJ177)&gt;تنظیمات!$B$10,1,0)</f>
        <v>0</v>
      </c>
      <c r="BA177" s="21" t="n">
        <f aca="false">IF(AND(OR(AD177="رایگان/VIP",AD177="جانباز"),AF177="خیر"),1,0)</f>
        <v>0</v>
      </c>
      <c r="BB177" s="21" t="n">
        <f aca="false">IF(AE177="",0,IF(COUNTIF($AE$2:$AE$1001,AE177)&gt;1,1,0))</f>
        <v>0</v>
      </c>
      <c r="BC177" s="21" t="n">
        <f aca="false">IF(AND(H177="",I177&gt;تنظیمات!$B$12*60,AM177="خالی"),1,0)</f>
        <v>0</v>
      </c>
      <c r="BD177" s="21" t="n">
        <f aca="false">IF(AND(AP177="بله",I177&lt;تنظیمات!$B$14,AO177="خیر"),1,0)</f>
        <v>0</v>
      </c>
      <c r="BE177" s="21" t="n">
        <f aca="false">IF(AN177="خیر",1,0)</f>
        <v>0</v>
      </c>
      <c r="BF177" s="21" t="n">
        <f aca="false">IF(AND(AD177="فیش مفقودی",AQ177="بله",I177&gt;تنظیمات!$B$12*60),1,0)</f>
        <v>0</v>
      </c>
      <c r="BG177" s="21" t="n">
        <f aca="false">IF(AND(AK177&gt;تنظیمات!$B$11,AL177="بله"),1,0)</f>
        <v>0</v>
      </c>
      <c r="BH177" s="21" t="n">
        <f aca="false">MIN(100,AR177*تنظیمات!$B$21+AS177*تنظیمات!$B$22+AT177*تنظیمات!$B$23+AU177*تنظیمات!$B$24+AV177*تنظیمات!$B$25+AW177*تنظیمات!$B$26+AX177*تنظیمات!$B$27+AY177*تنظیمات!$B$28+AZ177*تنظیمات!$B$29+BA177*تنظیمات!$B$30+BB177*تنظیمات!$B$31+BC177*تنظیمات!$B$32+BD177*تنظیمات!$B$33+BE177*تنظیمات!$B$34+BF177*تنظیمات!$B$35+BG177*تنظیمات!$B$36)</f>
        <v>35</v>
      </c>
      <c r="BI177" s="16" t="str">
        <f aca="false">IF(BH177&gt;=60,"بحرانی",IF(BH177&gt;=30,"مشکوک",IF(BH177&gt;0,"هشدار","عادی")))</f>
        <v>مشکوک</v>
      </c>
      <c r="BJ177" s="16" t="s">
        <v>722</v>
      </c>
    </row>
    <row r="178" customFormat="false" ht="15" hidden="false" customHeight="false" outlineLevel="0" collapsed="false">
      <c r="A178" s="16" t="s">
        <v>1004</v>
      </c>
      <c r="B178" s="16" t="s">
        <v>1005</v>
      </c>
      <c r="C178" s="16"/>
      <c r="D178" s="16" t="s">
        <v>450</v>
      </c>
      <c r="E178" s="16" t="s">
        <v>332</v>
      </c>
      <c r="F178" s="16" t="s">
        <v>333</v>
      </c>
      <c r="G178" s="17" t="n">
        <v>46283.5321296296</v>
      </c>
      <c r="H178" s="17" t="n">
        <v>46283.6231018519</v>
      </c>
      <c r="I178" s="18" t="n">
        <f aca="false">IF(H178="",ROUND((تنظیمات!$B$7-G178)*1440,0),ROUND((H178-G178)*1440,0))</f>
        <v>131</v>
      </c>
      <c r="J178" s="16" t="s">
        <v>334</v>
      </c>
      <c r="K178" s="16" t="s">
        <v>410</v>
      </c>
      <c r="L178" s="19" t="n">
        <v>0.926</v>
      </c>
      <c r="M178" s="19" t="n">
        <v>0.957</v>
      </c>
      <c r="N178" s="16" t="s">
        <v>335</v>
      </c>
      <c r="O178" s="16" t="s">
        <v>666</v>
      </c>
      <c r="P178" s="16" t="s">
        <v>420</v>
      </c>
      <c r="Q178" s="20" t="n">
        <v>46283</v>
      </c>
      <c r="R178" s="16" t="s">
        <v>1006</v>
      </c>
      <c r="S178" s="16" t="s">
        <v>606</v>
      </c>
      <c r="T178" s="17" t="n">
        <v>46283.624224537</v>
      </c>
      <c r="U178" s="21" t="n">
        <v>1</v>
      </c>
      <c r="V178" s="21" t="n">
        <v>1</v>
      </c>
      <c r="W178" s="22" t="n">
        <v>3</v>
      </c>
      <c r="X178" s="16" t="s">
        <v>335</v>
      </c>
      <c r="Y178" s="16" t="s">
        <v>338</v>
      </c>
      <c r="Z178" s="16" t="s">
        <v>405</v>
      </c>
      <c r="AA178" s="16"/>
      <c r="AB178" s="23"/>
      <c r="AC178" s="17"/>
      <c r="AD178" s="16" t="s">
        <v>338</v>
      </c>
      <c r="AE178" s="16"/>
      <c r="AF178" s="16" t="str">
        <f aca="false">IF(COUNTIF(لیست_سفید!$A$2:$A$21,B178)&gt;0,"بله","خیر")</f>
        <v>خیر</v>
      </c>
      <c r="AG178" s="24" t="n">
        <f aca="false">IF(H178="","",IF(AD178="فیش مفقودی",تنظیمات!$B$6,(INT(I178/1440)*تنظیمات!$B$5+IF(MOD(I178,1440)&lt;=تنظیمات!$B$2,0,MIN(تنظیمات!$B$5,تنظیمات!$B$3+MAX(0,ROUNDUP((MOD(I178,1440)-60)/60,0))*تنظیمات!$B$4)))*INDEX(تعرفه!$B$2:$B$7,MATCH(AD178,تعرفه!$A$2:$A$7,0))))</f>
        <v>48000</v>
      </c>
      <c r="AH178" s="24" t="n">
        <v>0</v>
      </c>
      <c r="AI178" s="24" t="n">
        <f aca="false">IF(AG178="","",AH178-AG178)</f>
        <v>-48000</v>
      </c>
      <c r="AJ178" s="21" t="n">
        <v>2</v>
      </c>
      <c r="AK178" s="21" t="n">
        <v>0</v>
      </c>
      <c r="AL178" s="16" t="s">
        <v>335</v>
      </c>
      <c r="AM178" s="16"/>
      <c r="AN178" s="16" t="s">
        <v>340</v>
      </c>
      <c r="AO178" s="16" t="s">
        <v>340</v>
      </c>
      <c r="AP178" s="16" t="s">
        <v>335</v>
      </c>
      <c r="AQ178" s="16"/>
      <c r="AR178" s="21" t="n">
        <f aca="false">IF(AND(T178&lt;&gt;"",H178&lt;&gt;""),IF(AND((T178-H178)*86400&gt;=0,(T178-H178)*86400&lt;تنظیمات!$B$13),1,0),0)</f>
        <v>1</v>
      </c>
      <c r="AS178" s="21" t="n">
        <f aca="false">IF(Z178="پوز",IF(OR(AB178="",COUNTIF(پوزها!$A$2:$A$5,AA178)=0),1,0),0)</f>
        <v>0</v>
      </c>
      <c r="AT178" s="21" t="n">
        <f aca="false">IF(AI178="",0,IF(AI178&gt;0,1,0))</f>
        <v>0</v>
      </c>
      <c r="AU178" s="21" t="n">
        <f aca="false">IF(AI178="",0,IF(AI178&lt;0,1,0))</f>
        <v>1</v>
      </c>
      <c r="AV178" s="21" t="n">
        <f aca="false">IF(U178&gt;V178,1,0)</f>
        <v>0</v>
      </c>
      <c r="AW178" s="21" t="n">
        <f aca="false">IF(OR(W178&gt;تنظیمات!$B$8,X178="بله"),1,0)</f>
        <v>0</v>
      </c>
      <c r="AX178" s="21" t="n">
        <f aca="false">IF(AND(N178="بله",L178&gt;تنظیمات!$B$9),1,0)</f>
        <v>0</v>
      </c>
      <c r="AY178" s="21" t="n">
        <f aca="false">IF(Y178="معکوس",1,0)</f>
        <v>0</v>
      </c>
      <c r="AZ178" s="21" t="n">
        <f aca="false">IF(ABS(AJ178)&gt;تنظیمات!$B$10,1,0)</f>
        <v>0</v>
      </c>
      <c r="BA178" s="21" t="n">
        <f aca="false">IF(AND(OR(AD178="رایگان/VIP",AD178="جانباز"),AF178="خیر"),1,0)</f>
        <v>0</v>
      </c>
      <c r="BB178" s="21" t="n">
        <f aca="false">IF(AE178="",0,IF(COUNTIF($AE$2:$AE$1001,AE178)&gt;1,1,0))</f>
        <v>0</v>
      </c>
      <c r="BC178" s="21" t="n">
        <f aca="false">IF(AND(H178="",I178&gt;تنظیمات!$B$12*60,AM178="خالی"),1,0)</f>
        <v>0</v>
      </c>
      <c r="BD178" s="21" t="n">
        <f aca="false">IF(AND(AP178="بله",I178&lt;تنظیمات!$B$14,AO178="خیر"),1,0)</f>
        <v>0</v>
      </c>
      <c r="BE178" s="21" t="n">
        <f aca="false">IF(AN178="خیر",1,0)</f>
        <v>0</v>
      </c>
      <c r="BF178" s="21" t="n">
        <f aca="false">IF(AND(AD178="فیش مفقودی",AQ178="بله",I178&gt;تنظیمات!$B$12*60),1,0)</f>
        <v>0</v>
      </c>
      <c r="BG178" s="21" t="n">
        <f aca="false">IF(AND(AK178&gt;تنظیمات!$B$11,AL178="بله"),1,0)</f>
        <v>0</v>
      </c>
      <c r="BH178" s="21" t="n">
        <f aca="false">MIN(100,AR178*تنظیمات!$B$21+AS178*تنظیمات!$B$22+AT178*تنظیمات!$B$23+AU178*تنظیمات!$B$24+AV178*تنظیمات!$B$25+AW178*تنظیمات!$B$26+AX178*تنظیمات!$B$27+AY178*تنظیمات!$B$28+AZ178*تنظیمات!$B$29+BA178*تنظیمات!$B$30+BB178*تنظیمات!$B$31+BC178*تنظیمات!$B$32+BD178*تنظیمات!$B$33+BE178*تنظیمات!$B$34+BF178*تنظیمات!$B$35+BG178*تنظیمات!$B$36)</f>
        <v>65</v>
      </c>
      <c r="BI178" s="16" t="str">
        <f aca="false">IF(BH178&gt;=60,"بحرانی",IF(BH178&gt;=30,"مشکوک",IF(BH178&gt;0,"هشدار","عادی")))</f>
        <v>بحرانی</v>
      </c>
      <c r="BJ178" s="16" t="s">
        <v>607</v>
      </c>
    </row>
    <row r="179" customFormat="false" ht="15" hidden="false" customHeight="false" outlineLevel="0" collapsed="false">
      <c r="A179" s="16" t="s">
        <v>1007</v>
      </c>
      <c r="B179" s="16" t="s">
        <v>385</v>
      </c>
      <c r="C179" s="16"/>
      <c r="D179" s="16" t="s">
        <v>386</v>
      </c>
      <c r="E179" s="16" t="s">
        <v>351</v>
      </c>
      <c r="F179" s="16" t="s">
        <v>333</v>
      </c>
      <c r="G179" s="17" t="n">
        <v>46283.5327546296</v>
      </c>
      <c r="H179" s="17" t="n">
        <v>46283.5563657407</v>
      </c>
      <c r="I179" s="18" t="n">
        <f aca="false">IF(H179="",ROUND((تنظیمات!$B$7-G179)*1440,0),ROUND((H179-G179)*1440,0))</f>
        <v>34</v>
      </c>
      <c r="J179" s="16" t="s">
        <v>346</v>
      </c>
      <c r="K179" s="16" t="s">
        <v>400</v>
      </c>
      <c r="L179" s="19" t="n">
        <v>0.94</v>
      </c>
      <c r="M179" s="19" t="n">
        <v>0.986</v>
      </c>
      <c r="N179" s="16" t="s">
        <v>335</v>
      </c>
      <c r="O179" s="16" t="s">
        <v>401</v>
      </c>
      <c r="P179" s="16" t="s">
        <v>402</v>
      </c>
      <c r="Q179" s="20" t="n">
        <v>46283</v>
      </c>
      <c r="R179" s="16" t="s">
        <v>1008</v>
      </c>
      <c r="S179" s="16" t="s">
        <v>404</v>
      </c>
      <c r="T179" s="17"/>
      <c r="U179" s="21" t="n">
        <v>1</v>
      </c>
      <c r="V179" s="21" t="n">
        <v>1</v>
      </c>
      <c r="W179" s="22" t="n">
        <v>3.1</v>
      </c>
      <c r="X179" s="16" t="s">
        <v>335</v>
      </c>
      <c r="Y179" s="16" t="s">
        <v>338</v>
      </c>
      <c r="Z179" s="16" t="s">
        <v>405</v>
      </c>
      <c r="AA179" s="16"/>
      <c r="AB179" s="23"/>
      <c r="AC179" s="17"/>
      <c r="AD179" s="16" t="s">
        <v>338</v>
      </c>
      <c r="AE179" s="16"/>
      <c r="AF179" s="16" t="str">
        <f aca="false">IF(COUNTIF(لیست_سفید!$A$2:$A$21,B179)&gt;0,"بله","خیر")</f>
        <v>خیر</v>
      </c>
      <c r="AG179" s="24" t="n">
        <f aca="false">IF(H179="","",IF(AD179="فیش مفقودی",تنظیمات!$B$6,(INT(I179/1440)*تنظیمات!$B$5+IF(MOD(I179,1440)&lt;=تنظیمات!$B$2,0,MIN(تنظیمات!$B$5,تنظیمات!$B$3+MAX(0,ROUNDUP((MOD(I179,1440)-60)/60,0))*تنظیمات!$B$4)))*INDEX(تعرفه!$B$2:$B$7,MATCH(AD179,تعرفه!$A$2:$A$7,0))))</f>
        <v>20000</v>
      </c>
      <c r="AH179" s="24" t="n">
        <v>11000</v>
      </c>
      <c r="AI179" s="24" t="n">
        <f aca="false">IF(AG179="","",AH179-AG179)</f>
        <v>-9000</v>
      </c>
      <c r="AJ179" s="21" t="n">
        <v>0</v>
      </c>
      <c r="AK179" s="21" t="n">
        <v>0</v>
      </c>
      <c r="AL179" s="16" t="s">
        <v>335</v>
      </c>
      <c r="AM179" s="16"/>
      <c r="AN179" s="16" t="s">
        <v>340</v>
      </c>
      <c r="AO179" s="16" t="s">
        <v>340</v>
      </c>
      <c r="AP179" s="16" t="s">
        <v>335</v>
      </c>
      <c r="AQ179" s="16"/>
      <c r="AR179" s="21" t="n">
        <f aca="false">IF(AND(T179&lt;&gt;"",H179&lt;&gt;""),IF(AND((T179-H179)*86400&gt;=0,(T179-H179)*86400&lt;تنظیمات!$B$13),1,0),0)</f>
        <v>0</v>
      </c>
      <c r="AS179" s="21" t="n">
        <f aca="false">IF(Z179="پوز",IF(OR(AB179="",COUNTIF(پوزها!$A$2:$A$5,AA179)=0),1,0),0)</f>
        <v>0</v>
      </c>
      <c r="AT179" s="21" t="n">
        <f aca="false">IF(AI179="",0,IF(AI179&gt;0,1,0))</f>
        <v>0</v>
      </c>
      <c r="AU179" s="21" t="n">
        <f aca="false">IF(AI179="",0,IF(AI179&lt;0,1,0))</f>
        <v>1</v>
      </c>
      <c r="AV179" s="21" t="n">
        <f aca="false">IF(U179&gt;V179,1,0)</f>
        <v>0</v>
      </c>
      <c r="AW179" s="21" t="n">
        <f aca="false">IF(OR(W179&gt;تنظیمات!$B$8,X179="بله"),1,0)</f>
        <v>0</v>
      </c>
      <c r="AX179" s="21" t="n">
        <f aca="false">IF(AND(N179="بله",L179&gt;تنظیمات!$B$9),1,0)</f>
        <v>0</v>
      </c>
      <c r="AY179" s="21" t="n">
        <f aca="false">IF(Y179="معکوس",1,0)</f>
        <v>0</v>
      </c>
      <c r="AZ179" s="21" t="n">
        <f aca="false">IF(ABS(AJ179)&gt;تنظیمات!$B$10,1,0)</f>
        <v>0</v>
      </c>
      <c r="BA179" s="21" t="n">
        <f aca="false">IF(AND(OR(AD179="رایگان/VIP",AD179="جانباز"),AF179="خیر"),1,0)</f>
        <v>0</v>
      </c>
      <c r="BB179" s="21" t="n">
        <f aca="false">IF(AE179="",0,IF(COUNTIF($AE$2:$AE$1001,AE179)&gt;1,1,0))</f>
        <v>0</v>
      </c>
      <c r="BC179" s="21" t="n">
        <f aca="false">IF(AND(H179="",I179&gt;تنظیمات!$B$12*60,AM179="خالی"),1,0)</f>
        <v>0</v>
      </c>
      <c r="BD179" s="21" t="n">
        <f aca="false">IF(AND(AP179="بله",I179&lt;تنظیمات!$B$14,AO179="خیر"),1,0)</f>
        <v>0</v>
      </c>
      <c r="BE179" s="21" t="n">
        <f aca="false">IF(AN179="خیر",1,0)</f>
        <v>0</v>
      </c>
      <c r="BF179" s="21" t="n">
        <f aca="false">IF(AND(AD179="فیش مفقودی",AQ179="بله",I179&gt;تنظیمات!$B$12*60),1,0)</f>
        <v>0</v>
      </c>
      <c r="BG179" s="21" t="n">
        <f aca="false">IF(AND(AK179&gt;تنظیمات!$B$11,AL179="بله"),1,0)</f>
        <v>0</v>
      </c>
      <c r="BH179" s="21" t="n">
        <f aca="false">MIN(100,AR179*تنظیمات!$B$21+AS179*تنظیمات!$B$22+AT179*تنظیمات!$B$23+AU179*تنظیمات!$B$24+AV179*تنظیمات!$B$25+AW179*تنظیمات!$B$26+AX179*تنظیمات!$B$27+AY179*تنظیمات!$B$28+AZ179*تنظیمات!$B$29+BA179*تنظیمات!$B$30+BB179*تنظیمات!$B$31+BC179*تنظیمات!$B$32+BD179*تنظیمات!$B$33+BE179*تنظیمات!$B$34+BF179*تنظیمات!$B$35+BG179*تنظیمات!$B$36)</f>
        <v>25</v>
      </c>
      <c r="BI179" s="16" t="str">
        <f aca="false">IF(BH179&gt;=60,"بحرانی",IF(BH179&gt;=30,"مشکوک",IF(BH179&gt;0,"هشدار","عادی")))</f>
        <v>هشدار</v>
      </c>
      <c r="BJ179" s="16" t="s">
        <v>610</v>
      </c>
    </row>
    <row r="180" customFormat="false" ht="15" hidden="false" customHeight="false" outlineLevel="0" collapsed="false">
      <c r="A180" s="16" t="s">
        <v>1009</v>
      </c>
      <c r="B180" s="16" t="s">
        <v>740</v>
      </c>
      <c r="C180" s="16"/>
      <c r="D180" s="16" t="s">
        <v>431</v>
      </c>
      <c r="E180" s="16" t="s">
        <v>351</v>
      </c>
      <c r="F180" s="16" t="s">
        <v>333</v>
      </c>
      <c r="G180" s="17" t="n">
        <v>46283.5384259259</v>
      </c>
      <c r="H180" s="17" t="n">
        <v>46283.737037037</v>
      </c>
      <c r="I180" s="18" t="n">
        <f aca="false">IF(H180="",ROUND((تنظیمات!$B$7-G180)*1440,0),ROUND((H180-G180)*1440,0))</f>
        <v>286</v>
      </c>
      <c r="J180" s="16" t="s">
        <v>334</v>
      </c>
      <c r="K180" s="16" t="s">
        <v>410</v>
      </c>
      <c r="L180" s="19" t="n">
        <v>0.962</v>
      </c>
      <c r="M180" s="19" t="n">
        <v>0.94</v>
      </c>
      <c r="N180" s="16" t="s">
        <v>335</v>
      </c>
      <c r="O180" s="16" t="s">
        <v>666</v>
      </c>
      <c r="P180" s="16" t="s">
        <v>420</v>
      </c>
      <c r="Q180" s="20" t="n">
        <v>46283</v>
      </c>
      <c r="R180" s="16" t="s">
        <v>1010</v>
      </c>
      <c r="S180" s="16" t="s">
        <v>404</v>
      </c>
      <c r="T180" s="17"/>
      <c r="U180" s="21" t="n">
        <v>1</v>
      </c>
      <c r="V180" s="21" t="n">
        <v>1</v>
      </c>
      <c r="W180" s="22" t="n">
        <v>28.5</v>
      </c>
      <c r="X180" s="16" t="s">
        <v>335</v>
      </c>
      <c r="Y180" s="16" t="s">
        <v>338</v>
      </c>
      <c r="Z180" s="16" t="s">
        <v>413</v>
      </c>
      <c r="AA180" s="16" t="s">
        <v>414</v>
      </c>
      <c r="AB180" s="23" t="s">
        <v>1011</v>
      </c>
      <c r="AC180" s="17" t="n">
        <v>46283.7367013889</v>
      </c>
      <c r="AD180" s="16" t="s">
        <v>338</v>
      </c>
      <c r="AE180" s="16"/>
      <c r="AF180" s="16" t="str">
        <f aca="false">IF(COUNTIF(لیست_سفید!$A$2:$A$21,B180)&gt;0,"بله","خیر")</f>
        <v>خیر</v>
      </c>
      <c r="AG180" s="24" t="n">
        <f aca="false">IF(H180="","",IF(AD180="فیش مفقودی",تنظیمات!$B$6,(INT(I180/1440)*تنظیمات!$B$5+IF(MOD(I180,1440)&lt;=تنظیمات!$B$2,0,MIN(تنظیمات!$B$5,تنظیمات!$B$3+MAX(0,ROUNDUP((MOD(I180,1440)-60)/60,0))*تنظیمات!$B$4)))*INDEX(تعرفه!$B$2:$B$7,MATCH(AD180,تعرفه!$A$2:$A$7,0))))</f>
        <v>76000</v>
      </c>
      <c r="AH180" s="24" t="n">
        <v>76000</v>
      </c>
      <c r="AI180" s="24" t="n">
        <f aca="false">IF(AG180="","",AH180-AG180)</f>
        <v>0</v>
      </c>
      <c r="AJ180" s="21" t="n">
        <v>-3</v>
      </c>
      <c r="AK180" s="21" t="n">
        <v>0</v>
      </c>
      <c r="AL180" s="16" t="s">
        <v>335</v>
      </c>
      <c r="AM180" s="16"/>
      <c r="AN180" s="16" t="s">
        <v>340</v>
      </c>
      <c r="AO180" s="16" t="s">
        <v>340</v>
      </c>
      <c r="AP180" s="16" t="s">
        <v>335</v>
      </c>
      <c r="AQ180" s="16"/>
      <c r="AR180" s="21" t="n">
        <f aca="false">IF(AND(T180&lt;&gt;"",H180&lt;&gt;""),IF(AND((T180-H180)*86400&gt;=0,(T180-H180)*86400&lt;تنظیمات!$B$13),1,0),0)</f>
        <v>0</v>
      </c>
      <c r="AS180" s="21" t="n">
        <f aca="false">IF(Z180="پوز",IF(OR(AB180="",COUNTIF(پوزها!$A$2:$A$5,AA180)=0),1,0),0)</f>
        <v>0</v>
      </c>
      <c r="AT180" s="21" t="n">
        <f aca="false">IF(AI180="",0,IF(AI180&gt;0,1,0))</f>
        <v>0</v>
      </c>
      <c r="AU180" s="21" t="n">
        <f aca="false">IF(AI180="",0,IF(AI180&lt;0,1,0))</f>
        <v>0</v>
      </c>
      <c r="AV180" s="21" t="n">
        <f aca="false">IF(U180&gt;V180,1,0)</f>
        <v>0</v>
      </c>
      <c r="AW180" s="21" t="n">
        <f aca="false">IF(OR(W180&gt;تنظیمات!$B$8,X180="بله"),1,0)</f>
        <v>1</v>
      </c>
      <c r="AX180" s="21" t="n">
        <f aca="false">IF(AND(N180="بله",L180&gt;تنظیمات!$B$9),1,0)</f>
        <v>0</v>
      </c>
      <c r="AY180" s="21" t="n">
        <f aca="false">IF(Y180="معکوس",1,0)</f>
        <v>0</v>
      </c>
      <c r="AZ180" s="21" t="n">
        <f aca="false">IF(ABS(AJ180)&gt;تنظیمات!$B$10,1,0)</f>
        <v>0</v>
      </c>
      <c r="BA180" s="21" t="n">
        <f aca="false">IF(AND(OR(AD180="رایگان/VIP",AD180="جانباز"),AF180="خیر"),1,0)</f>
        <v>0</v>
      </c>
      <c r="BB180" s="21" t="n">
        <f aca="false">IF(AE180="",0,IF(COUNTIF($AE$2:$AE$1001,AE180)&gt;1,1,0))</f>
        <v>0</v>
      </c>
      <c r="BC180" s="21" t="n">
        <f aca="false">IF(AND(H180="",I180&gt;تنظیمات!$B$12*60,AM180="خالی"),1,0)</f>
        <v>0</v>
      </c>
      <c r="BD180" s="21" t="n">
        <f aca="false">IF(AND(AP180="بله",I180&lt;تنظیمات!$B$14,AO180="خیر"),1,0)</f>
        <v>0</v>
      </c>
      <c r="BE180" s="21" t="n">
        <f aca="false">IF(AN180="خیر",1,0)</f>
        <v>0</v>
      </c>
      <c r="BF180" s="21" t="n">
        <f aca="false">IF(AND(AD180="فیش مفقودی",AQ180="بله",I180&gt;تنظیمات!$B$12*60),1,0)</f>
        <v>0</v>
      </c>
      <c r="BG180" s="21" t="n">
        <f aca="false">IF(AND(AK180&gt;تنظیمات!$B$11,AL180="بله"),1,0)</f>
        <v>0</v>
      </c>
      <c r="BH180" s="21" t="n">
        <f aca="false">MIN(100,AR180*تنظیمات!$B$21+AS180*تنظیمات!$B$22+AT180*تنظیمات!$B$23+AU180*تنظیمات!$B$24+AV180*تنظیمات!$B$25+AW180*تنظیمات!$B$26+AX180*تنظیمات!$B$27+AY180*تنظیمات!$B$28+AZ180*تنظیمات!$B$29+BA180*تنظیمات!$B$30+BB180*تنظیمات!$B$31+BC180*تنظیمات!$B$32+BD180*تنظیمات!$B$33+BE180*تنظیمات!$B$34+BF180*تنظیمات!$B$35+BG180*تنظیمات!$B$36)</f>
        <v>25</v>
      </c>
      <c r="BI180" s="16" t="str">
        <f aca="false">IF(BH180&gt;=60,"بحرانی",IF(BH180&gt;=30,"مشکوک",IF(BH180&gt;0,"هشدار","عادی")))</f>
        <v>هشدار</v>
      </c>
      <c r="BJ180" s="16" t="s">
        <v>211</v>
      </c>
    </row>
    <row r="181" customFormat="false" ht="15" hidden="false" customHeight="false" outlineLevel="0" collapsed="false">
      <c r="A181" s="16" t="s">
        <v>1012</v>
      </c>
      <c r="B181" s="16" t="s">
        <v>646</v>
      </c>
      <c r="C181" s="16"/>
      <c r="D181" s="16" t="s">
        <v>370</v>
      </c>
      <c r="E181" s="16" t="s">
        <v>351</v>
      </c>
      <c r="F181" s="16" t="s">
        <v>333</v>
      </c>
      <c r="G181" s="17" t="n">
        <v>46283.5446296296</v>
      </c>
      <c r="H181" s="17" t="n">
        <v>46283.6231018519</v>
      </c>
      <c r="I181" s="18" t="n">
        <f aca="false">IF(H181="",ROUND((تنظیمات!$B$7-G181)*1440,0),ROUND((H181-G181)*1440,0))</f>
        <v>113</v>
      </c>
      <c r="J181" s="16" t="s">
        <v>334</v>
      </c>
      <c r="K181" s="16" t="s">
        <v>400</v>
      </c>
      <c r="L181" s="19" t="n">
        <v>0.9</v>
      </c>
      <c r="M181" s="19" t="n">
        <v>0.982</v>
      </c>
      <c r="N181" s="16" t="s">
        <v>335</v>
      </c>
      <c r="O181" s="16" t="s">
        <v>650</v>
      </c>
      <c r="P181" s="16" t="s">
        <v>420</v>
      </c>
      <c r="Q181" s="20" t="n">
        <v>46283</v>
      </c>
      <c r="R181" s="16" t="s">
        <v>1013</v>
      </c>
      <c r="S181" s="16" t="s">
        <v>404</v>
      </c>
      <c r="T181" s="17"/>
      <c r="U181" s="21" t="n">
        <v>1</v>
      </c>
      <c r="V181" s="21" t="n">
        <v>1</v>
      </c>
      <c r="W181" s="22" t="n">
        <v>5.6</v>
      </c>
      <c r="X181" s="16" t="s">
        <v>335</v>
      </c>
      <c r="Y181" s="16" t="s">
        <v>338</v>
      </c>
      <c r="Z181" s="16" t="s">
        <v>413</v>
      </c>
      <c r="AA181" s="16" t="s">
        <v>427</v>
      </c>
      <c r="AB181" s="23" t="s">
        <v>1014</v>
      </c>
      <c r="AC181" s="17" t="n">
        <v>46283.6224074074</v>
      </c>
      <c r="AD181" s="16" t="s">
        <v>338</v>
      </c>
      <c r="AE181" s="16"/>
      <c r="AF181" s="16" t="str">
        <f aca="false">IF(COUNTIF(لیست_سفید!$A$2:$A$21,B181)&gt;0,"بله","خیر")</f>
        <v>خیر</v>
      </c>
      <c r="AG181" s="24" t="n">
        <f aca="false">IF(H181="","",IF(AD181="فیش مفقودی",تنظیمات!$B$6,(INT(I181/1440)*تنظیمات!$B$5+IF(MOD(I181,1440)&lt;=تنظیمات!$B$2,0,MIN(تنظیمات!$B$5,تنظیمات!$B$3+MAX(0,ROUNDUP((MOD(I181,1440)-60)/60,0))*تنظیمات!$B$4)))*INDEX(تعرفه!$B$2:$B$7,MATCH(AD181,تعرفه!$A$2:$A$7,0))))</f>
        <v>34000</v>
      </c>
      <c r="AH181" s="24" t="n">
        <v>34000</v>
      </c>
      <c r="AI181" s="24" t="n">
        <f aca="false">IF(AG181="","",AH181-AG181)</f>
        <v>0</v>
      </c>
      <c r="AJ181" s="21" t="n">
        <v>-2</v>
      </c>
      <c r="AK181" s="21" t="n">
        <v>0</v>
      </c>
      <c r="AL181" s="16" t="s">
        <v>335</v>
      </c>
      <c r="AM181" s="16"/>
      <c r="AN181" s="16" t="s">
        <v>340</v>
      </c>
      <c r="AO181" s="16" t="s">
        <v>340</v>
      </c>
      <c r="AP181" s="16" t="s">
        <v>335</v>
      </c>
      <c r="AQ181" s="16"/>
      <c r="AR181" s="21" t="n">
        <f aca="false">IF(AND(T181&lt;&gt;"",H181&lt;&gt;""),IF(AND((T181-H181)*86400&gt;=0,(T181-H181)*86400&lt;تنظیمات!$B$13),1,0),0)</f>
        <v>0</v>
      </c>
      <c r="AS181" s="21" t="n">
        <f aca="false">IF(Z181="پوز",IF(OR(AB181="",COUNTIF(پوزها!$A$2:$A$5,AA181)=0),1,0),0)</f>
        <v>0</v>
      </c>
      <c r="AT181" s="21" t="n">
        <f aca="false">IF(AI181="",0,IF(AI181&gt;0,1,0))</f>
        <v>0</v>
      </c>
      <c r="AU181" s="21" t="n">
        <f aca="false">IF(AI181="",0,IF(AI181&lt;0,1,0))</f>
        <v>0</v>
      </c>
      <c r="AV181" s="21" t="n">
        <f aca="false">IF(U181&gt;V181,1,0)</f>
        <v>0</v>
      </c>
      <c r="AW181" s="21" t="n">
        <f aca="false">IF(OR(W181&gt;تنظیمات!$B$8,X181="بله"),1,0)</f>
        <v>0</v>
      </c>
      <c r="AX181" s="21" t="n">
        <f aca="false">IF(AND(N181="بله",L181&gt;تنظیمات!$B$9),1,0)</f>
        <v>0</v>
      </c>
      <c r="AY181" s="21" t="n">
        <f aca="false">IF(Y181="معکوس",1,0)</f>
        <v>0</v>
      </c>
      <c r="AZ181" s="21" t="n">
        <f aca="false">IF(ABS(AJ181)&gt;تنظیمات!$B$10,1,0)</f>
        <v>0</v>
      </c>
      <c r="BA181" s="21" t="n">
        <f aca="false">IF(AND(OR(AD181="رایگان/VIP",AD181="جانباز"),AF181="خیر"),1,0)</f>
        <v>0</v>
      </c>
      <c r="BB181" s="21" t="n">
        <f aca="false">IF(AE181="",0,IF(COUNTIF($AE$2:$AE$1001,AE181)&gt;1,1,0))</f>
        <v>0</v>
      </c>
      <c r="BC181" s="21" t="n">
        <f aca="false">IF(AND(H181="",I181&gt;تنظیمات!$B$12*60,AM181="خالی"),1,0)</f>
        <v>0</v>
      </c>
      <c r="BD181" s="21" t="n">
        <f aca="false">IF(AND(AP181="بله",I181&lt;تنظیمات!$B$14,AO181="خیر"),1,0)</f>
        <v>0</v>
      </c>
      <c r="BE181" s="21" t="n">
        <f aca="false">IF(AN181="خیر",1,0)</f>
        <v>0</v>
      </c>
      <c r="BF181" s="21" t="n">
        <f aca="false">IF(AND(AD181="فیش مفقودی",AQ181="بله",I181&gt;تنظیمات!$B$12*60),1,0)</f>
        <v>0</v>
      </c>
      <c r="BG181" s="21" t="n">
        <f aca="false">IF(AND(AK181&gt;تنظیمات!$B$11,AL181="بله"),1,0)</f>
        <v>0</v>
      </c>
      <c r="BH181" s="21" t="n">
        <f aca="false">MIN(100,AR181*تنظیمات!$B$21+AS181*تنظیمات!$B$22+AT181*تنظیمات!$B$23+AU181*تنظیمات!$B$24+AV181*تنظیمات!$B$25+AW181*تنظیمات!$B$26+AX181*تنظیمات!$B$27+AY181*تنظیمات!$B$28+AZ181*تنظیمات!$B$29+BA181*تنظیمات!$B$30+BB181*تنظیمات!$B$31+BC181*تنظیمات!$B$32+BD181*تنظیمات!$B$33+BE181*تنظیمات!$B$34+BF181*تنظیمات!$B$35+BG181*تنظیمات!$B$36)</f>
        <v>0</v>
      </c>
      <c r="BI181" s="16" t="str">
        <f aca="false">IF(BH181&gt;=60,"بحرانی",IF(BH181&gt;=30,"مشکوک",IF(BH181&gt;0,"هشدار","عادی")))</f>
        <v>عادی</v>
      </c>
      <c r="BJ181" s="16" t="s">
        <v>338</v>
      </c>
    </row>
    <row r="182" customFormat="false" ht="15" hidden="false" customHeight="false" outlineLevel="0" collapsed="false">
      <c r="A182" s="16" t="s">
        <v>1015</v>
      </c>
      <c r="B182" s="16" t="s">
        <v>1016</v>
      </c>
      <c r="C182" s="16"/>
      <c r="D182" s="16" t="s">
        <v>531</v>
      </c>
      <c r="E182" s="16" t="s">
        <v>332</v>
      </c>
      <c r="F182" s="16" t="s">
        <v>333</v>
      </c>
      <c r="G182" s="17" t="n">
        <v>46283.5629282407</v>
      </c>
      <c r="H182" s="17" t="n">
        <v>46283.5962615741</v>
      </c>
      <c r="I182" s="18" t="n">
        <f aca="false">IF(H182="",ROUND((تنظیمات!$B$7-G182)*1440,0),ROUND((H182-G182)*1440,0))</f>
        <v>48</v>
      </c>
      <c r="J182" s="16" t="s">
        <v>334</v>
      </c>
      <c r="K182" s="16" t="s">
        <v>400</v>
      </c>
      <c r="L182" s="19" t="n">
        <v>0.907</v>
      </c>
      <c r="M182" s="19" t="n">
        <v>0.991</v>
      </c>
      <c r="N182" s="16" t="s">
        <v>335</v>
      </c>
      <c r="O182" s="16" t="s">
        <v>650</v>
      </c>
      <c r="P182" s="16" t="s">
        <v>420</v>
      </c>
      <c r="Q182" s="20" t="n">
        <v>46283</v>
      </c>
      <c r="R182" s="16" t="s">
        <v>1017</v>
      </c>
      <c r="S182" s="16" t="s">
        <v>404</v>
      </c>
      <c r="T182" s="17"/>
      <c r="U182" s="21" t="n">
        <v>1</v>
      </c>
      <c r="V182" s="21" t="n">
        <v>1</v>
      </c>
      <c r="W182" s="22" t="n">
        <v>5.2</v>
      </c>
      <c r="X182" s="16" t="s">
        <v>335</v>
      </c>
      <c r="Y182" s="16" t="s">
        <v>338</v>
      </c>
      <c r="Z182" s="16" t="s">
        <v>413</v>
      </c>
      <c r="AA182" s="16" t="s">
        <v>427</v>
      </c>
      <c r="AB182" s="23" t="s">
        <v>1018</v>
      </c>
      <c r="AC182" s="17" t="n">
        <v>46283.5952430556</v>
      </c>
      <c r="AD182" s="16" t="s">
        <v>338</v>
      </c>
      <c r="AE182" s="16"/>
      <c r="AF182" s="16" t="str">
        <f aca="false">IF(COUNTIF(لیست_سفید!$A$2:$A$21,B182)&gt;0,"بله","خیر")</f>
        <v>خیر</v>
      </c>
      <c r="AG182" s="24" t="n">
        <f aca="false">IF(H182="","",IF(AD182="فیش مفقودی",تنظیمات!$B$6,(INT(I182/1440)*تنظیمات!$B$5+IF(MOD(I182,1440)&lt;=تنظیمات!$B$2,0,MIN(تنظیمات!$B$5,تنظیمات!$B$3+MAX(0,ROUNDUP((MOD(I182,1440)-60)/60,0))*تنظیمات!$B$4)))*INDEX(تعرفه!$B$2:$B$7,MATCH(AD182,تعرفه!$A$2:$A$7,0))))</f>
        <v>20000</v>
      </c>
      <c r="AH182" s="24" t="n">
        <v>20000</v>
      </c>
      <c r="AI182" s="24" t="n">
        <f aca="false">IF(AG182="","",AH182-AG182)</f>
        <v>0</v>
      </c>
      <c r="AJ182" s="21" t="n">
        <v>2</v>
      </c>
      <c r="AK182" s="21" t="n">
        <v>0</v>
      </c>
      <c r="AL182" s="16" t="s">
        <v>335</v>
      </c>
      <c r="AM182" s="16"/>
      <c r="AN182" s="16" t="s">
        <v>340</v>
      </c>
      <c r="AO182" s="16" t="s">
        <v>340</v>
      </c>
      <c r="AP182" s="16" t="s">
        <v>335</v>
      </c>
      <c r="AQ182" s="16"/>
      <c r="AR182" s="21" t="n">
        <f aca="false">IF(AND(T182&lt;&gt;"",H182&lt;&gt;""),IF(AND((T182-H182)*86400&gt;=0,(T182-H182)*86400&lt;تنظیمات!$B$13),1,0),0)</f>
        <v>0</v>
      </c>
      <c r="AS182" s="21" t="n">
        <f aca="false">IF(Z182="پوز",IF(OR(AB182="",COUNTIF(پوزها!$A$2:$A$5,AA182)=0),1,0),0)</f>
        <v>0</v>
      </c>
      <c r="AT182" s="21" t="n">
        <f aca="false">IF(AI182="",0,IF(AI182&gt;0,1,0))</f>
        <v>0</v>
      </c>
      <c r="AU182" s="21" t="n">
        <f aca="false">IF(AI182="",0,IF(AI182&lt;0,1,0))</f>
        <v>0</v>
      </c>
      <c r="AV182" s="21" t="n">
        <f aca="false">IF(U182&gt;V182,1,0)</f>
        <v>0</v>
      </c>
      <c r="AW182" s="21" t="n">
        <f aca="false">IF(OR(W182&gt;تنظیمات!$B$8,X182="بله"),1,0)</f>
        <v>0</v>
      </c>
      <c r="AX182" s="21" t="n">
        <f aca="false">IF(AND(N182="بله",L182&gt;تنظیمات!$B$9),1,0)</f>
        <v>0</v>
      </c>
      <c r="AY182" s="21" t="n">
        <f aca="false">IF(Y182="معکوس",1,0)</f>
        <v>0</v>
      </c>
      <c r="AZ182" s="21" t="n">
        <f aca="false">IF(ABS(AJ182)&gt;تنظیمات!$B$10,1,0)</f>
        <v>0</v>
      </c>
      <c r="BA182" s="21" t="n">
        <f aca="false">IF(AND(OR(AD182="رایگان/VIP",AD182="جانباز"),AF182="خیر"),1,0)</f>
        <v>0</v>
      </c>
      <c r="BB182" s="21" t="n">
        <f aca="false">IF(AE182="",0,IF(COUNTIF($AE$2:$AE$1001,AE182)&gt;1,1,0))</f>
        <v>0</v>
      </c>
      <c r="BC182" s="21" t="n">
        <f aca="false">IF(AND(H182="",I182&gt;تنظیمات!$B$12*60,AM182="خالی"),1,0)</f>
        <v>0</v>
      </c>
      <c r="BD182" s="21" t="n">
        <f aca="false">IF(AND(AP182="بله",I182&lt;تنظیمات!$B$14,AO182="خیر"),1,0)</f>
        <v>0</v>
      </c>
      <c r="BE182" s="21" t="n">
        <f aca="false">IF(AN182="خیر",1,0)</f>
        <v>0</v>
      </c>
      <c r="BF182" s="21" t="n">
        <f aca="false">IF(AND(AD182="فیش مفقودی",AQ182="بله",I182&gt;تنظیمات!$B$12*60),1,0)</f>
        <v>0</v>
      </c>
      <c r="BG182" s="21" t="n">
        <f aca="false">IF(AND(AK182&gt;تنظیمات!$B$11,AL182="بله"),1,0)</f>
        <v>0</v>
      </c>
      <c r="BH182" s="21" t="n">
        <f aca="false">MIN(100,AR182*تنظیمات!$B$21+AS182*تنظیمات!$B$22+AT182*تنظیمات!$B$23+AU182*تنظیمات!$B$24+AV182*تنظیمات!$B$25+AW182*تنظیمات!$B$26+AX182*تنظیمات!$B$27+AY182*تنظیمات!$B$28+AZ182*تنظیمات!$B$29+BA182*تنظیمات!$B$30+BB182*تنظیمات!$B$31+BC182*تنظیمات!$B$32+BD182*تنظیمات!$B$33+BE182*تنظیمات!$B$34+BF182*تنظیمات!$B$35+BG182*تنظیمات!$B$36)</f>
        <v>0</v>
      </c>
      <c r="BI182" s="16" t="str">
        <f aca="false">IF(BH182&gt;=60,"بحرانی",IF(BH182&gt;=30,"مشکوک",IF(BH182&gt;0,"هشدار","عادی")))</f>
        <v>عادی</v>
      </c>
      <c r="BJ182" s="16" t="s">
        <v>338</v>
      </c>
    </row>
    <row r="183" customFormat="false" ht="15" hidden="false" customHeight="false" outlineLevel="0" collapsed="false">
      <c r="A183" s="16" t="s">
        <v>1019</v>
      </c>
      <c r="B183" s="16" t="s">
        <v>1020</v>
      </c>
      <c r="C183" s="16"/>
      <c r="D183" s="16" t="s">
        <v>370</v>
      </c>
      <c r="E183" s="16" t="s">
        <v>363</v>
      </c>
      <c r="F183" s="16" t="s">
        <v>333</v>
      </c>
      <c r="G183" s="17" t="n">
        <v>46283.5708912037</v>
      </c>
      <c r="H183" s="17" t="n">
        <v>46283.6938078704</v>
      </c>
      <c r="I183" s="18" t="n">
        <f aca="false">IF(H183="",ROUND((تنظیمات!$B$7-G183)*1440,0),ROUND((H183-G183)*1440,0))</f>
        <v>177</v>
      </c>
      <c r="J183" s="16" t="s">
        <v>334</v>
      </c>
      <c r="K183" s="16" t="s">
        <v>410</v>
      </c>
      <c r="L183" s="19" t="n">
        <v>0.926</v>
      </c>
      <c r="M183" s="19" t="n">
        <v>0.952</v>
      </c>
      <c r="N183" s="16" t="s">
        <v>335</v>
      </c>
      <c r="O183" s="16" t="s">
        <v>666</v>
      </c>
      <c r="P183" s="16" t="s">
        <v>420</v>
      </c>
      <c r="Q183" s="20" t="n">
        <v>46283</v>
      </c>
      <c r="R183" s="16" t="s">
        <v>1021</v>
      </c>
      <c r="S183" s="16" t="s">
        <v>404</v>
      </c>
      <c r="T183" s="17"/>
      <c r="U183" s="21" t="n">
        <v>1</v>
      </c>
      <c r="V183" s="21" t="n">
        <v>1</v>
      </c>
      <c r="W183" s="22" t="n">
        <v>4.1</v>
      </c>
      <c r="X183" s="16" t="s">
        <v>335</v>
      </c>
      <c r="Y183" s="16" t="s">
        <v>338</v>
      </c>
      <c r="Z183" s="16" t="s">
        <v>413</v>
      </c>
      <c r="AA183" s="16" t="s">
        <v>414</v>
      </c>
      <c r="AB183" s="23" t="s">
        <v>1022</v>
      </c>
      <c r="AC183" s="17" t="n">
        <v>46283.6928240741</v>
      </c>
      <c r="AD183" s="16" t="s">
        <v>338</v>
      </c>
      <c r="AE183" s="16"/>
      <c r="AF183" s="16" t="str">
        <f aca="false">IF(COUNTIF(لیست_سفید!$A$2:$A$21,B183)&gt;0,"بله","خیر")</f>
        <v>خیر</v>
      </c>
      <c r="AG183" s="24" t="n">
        <f aca="false">IF(H183="","",IF(AD183="فیش مفقودی",تنظیمات!$B$6,(INT(I183/1440)*تنظیمات!$B$5+IF(MOD(I183,1440)&lt;=تنظیمات!$B$2,0,MIN(تنظیمات!$B$5,تنظیمات!$B$3+MAX(0,ROUNDUP((MOD(I183,1440)-60)/60,0))*تنظیمات!$B$4)))*INDEX(تعرفه!$B$2:$B$7,MATCH(AD183,تعرفه!$A$2:$A$7,0))))</f>
        <v>48000</v>
      </c>
      <c r="AH183" s="24" t="n">
        <v>48000</v>
      </c>
      <c r="AI183" s="24" t="n">
        <f aca="false">IF(AG183="","",AH183-AG183)</f>
        <v>0</v>
      </c>
      <c r="AJ183" s="21" t="n">
        <v>-2</v>
      </c>
      <c r="AK183" s="21" t="n">
        <v>0</v>
      </c>
      <c r="AL183" s="16" t="s">
        <v>335</v>
      </c>
      <c r="AM183" s="16"/>
      <c r="AN183" s="16" t="s">
        <v>340</v>
      </c>
      <c r="AO183" s="16" t="s">
        <v>340</v>
      </c>
      <c r="AP183" s="16" t="s">
        <v>335</v>
      </c>
      <c r="AQ183" s="16"/>
      <c r="AR183" s="21" t="n">
        <f aca="false">IF(AND(T183&lt;&gt;"",H183&lt;&gt;""),IF(AND((T183-H183)*86400&gt;=0,(T183-H183)*86400&lt;تنظیمات!$B$13),1,0),0)</f>
        <v>0</v>
      </c>
      <c r="AS183" s="21" t="n">
        <f aca="false">IF(Z183="پوز",IF(OR(AB183="",COUNTIF(پوزها!$A$2:$A$5,AA183)=0),1,0),0)</f>
        <v>0</v>
      </c>
      <c r="AT183" s="21" t="n">
        <f aca="false">IF(AI183="",0,IF(AI183&gt;0,1,0))</f>
        <v>0</v>
      </c>
      <c r="AU183" s="21" t="n">
        <f aca="false">IF(AI183="",0,IF(AI183&lt;0,1,0))</f>
        <v>0</v>
      </c>
      <c r="AV183" s="21" t="n">
        <f aca="false">IF(U183&gt;V183,1,0)</f>
        <v>0</v>
      </c>
      <c r="AW183" s="21" t="n">
        <f aca="false">IF(OR(W183&gt;تنظیمات!$B$8,X183="بله"),1,0)</f>
        <v>0</v>
      </c>
      <c r="AX183" s="21" t="n">
        <f aca="false">IF(AND(N183="بله",L183&gt;تنظیمات!$B$9),1,0)</f>
        <v>0</v>
      </c>
      <c r="AY183" s="21" t="n">
        <f aca="false">IF(Y183="معکوس",1,0)</f>
        <v>0</v>
      </c>
      <c r="AZ183" s="21" t="n">
        <f aca="false">IF(ABS(AJ183)&gt;تنظیمات!$B$10,1,0)</f>
        <v>0</v>
      </c>
      <c r="BA183" s="21" t="n">
        <f aca="false">IF(AND(OR(AD183="رایگان/VIP",AD183="جانباز"),AF183="خیر"),1,0)</f>
        <v>0</v>
      </c>
      <c r="BB183" s="21" t="n">
        <f aca="false">IF(AE183="",0,IF(COUNTIF($AE$2:$AE$1001,AE183)&gt;1,1,0))</f>
        <v>0</v>
      </c>
      <c r="BC183" s="21" t="n">
        <f aca="false">IF(AND(H183="",I183&gt;تنظیمات!$B$12*60,AM183="خالی"),1,0)</f>
        <v>0</v>
      </c>
      <c r="BD183" s="21" t="n">
        <f aca="false">IF(AND(AP183="بله",I183&lt;تنظیمات!$B$14,AO183="خیر"),1,0)</f>
        <v>0</v>
      </c>
      <c r="BE183" s="21" t="n">
        <f aca="false">IF(AN183="خیر",1,0)</f>
        <v>0</v>
      </c>
      <c r="BF183" s="21" t="n">
        <f aca="false">IF(AND(AD183="فیش مفقودی",AQ183="بله",I183&gt;تنظیمات!$B$12*60),1,0)</f>
        <v>0</v>
      </c>
      <c r="BG183" s="21" t="n">
        <f aca="false">IF(AND(AK183&gt;تنظیمات!$B$11,AL183="بله"),1,0)</f>
        <v>0</v>
      </c>
      <c r="BH183" s="21" t="n">
        <f aca="false">MIN(100,AR183*تنظیمات!$B$21+AS183*تنظیمات!$B$22+AT183*تنظیمات!$B$23+AU183*تنظیمات!$B$24+AV183*تنظیمات!$B$25+AW183*تنظیمات!$B$26+AX183*تنظیمات!$B$27+AY183*تنظیمات!$B$28+AZ183*تنظیمات!$B$29+BA183*تنظیمات!$B$30+BB183*تنظیمات!$B$31+BC183*تنظیمات!$B$32+BD183*تنظیمات!$B$33+BE183*تنظیمات!$B$34+BF183*تنظیمات!$B$35+BG183*تنظیمات!$B$36)</f>
        <v>0</v>
      </c>
      <c r="BI183" s="16" t="str">
        <f aca="false">IF(BH183&gt;=60,"بحرانی",IF(BH183&gt;=30,"مشکوک",IF(BH183&gt;0,"هشدار","عادی")))</f>
        <v>عادی</v>
      </c>
      <c r="BJ183" s="16" t="s">
        <v>338</v>
      </c>
    </row>
    <row r="184" customFormat="false" ht="15" hidden="false" customHeight="false" outlineLevel="0" collapsed="false">
      <c r="A184" s="16" t="s">
        <v>1023</v>
      </c>
      <c r="B184" s="16" t="s">
        <v>689</v>
      </c>
      <c r="C184" s="16"/>
      <c r="D184" s="16" t="s">
        <v>418</v>
      </c>
      <c r="E184" s="16" t="s">
        <v>332</v>
      </c>
      <c r="F184" s="16" t="s">
        <v>333</v>
      </c>
      <c r="G184" s="17" t="n">
        <v>46283.5891087963</v>
      </c>
      <c r="H184" s="17" t="n">
        <v>46283.6273032407</v>
      </c>
      <c r="I184" s="18" t="n">
        <f aca="false">IF(H184="",ROUND((تنظیمات!$B$7-G184)*1440,0),ROUND((H184-G184)*1440,0))</f>
        <v>55</v>
      </c>
      <c r="J184" s="16" t="s">
        <v>346</v>
      </c>
      <c r="K184" s="16" t="s">
        <v>410</v>
      </c>
      <c r="L184" s="19" t="n">
        <v>0.971</v>
      </c>
      <c r="M184" s="19" t="n">
        <v>0.946</v>
      </c>
      <c r="N184" s="16" t="s">
        <v>335</v>
      </c>
      <c r="O184" s="16" t="s">
        <v>666</v>
      </c>
      <c r="P184" s="16" t="s">
        <v>420</v>
      </c>
      <c r="Q184" s="20" t="n">
        <v>46283</v>
      </c>
      <c r="R184" s="16" t="s">
        <v>1024</v>
      </c>
      <c r="S184" s="16" t="s">
        <v>404</v>
      </c>
      <c r="T184" s="17"/>
      <c r="U184" s="21" t="n">
        <v>1</v>
      </c>
      <c r="V184" s="21" t="n">
        <v>1</v>
      </c>
      <c r="W184" s="22" t="n">
        <v>2.5</v>
      </c>
      <c r="X184" s="16" t="s">
        <v>335</v>
      </c>
      <c r="Y184" s="16" t="s">
        <v>338</v>
      </c>
      <c r="Z184" s="16" t="s">
        <v>413</v>
      </c>
      <c r="AA184" s="16" t="s">
        <v>414</v>
      </c>
      <c r="AB184" s="23" t="s">
        <v>1025</v>
      </c>
      <c r="AC184" s="17" t="n">
        <v>46283.6270717593</v>
      </c>
      <c r="AD184" s="16" t="s">
        <v>481</v>
      </c>
      <c r="AE184" s="16" t="s">
        <v>1026</v>
      </c>
      <c r="AF184" s="16" t="str">
        <f aca="false">IF(COUNTIF(لیست_سفید!$A$2:$A$21,B184)&gt;0,"بله","خیر")</f>
        <v>خیر</v>
      </c>
      <c r="AG184" s="24" t="n">
        <f aca="false">IF(H184="","",IF(AD184="فیش مفقودی",تنظیمات!$B$6,(INT(I184/1440)*تنظیمات!$B$5+IF(MOD(I184,1440)&lt;=تنظیمات!$B$2,0,MIN(تنظیمات!$B$5,تنظیمات!$B$3+MAX(0,ROUNDUP((MOD(I184,1440)-60)/60,0))*تنظیمات!$B$4)))*INDEX(تعرفه!$B$2:$B$7,MATCH(AD184,تعرفه!$A$2:$A$7,0))))</f>
        <v>10000</v>
      </c>
      <c r="AH184" s="24" t="n">
        <v>10000</v>
      </c>
      <c r="AI184" s="24" t="n">
        <f aca="false">IF(AG184="","",AH184-AG184)</f>
        <v>0</v>
      </c>
      <c r="AJ184" s="21" t="n">
        <v>0</v>
      </c>
      <c r="AK184" s="21" t="n">
        <v>0</v>
      </c>
      <c r="AL184" s="16" t="s">
        <v>335</v>
      </c>
      <c r="AM184" s="16"/>
      <c r="AN184" s="16" t="s">
        <v>340</v>
      </c>
      <c r="AO184" s="16" t="s">
        <v>340</v>
      </c>
      <c r="AP184" s="16" t="s">
        <v>335</v>
      </c>
      <c r="AQ184" s="16"/>
      <c r="AR184" s="21" t="n">
        <f aca="false">IF(AND(T184&lt;&gt;"",H184&lt;&gt;""),IF(AND((T184-H184)*86400&gt;=0,(T184-H184)*86400&lt;تنظیمات!$B$13),1,0),0)</f>
        <v>0</v>
      </c>
      <c r="AS184" s="21" t="n">
        <f aca="false">IF(Z184="پوز",IF(OR(AB184="",COUNTIF(پوزها!$A$2:$A$5,AA184)=0),1,0),0)</f>
        <v>0</v>
      </c>
      <c r="AT184" s="21" t="n">
        <f aca="false">IF(AI184="",0,IF(AI184&gt;0,1,0))</f>
        <v>0</v>
      </c>
      <c r="AU184" s="21" t="n">
        <f aca="false">IF(AI184="",0,IF(AI184&lt;0,1,0))</f>
        <v>0</v>
      </c>
      <c r="AV184" s="21" t="n">
        <f aca="false">IF(U184&gt;V184,1,0)</f>
        <v>0</v>
      </c>
      <c r="AW184" s="21" t="n">
        <f aca="false">IF(OR(W184&gt;تنظیمات!$B$8,X184="بله"),1,0)</f>
        <v>0</v>
      </c>
      <c r="AX184" s="21" t="n">
        <f aca="false">IF(AND(N184="بله",L184&gt;تنظیمات!$B$9),1,0)</f>
        <v>0</v>
      </c>
      <c r="AY184" s="21" t="n">
        <f aca="false">IF(Y184="معکوس",1,0)</f>
        <v>0</v>
      </c>
      <c r="AZ184" s="21" t="n">
        <f aca="false">IF(ABS(AJ184)&gt;تنظیمات!$B$10,1,0)</f>
        <v>0</v>
      </c>
      <c r="BA184" s="21" t="n">
        <f aca="false">IF(AND(OR(AD184="رایگان/VIP",AD184="جانباز"),AF184="خیر"),1,0)</f>
        <v>0</v>
      </c>
      <c r="BB184" s="21" t="n">
        <f aca="false">IF(AE184="",0,IF(COUNTIF($AE$2:$AE$1001,AE184)&gt;1,1,0))</f>
        <v>0</v>
      </c>
      <c r="BC184" s="21" t="n">
        <f aca="false">IF(AND(H184="",I184&gt;تنظیمات!$B$12*60,AM184="خالی"),1,0)</f>
        <v>0</v>
      </c>
      <c r="BD184" s="21" t="n">
        <f aca="false">IF(AND(AP184="بله",I184&lt;تنظیمات!$B$14,AO184="خیر"),1,0)</f>
        <v>0</v>
      </c>
      <c r="BE184" s="21" t="n">
        <f aca="false">IF(AN184="خیر",1,0)</f>
        <v>0</v>
      </c>
      <c r="BF184" s="21" t="n">
        <f aca="false">IF(AND(AD184="فیش مفقودی",AQ184="بله",I184&gt;تنظیمات!$B$12*60),1,0)</f>
        <v>0</v>
      </c>
      <c r="BG184" s="21" t="n">
        <f aca="false">IF(AND(AK184&gt;تنظیمات!$B$11,AL184="بله"),1,0)</f>
        <v>0</v>
      </c>
      <c r="BH184" s="21" t="n">
        <f aca="false">MIN(100,AR184*تنظیمات!$B$21+AS184*تنظیمات!$B$22+AT184*تنظیمات!$B$23+AU184*تنظیمات!$B$24+AV184*تنظیمات!$B$25+AW184*تنظیمات!$B$26+AX184*تنظیمات!$B$27+AY184*تنظیمات!$B$28+AZ184*تنظیمات!$B$29+BA184*تنظیمات!$B$30+BB184*تنظیمات!$B$31+BC184*تنظیمات!$B$32+BD184*تنظیمات!$B$33+BE184*تنظیمات!$B$34+BF184*تنظیمات!$B$35+BG184*تنظیمات!$B$36)</f>
        <v>0</v>
      </c>
      <c r="BI184" s="16" t="str">
        <f aca="false">IF(BH184&gt;=60,"بحرانی",IF(BH184&gt;=30,"مشکوک",IF(BH184&gt;0,"هشدار","عادی")))</f>
        <v>عادی</v>
      </c>
      <c r="BJ184" s="16" t="s">
        <v>338</v>
      </c>
    </row>
    <row r="185" customFormat="false" ht="15" hidden="false" customHeight="false" outlineLevel="0" collapsed="false">
      <c r="A185" s="16" t="s">
        <v>1027</v>
      </c>
      <c r="B185" s="16" t="s">
        <v>511</v>
      </c>
      <c r="C185" s="16"/>
      <c r="D185" s="16" t="s">
        <v>450</v>
      </c>
      <c r="E185" s="16" t="s">
        <v>332</v>
      </c>
      <c r="F185" s="16" t="s">
        <v>333</v>
      </c>
      <c r="G185" s="17" t="n">
        <v>46283.6122916667</v>
      </c>
      <c r="H185" s="17" t="n">
        <v>46283.7102083333</v>
      </c>
      <c r="I185" s="18" t="n">
        <f aca="false">IF(H185="",ROUND((تنظیمات!$B$7-G185)*1440,0),ROUND((H185-G185)*1440,0))</f>
        <v>141</v>
      </c>
      <c r="J185" s="16" t="s">
        <v>334</v>
      </c>
      <c r="K185" s="16" t="s">
        <v>400</v>
      </c>
      <c r="L185" s="19" t="n">
        <v>0.941</v>
      </c>
      <c r="M185" s="19" t="n">
        <v>0.974</v>
      </c>
      <c r="N185" s="16" t="s">
        <v>335</v>
      </c>
      <c r="O185" s="16" t="s">
        <v>650</v>
      </c>
      <c r="P185" s="16" t="s">
        <v>420</v>
      </c>
      <c r="Q185" s="20" t="n">
        <v>46283</v>
      </c>
      <c r="R185" s="16" t="s">
        <v>1028</v>
      </c>
      <c r="S185" s="16" t="s">
        <v>404</v>
      </c>
      <c r="T185" s="17"/>
      <c r="U185" s="21" t="n">
        <v>1</v>
      </c>
      <c r="V185" s="21" t="n">
        <v>1</v>
      </c>
      <c r="W185" s="22" t="n">
        <v>5.9</v>
      </c>
      <c r="X185" s="16" t="s">
        <v>335</v>
      </c>
      <c r="Y185" s="16" t="s">
        <v>338</v>
      </c>
      <c r="Z185" s="16" t="s">
        <v>405</v>
      </c>
      <c r="AA185" s="16"/>
      <c r="AB185" s="23"/>
      <c r="AC185" s="17"/>
      <c r="AD185" s="16" t="s">
        <v>338</v>
      </c>
      <c r="AE185" s="16"/>
      <c r="AF185" s="16" t="str">
        <f aca="false">IF(COUNTIF(لیست_سفید!$A$2:$A$21,B185)&gt;0,"بله","خیر")</f>
        <v>خیر</v>
      </c>
      <c r="AG185" s="24" t="n">
        <f aca="false">IF(H185="","",IF(AD185="فیش مفقودی",تنظیمات!$B$6,(INT(I185/1440)*تنظیمات!$B$5+IF(MOD(I185,1440)&lt;=تنظیمات!$B$2,0,MIN(تنظیمات!$B$5,تنظیمات!$B$3+MAX(0,ROUNDUP((MOD(I185,1440)-60)/60,0))*تنظیمات!$B$4)))*INDEX(تعرفه!$B$2:$B$7,MATCH(AD185,تعرفه!$A$2:$A$7,0))))</f>
        <v>48000</v>
      </c>
      <c r="AH185" s="24" t="n">
        <v>48000</v>
      </c>
      <c r="AI185" s="24" t="n">
        <f aca="false">IF(AG185="","",AH185-AG185)</f>
        <v>0</v>
      </c>
      <c r="AJ185" s="21" t="n">
        <v>-1</v>
      </c>
      <c r="AK185" s="21" t="n">
        <v>0</v>
      </c>
      <c r="AL185" s="16" t="s">
        <v>335</v>
      </c>
      <c r="AM185" s="16"/>
      <c r="AN185" s="16" t="s">
        <v>340</v>
      </c>
      <c r="AO185" s="16" t="s">
        <v>340</v>
      </c>
      <c r="AP185" s="16" t="s">
        <v>335</v>
      </c>
      <c r="AQ185" s="16"/>
      <c r="AR185" s="21" t="n">
        <f aca="false">IF(AND(T185&lt;&gt;"",H185&lt;&gt;""),IF(AND((T185-H185)*86400&gt;=0,(T185-H185)*86400&lt;تنظیمات!$B$13),1,0),0)</f>
        <v>0</v>
      </c>
      <c r="AS185" s="21" t="n">
        <f aca="false">IF(Z185="پوز",IF(OR(AB185="",COUNTIF(پوزها!$A$2:$A$5,AA185)=0),1,0),0)</f>
        <v>0</v>
      </c>
      <c r="AT185" s="21" t="n">
        <f aca="false">IF(AI185="",0,IF(AI185&gt;0,1,0))</f>
        <v>0</v>
      </c>
      <c r="AU185" s="21" t="n">
        <f aca="false">IF(AI185="",0,IF(AI185&lt;0,1,0))</f>
        <v>0</v>
      </c>
      <c r="AV185" s="21" t="n">
        <f aca="false">IF(U185&gt;V185,1,0)</f>
        <v>0</v>
      </c>
      <c r="AW185" s="21" t="n">
        <f aca="false">IF(OR(W185&gt;تنظیمات!$B$8,X185="بله"),1,0)</f>
        <v>0</v>
      </c>
      <c r="AX185" s="21" t="n">
        <f aca="false">IF(AND(N185="بله",L185&gt;تنظیمات!$B$9),1,0)</f>
        <v>0</v>
      </c>
      <c r="AY185" s="21" t="n">
        <f aca="false">IF(Y185="معکوس",1,0)</f>
        <v>0</v>
      </c>
      <c r="AZ185" s="21" t="n">
        <f aca="false">IF(ABS(AJ185)&gt;تنظیمات!$B$10,1,0)</f>
        <v>0</v>
      </c>
      <c r="BA185" s="21" t="n">
        <f aca="false">IF(AND(OR(AD185="رایگان/VIP",AD185="جانباز"),AF185="خیر"),1,0)</f>
        <v>0</v>
      </c>
      <c r="BB185" s="21" t="n">
        <f aca="false">IF(AE185="",0,IF(COUNTIF($AE$2:$AE$1001,AE185)&gt;1,1,0))</f>
        <v>0</v>
      </c>
      <c r="BC185" s="21" t="n">
        <f aca="false">IF(AND(H185="",I185&gt;تنظیمات!$B$12*60,AM185="خالی"),1,0)</f>
        <v>0</v>
      </c>
      <c r="BD185" s="21" t="n">
        <f aca="false">IF(AND(AP185="بله",I185&lt;تنظیمات!$B$14,AO185="خیر"),1,0)</f>
        <v>0</v>
      </c>
      <c r="BE185" s="21" t="n">
        <f aca="false">IF(AN185="خیر",1,0)</f>
        <v>0</v>
      </c>
      <c r="BF185" s="21" t="n">
        <f aca="false">IF(AND(AD185="فیش مفقودی",AQ185="بله",I185&gt;تنظیمات!$B$12*60),1,0)</f>
        <v>0</v>
      </c>
      <c r="BG185" s="21" t="n">
        <f aca="false">IF(AND(AK185&gt;تنظیمات!$B$11,AL185="بله"),1,0)</f>
        <v>0</v>
      </c>
      <c r="BH185" s="21" t="n">
        <f aca="false">MIN(100,AR185*تنظیمات!$B$21+AS185*تنظیمات!$B$22+AT185*تنظیمات!$B$23+AU185*تنظیمات!$B$24+AV185*تنظیمات!$B$25+AW185*تنظیمات!$B$26+AX185*تنظیمات!$B$27+AY185*تنظیمات!$B$28+AZ185*تنظیمات!$B$29+BA185*تنظیمات!$B$30+BB185*تنظیمات!$B$31+BC185*تنظیمات!$B$32+BD185*تنظیمات!$B$33+BE185*تنظیمات!$B$34+BF185*تنظیمات!$B$35+BG185*تنظیمات!$B$36)</f>
        <v>0</v>
      </c>
      <c r="BI185" s="16" t="str">
        <f aca="false">IF(BH185&gt;=60,"بحرانی",IF(BH185&gt;=30,"مشکوک",IF(BH185&gt;0,"هشدار","عادی")))</f>
        <v>عادی</v>
      </c>
      <c r="BJ185" s="16" t="s">
        <v>338</v>
      </c>
    </row>
    <row r="186" customFormat="false" ht="15" hidden="false" customHeight="false" outlineLevel="0" collapsed="false">
      <c r="A186" s="16" t="s">
        <v>1029</v>
      </c>
      <c r="B186" s="16" t="s">
        <v>1030</v>
      </c>
      <c r="C186" s="16"/>
      <c r="D186" s="16" t="s">
        <v>531</v>
      </c>
      <c r="E186" s="16" t="s">
        <v>345</v>
      </c>
      <c r="F186" s="16" t="s">
        <v>333</v>
      </c>
      <c r="G186" s="17" t="n">
        <v>46283.6217476852</v>
      </c>
      <c r="H186" s="17" t="n">
        <v>46283.6335532407</v>
      </c>
      <c r="I186" s="18" t="n">
        <f aca="false">IF(H186="",ROUND((تنظیمات!$B$7-G186)*1440,0),ROUND((H186-G186)*1440,0))</f>
        <v>17</v>
      </c>
      <c r="J186" s="16" t="s">
        <v>334</v>
      </c>
      <c r="K186" s="16" t="s">
        <v>400</v>
      </c>
      <c r="L186" s="19" t="n">
        <v>0.96</v>
      </c>
      <c r="M186" s="19" t="n">
        <v>0.945</v>
      </c>
      <c r="N186" s="16" t="s">
        <v>335</v>
      </c>
      <c r="O186" s="16" t="s">
        <v>650</v>
      </c>
      <c r="P186" s="16" t="s">
        <v>420</v>
      </c>
      <c r="Q186" s="20" t="n">
        <v>46283</v>
      </c>
      <c r="R186" s="16" t="s">
        <v>1031</v>
      </c>
      <c r="S186" s="16" t="s">
        <v>404</v>
      </c>
      <c r="T186" s="17"/>
      <c r="U186" s="21" t="n">
        <v>1</v>
      </c>
      <c r="V186" s="21" t="n">
        <v>1</v>
      </c>
      <c r="W186" s="22" t="n">
        <v>5.1</v>
      </c>
      <c r="X186" s="16" t="s">
        <v>335</v>
      </c>
      <c r="Y186" s="16" t="s">
        <v>338</v>
      </c>
      <c r="Z186" s="16" t="s">
        <v>413</v>
      </c>
      <c r="AA186" s="16" t="s">
        <v>427</v>
      </c>
      <c r="AB186" s="23" t="s">
        <v>1032</v>
      </c>
      <c r="AC186" s="17" t="n">
        <v>46283.6332407407</v>
      </c>
      <c r="AD186" s="16" t="s">
        <v>338</v>
      </c>
      <c r="AE186" s="16"/>
      <c r="AF186" s="16" t="str">
        <f aca="false">IF(COUNTIF(لیست_سفید!$A$2:$A$21,B186)&gt;0,"بله","خیر")</f>
        <v>خیر</v>
      </c>
      <c r="AG186" s="24" t="n">
        <f aca="false">IF(H186="","",IF(AD186="فیش مفقودی",تنظیمات!$B$6,(INT(I186/1440)*تنظیمات!$B$5+IF(MOD(I186,1440)&lt;=تنظیمات!$B$2,0,MIN(تنظیمات!$B$5,تنظیمات!$B$3+MAX(0,ROUNDUP((MOD(I186,1440)-60)/60,0))*تنظیمات!$B$4)))*INDEX(تعرفه!$B$2:$B$7,MATCH(AD186,تعرفه!$A$2:$A$7,0))))</f>
        <v>20000</v>
      </c>
      <c r="AH186" s="24" t="n">
        <v>20000</v>
      </c>
      <c r="AI186" s="24" t="n">
        <f aca="false">IF(AG186="","",AH186-AG186)</f>
        <v>0</v>
      </c>
      <c r="AJ186" s="21" t="n">
        <v>-1</v>
      </c>
      <c r="AK186" s="21" t="n">
        <v>0</v>
      </c>
      <c r="AL186" s="16" t="s">
        <v>335</v>
      </c>
      <c r="AM186" s="16"/>
      <c r="AN186" s="16" t="s">
        <v>340</v>
      </c>
      <c r="AO186" s="16" t="s">
        <v>340</v>
      </c>
      <c r="AP186" s="16" t="s">
        <v>335</v>
      </c>
      <c r="AQ186" s="16"/>
      <c r="AR186" s="21" t="n">
        <f aca="false">IF(AND(T186&lt;&gt;"",H186&lt;&gt;""),IF(AND((T186-H186)*86400&gt;=0,(T186-H186)*86400&lt;تنظیمات!$B$13),1,0),0)</f>
        <v>0</v>
      </c>
      <c r="AS186" s="21" t="n">
        <f aca="false">IF(Z186="پوز",IF(OR(AB186="",COUNTIF(پوزها!$A$2:$A$5,AA186)=0),1,0),0)</f>
        <v>0</v>
      </c>
      <c r="AT186" s="21" t="n">
        <f aca="false">IF(AI186="",0,IF(AI186&gt;0,1,0))</f>
        <v>0</v>
      </c>
      <c r="AU186" s="21" t="n">
        <f aca="false">IF(AI186="",0,IF(AI186&lt;0,1,0))</f>
        <v>0</v>
      </c>
      <c r="AV186" s="21" t="n">
        <f aca="false">IF(U186&gt;V186,1,0)</f>
        <v>0</v>
      </c>
      <c r="AW186" s="21" t="n">
        <f aca="false">IF(OR(W186&gt;تنظیمات!$B$8,X186="بله"),1,0)</f>
        <v>0</v>
      </c>
      <c r="AX186" s="21" t="n">
        <f aca="false">IF(AND(N186="بله",L186&gt;تنظیمات!$B$9),1,0)</f>
        <v>0</v>
      </c>
      <c r="AY186" s="21" t="n">
        <f aca="false">IF(Y186="معکوس",1,0)</f>
        <v>0</v>
      </c>
      <c r="AZ186" s="21" t="n">
        <f aca="false">IF(ABS(AJ186)&gt;تنظیمات!$B$10,1,0)</f>
        <v>0</v>
      </c>
      <c r="BA186" s="21" t="n">
        <f aca="false">IF(AND(OR(AD186="رایگان/VIP",AD186="جانباز"),AF186="خیر"),1,0)</f>
        <v>0</v>
      </c>
      <c r="BB186" s="21" t="n">
        <f aca="false">IF(AE186="",0,IF(COUNTIF($AE$2:$AE$1001,AE186)&gt;1,1,0))</f>
        <v>0</v>
      </c>
      <c r="BC186" s="21" t="n">
        <f aca="false">IF(AND(H186="",I186&gt;تنظیمات!$B$12*60,AM186="خالی"),1,0)</f>
        <v>0</v>
      </c>
      <c r="BD186" s="21" t="n">
        <f aca="false">IF(AND(AP186="بله",I186&lt;تنظیمات!$B$14,AO186="خیر"),1,0)</f>
        <v>0</v>
      </c>
      <c r="BE186" s="21" t="n">
        <f aca="false">IF(AN186="خیر",1,0)</f>
        <v>0</v>
      </c>
      <c r="BF186" s="21" t="n">
        <f aca="false">IF(AND(AD186="فیش مفقودی",AQ186="بله",I186&gt;تنظیمات!$B$12*60),1,0)</f>
        <v>0</v>
      </c>
      <c r="BG186" s="21" t="n">
        <f aca="false">IF(AND(AK186&gt;تنظیمات!$B$11,AL186="بله"),1,0)</f>
        <v>0</v>
      </c>
      <c r="BH186" s="21" t="n">
        <f aca="false">MIN(100,AR186*تنظیمات!$B$21+AS186*تنظیمات!$B$22+AT186*تنظیمات!$B$23+AU186*تنظیمات!$B$24+AV186*تنظیمات!$B$25+AW186*تنظیمات!$B$26+AX186*تنظیمات!$B$27+AY186*تنظیمات!$B$28+AZ186*تنظیمات!$B$29+BA186*تنظیمات!$B$30+BB186*تنظیمات!$B$31+BC186*تنظیمات!$B$32+BD186*تنظیمات!$B$33+BE186*تنظیمات!$B$34+BF186*تنظیمات!$B$35+BG186*تنظیمات!$B$36)</f>
        <v>0</v>
      </c>
      <c r="BI186" s="16" t="str">
        <f aca="false">IF(BH186&gt;=60,"بحرانی",IF(BH186&gt;=30,"مشکوک",IF(BH186&gt;0,"هشدار","عادی")))</f>
        <v>عادی</v>
      </c>
      <c r="BJ186" s="16" t="s">
        <v>338</v>
      </c>
    </row>
    <row r="187" customFormat="false" ht="15" hidden="false" customHeight="false" outlineLevel="0" collapsed="false">
      <c r="A187" s="16" t="s">
        <v>1033</v>
      </c>
      <c r="B187" s="16" t="s">
        <v>1034</v>
      </c>
      <c r="C187" s="16" t="s">
        <v>1035</v>
      </c>
      <c r="D187" s="16" t="s">
        <v>418</v>
      </c>
      <c r="E187" s="16" t="s">
        <v>390</v>
      </c>
      <c r="F187" s="16" t="s">
        <v>333</v>
      </c>
      <c r="G187" s="17" t="n">
        <v>46283.6261458333</v>
      </c>
      <c r="H187" s="17" t="n">
        <v>46283.6421180556</v>
      </c>
      <c r="I187" s="18" t="n">
        <f aca="false">IF(H187="",ROUND((تنظیمات!$B$7-G187)*1440,0),ROUND((H187-G187)*1440,0))</f>
        <v>23</v>
      </c>
      <c r="J187" s="16" t="s">
        <v>334</v>
      </c>
      <c r="K187" s="16" t="s">
        <v>410</v>
      </c>
      <c r="L187" s="19" t="n">
        <v>0.906</v>
      </c>
      <c r="M187" s="19" t="n">
        <v>0.919</v>
      </c>
      <c r="N187" s="16" t="s">
        <v>340</v>
      </c>
      <c r="O187" s="16" t="s">
        <v>666</v>
      </c>
      <c r="P187" s="16" t="s">
        <v>420</v>
      </c>
      <c r="Q187" s="20" t="n">
        <v>46283</v>
      </c>
      <c r="R187" s="16" t="s">
        <v>1036</v>
      </c>
      <c r="S187" s="16" t="s">
        <v>404</v>
      </c>
      <c r="T187" s="17"/>
      <c r="U187" s="21" t="n">
        <v>1</v>
      </c>
      <c r="V187" s="21" t="n">
        <v>1</v>
      </c>
      <c r="W187" s="22" t="n">
        <v>18.5</v>
      </c>
      <c r="X187" s="16" t="s">
        <v>335</v>
      </c>
      <c r="Y187" s="16" t="s">
        <v>338</v>
      </c>
      <c r="Z187" s="16" t="s">
        <v>405</v>
      </c>
      <c r="AA187" s="16"/>
      <c r="AB187" s="23"/>
      <c r="AC187" s="17"/>
      <c r="AD187" s="16" t="s">
        <v>338</v>
      </c>
      <c r="AE187" s="16"/>
      <c r="AF187" s="16" t="str">
        <f aca="false">IF(COUNTIF(لیست_سفید!$A$2:$A$21,B187)&gt;0,"بله","خیر")</f>
        <v>خیر</v>
      </c>
      <c r="AG187" s="24" t="n">
        <f aca="false">IF(H187="","",IF(AD187="فیش مفقودی",تنظیمات!$B$6,(INT(I187/1440)*تنظیمات!$B$5+IF(MOD(I187,1440)&lt;=تنظیمات!$B$2,0,MIN(تنظیمات!$B$5,تنظیمات!$B$3+MAX(0,ROUNDUP((MOD(I187,1440)-60)/60,0))*تنظیمات!$B$4)))*INDEX(تعرفه!$B$2:$B$7,MATCH(AD187,تعرفه!$A$2:$A$7,0))))</f>
        <v>20000</v>
      </c>
      <c r="AH187" s="24" t="n">
        <v>20000</v>
      </c>
      <c r="AI187" s="24" t="n">
        <f aca="false">IF(AG187="","",AH187-AG187)</f>
        <v>0</v>
      </c>
      <c r="AJ187" s="21" t="n">
        <v>1</v>
      </c>
      <c r="AK187" s="21" t="n">
        <v>0</v>
      </c>
      <c r="AL187" s="16" t="s">
        <v>335</v>
      </c>
      <c r="AM187" s="16"/>
      <c r="AN187" s="16" t="s">
        <v>340</v>
      </c>
      <c r="AO187" s="16" t="s">
        <v>340</v>
      </c>
      <c r="AP187" s="16" t="s">
        <v>335</v>
      </c>
      <c r="AQ187" s="16"/>
      <c r="AR187" s="21" t="n">
        <f aca="false">IF(AND(T187&lt;&gt;"",H187&lt;&gt;""),IF(AND((T187-H187)*86400&gt;=0,(T187-H187)*86400&lt;تنظیمات!$B$13),1,0),0)</f>
        <v>0</v>
      </c>
      <c r="AS187" s="21" t="n">
        <f aca="false">IF(Z187="پوز",IF(OR(AB187="",COUNTIF(پوزها!$A$2:$A$5,AA187)=0),1,0),0)</f>
        <v>0</v>
      </c>
      <c r="AT187" s="21" t="n">
        <f aca="false">IF(AI187="",0,IF(AI187&gt;0,1,0))</f>
        <v>0</v>
      </c>
      <c r="AU187" s="21" t="n">
        <f aca="false">IF(AI187="",0,IF(AI187&lt;0,1,0))</f>
        <v>0</v>
      </c>
      <c r="AV187" s="21" t="n">
        <f aca="false">IF(U187&gt;V187,1,0)</f>
        <v>0</v>
      </c>
      <c r="AW187" s="21" t="n">
        <f aca="false">IF(OR(W187&gt;تنظیمات!$B$8,X187="بله"),1,0)</f>
        <v>1</v>
      </c>
      <c r="AX187" s="21" t="n">
        <f aca="false">IF(AND(N187="بله",L187&gt;تنظیمات!$B$9),1,0)</f>
        <v>1</v>
      </c>
      <c r="AY187" s="21" t="n">
        <f aca="false">IF(Y187="معکوس",1,0)</f>
        <v>0</v>
      </c>
      <c r="AZ187" s="21" t="n">
        <f aca="false">IF(ABS(AJ187)&gt;تنظیمات!$B$10,1,0)</f>
        <v>0</v>
      </c>
      <c r="BA187" s="21" t="n">
        <f aca="false">IF(AND(OR(AD187="رایگان/VIP",AD187="جانباز"),AF187="خیر"),1,0)</f>
        <v>0</v>
      </c>
      <c r="BB187" s="21" t="n">
        <f aca="false">IF(AE187="",0,IF(COUNTIF($AE$2:$AE$1001,AE187)&gt;1,1,0))</f>
        <v>0</v>
      </c>
      <c r="BC187" s="21" t="n">
        <f aca="false">IF(AND(H187="",I187&gt;تنظیمات!$B$12*60,AM187="خالی"),1,0)</f>
        <v>0</v>
      </c>
      <c r="BD187" s="21" t="n">
        <f aca="false">IF(AND(AP187="بله",I187&lt;تنظیمات!$B$14,AO187="خیر"),1,0)</f>
        <v>0</v>
      </c>
      <c r="BE187" s="21" t="n">
        <f aca="false">IF(AN187="خیر",1,0)</f>
        <v>0</v>
      </c>
      <c r="BF187" s="21" t="n">
        <f aca="false">IF(AND(AD187="فیش مفقودی",AQ187="بله",I187&gt;تنظیمات!$B$12*60),1,0)</f>
        <v>0</v>
      </c>
      <c r="BG187" s="21" t="n">
        <f aca="false">IF(AND(AK187&gt;تنظیمات!$B$11,AL187="بله"),1,0)</f>
        <v>0</v>
      </c>
      <c r="BH187" s="21" t="n">
        <f aca="false">MIN(100,AR187*تنظیمات!$B$21+AS187*تنظیمات!$B$22+AT187*تنظیمات!$B$23+AU187*تنظیمات!$B$24+AV187*تنظیمات!$B$25+AW187*تنظیمات!$B$26+AX187*تنظیمات!$B$27+AY187*تنظیمات!$B$28+AZ187*تنظیمات!$B$29+BA187*تنظیمات!$B$30+BB187*تنظیمات!$B$31+BC187*تنظیمات!$B$32+BD187*تنظیمات!$B$33+BE187*تنظیمات!$B$34+BF187*تنظیمات!$B$35+BG187*تنظیمات!$B$36)</f>
        <v>55</v>
      </c>
      <c r="BI187" s="16" t="str">
        <f aca="false">IF(BH187&gt;=60,"بحرانی",IF(BH187&gt;=30,"مشکوک",IF(BH187&gt;0,"هشدار","عادی")))</f>
        <v>مشکوک</v>
      </c>
      <c r="BJ187" s="16" t="s">
        <v>700</v>
      </c>
    </row>
    <row r="188" customFormat="false" ht="15" hidden="false" customHeight="false" outlineLevel="0" collapsed="false">
      <c r="A188" s="16" t="s">
        <v>1037</v>
      </c>
      <c r="B188" s="16" t="s">
        <v>1038</v>
      </c>
      <c r="C188" s="16"/>
      <c r="D188" s="16" t="s">
        <v>431</v>
      </c>
      <c r="E188" s="16" t="s">
        <v>375</v>
      </c>
      <c r="F188" s="16" t="s">
        <v>333</v>
      </c>
      <c r="G188" s="17" t="n">
        <v>46283.6266319445</v>
      </c>
      <c r="H188" s="17" t="n">
        <v>46283.6655208333</v>
      </c>
      <c r="I188" s="18" t="n">
        <f aca="false">IF(H188="",ROUND((تنظیمات!$B$7-G188)*1440,0),ROUND((H188-G188)*1440,0))</f>
        <v>56</v>
      </c>
      <c r="J188" s="16" t="s">
        <v>346</v>
      </c>
      <c r="K188" s="16" t="s">
        <v>410</v>
      </c>
      <c r="L188" s="19" t="n">
        <v>0.921</v>
      </c>
      <c r="M188" s="19" t="n">
        <v>0.945</v>
      </c>
      <c r="N188" s="16" t="s">
        <v>335</v>
      </c>
      <c r="O188" s="16" t="s">
        <v>666</v>
      </c>
      <c r="P188" s="16" t="s">
        <v>420</v>
      </c>
      <c r="Q188" s="20" t="n">
        <v>46283</v>
      </c>
      <c r="R188" s="16" t="s">
        <v>1039</v>
      </c>
      <c r="S188" s="16" t="s">
        <v>404</v>
      </c>
      <c r="T188" s="17"/>
      <c r="U188" s="21" t="n">
        <v>1</v>
      </c>
      <c r="V188" s="21" t="n">
        <v>1</v>
      </c>
      <c r="W188" s="22" t="n">
        <v>4.4</v>
      </c>
      <c r="X188" s="16" t="s">
        <v>335</v>
      </c>
      <c r="Y188" s="16" t="s">
        <v>338</v>
      </c>
      <c r="Z188" s="16" t="s">
        <v>413</v>
      </c>
      <c r="AA188" s="16" t="s">
        <v>414</v>
      </c>
      <c r="AB188" s="23" t="s">
        <v>1040</v>
      </c>
      <c r="AC188" s="17" t="n">
        <v>46283.664537037</v>
      </c>
      <c r="AD188" s="16" t="s">
        <v>338</v>
      </c>
      <c r="AE188" s="16"/>
      <c r="AF188" s="16" t="str">
        <f aca="false">IF(COUNTIF(لیست_سفید!$A$2:$A$21,B188)&gt;0,"بله","خیر")</f>
        <v>خیر</v>
      </c>
      <c r="AG188" s="24" t="n">
        <f aca="false">IF(H188="","",IF(AD188="فیش مفقودی",تنظیمات!$B$6,(INT(I188/1440)*تنظیمات!$B$5+IF(MOD(I188,1440)&lt;=تنظیمات!$B$2,0,MIN(تنظیمات!$B$5,تنظیمات!$B$3+MAX(0,ROUNDUP((MOD(I188,1440)-60)/60,0))*تنظیمات!$B$4)))*INDEX(تعرفه!$B$2:$B$7,MATCH(AD188,تعرفه!$A$2:$A$7,0))))</f>
        <v>20000</v>
      </c>
      <c r="AH188" s="24" t="n">
        <v>20000</v>
      </c>
      <c r="AI188" s="24" t="n">
        <f aca="false">IF(AG188="","",AH188-AG188)</f>
        <v>0</v>
      </c>
      <c r="AJ188" s="21" t="n">
        <v>-4</v>
      </c>
      <c r="AK188" s="21" t="n">
        <v>0</v>
      </c>
      <c r="AL188" s="16" t="s">
        <v>335</v>
      </c>
      <c r="AM188" s="16"/>
      <c r="AN188" s="16" t="s">
        <v>340</v>
      </c>
      <c r="AO188" s="16" t="s">
        <v>340</v>
      </c>
      <c r="AP188" s="16" t="s">
        <v>335</v>
      </c>
      <c r="AQ188" s="16"/>
      <c r="AR188" s="21" t="n">
        <f aca="false">IF(AND(T188&lt;&gt;"",H188&lt;&gt;""),IF(AND((T188-H188)*86400&gt;=0,(T188-H188)*86400&lt;تنظیمات!$B$13),1,0),0)</f>
        <v>0</v>
      </c>
      <c r="AS188" s="21" t="n">
        <f aca="false">IF(Z188="پوز",IF(OR(AB188="",COUNTIF(پوزها!$A$2:$A$5,AA188)=0),1,0),0)</f>
        <v>0</v>
      </c>
      <c r="AT188" s="21" t="n">
        <f aca="false">IF(AI188="",0,IF(AI188&gt;0,1,0))</f>
        <v>0</v>
      </c>
      <c r="AU188" s="21" t="n">
        <f aca="false">IF(AI188="",0,IF(AI188&lt;0,1,0))</f>
        <v>0</v>
      </c>
      <c r="AV188" s="21" t="n">
        <f aca="false">IF(U188&gt;V188,1,0)</f>
        <v>0</v>
      </c>
      <c r="AW188" s="21" t="n">
        <f aca="false">IF(OR(W188&gt;تنظیمات!$B$8,X188="بله"),1,0)</f>
        <v>0</v>
      </c>
      <c r="AX188" s="21" t="n">
        <f aca="false">IF(AND(N188="بله",L188&gt;تنظیمات!$B$9),1,0)</f>
        <v>0</v>
      </c>
      <c r="AY188" s="21" t="n">
        <f aca="false">IF(Y188="معکوس",1,0)</f>
        <v>0</v>
      </c>
      <c r="AZ188" s="21" t="n">
        <f aca="false">IF(ABS(AJ188)&gt;تنظیمات!$B$10,1,0)</f>
        <v>0</v>
      </c>
      <c r="BA188" s="21" t="n">
        <f aca="false">IF(AND(OR(AD188="رایگان/VIP",AD188="جانباز"),AF188="خیر"),1,0)</f>
        <v>0</v>
      </c>
      <c r="BB188" s="21" t="n">
        <f aca="false">IF(AE188="",0,IF(COUNTIF($AE$2:$AE$1001,AE188)&gt;1,1,0))</f>
        <v>0</v>
      </c>
      <c r="BC188" s="21" t="n">
        <f aca="false">IF(AND(H188="",I188&gt;تنظیمات!$B$12*60,AM188="خالی"),1,0)</f>
        <v>0</v>
      </c>
      <c r="BD188" s="21" t="n">
        <f aca="false">IF(AND(AP188="بله",I188&lt;تنظیمات!$B$14,AO188="خیر"),1,0)</f>
        <v>0</v>
      </c>
      <c r="BE188" s="21" t="n">
        <f aca="false">IF(AN188="خیر",1,0)</f>
        <v>0</v>
      </c>
      <c r="BF188" s="21" t="n">
        <f aca="false">IF(AND(AD188="فیش مفقودی",AQ188="بله",I188&gt;تنظیمات!$B$12*60),1,0)</f>
        <v>0</v>
      </c>
      <c r="BG188" s="21" t="n">
        <f aca="false">IF(AND(AK188&gt;تنظیمات!$B$11,AL188="بله"),1,0)</f>
        <v>0</v>
      </c>
      <c r="BH188" s="21" t="n">
        <f aca="false">MIN(100,AR188*تنظیمات!$B$21+AS188*تنظیمات!$B$22+AT188*تنظیمات!$B$23+AU188*تنظیمات!$B$24+AV188*تنظیمات!$B$25+AW188*تنظیمات!$B$26+AX188*تنظیمات!$B$27+AY188*تنظیمات!$B$28+AZ188*تنظیمات!$B$29+BA188*تنظیمات!$B$30+BB188*تنظیمات!$B$31+BC188*تنظیمات!$B$32+BD188*تنظیمات!$B$33+BE188*تنظیمات!$B$34+BF188*تنظیمات!$B$35+BG188*تنظیمات!$B$36)</f>
        <v>0</v>
      </c>
      <c r="BI188" s="16" t="str">
        <f aca="false">IF(BH188&gt;=60,"بحرانی",IF(BH188&gt;=30,"مشکوک",IF(BH188&gt;0,"هشدار","عادی")))</f>
        <v>عادی</v>
      </c>
      <c r="BJ188" s="16" t="s">
        <v>338</v>
      </c>
    </row>
    <row r="189" customFormat="false" ht="15" hidden="false" customHeight="false" outlineLevel="0" collapsed="false">
      <c r="A189" s="16" t="s">
        <v>1041</v>
      </c>
      <c r="B189" s="16" t="s">
        <v>1042</v>
      </c>
      <c r="C189" s="16"/>
      <c r="D189" s="16" t="s">
        <v>350</v>
      </c>
      <c r="E189" s="16" t="s">
        <v>351</v>
      </c>
      <c r="F189" s="16" t="s">
        <v>333</v>
      </c>
      <c r="G189" s="17" t="n">
        <v>46283.6351967593</v>
      </c>
      <c r="H189" s="17" t="n">
        <v>46283.7435300926</v>
      </c>
      <c r="I189" s="18" t="n">
        <f aca="false">IF(H189="",ROUND((تنظیمات!$B$7-G189)*1440,0),ROUND((H189-G189)*1440,0))</f>
        <v>156</v>
      </c>
      <c r="J189" s="16" t="s">
        <v>334</v>
      </c>
      <c r="K189" s="16" t="s">
        <v>400</v>
      </c>
      <c r="L189" s="19" t="n">
        <v>0.992</v>
      </c>
      <c r="M189" s="19" t="n">
        <v>0.916</v>
      </c>
      <c r="N189" s="16" t="s">
        <v>335</v>
      </c>
      <c r="O189" s="16" t="s">
        <v>650</v>
      </c>
      <c r="P189" s="16" t="s">
        <v>420</v>
      </c>
      <c r="Q189" s="20" t="n">
        <v>46283</v>
      </c>
      <c r="R189" s="16" t="s">
        <v>1043</v>
      </c>
      <c r="S189" s="16" t="s">
        <v>404</v>
      </c>
      <c r="T189" s="17"/>
      <c r="U189" s="21" t="n">
        <v>1</v>
      </c>
      <c r="V189" s="21" t="n">
        <v>1</v>
      </c>
      <c r="W189" s="22" t="n">
        <v>5.4</v>
      </c>
      <c r="X189" s="16" t="s">
        <v>335</v>
      </c>
      <c r="Y189" s="16" t="s">
        <v>338</v>
      </c>
      <c r="Z189" s="16" t="s">
        <v>405</v>
      </c>
      <c r="AA189" s="16"/>
      <c r="AB189" s="23"/>
      <c r="AC189" s="17"/>
      <c r="AD189" s="16" t="s">
        <v>338</v>
      </c>
      <c r="AE189" s="16"/>
      <c r="AF189" s="16" t="str">
        <f aca="false">IF(COUNTIF(لیست_سفید!$A$2:$A$21,B189)&gt;0,"بله","خیر")</f>
        <v>خیر</v>
      </c>
      <c r="AG189" s="24" t="n">
        <f aca="false">IF(H189="","",IF(AD189="فیش مفقودی",تنظیمات!$B$6,(INT(I189/1440)*تنظیمات!$B$5+IF(MOD(I189,1440)&lt;=تنظیمات!$B$2,0,MIN(تنظیمات!$B$5,تنظیمات!$B$3+MAX(0,ROUNDUP((MOD(I189,1440)-60)/60,0))*تنظیمات!$B$4)))*INDEX(تعرفه!$B$2:$B$7,MATCH(AD189,تعرفه!$A$2:$A$7,0))))</f>
        <v>48000</v>
      </c>
      <c r="AH189" s="24" t="n">
        <v>48000</v>
      </c>
      <c r="AI189" s="24" t="n">
        <f aca="false">IF(AG189="","",AH189-AG189)</f>
        <v>0</v>
      </c>
      <c r="AJ189" s="21" t="n">
        <v>1</v>
      </c>
      <c r="AK189" s="21" t="n">
        <v>0</v>
      </c>
      <c r="AL189" s="16" t="s">
        <v>335</v>
      </c>
      <c r="AM189" s="16"/>
      <c r="AN189" s="16" t="s">
        <v>340</v>
      </c>
      <c r="AO189" s="16" t="s">
        <v>340</v>
      </c>
      <c r="AP189" s="16" t="s">
        <v>335</v>
      </c>
      <c r="AQ189" s="16"/>
      <c r="AR189" s="21" t="n">
        <f aca="false">IF(AND(T189&lt;&gt;"",H189&lt;&gt;""),IF(AND((T189-H189)*86400&gt;=0,(T189-H189)*86400&lt;تنظیمات!$B$13),1,0),0)</f>
        <v>0</v>
      </c>
      <c r="AS189" s="21" t="n">
        <f aca="false">IF(Z189="پوز",IF(OR(AB189="",COUNTIF(پوزها!$A$2:$A$5,AA189)=0),1,0),0)</f>
        <v>0</v>
      </c>
      <c r="AT189" s="21" t="n">
        <f aca="false">IF(AI189="",0,IF(AI189&gt;0,1,0))</f>
        <v>0</v>
      </c>
      <c r="AU189" s="21" t="n">
        <f aca="false">IF(AI189="",0,IF(AI189&lt;0,1,0))</f>
        <v>0</v>
      </c>
      <c r="AV189" s="21" t="n">
        <f aca="false">IF(U189&gt;V189,1,0)</f>
        <v>0</v>
      </c>
      <c r="AW189" s="21" t="n">
        <f aca="false">IF(OR(W189&gt;تنظیمات!$B$8,X189="بله"),1,0)</f>
        <v>0</v>
      </c>
      <c r="AX189" s="21" t="n">
        <f aca="false">IF(AND(N189="بله",L189&gt;تنظیمات!$B$9),1,0)</f>
        <v>0</v>
      </c>
      <c r="AY189" s="21" t="n">
        <f aca="false">IF(Y189="معکوس",1,0)</f>
        <v>0</v>
      </c>
      <c r="AZ189" s="21" t="n">
        <f aca="false">IF(ABS(AJ189)&gt;تنظیمات!$B$10,1,0)</f>
        <v>0</v>
      </c>
      <c r="BA189" s="21" t="n">
        <f aca="false">IF(AND(OR(AD189="رایگان/VIP",AD189="جانباز"),AF189="خیر"),1,0)</f>
        <v>0</v>
      </c>
      <c r="BB189" s="21" t="n">
        <f aca="false">IF(AE189="",0,IF(COUNTIF($AE$2:$AE$1001,AE189)&gt;1,1,0))</f>
        <v>0</v>
      </c>
      <c r="BC189" s="21" t="n">
        <f aca="false">IF(AND(H189="",I189&gt;تنظیمات!$B$12*60,AM189="خالی"),1,0)</f>
        <v>0</v>
      </c>
      <c r="BD189" s="21" t="n">
        <f aca="false">IF(AND(AP189="بله",I189&lt;تنظیمات!$B$14,AO189="خیر"),1,0)</f>
        <v>0</v>
      </c>
      <c r="BE189" s="21" t="n">
        <f aca="false">IF(AN189="خیر",1,0)</f>
        <v>0</v>
      </c>
      <c r="BF189" s="21" t="n">
        <f aca="false">IF(AND(AD189="فیش مفقودی",AQ189="بله",I189&gt;تنظیمات!$B$12*60),1,0)</f>
        <v>0</v>
      </c>
      <c r="BG189" s="21" t="n">
        <f aca="false">IF(AND(AK189&gt;تنظیمات!$B$11,AL189="بله"),1,0)</f>
        <v>0</v>
      </c>
      <c r="BH189" s="21" t="n">
        <f aca="false">MIN(100,AR189*تنظیمات!$B$21+AS189*تنظیمات!$B$22+AT189*تنظیمات!$B$23+AU189*تنظیمات!$B$24+AV189*تنظیمات!$B$25+AW189*تنظیمات!$B$26+AX189*تنظیمات!$B$27+AY189*تنظیمات!$B$28+AZ189*تنظیمات!$B$29+BA189*تنظیمات!$B$30+BB189*تنظیمات!$B$31+BC189*تنظیمات!$B$32+BD189*تنظیمات!$B$33+BE189*تنظیمات!$B$34+BF189*تنظیمات!$B$35+BG189*تنظیمات!$B$36)</f>
        <v>0</v>
      </c>
      <c r="BI189" s="16" t="str">
        <f aca="false">IF(BH189&gt;=60,"بحرانی",IF(BH189&gt;=30,"مشکوک",IF(BH189&gt;0,"هشدار","عادی")))</f>
        <v>عادی</v>
      </c>
      <c r="BJ189" s="16" t="s">
        <v>338</v>
      </c>
    </row>
    <row r="190" customFormat="false" ht="15" hidden="false" customHeight="false" outlineLevel="0" collapsed="false">
      <c r="A190" s="16" t="s">
        <v>1044</v>
      </c>
      <c r="B190" s="16" t="s">
        <v>1045</v>
      </c>
      <c r="C190" s="16"/>
      <c r="D190" s="16" t="s">
        <v>418</v>
      </c>
      <c r="E190" s="16" t="s">
        <v>345</v>
      </c>
      <c r="F190" s="16" t="s">
        <v>333</v>
      </c>
      <c r="G190" s="17" t="n">
        <v>46283.6454513889</v>
      </c>
      <c r="H190" s="17" t="n">
        <v>46283.7468402778</v>
      </c>
      <c r="I190" s="18" t="n">
        <f aca="false">IF(H190="",ROUND((تنظیمات!$B$7-G190)*1440,0),ROUND((H190-G190)*1440,0))</f>
        <v>146</v>
      </c>
      <c r="J190" s="16" t="s">
        <v>346</v>
      </c>
      <c r="K190" s="16" t="s">
        <v>410</v>
      </c>
      <c r="L190" s="19" t="n">
        <v>0.995</v>
      </c>
      <c r="M190" s="19" t="n">
        <v>0.947</v>
      </c>
      <c r="N190" s="16" t="s">
        <v>335</v>
      </c>
      <c r="O190" s="16" t="s">
        <v>666</v>
      </c>
      <c r="P190" s="16" t="s">
        <v>420</v>
      </c>
      <c r="Q190" s="20" t="n">
        <v>46283</v>
      </c>
      <c r="R190" s="16" t="s">
        <v>1046</v>
      </c>
      <c r="S190" s="16" t="s">
        <v>404</v>
      </c>
      <c r="T190" s="17"/>
      <c r="U190" s="21" t="n">
        <v>1</v>
      </c>
      <c r="V190" s="21" t="n">
        <v>1</v>
      </c>
      <c r="W190" s="22" t="n">
        <v>6.4</v>
      </c>
      <c r="X190" s="16" t="s">
        <v>335</v>
      </c>
      <c r="Y190" s="16" t="s">
        <v>338</v>
      </c>
      <c r="Z190" s="16" t="s">
        <v>413</v>
      </c>
      <c r="AA190" s="16" t="s">
        <v>414</v>
      </c>
      <c r="AB190" s="23" t="s">
        <v>1047</v>
      </c>
      <c r="AC190" s="17" t="n">
        <v>46283.7457986111</v>
      </c>
      <c r="AD190" s="16" t="s">
        <v>338</v>
      </c>
      <c r="AE190" s="16"/>
      <c r="AF190" s="16" t="str">
        <f aca="false">IF(COUNTIF(لیست_سفید!$A$2:$A$21,B190)&gt;0,"بله","خیر")</f>
        <v>خیر</v>
      </c>
      <c r="AG190" s="24" t="n">
        <f aca="false">IF(H190="","",IF(AD190="فیش مفقودی",تنظیمات!$B$6,(INT(I190/1440)*تنظیمات!$B$5+IF(MOD(I190,1440)&lt;=تنظیمات!$B$2,0,MIN(تنظیمات!$B$5,تنظیمات!$B$3+MAX(0,ROUNDUP((MOD(I190,1440)-60)/60,0))*تنظیمات!$B$4)))*INDEX(تعرفه!$B$2:$B$7,MATCH(AD190,تعرفه!$A$2:$A$7,0))))</f>
        <v>48000</v>
      </c>
      <c r="AH190" s="24" t="n">
        <v>48000</v>
      </c>
      <c r="AI190" s="24" t="n">
        <f aca="false">IF(AG190="","",AH190-AG190)</f>
        <v>0</v>
      </c>
      <c r="AJ190" s="21" t="n">
        <v>-1</v>
      </c>
      <c r="AK190" s="21" t="n">
        <v>0</v>
      </c>
      <c r="AL190" s="16" t="s">
        <v>335</v>
      </c>
      <c r="AM190" s="16"/>
      <c r="AN190" s="16" t="s">
        <v>340</v>
      </c>
      <c r="AO190" s="16" t="s">
        <v>340</v>
      </c>
      <c r="AP190" s="16" t="s">
        <v>335</v>
      </c>
      <c r="AQ190" s="16"/>
      <c r="AR190" s="21" t="n">
        <f aca="false">IF(AND(T190&lt;&gt;"",H190&lt;&gt;""),IF(AND((T190-H190)*86400&gt;=0,(T190-H190)*86400&lt;تنظیمات!$B$13),1,0),0)</f>
        <v>0</v>
      </c>
      <c r="AS190" s="21" t="n">
        <f aca="false">IF(Z190="پوز",IF(OR(AB190="",COUNTIF(پوزها!$A$2:$A$5,AA190)=0),1,0),0)</f>
        <v>0</v>
      </c>
      <c r="AT190" s="21" t="n">
        <f aca="false">IF(AI190="",0,IF(AI190&gt;0,1,0))</f>
        <v>0</v>
      </c>
      <c r="AU190" s="21" t="n">
        <f aca="false">IF(AI190="",0,IF(AI190&lt;0,1,0))</f>
        <v>0</v>
      </c>
      <c r="AV190" s="21" t="n">
        <f aca="false">IF(U190&gt;V190,1,0)</f>
        <v>0</v>
      </c>
      <c r="AW190" s="21" t="n">
        <f aca="false">IF(OR(W190&gt;تنظیمات!$B$8,X190="بله"),1,0)</f>
        <v>0</v>
      </c>
      <c r="AX190" s="21" t="n">
        <f aca="false">IF(AND(N190="بله",L190&gt;تنظیمات!$B$9),1,0)</f>
        <v>0</v>
      </c>
      <c r="AY190" s="21" t="n">
        <f aca="false">IF(Y190="معکوس",1,0)</f>
        <v>0</v>
      </c>
      <c r="AZ190" s="21" t="n">
        <f aca="false">IF(ABS(AJ190)&gt;تنظیمات!$B$10,1,0)</f>
        <v>0</v>
      </c>
      <c r="BA190" s="21" t="n">
        <f aca="false">IF(AND(OR(AD190="رایگان/VIP",AD190="جانباز"),AF190="خیر"),1,0)</f>
        <v>0</v>
      </c>
      <c r="BB190" s="21" t="n">
        <f aca="false">IF(AE190="",0,IF(COUNTIF($AE$2:$AE$1001,AE190)&gt;1,1,0))</f>
        <v>0</v>
      </c>
      <c r="BC190" s="21" t="n">
        <f aca="false">IF(AND(H190="",I190&gt;تنظیمات!$B$12*60,AM190="خالی"),1,0)</f>
        <v>0</v>
      </c>
      <c r="BD190" s="21" t="n">
        <f aca="false">IF(AND(AP190="بله",I190&lt;تنظیمات!$B$14,AO190="خیر"),1,0)</f>
        <v>0</v>
      </c>
      <c r="BE190" s="21" t="n">
        <f aca="false">IF(AN190="خیر",1,0)</f>
        <v>0</v>
      </c>
      <c r="BF190" s="21" t="n">
        <f aca="false">IF(AND(AD190="فیش مفقودی",AQ190="بله",I190&gt;تنظیمات!$B$12*60),1,0)</f>
        <v>0</v>
      </c>
      <c r="BG190" s="21" t="n">
        <f aca="false">IF(AND(AK190&gt;تنظیمات!$B$11,AL190="بله"),1,0)</f>
        <v>0</v>
      </c>
      <c r="BH190" s="21" t="n">
        <f aca="false">MIN(100,AR190*تنظیمات!$B$21+AS190*تنظیمات!$B$22+AT190*تنظیمات!$B$23+AU190*تنظیمات!$B$24+AV190*تنظیمات!$B$25+AW190*تنظیمات!$B$26+AX190*تنظیمات!$B$27+AY190*تنظیمات!$B$28+AZ190*تنظیمات!$B$29+BA190*تنظیمات!$B$30+BB190*تنظیمات!$B$31+BC190*تنظیمات!$B$32+BD190*تنظیمات!$B$33+BE190*تنظیمات!$B$34+BF190*تنظیمات!$B$35+BG190*تنظیمات!$B$36)</f>
        <v>0</v>
      </c>
      <c r="BI190" s="16" t="str">
        <f aca="false">IF(BH190&gt;=60,"بحرانی",IF(BH190&gt;=30,"مشکوک",IF(BH190&gt;0,"هشدار","عادی")))</f>
        <v>عادی</v>
      </c>
      <c r="BJ190" s="16" t="s">
        <v>338</v>
      </c>
    </row>
    <row r="191" customFormat="false" ht="15" hidden="false" customHeight="false" outlineLevel="0" collapsed="false">
      <c r="A191" s="16" t="s">
        <v>1048</v>
      </c>
      <c r="B191" s="16" t="s">
        <v>714</v>
      </c>
      <c r="C191" s="16"/>
      <c r="D191" s="16" t="s">
        <v>386</v>
      </c>
      <c r="E191" s="16" t="s">
        <v>351</v>
      </c>
      <c r="F191" s="16" t="s">
        <v>333</v>
      </c>
      <c r="G191" s="17" t="n">
        <v>46283.6496759259</v>
      </c>
      <c r="H191" s="17" t="n">
        <v>46283.6996759259</v>
      </c>
      <c r="I191" s="18" t="n">
        <f aca="false">IF(H191="",ROUND((تنظیمات!$B$7-G191)*1440,0),ROUND((H191-G191)*1440,0))</f>
        <v>72</v>
      </c>
      <c r="J191" s="16" t="s">
        <v>334</v>
      </c>
      <c r="K191" s="16" t="s">
        <v>410</v>
      </c>
      <c r="L191" s="19" t="n">
        <v>0.98</v>
      </c>
      <c r="M191" s="19" t="n">
        <v>0.916</v>
      </c>
      <c r="N191" s="16" t="s">
        <v>335</v>
      </c>
      <c r="O191" s="16" t="s">
        <v>666</v>
      </c>
      <c r="P191" s="16" t="s">
        <v>420</v>
      </c>
      <c r="Q191" s="20" t="n">
        <v>46283</v>
      </c>
      <c r="R191" s="16" t="s">
        <v>1049</v>
      </c>
      <c r="S191" s="16" t="s">
        <v>404</v>
      </c>
      <c r="T191" s="17"/>
      <c r="U191" s="21" t="n">
        <v>1</v>
      </c>
      <c r="V191" s="21" t="n">
        <v>1</v>
      </c>
      <c r="W191" s="22" t="n">
        <v>4</v>
      </c>
      <c r="X191" s="16" t="s">
        <v>335</v>
      </c>
      <c r="Y191" s="16" t="s">
        <v>338</v>
      </c>
      <c r="Z191" s="16" t="s">
        <v>413</v>
      </c>
      <c r="AA191" s="16" t="s">
        <v>414</v>
      </c>
      <c r="AB191" s="23" t="s">
        <v>1050</v>
      </c>
      <c r="AC191" s="17" t="n">
        <v>46283.699212963</v>
      </c>
      <c r="AD191" s="16" t="s">
        <v>338</v>
      </c>
      <c r="AE191" s="16"/>
      <c r="AF191" s="16" t="str">
        <f aca="false">IF(COUNTIF(لیست_سفید!$A$2:$A$21,B191)&gt;0,"بله","خیر")</f>
        <v>خیر</v>
      </c>
      <c r="AG191" s="24" t="n">
        <f aca="false">IF(H191="","",IF(AD191="فیش مفقودی",تنظیمات!$B$6,(INT(I191/1440)*تنظیمات!$B$5+IF(MOD(I191,1440)&lt;=تنظیمات!$B$2,0,MIN(تنظیمات!$B$5,تنظیمات!$B$3+MAX(0,ROUNDUP((MOD(I191,1440)-60)/60,0))*تنظیمات!$B$4)))*INDEX(تعرفه!$B$2:$B$7,MATCH(AD191,تعرفه!$A$2:$A$7,0))))</f>
        <v>34000</v>
      </c>
      <c r="AH191" s="24" t="n">
        <v>34000</v>
      </c>
      <c r="AI191" s="24" t="n">
        <f aca="false">IF(AG191="","",AH191-AG191)</f>
        <v>0</v>
      </c>
      <c r="AJ191" s="21" t="n">
        <v>6</v>
      </c>
      <c r="AK191" s="21" t="n">
        <v>0</v>
      </c>
      <c r="AL191" s="16" t="s">
        <v>335</v>
      </c>
      <c r="AM191" s="16"/>
      <c r="AN191" s="16" t="s">
        <v>340</v>
      </c>
      <c r="AO191" s="16" t="s">
        <v>340</v>
      </c>
      <c r="AP191" s="16" t="s">
        <v>335</v>
      </c>
      <c r="AQ191" s="16"/>
      <c r="AR191" s="21" t="n">
        <f aca="false">IF(AND(T191&lt;&gt;"",H191&lt;&gt;""),IF(AND((T191-H191)*86400&gt;=0,(T191-H191)*86400&lt;تنظیمات!$B$13),1,0),0)</f>
        <v>0</v>
      </c>
      <c r="AS191" s="21" t="n">
        <f aca="false">IF(Z191="پوز",IF(OR(AB191="",COUNTIF(پوزها!$A$2:$A$5,AA191)=0),1,0),0)</f>
        <v>0</v>
      </c>
      <c r="AT191" s="21" t="n">
        <f aca="false">IF(AI191="",0,IF(AI191&gt;0,1,0))</f>
        <v>0</v>
      </c>
      <c r="AU191" s="21" t="n">
        <f aca="false">IF(AI191="",0,IF(AI191&lt;0,1,0))</f>
        <v>0</v>
      </c>
      <c r="AV191" s="21" t="n">
        <f aca="false">IF(U191&gt;V191,1,0)</f>
        <v>0</v>
      </c>
      <c r="AW191" s="21" t="n">
        <f aca="false">IF(OR(W191&gt;تنظیمات!$B$8,X191="بله"),1,0)</f>
        <v>0</v>
      </c>
      <c r="AX191" s="21" t="n">
        <f aca="false">IF(AND(N191="بله",L191&gt;تنظیمات!$B$9),1,0)</f>
        <v>0</v>
      </c>
      <c r="AY191" s="21" t="n">
        <f aca="false">IF(Y191="معکوس",1,0)</f>
        <v>0</v>
      </c>
      <c r="AZ191" s="21" t="n">
        <f aca="false">IF(ABS(AJ191)&gt;تنظیمات!$B$10,1,0)</f>
        <v>0</v>
      </c>
      <c r="BA191" s="21" t="n">
        <f aca="false">IF(AND(OR(AD191="رایگان/VIP",AD191="جانباز"),AF191="خیر"),1,0)</f>
        <v>0</v>
      </c>
      <c r="BB191" s="21" t="n">
        <f aca="false">IF(AE191="",0,IF(COUNTIF($AE$2:$AE$1001,AE191)&gt;1,1,0))</f>
        <v>0</v>
      </c>
      <c r="BC191" s="21" t="n">
        <f aca="false">IF(AND(H191="",I191&gt;تنظیمات!$B$12*60,AM191="خالی"),1,0)</f>
        <v>0</v>
      </c>
      <c r="BD191" s="21" t="n">
        <f aca="false">IF(AND(AP191="بله",I191&lt;تنظیمات!$B$14,AO191="خیر"),1,0)</f>
        <v>0</v>
      </c>
      <c r="BE191" s="21" t="n">
        <f aca="false">IF(AN191="خیر",1,0)</f>
        <v>0</v>
      </c>
      <c r="BF191" s="21" t="n">
        <f aca="false">IF(AND(AD191="فیش مفقودی",AQ191="بله",I191&gt;تنظیمات!$B$12*60),1,0)</f>
        <v>0</v>
      </c>
      <c r="BG191" s="21" t="n">
        <f aca="false">IF(AND(AK191&gt;تنظیمات!$B$11,AL191="بله"),1,0)</f>
        <v>0</v>
      </c>
      <c r="BH191" s="21" t="n">
        <f aca="false">MIN(100,AR191*تنظیمات!$B$21+AS191*تنظیمات!$B$22+AT191*تنظیمات!$B$23+AU191*تنظیمات!$B$24+AV191*تنظیمات!$B$25+AW191*تنظیمات!$B$26+AX191*تنظیمات!$B$27+AY191*تنظیمات!$B$28+AZ191*تنظیمات!$B$29+BA191*تنظیمات!$B$30+BB191*تنظیمات!$B$31+BC191*تنظیمات!$B$32+BD191*تنظیمات!$B$33+BE191*تنظیمات!$B$34+BF191*تنظیمات!$B$35+BG191*تنظیمات!$B$36)</f>
        <v>0</v>
      </c>
      <c r="BI191" s="16" t="str">
        <f aca="false">IF(BH191&gt;=60,"بحرانی",IF(BH191&gt;=30,"مشکوک",IF(BH191&gt;0,"هشدار","عادی")))</f>
        <v>عادی</v>
      </c>
      <c r="BJ191" s="16" t="s">
        <v>338</v>
      </c>
    </row>
    <row r="192" customFormat="false" ht="15" hidden="false" customHeight="false" outlineLevel="0" collapsed="false">
      <c r="A192" s="16" t="s">
        <v>1051</v>
      </c>
      <c r="B192" s="16" t="s">
        <v>663</v>
      </c>
      <c r="C192" s="16"/>
      <c r="D192" s="16" t="s">
        <v>350</v>
      </c>
      <c r="E192" s="16" t="s">
        <v>332</v>
      </c>
      <c r="F192" s="16" t="s">
        <v>333</v>
      </c>
      <c r="G192" s="17" t="n">
        <v>46283.673912037</v>
      </c>
      <c r="H192" s="17" t="n">
        <v>46283.6794675926</v>
      </c>
      <c r="I192" s="18" t="n">
        <f aca="false">IF(H192="",ROUND((تنظیمات!$B$7-G192)*1440,0),ROUND((H192-G192)*1440,0))</f>
        <v>8</v>
      </c>
      <c r="J192" s="16" t="s">
        <v>334</v>
      </c>
      <c r="K192" s="16" t="s">
        <v>400</v>
      </c>
      <c r="L192" s="19" t="n">
        <v>0.958</v>
      </c>
      <c r="M192" s="19" t="n">
        <v>0.983</v>
      </c>
      <c r="N192" s="16" t="s">
        <v>335</v>
      </c>
      <c r="O192" s="16" t="s">
        <v>650</v>
      </c>
      <c r="P192" s="16" t="s">
        <v>420</v>
      </c>
      <c r="Q192" s="20" t="n">
        <v>46283</v>
      </c>
      <c r="R192" s="16" t="s">
        <v>1052</v>
      </c>
      <c r="S192" s="16" t="s">
        <v>404</v>
      </c>
      <c r="T192" s="17"/>
      <c r="U192" s="21" t="n">
        <v>1</v>
      </c>
      <c r="V192" s="21" t="n">
        <v>1</v>
      </c>
      <c r="W192" s="22" t="n">
        <v>3.5</v>
      </c>
      <c r="X192" s="16" t="s">
        <v>335</v>
      </c>
      <c r="Y192" s="16" t="s">
        <v>338</v>
      </c>
      <c r="Z192" s="16" t="s">
        <v>628</v>
      </c>
      <c r="AA192" s="16"/>
      <c r="AB192" s="23"/>
      <c r="AC192" s="17"/>
      <c r="AD192" s="16" t="s">
        <v>338</v>
      </c>
      <c r="AE192" s="16"/>
      <c r="AF192" s="16" t="str">
        <f aca="false">IF(COUNTIF(لیست_سفید!$A$2:$A$21,B192)&gt;0,"بله","خیر")</f>
        <v>خیر</v>
      </c>
      <c r="AG192" s="24" t="n">
        <f aca="false">IF(H192="","",IF(AD192="فیش مفقودی",تنظیمات!$B$6,(INT(I192/1440)*تنظیمات!$B$5+IF(MOD(I192,1440)&lt;=تنظیمات!$B$2,0,MIN(تنظیمات!$B$5,تنظیمات!$B$3+MAX(0,ROUNDUP((MOD(I192,1440)-60)/60,0))*تنظیمات!$B$4)))*INDEX(تعرفه!$B$2:$B$7,MATCH(AD192,تعرفه!$A$2:$A$7,0))))</f>
        <v>0</v>
      </c>
      <c r="AH192" s="24" t="n">
        <v>0</v>
      </c>
      <c r="AI192" s="24" t="n">
        <f aca="false">IF(AG192="","",AH192-AG192)</f>
        <v>0</v>
      </c>
      <c r="AJ192" s="21" t="n">
        <v>-3</v>
      </c>
      <c r="AK192" s="21" t="n">
        <v>0</v>
      </c>
      <c r="AL192" s="16" t="s">
        <v>335</v>
      </c>
      <c r="AM192" s="16"/>
      <c r="AN192" s="16" t="s">
        <v>340</v>
      </c>
      <c r="AO192" s="16" t="s">
        <v>340</v>
      </c>
      <c r="AP192" s="16" t="s">
        <v>335</v>
      </c>
      <c r="AQ192" s="16"/>
      <c r="AR192" s="21" t="n">
        <f aca="false">IF(AND(T192&lt;&gt;"",H192&lt;&gt;""),IF(AND((T192-H192)*86400&gt;=0,(T192-H192)*86400&lt;تنظیمات!$B$13),1,0),0)</f>
        <v>0</v>
      </c>
      <c r="AS192" s="21" t="n">
        <f aca="false">IF(Z192="پوز",IF(OR(AB192="",COUNTIF(پوزها!$A$2:$A$5,AA192)=0),1,0),0)</f>
        <v>0</v>
      </c>
      <c r="AT192" s="21" t="n">
        <f aca="false">IF(AI192="",0,IF(AI192&gt;0,1,0))</f>
        <v>0</v>
      </c>
      <c r="AU192" s="21" t="n">
        <f aca="false">IF(AI192="",0,IF(AI192&lt;0,1,0))</f>
        <v>0</v>
      </c>
      <c r="AV192" s="21" t="n">
        <f aca="false">IF(U192&gt;V192,1,0)</f>
        <v>0</v>
      </c>
      <c r="AW192" s="21" t="n">
        <f aca="false">IF(OR(W192&gt;تنظیمات!$B$8,X192="بله"),1,0)</f>
        <v>0</v>
      </c>
      <c r="AX192" s="21" t="n">
        <f aca="false">IF(AND(N192="بله",L192&gt;تنظیمات!$B$9),1,0)</f>
        <v>0</v>
      </c>
      <c r="AY192" s="21" t="n">
        <f aca="false">IF(Y192="معکوس",1,0)</f>
        <v>0</v>
      </c>
      <c r="AZ192" s="21" t="n">
        <f aca="false">IF(ABS(AJ192)&gt;تنظیمات!$B$10,1,0)</f>
        <v>0</v>
      </c>
      <c r="BA192" s="21" t="n">
        <f aca="false">IF(AND(OR(AD192="رایگان/VIP",AD192="جانباز"),AF192="خیر"),1,0)</f>
        <v>0</v>
      </c>
      <c r="BB192" s="21" t="n">
        <f aca="false">IF(AE192="",0,IF(COUNTIF($AE$2:$AE$1001,AE192)&gt;1,1,0))</f>
        <v>0</v>
      </c>
      <c r="BC192" s="21" t="n">
        <f aca="false">IF(AND(H192="",I192&gt;تنظیمات!$B$12*60,AM192="خالی"),1,0)</f>
        <v>0</v>
      </c>
      <c r="BD192" s="21" t="n">
        <f aca="false">IF(AND(AP192="بله",I192&lt;تنظیمات!$B$14,AO192="خیر"),1,0)</f>
        <v>0</v>
      </c>
      <c r="BE192" s="21" t="n">
        <f aca="false">IF(AN192="خیر",1,0)</f>
        <v>0</v>
      </c>
      <c r="BF192" s="21" t="n">
        <f aca="false">IF(AND(AD192="فیش مفقودی",AQ192="بله",I192&gt;تنظیمات!$B$12*60),1,0)</f>
        <v>0</v>
      </c>
      <c r="BG192" s="21" t="n">
        <f aca="false">IF(AND(AK192&gt;تنظیمات!$B$11,AL192="بله"),1,0)</f>
        <v>0</v>
      </c>
      <c r="BH192" s="21" t="n">
        <f aca="false">MIN(100,AR192*تنظیمات!$B$21+AS192*تنظیمات!$B$22+AT192*تنظیمات!$B$23+AU192*تنظیمات!$B$24+AV192*تنظیمات!$B$25+AW192*تنظیمات!$B$26+AX192*تنظیمات!$B$27+AY192*تنظیمات!$B$28+AZ192*تنظیمات!$B$29+BA192*تنظیمات!$B$30+BB192*تنظیمات!$B$31+BC192*تنظیمات!$B$32+BD192*تنظیمات!$B$33+BE192*تنظیمات!$B$34+BF192*تنظیمات!$B$35+BG192*تنظیمات!$B$36)</f>
        <v>0</v>
      </c>
      <c r="BI192" s="16" t="str">
        <f aca="false">IF(BH192&gt;=60,"بحرانی",IF(BH192&gt;=30,"مشکوک",IF(BH192&gt;0,"هشدار","عادی")))</f>
        <v>عادی</v>
      </c>
      <c r="BJ192" s="16" t="s">
        <v>338</v>
      </c>
    </row>
    <row r="193" customFormat="false" ht="15" hidden="false" customHeight="false" outlineLevel="0" collapsed="false">
      <c r="A193" s="16" t="s">
        <v>1053</v>
      </c>
      <c r="B193" s="16" t="s">
        <v>697</v>
      </c>
      <c r="C193" s="16"/>
      <c r="D193" s="16" t="s">
        <v>531</v>
      </c>
      <c r="E193" s="16" t="s">
        <v>345</v>
      </c>
      <c r="F193" s="16" t="s">
        <v>333</v>
      </c>
      <c r="G193" s="17" t="n">
        <v>46283.684224537</v>
      </c>
      <c r="H193" s="17" t="n">
        <v>46283.6995023148</v>
      </c>
      <c r="I193" s="18" t="n">
        <f aca="false">IF(H193="",ROUND((تنظیمات!$B$7-G193)*1440,0),ROUND((H193-G193)*1440,0))</f>
        <v>22</v>
      </c>
      <c r="J193" s="16" t="s">
        <v>346</v>
      </c>
      <c r="K193" s="16" t="s">
        <v>410</v>
      </c>
      <c r="L193" s="19" t="n">
        <v>0.967</v>
      </c>
      <c r="M193" s="19" t="n">
        <v>0.95</v>
      </c>
      <c r="N193" s="16" t="s">
        <v>335</v>
      </c>
      <c r="O193" s="16" t="s">
        <v>666</v>
      </c>
      <c r="P193" s="16" t="s">
        <v>420</v>
      </c>
      <c r="Q193" s="20" t="n">
        <v>46283</v>
      </c>
      <c r="R193" s="16" t="s">
        <v>1054</v>
      </c>
      <c r="S193" s="16" t="s">
        <v>404</v>
      </c>
      <c r="T193" s="17"/>
      <c r="U193" s="21" t="n">
        <v>3</v>
      </c>
      <c r="V193" s="21" t="n">
        <v>1</v>
      </c>
      <c r="W193" s="22" t="n">
        <v>12.6</v>
      </c>
      <c r="X193" s="16" t="s">
        <v>335</v>
      </c>
      <c r="Y193" s="16" t="s">
        <v>338</v>
      </c>
      <c r="Z193" s="16" t="s">
        <v>405</v>
      </c>
      <c r="AA193" s="16"/>
      <c r="AB193" s="23"/>
      <c r="AC193" s="17"/>
      <c r="AD193" s="16" t="s">
        <v>338</v>
      </c>
      <c r="AE193" s="16"/>
      <c r="AF193" s="16" t="str">
        <f aca="false">IF(COUNTIF(لیست_سفید!$A$2:$A$21,B193)&gt;0,"بله","خیر")</f>
        <v>خیر</v>
      </c>
      <c r="AG193" s="24" t="n">
        <f aca="false">IF(H193="","",IF(AD193="فیش مفقودی",تنظیمات!$B$6,(INT(I193/1440)*تنظیمات!$B$5+IF(MOD(I193,1440)&lt;=تنظیمات!$B$2,0,MIN(تنظیمات!$B$5,تنظیمات!$B$3+MAX(0,ROUNDUP((MOD(I193,1440)-60)/60,0))*تنظیمات!$B$4)))*INDEX(تعرفه!$B$2:$B$7,MATCH(AD193,تعرفه!$A$2:$A$7,0))))</f>
        <v>20000</v>
      </c>
      <c r="AH193" s="24" t="n">
        <v>20000</v>
      </c>
      <c r="AI193" s="24" t="n">
        <f aca="false">IF(AG193="","",AH193-AG193)</f>
        <v>0</v>
      </c>
      <c r="AJ193" s="21" t="n">
        <v>0</v>
      </c>
      <c r="AK193" s="21" t="n">
        <v>0</v>
      </c>
      <c r="AL193" s="16" t="s">
        <v>335</v>
      </c>
      <c r="AM193" s="16"/>
      <c r="AN193" s="16" t="s">
        <v>340</v>
      </c>
      <c r="AO193" s="16" t="s">
        <v>340</v>
      </c>
      <c r="AP193" s="16" t="s">
        <v>335</v>
      </c>
      <c r="AQ193" s="16"/>
      <c r="AR193" s="21" t="n">
        <f aca="false">IF(AND(T193&lt;&gt;"",H193&lt;&gt;""),IF(AND((T193-H193)*86400&gt;=0,(T193-H193)*86400&lt;تنظیمات!$B$13),1,0),0)</f>
        <v>0</v>
      </c>
      <c r="AS193" s="21" t="n">
        <f aca="false">IF(Z193="پوز",IF(OR(AB193="",COUNTIF(پوزها!$A$2:$A$5,AA193)=0),1,0),0)</f>
        <v>0</v>
      </c>
      <c r="AT193" s="21" t="n">
        <f aca="false">IF(AI193="",0,IF(AI193&gt;0,1,0))</f>
        <v>0</v>
      </c>
      <c r="AU193" s="21" t="n">
        <f aca="false">IF(AI193="",0,IF(AI193&lt;0,1,0))</f>
        <v>0</v>
      </c>
      <c r="AV193" s="21" t="n">
        <f aca="false">IF(U193&gt;V193,1,0)</f>
        <v>1</v>
      </c>
      <c r="AW193" s="21" t="n">
        <f aca="false">IF(OR(W193&gt;تنظیمات!$B$8,X193="بله"),1,0)</f>
        <v>1</v>
      </c>
      <c r="AX193" s="21" t="n">
        <f aca="false">IF(AND(N193="بله",L193&gt;تنظیمات!$B$9),1,0)</f>
        <v>0</v>
      </c>
      <c r="AY193" s="21" t="n">
        <f aca="false">IF(Y193="معکوس",1,0)</f>
        <v>0</v>
      </c>
      <c r="AZ193" s="21" t="n">
        <f aca="false">IF(ABS(AJ193)&gt;تنظیمات!$B$10,1,0)</f>
        <v>0</v>
      </c>
      <c r="BA193" s="21" t="n">
        <f aca="false">IF(AND(OR(AD193="رایگان/VIP",AD193="جانباز"),AF193="خیر"),1,0)</f>
        <v>0</v>
      </c>
      <c r="BB193" s="21" t="n">
        <f aca="false">IF(AE193="",0,IF(COUNTIF($AE$2:$AE$1001,AE193)&gt;1,1,0))</f>
        <v>0</v>
      </c>
      <c r="BC193" s="21" t="n">
        <f aca="false">IF(AND(H193="",I193&gt;تنظیمات!$B$12*60,AM193="خالی"),1,0)</f>
        <v>0</v>
      </c>
      <c r="BD193" s="21" t="n">
        <f aca="false">IF(AND(AP193="بله",I193&lt;تنظیمات!$B$14,AO193="خیر"),1,0)</f>
        <v>0</v>
      </c>
      <c r="BE193" s="21" t="n">
        <f aca="false">IF(AN193="خیر",1,0)</f>
        <v>0</v>
      </c>
      <c r="BF193" s="21" t="n">
        <f aca="false">IF(AND(AD193="فیش مفقودی",AQ193="بله",I193&gt;تنظیمات!$B$12*60),1,0)</f>
        <v>0</v>
      </c>
      <c r="BG193" s="21" t="n">
        <f aca="false">IF(AND(AK193&gt;تنظیمات!$B$11,AL193="بله"),1,0)</f>
        <v>0</v>
      </c>
      <c r="BH193" s="21" t="n">
        <f aca="false">MIN(100,AR193*تنظیمات!$B$21+AS193*تنظیمات!$B$22+AT193*تنظیمات!$B$23+AU193*تنظیمات!$B$24+AV193*تنظیمات!$B$25+AW193*تنظیمات!$B$26+AX193*تنظیمات!$B$27+AY193*تنظیمات!$B$28+AZ193*تنظیمات!$B$29+BA193*تنظیمات!$B$30+BB193*تنظیمات!$B$31+BC193*تنظیمات!$B$32+BD193*تنظیمات!$B$33+BE193*تنظیمات!$B$34+BF193*تنظیمات!$B$35+BG193*تنظیمات!$B$36)</f>
        <v>55</v>
      </c>
      <c r="BI193" s="16" t="str">
        <f aca="false">IF(BH193&gt;=60,"بحرانی",IF(BH193&gt;=30,"مشکوک",IF(BH193&gt;0,"هشدار","عادی")))</f>
        <v>مشکوک</v>
      </c>
      <c r="BJ193" s="16" t="s">
        <v>516</v>
      </c>
    </row>
    <row r="194" customFormat="false" ht="15" hidden="false" customHeight="false" outlineLevel="0" collapsed="false">
      <c r="A194" s="16" t="s">
        <v>1055</v>
      </c>
      <c r="B194" s="16" t="s">
        <v>1056</v>
      </c>
      <c r="C194" s="16"/>
      <c r="D194" s="16" t="s">
        <v>531</v>
      </c>
      <c r="E194" s="16" t="s">
        <v>390</v>
      </c>
      <c r="F194" s="16" t="s">
        <v>333</v>
      </c>
      <c r="G194" s="17" t="n">
        <v>46283.6845486111</v>
      </c>
      <c r="H194" s="17" t="n">
        <v>46286.6873263889</v>
      </c>
      <c r="I194" s="18" t="n">
        <f aca="false">IF(H194="",ROUND((تنظیمات!$B$7-G194)*1440,0),ROUND((H194-G194)*1440,0))</f>
        <v>4324</v>
      </c>
      <c r="J194" s="16" t="s">
        <v>346</v>
      </c>
      <c r="K194" s="16" t="s">
        <v>410</v>
      </c>
      <c r="L194" s="19" t="n">
        <v>0.938</v>
      </c>
      <c r="M194" s="19" t="n">
        <v>0.925</v>
      </c>
      <c r="N194" s="16" t="s">
        <v>335</v>
      </c>
      <c r="O194" s="16" t="s">
        <v>650</v>
      </c>
      <c r="P194" s="16" t="s">
        <v>420</v>
      </c>
      <c r="Q194" s="20" t="n">
        <v>46286</v>
      </c>
      <c r="R194" s="16" t="s">
        <v>1057</v>
      </c>
      <c r="S194" s="16" t="s">
        <v>404</v>
      </c>
      <c r="T194" s="17"/>
      <c r="U194" s="21" t="n">
        <v>1</v>
      </c>
      <c r="V194" s="21" t="n">
        <v>1</v>
      </c>
      <c r="W194" s="22" t="n">
        <v>6.1</v>
      </c>
      <c r="X194" s="16" t="s">
        <v>335</v>
      </c>
      <c r="Y194" s="16" t="s">
        <v>338</v>
      </c>
      <c r="Z194" s="16" t="s">
        <v>405</v>
      </c>
      <c r="AA194" s="16"/>
      <c r="AB194" s="23"/>
      <c r="AC194" s="17"/>
      <c r="AD194" s="16" t="s">
        <v>406</v>
      </c>
      <c r="AE194" s="16"/>
      <c r="AF194" s="16" t="str">
        <f aca="false">IF(COUNTIF(لیست_سفید!$A$2:$A$21,B194)&gt;0,"بله","خیر")</f>
        <v>خیر</v>
      </c>
      <c r="AG194" s="24" t="n">
        <f aca="false">IF(H194="","",IF(AD194="فیش مفقودی",تنظیمات!$B$6,(INT(I194/1440)*تنظیمات!$B$5+IF(MOD(I194,1440)&lt;=تنظیمات!$B$2,0,MIN(تنظیمات!$B$5,تنظیمات!$B$3+MAX(0,ROUNDUP((MOD(I194,1440)-60)/60,0))*تنظیمات!$B$4)))*INDEX(تعرفه!$B$2:$B$7,MATCH(AD194,تعرفه!$A$2:$A$7,0))))</f>
        <v>300000</v>
      </c>
      <c r="AH194" s="24" t="n">
        <v>300000</v>
      </c>
      <c r="AI194" s="24" t="n">
        <f aca="false">IF(AG194="","",AH194-AG194)</f>
        <v>0</v>
      </c>
      <c r="AJ194" s="21" t="n">
        <v>-1</v>
      </c>
      <c r="AK194" s="21" t="n">
        <v>0</v>
      </c>
      <c r="AL194" s="16" t="s">
        <v>335</v>
      </c>
      <c r="AM194" s="16"/>
      <c r="AN194" s="16" t="s">
        <v>340</v>
      </c>
      <c r="AO194" s="16" t="s">
        <v>340</v>
      </c>
      <c r="AP194" s="16" t="s">
        <v>335</v>
      </c>
      <c r="AQ194" s="16" t="s">
        <v>340</v>
      </c>
      <c r="AR194" s="21" t="n">
        <f aca="false">IF(AND(T194&lt;&gt;"",H194&lt;&gt;""),IF(AND((T194-H194)*86400&gt;=0,(T194-H194)*86400&lt;تنظیمات!$B$13),1,0),0)</f>
        <v>0</v>
      </c>
      <c r="AS194" s="21" t="n">
        <f aca="false">IF(Z194="پوز",IF(OR(AB194="",COUNTIF(پوزها!$A$2:$A$5,AA194)=0),1,0),0)</f>
        <v>0</v>
      </c>
      <c r="AT194" s="21" t="n">
        <f aca="false">IF(AI194="",0,IF(AI194&gt;0,1,0))</f>
        <v>0</v>
      </c>
      <c r="AU194" s="21" t="n">
        <f aca="false">IF(AI194="",0,IF(AI194&lt;0,1,0))</f>
        <v>0</v>
      </c>
      <c r="AV194" s="21" t="n">
        <f aca="false">IF(U194&gt;V194,1,0)</f>
        <v>0</v>
      </c>
      <c r="AW194" s="21" t="n">
        <f aca="false">IF(OR(W194&gt;تنظیمات!$B$8,X194="بله"),1,0)</f>
        <v>0</v>
      </c>
      <c r="AX194" s="21" t="n">
        <f aca="false">IF(AND(N194="بله",L194&gt;تنظیمات!$B$9),1,0)</f>
        <v>0</v>
      </c>
      <c r="AY194" s="21" t="n">
        <f aca="false">IF(Y194="معکوس",1,0)</f>
        <v>0</v>
      </c>
      <c r="AZ194" s="21" t="n">
        <f aca="false">IF(ABS(AJ194)&gt;تنظیمات!$B$10,1,0)</f>
        <v>0</v>
      </c>
      <c r="BA194" s="21" t="n">
        <f aca="false">IF(AND(OR(AD194="رایگان/VIP",AD194="جانباز"),AF194="خیر"),1,0)</f>
        <v>0</v>
      </c>
      <c r="BB194" s="21" t="n">
        <f aca="false">IF(AE194="",0,IF(COUNTIF($AE$2:$AE$1001,AE194)&gt;1,1,0))</f>
        <v>0</v>
      </c>
      <c r="BC194" s="21" t="n">
        <f aca="false">IF(AND(H194="",I194&gt;تنظیمات!$B$12*60,AM194="خالی"),1,0)</f>
        <v>0</v>
      </c>
      <c r="BD194" s="21" t="n">
        <f aca="false">IF(AND(AP194="بله",I194&lt;تنظیمات!$B$14,AO194="خیر"),1,0)</f>
        <v>0</v>
      </c>
      <c r="BE194" s="21" t="n">
        <f aca="false">IF(AN194="خیر",1,0)</f>
        <v>0</v>
      </c>
      <c r="BF194" s="21" t="n">
        <f aca="false">IF(AND(AD194="فیش مفقودی",AQ194="بله",I194&gt;تنظیمات!$B$12*60),1,0)</f>
        <v>1</v>
      </c>
      <c r="BG194" s="21" t="n">
        <f aca="false">IF(AND(AK194&gt;تنظیمات!$B$11,AL194="بله"),1,0)</f>
        <v>0</v>
      </c>
      <c r="BH194" s="21" t="n">
        <f aca="false">MIN(100,AR194*تنظیمات!$B$21+AS194*تنظیمات!$B$22+AT194*تنظیمات!$B$23+AU194*تنظیمات!$B$24+AV194*تنظیمات!$B$25+AW194*تنظیمات!$B$26+AX194*تنظیمات!$B$27+AY194*تنظیمات!$B$28+AZ194*تنظیمات!$B$29+BA194*تنظیمات!$B$30+BB194*تنظیمات!$B$31+BC194*تنظیمات!$B$32+BD194*تنظیمات!$B$33+BE194*تنظیمات!$B$34+BF194*تنظیمات!$B$35+BG194*تنظیمات!$B$36)</f>
        <v>30</v>
      </c>
      <c r="BI194" s="16" t="str">
        <f aca="false">IF(BH194&gt;=60,"بحرانی",IF(BH194&gt;=30,"مشکوک",IF(BH194&gt;0,"هشدار","عادی")))</f>
        <v>مشکوک</v>
      </c>
      <c r="BJ194" s="16" t="s">
        <v>407</v>
      </c>
    </row>
    <row r="195" customFormat="false" ht="15" hidden="false" customHeight="false" outlineLevel="0" collapsed="false">
      <c r="A195" s="16" t="s">
        <v>1058</v>
      </c>
      <c r="B195" s="16" t="s">
        <v>1059</v>
      </c>
      <c r="C195" s="16"/>
      <c r="D195" s="16" t="s">
        <v>540</v>
      </c>
      <c r="E195" s="16" t="s">
        <v>375</v>
      </c>
      <c r="F195" s="16" t="s">
        <v>359</v>
      </c>
      <c r="G195" s="17" t="n">
        <v>46283.6846875</v>
      </c>
      <c r="H195" s="17" t="n">
        <v>46283.8145486111</v>
      </c>
      <c r="I195" s="18" t="n">
        <f aca="false">IF(H195="",ROUND((تنظیمات!$B$7-G195)*1440,0),ROUND((H195-G195)*1440,0))</f>
        <v>187</v>
      </c>
      <c r="J195" s="16" t="s">
        <v>346</v>
      </c>
      <c r="K195" s="16" t="s">
        <v>400</v>
      </c>
      <c r="L195" s="19" t="n">
        <v>0.973</v>
      </c>
      <c r="M195" s="19" t="n">
        <v>0.992</v>
      </c>
      <c r="N195" s="16" t="s">
        <v>335</v>
      </c>
      <c r="O195" s="16" t="s">
        <v>650</v>
      </c>
      <c r="P195" s="16" t="s">
        <v>420</v>
      </c>
      <c r="Q195" s="20" t="n">
        <v>46283</v>
      </c>
      <c r="R195" s="16" t="s">
        <v>1060</v>
      </c>
      <c r="S195" s="16" t="s">
        <v>404</v>
      </c>
      <c r="T195" s="17"/>
      <c r="U195" s="21" t="n">
        <v>1</v>
      </c>
      <c r="V195" s="21" t="n">
        <v>1</v>
      </c>
      <c r="W195" s="22" t="n">
        <v>5.2</v>
      </c>
      <c r="X195" s="16" t="s">
        <v>335</v>
      </c>
      <c r="Y195" s="16" t="s">
        <v>338</v>
      </c>
      <c r="Z195" s="16" t="s">
        <v>413</v>
      </c>
      <c r="AA195" s="16" t="s">
        <v>427</v>
      </c>
      <c r="AB195" s="23" t="s">
        <v>1061</v>
      </c>
      <c r="AC195" s="17" t="n">
        <v>46283.8140509259</v>
      </c>
      <c r="AD195" s="16" t="s">
        <v>338</v>
      </c>
      <c r="AE195" s="16"/>
      <c r="AF195" s="16" t="str">
        <f aca="false">IF(COUNTIF(لیست_سفید!$A$2:$A$21,B195)&gt;0,"بله","خیر")</f>
        <v>خیر</v>
      </c>
      <c r="AG195" s="24" t="n">
        <f aca="false">IF(H195="","",IF(AD195="فیش مفقودی",تنظیمات!$B$6,(INT(I195/1440)*تنظیمات!$B$5+IF(MOD(I195,1440)&lt;=تنظیمات!$B$2,0,MIN(تنظیمات!$B$5,تنظیمات!$B$3+MAX(0,ROUNDUP((MOD(I195,1440)-60)/60,0))*تنظیمات!$B$4)))*INDEX(تعرفه!$B$2:$B$7,MATCH(AD195,تعرفه!$A$2:$A$7,0))))</f>
        <v>62000</v>
      </c>
      <c r="AH195" s="24" t="n">
        <v>62000</v>
      </c>
      <c r="AI195" s="24" t="n">
        <f aca="false">IF(AG195="","",AH195-AG195)</f>
        <v>0</v>
      </c>
      <c r="AJ195" s="21" t="n">
        <v>-4</v>
      </c>
      <c r="AK195" s="21" t="n">
        <v>0</v>
      </c>
      <c r="AL195" s="16" t="s">
        <v>335</v>
      </c>
      <c r="AM195" s="16"/>
      <c r="AN195" s="16" t="s">
        <v>340</v>
      </c>
      <c r="AO195" s="16" t="s">
        <v>340</v>
      </c>
      <c r="AP195" s="16" t="s">
        <v>335</v>
      </c>
      <c r="AQ195" s="16"/>
      <c r="AR195" s="21" t="n">
        <f aca="false">IF(AND(T195&lt;&gt;"",H195&lt;&gt;""),IF(AND((T195-H195)*86400&gt;=0,(T195-H195)*86400&lt;تنظیمات!$B$13),1,0),0)</f>
        <v>0</v>
      </c>
      <c r="AS195" s="21" t="n">
        <f aca="false">IF(Z195="پوز",IF(OR(AB195="",COUNTIF(پوزها!$A$2:$A$5,AA195)=0),1,0),0)</f>
        <v>0</v>
      </c>
      <c r="AT195" s="21" t="n">
        <f aca="false">IF(AI195="",0,IF(AI195&gt;0,1,0))</f>
        <v>0</v>
      </c>
      <c r="AU195" s="21" t="n">
        <f aca="false">IF(AI195="",0,IF(AI195&lt;0,1,0))</f>
        <v>0</v>
      </c>
      <c r="AV195" s="21" t="n">
        <f aca="false">IF(U195&gt;V195,1,0)</f>
        <v>0</v>
      </c>
      <c r="AW195" s="21" t="n">
        <f aca="false">IF(OR(W195&gt;تنظیمات!$B$8,X195="بله"),1,0)</f>
        <v>0</v>
      </c>
      <c r="AX195" s="21" t="n">
        <f aca="false">IF(AND(N195="بله",L195&gt;تنظیمات!$B$9),1,0)</f>
        <v>0</v>
      </c>
      <c r="AY195" s="21" t="n">
        <f aca="false">IF(Y195="معکوس",1,0)</f>
        <v>0</v>
      </c>
      <c r="AZ195" s="21" t="n">
        <f aca="false">IF(ABS(AJ195)&gt;تنظیمات!$B$10,1,0)</f>
        <v>0</v>
      </c>
      <c r="BA195" s="21" t="n">
        <f aca="false">IF(AND(OR(AD195="رایگان/VIP",AD195="جانباز"),AF195="خیر"),1,0)</f>
        <v>0</v>
      </c>
      <c r="BB195" s="21" t="n">
        <f aca="false">IF(AE195="",0,IF(COUNTIF($AE$2:$AE$1001,AE195)&gt;1,1,0))</f>
        <v>0</v>
      </c>
      <c r="BC195" s="21" t="n">
        <f aca="false">IF(AND(H195="",I195&gt;تنظیمات!$B$12*60,AM195="خالی"),1,0)</f>
        <v>0</v>
      </c>
      <c r="BD195" s="21" t="n">
        <f aca="false">IF(AND(AP195="بله",I195&lt;تنظیمات!$B$14,AO195="خیر"),1,0)</f>
        <v>0</v>
      </c>
      <c r="BE195" s="21" t="n">
        <f aca="false">IF(AN195="خیر",1,0)</f>
        <v>0</v>
      </c>
      <c r="BF195" s="21" t="n">
        <f aca="false">IF(AND(AD195="فیش مفقودی",AQ195="بله",I195&gt;تنظیمات!$B$12*60),1,0)</f>
        <v>0</v>
      </c>
      <c r="BG195" s="21" t="n">
        <f aca="false">IF(AND(AK195&gt;تنظیمات!$B$11,AL195="بله"),1,0)</f>
        <v>0</v>
      </c>
      <c r="BH195" s="21" t="n">
        <f aca="false">MIN(100,AR195*تنظیمات!$B$21+AS195*تنظیمات!$B$22+AT195*تنظیمات!$B$23+AU195*تنظیمات!$B$24+AV195*تنظیمات!$B$25+AW195*تنظیمات!$B$26+AX195*تنظیمات!$B$27+AY195*تنظیمات!$B$28+AZ195*تنظیمات!$B$29+BA195*تنظیمات!$B$30+BB195*تنظیمات!$B$31+BC195*تنظیمات!$B$32+BD195*تنظیمات!$B$33+BE195*تنظیمات!$B$34+BF195*تنظیمات!$B$35+BG195*تنظیمات!$B$36)</f>
        <v>0</v>
      </c>
      <c r="BI195" s="16" t="str">
        <f aca="false">IF(BH195&gt;=60,"بحرانی",IF(BH195&gt;=30,"مشکوک",IF(BH195&gt;0,"هشدار","عادی")))</f>
        <v>عادی</v>
      </c>
      <c r="BJ195" s="16" t="s">
        <v>338</v>
      </c>
    </row>
    <row r="196" customFormat="false" ht="15" hidden="false" customHeight="false" outlineLevel="0" collapsed="false">
      <c r="A196" s="16" t="s">
        <v>1062</v>
      </c>
      <c r="B196" s="16" t="s">
        <v>954</v>
      </c>
      <c r="C196" s="16"/>
      <c r="D196" s="16" t="s">
        <v>386</v>
      </c>
      <c r="E196" s="16" t="s">
        <v>345</v>
      </c>
      <c r="F196" s="16" t="s">
        <v>333</v>
      </c>
      <c r="G196" s="17" t="n">
        <v>46283.6951273148</v>
      </c>
      <c r="H196" s="17" t="n">
        <v>46283.698599537</v>
      </c>
      <c r="I196" s="18" t="n">
        <f aca="false">IF(H196="",ROUND((تنظیمات!$B$7-G196)*1440,0),ROUND((H196-G196)*1440,0))</f>
        <v>5</v>
      </c>
      <c r="J196" s="16" t="s">
        <v>346</v>
      </c>
      <c r="K196" s="16" t="s">
        <v>410</v>
      </c>
      <c r="L196" s="19" t="n">
        <v>0.903</v>
      </c>
      <c r="M196" s="19" t="n">
        <v>0.994</v>
      </c>
      <c r="N196" s="16" t="s">
        <v>335</v>
      </c>
      <c r="O196" s="16" t="s">
        <v>666</v>
      </c>
      <c r="P196" s="16" t="s">
        <v>420</v>
      </c>
      <c r="Q196" s="20" t="n">
        <v>46283</v>
      </c>
      <c r="R196" s="16" t="s">
        <v>1063</v>
      </c>
      <c r="S196" s="16" t="s">
        <v>404</v>
      </c>
      <c r="T196" s="17"/>
      <c r="U196" s="21" t="n">
        <v>1</v>
      </c>
      <c r="V196" s="21" t="n">
        <v>1</v>
      </c>
      <c r="W196" s="22" t="n">
        <v>7.1</v>
      </c>
      <c r="X196" s="16" t="s">
        <v>335</v>
      </c>
      <c r="Y196" s="16" t="s">
        <v>338</v>
      </c>
      <c r="Z196" s="16" t="s">
        <v>628</v>
      </c>
      <c r="AA196" s="16"/>
      <c r="AB196" s="23"/>
      <c r="AC196" s="17"/>
      <c r="AD196" s="16" t="s">
        <v>338</v>
      </c>
      <c r="AE196" s="16"/>
      <c r="AF196" s="16" t="str">
        <f aca="false">IF(COUNTIF(لیست_سفید!$A$2:$A$21,B196)&gt;0,"بله","خیر")</f>
        <v>خیر</v>
      </c>
      <c r="AG196" s="24" t="n">
        <f aca="false">IF(H196="","",IF(AD196="فیش مفقودی",تنظیمات!$B$6,(INT(I196/1440)*تنظیمات!$B$5+IF(MOD(I196,1440)&lt;=تنظیمات!$B$2,0,MIN(تنظیمات!$B$5,تنظیمات!$B$3+MAX(0,ROUNDUP((MOD(I196,1440)-60)/60,0))*تنظیمات!$B$4)))*INDEX(تعرفه!$B$2:$B$7,MATCH(AD196,تعرفه!$A$2:$A$7,0))))</f>
        <v>0</v>
      </c>
      <c r="AH196" s="24" t="n">
        <v>0</v>
      </c>
      <c r="AI196" s="24" t="n">
        <f aca="false">IF(AG196="","",AH196-AG196)</f>
        <v>0</v>
      </c>
      <c r="AJ196" s="21" t="n">
        <v>1</v>
      </c>
      <c r="AK196" s="21" t="n">
        <v>78</v>
      </c>
      <c r="AL196" s="16" t="s">
        <v>335</v>
      </c>
      <c r="AM196" s="16"/>
      <c r="AN196" s="16" t="s">
        <v>340</v>
      </c>
      <c r="AO196" s="16" t="s">
        <v>340</v>
      </c>
      <c r="AP196" s="16" t="s">
        <v>335</v>
      </c>
      <c r="AQ196" s="16"/>
      <c r="AR196" s="21" t="n">
        <f aca="false">IF(AND(T196&lt;&gt;"",H196&lt;&gt;""),IF(AND((T196-H196)*86400&gt;=0,(T196-H196)*86400&lt;تنظیمات!$B$13),1,0),0)</f>
        <v>0</v>
      </c>
      <c r="AS196" s="21" t="n">
        <f aca="false">IF(Z196="پوز",IF(OR(AB196="",COUNTIF(پوزها!$A$2:$A$5,AA196)=0),1,0),0)</f>
        <v>0</v>
      </c>
      <c r="AT196" s="21" t="n">
        <f aca="false">IF(AI196="",0,IF(AI196&gt;0,1,0))</f>
        <v>0</v>
      </c>
      <c r="AU196" s="21" t="n">
        <f aca="false">IF(AI196="",0,IF(AI196&lt;0,1,0))</f>
        <v>0</v>
      </c>
      <c r="AV196" s="21" t="n">
        <f aca="false">IF(U196&gt;V196,1,0)</f>
        <v>0</v>
      </c>
      <c r="AW196" s="21" t="n">
        <f aca="false">IF(OR(W196&gt;تنظیمات!$B$8,X196="بله"),1,0)</f>
        <v>0</v>
      </c>
      <c r="AX196" s="21" t="n">
        <f aca="false">IF(AND(N196="بله",L196&gt;تنظیمات!$B$9),1,0)</f>
        <v>0</v>
      </c>
      <c r="AY196" s="21" t="n">
        <f aca="false">IF(Y196="معکوس",1,0)</f>
        <v>0</v>
      </c>
      <c r="AZ196" s="21" t="n">
        <f aca="false">IF(ABS(AJ196)&gt;تنظیمات!$B$10,1,0)</f>
        <v>0</v>
      </c>
      <c r="BA196" s="21" t="n">
        <f aca="false">IF(AND(OR(AD196="رایگان/VIP",AD196="جانباز"),AF196="خیر"),1,0)</f>
        <v>0</v>
      </c>
      <c r="BB196" s="21" t="n">
        <f aca="false">IF(AE196="",0,IF(COUNTIF($AE$2:$AE$1001,AE196)&gt;1,1,0))</f>
        <v>0</v>
      </c>
      <c r="BC196" s="21" t="n">
        <f aca="false">IF(AND(H196="",I196&gt;تنظیمات!$B$12*60,AM196="خالی"),1,0)</f>
        <v>0</v>
      </c>
      <c r="BD196" s="21" t="n">
        <f aca="false">IF(AND(AP196="بله",I196&lt;تنظیمات!$B$14,AO196="خیر"),1,0)</f>
        <v>0</v>
      </c>
      <c r="BE196" s="21" t="n">
        <f aca="false">IF(AN196="خیر",1,0)</f>
        <v>0</v>
      </c>
      <c r="BF196" s="21" t="n">
        <f aca="false">IF(AND(AD196="فیش مفقودی",AQ196="بله",I196&gt;تنظیمات!$B$12*60),1,0)</f>
        <v>0</v>
      </c>
      <c r="BG196" s="21" t="n">
        <f aca="false">IF(AND(AK196&gt;تنظیمات!$B$11,AL196="بله"),1,0)</f>
        <v>0</v>
      </c>
      <c r="BH196" s="21" t="n">
        <f aca="false">MIN(100,AR196*تنظیمات!$B$21+AS196*تنظیمات!$B$22+AT196*تنظیمات!$B$23+AU196*تنظیمات!$B$24+AV196*تنظیمات!$B$25+AW196*تنظیمات!$B$26+AX196*تنظیمات!$B$27+AY196*تنظیمات!$B$28+AZ196*تنظیمات!$B$29+BA196*تنظیمات!$B$30+BB196*تنظیمات!$B$31+BC196*تنظیمات!$B$32+BD196*تنظیمات!$B$33+BE196*تنظیمات!$B$34+BF196*تنظیمات!$B$35+BG196*تنظیمات!$B$36)</f>
        <v>0</v>
      </c>
      <c r="BI196" s="16" t="str">
        <f aca="false">IF(BH196&gt;=60,"بحرانی",IF(BH196&gt;=30,"مشکوک",IF(BH196&gt;0,"هشدار","عادی")))</f>
        <v>عادی</v>
      </c>
      <c r="BJ196" s="16" t="s">
        <v>338</v>
      </c>
    </row>
    <row r="197" customFormat="false" ht="15" hidden="false" customHeight="false" outlineLevel="0" collapsed="false">
      <c r="A197" s="16" t="s">
        <v>1064</v>
      </c>
      <c r="B197" s="16" t="s">
        <v>1065</v>
      </c>
      <c r="C197" s="16"/>
      <c r="D197" s="16" t="s">
        <v>344</v>
      </c>
      <c r="E197" s="16" t="s">
        <v>345</v>
      </c>
      <c r="F197" s="16" t="s">
        <v>333</v>
      </c>
      <c r="G197" s="17" t="n">
        <v>46283.7037384259</v>
      </c>
      <c r="H197" s="17" t="n">
        <v>46283.7481828704</v>
      </c>
      <c r="I197" s="18" t="n">
        <f aca="false">IF(H197="",ROUND((تنظیمات!$B$7-G197)*1440,0),ROUND((H197-G197)*1440,0))</f>
        <v>64</v>
      </c>
      <c r="J197" s="16" t="s">
        <v>346</v>
      </c>
      <c r="K197" s="16" t="s">
        <v>400</v>
      </c>
      <c r="L197" s="19" t="n">
        <v>0.929</v>
      </c>
      <c r="M197" s="19" t="n">
        <v>0.942</v>
      </c>
      <c r="N197" s="16" t="s">
        <v>335</v>
      </c>
      <c r="O197" s="16" t="s">
        <v>650</v>
      </c>
      <c r="P197" s="16" t="s">
        <v>420</v>
      </c>
      <c r="Q197" s="20" t="n">
        <v>46283</v>
      </c>
      <c r="R197" s="16" t="s">
        <v>1066</v>
      </c>
      <c r="S197" s="16" t="s">
        <v>404</v>
      </c>
      <c r="T197" s="17"/>
      <c r="U197" s="21" t="n">
        <v>1</v>
      </c>
      <c r="V197" s="21" t="n">
        <v>1</v>
      </c>
      <c r="W197" s="22" t="n">
        <v>6.3</v>
      </c>
      <c r="X197" s="16" t="s">
        <v>335</v>
      </c>
      <c r="Y197" s="16" t="s">
        <v>338</v>
      </c>
      <c r="Z197" s="16" t="s">
        <v>413</v>
      </c>
      <c r="AA197" s="16" t="s">
        <v>427</v>
      </c>
      <c r="AB197" s="23" t="s">
        <v>1067</v>
      </c>
      <c r="AC197" s="17" t="n">
        <v>46283.7478472222</v>
      </c>
      <c r="AD197" s="16" t="s">
        <v>338</v>
      </c>
      <c r="AE197" s="16"/>
      <c r="AF197" s="16" t="str">
        <f aca="false">IF(COUNTIF(لیست_سفید!$A$2:$A$21,B197)&gt;0,"بله","خیر")</f>
        <v>خیر</v>
      </c>
      <c r="AG197" s="24" t="n">
        <f aca="false">IF(H197="","",IF(AD197="فیش مفقودی",تنظیمات!$B$6,(INT(I197/1440)*تنظیمات!$B$5+IF(MOD(I197,1440)&lt;=تنظیمات!$B$2,0,MIN(تنظیمات!$B$5,تنظیمات!$B$3+MAX(0,ROUNDUP((MOD(I197,1440)-60)/60,0))*تنظیمات!$B$4)))*INDEX(تعرفه!$B$2:$B$7,MATCH(AD197,تعرفه!$A$2:$A$7,0))))</f>
        <v>34000</v>
      </c>
      <c r="AH197" s="24" t="n">
        <v>34000</v>
      </c>
      <c r="AI197" s="24" t="n">
        <f aca="false">IF(AG197="","",AH197-AG197)</f>
        <v>0</v>
      </c>
      <c r="AJ197" s="21" t="n">
        <v>0</v>
      </c>
      <c r="AK197" s="21" t="n">
        <v>0</v>
      </c>
      <c r="AL197" s="16" t="s">
        <v>335</v>
      </c>
      <c r="AM197" s="16"/>
      <c r="AN197" s="16" t="s">
        <v>340</v>
      </c>
      <c r="AO197" s="16" t="s">
        <v>340</v>
      </c>
      <c r="AP197" s="16" t="s">
        <v>335</v>
      </c>
      <c r="AQ197" s="16"/>
      <c r="AR197" s="21" t="n">
        <f aca="false">IF(AND(T197&lt;&gt;"",H197&lt;&gt;""),IF(AND((T197-H197)*86400&gt;=0,(T197-H197)*86400&lt;تنظیمات!$B$13),1,0),0)</f>
        <v>0</v>
      </c>
      <c r="AS197" s="21" t="n">
        <f aca="false">IF(Z197="پوز",IF(OR(AB197="",COUNTIF(پوزها!$A$2:$A$5,AA197)=0),1,0),0)</f>
        <v>0</v>
      </c>
      <c r="AT197" s="21" t="n">
        <f aca="false">IF(AI197="",0,IF(AI197&gt;0,1,0))</f>
        <v>0</v>
      </c>
      <c r="AU197" s="21" t="n">
        <f aca="false">IF(AI197="",0,IF(AI197&lt;0,1,0))</f>
        <v>0</v>
      </c>
      <c r="AV197" s="21" t="n">
        <f aca="false">IF(U197&gt;V197,1,0)</f>
        <v>0</v>
      </c>
      <c r="AW197" s="21" t="n">
        <f aca="false">IF(OR(W197&gt;تنظیمات!$B$8,X197="بله"),1,0)</f>
        <v>0</v>
      </c>
      <c r="AX197" s="21" t="n">
        <f aca="false">IF(AND(N197="بله",L197&gt;تنظیمات!$B$9),1,0)</f>
        <v>0</v>
      </c>
      <c r="AY197" s="21" t="n">
        <f aca="false">IF(Y197="معکوس",1,0)</f>
        <v>0</v>
      </c>
      <c r="AZ197" s="21" t="n">
        <f aca="false">IF(ABS(AJ197)&gt;تنظیمات!$B$10,1,0)</f>
        <v>0</v>
      </c>
      <c r="BA197" s="21" t="n">
        <f aca="false">IF(AND(OR(AD197="رایگان/VIP",AD197="جانباز"),AF197="خیر"),1,0)</f>
        <v>0</v>
      </c>
      <c r="BB197" s="21" t="n">
        <f aca="false">IF(AE197="",0,IF(COUNTIF($AE$2:$AE$1001,AE197)&gt;1,1,0))</f>
        <v>0</v>
      </c>
      <c r="BC197" s="21" t="n">
        <f aca="false">IF(AND(H197="",I197&gt;تنظیمات!$B$12*60,AM197="خالی"),1,0)</f>
        <v>0</v>
      </c>
      <c r="BD197" s="21" t="n">
        <f aca="false">IF(AND(AP197="بله",I197&lt;تنظیمات!$B$14,AO197="خیر"),1,0)</f>
        <v>0</v>
      </c>
      <c r="BE197" s="21" t="n">
        <f aca="false">IF(AN197="خیر",1,0)</f>
        <v>0</v>
      </c>
      <c r="BF197" s="21" t="n">
        <f aca="false">IF(AND(AD197="فیش مفقودی",AQ197="بله",I197&gt;تنظیمات!$B$12*60),1,0)</f>
        <v>0</v>
      </c>
      <c r="BG197" s="21" t="n">
        <f aca="false">IF(AND(AK197&gt;تنظیمات!$B$11,AL197="بله"),1,0)</f>
        <v>0</v>
      </c>
      <c r="BH197" s="21" t="n">
        <f aca="false">MIN(100,AR197*تنظیمات!$B$21+AS197*تنظیمات!$B$22+AT197*تنظیمات!$B$23+AU197*تنظیمات!$B$24+AV197*تنظیمات!$B$25+AW197*تنظیمات!$B$26+AX197*تنظیمات!$B$27+AY197*تنظیمات!$B$28+AZ197*تنظیمات!$B$29+BA197*تنظیمات!$B$30+BB197*تنظیمات!$B$31+BC197*تنظیمات!$B$32+BD197*تنظیمات!$B$33+BE197*تنظیمات!$B$34+BF197*تنظیمات!$B$35+BG197*تنظیمات!$B$36)</f>
        <v>0</v>
      </c>
      <c r="BI197" s="16" t="str">
        <f aca="false">IF(BH197&gt;=60,"بحرانی",IF(BH197&gt;=30,"مشکوک",IF(BH197&gt;0,"هشدار","عادی")))</f>
        <v>عادی</v>
      </c>
      <c r="BJ197" s="16" t="s">
        <v>338</v>
      </c>
    </row>
    <row r="198" customFormat="false" ht="15" hidden="false" customHeight="false" outlineLevel="0" collapsed="false">
      <c r="A198" s="16" t="s">
        <v>1068</v>
      </c>
      <c r="B198" s="16" t="s">
        <v>1069</v>
      </c>
      <c r="C198" s="16"/>
      <c r="D198" s="16" t="s">
        <v>344</v>
      </c>
      <c r="E198" s="16" t="s">
        <v>390</v>
      </c>
      <c r="F198" s="16" t="s">
        <v>333</v>
      </c>
      <c r="G198" s="17" t="n">
        <v>46283.7106944445</v>
      </c>
      <c r="H198" s="17" t="n">
        <v>46284.5204166667</v>
      </c>
      <c r="I198" s="18" t="n">
        <f aca="false">IF(H198="",ROUND((تنظیمات!$B$7-G198)*1440,0),ROUND((H198-G198)*1440,0))</f>
        <v>1166</v>
      </c>
      <c r="J198" s="16" t="s">
        <v>346</v>
      </c>
      <c r="K198" s="16" t="s">
        <v>410</v>
      </c>
      <c r="L198" s="19" t="n">
        <v>0.986</v>
      </c>
      <c r="M198" s="19" t="n">
        <v>0.995</v>
      </c>
      <c r="N198" s="16" t="s">
        <v>335</v>
      </c>
      <c r="O198" s="16" t="s">
        <v>441</v>
      </c>
      <c r="P198" s="16" t="s">
        <v>402</v>
      </c>
      <c r="Q198" s="20" t="n">
        <v>46284</v>
      </c>
      <c r="R198" s="16" t="s">
        <v>1070</v>
      </c>
      <c r="S198" s="16" t="s">
        <v>404</v>
      </c>
      <c r="T198" s="17"/>
      <c r="U198" s="21" t="n">
        <v>1</v>
      </c>
      <c r="V198" s="21" t="n">
        <v>1</v>
      </c>
      <c r="W198" s="22" t="n">
        <v>3.8</v>
      </c>
      <c r="X198" s="16" t="s">
        <v>335</v>
      </c>
      <c r="Y198" s="16" t="s">
        <v>338</v>
      </c>
      <c r="Z198" s="16" t="s">
        <v>413</v>
      </c>
      <c r="AA198" s="16" t="s">
        <v>414</v>
      </c>
      <c r="AB198" s="23" t="s">
        <v>1071</v>
      </c>
      <c r="AC198" s="17" t="n">
        <v>46284.5200231482</v>
      </c>
      <c r="AD198" s="16" t="s">
        <v>406</v>
      </c>
      <c r="AE198" s="16"/>
      <c r="AF198" s="16" t="str">
        <f aca="false">IF(COUNTIF(لیست_سفید!$A$2:$A$21,B198)&gt;0,"بله","خیر")</f>
        <v>خیر</v>
      </c>
      <c r="AG198" s="24" t="n">
        <f aca="false">IF(H198="","",IF(AD198="فیش مفقودی",تنظیمات!$B$6,(INT(I198/1440)*تنظیمات!$B$5+IF(MOD(I198,1440)&lt;=تنظیمات!$B$2,0,MIN(تنظیمات!$B$5,تنظیمات!$B$3+MAX(0,ROUNDUP((MOD(I198,1440)-60)/60,0))*تنظیمات!$B$4)))*INDEX(تعرفه!$B$2:$B$7,MATCH(AD198,تعرفه!$A$2:$A$7,0))))</f>
        <v>300000</v>
      </c>
      <c r="AH198" s="24" t="n">
        <v>300000</v>
      </c>
      <c r="AI198" s="24" t="n">
        <f aca="false">IF(AG198="","",AH198-AG198)</f>
        <v>0</v>
      </c>
      <c r="AJ198" s="21" t="n">
        <v>-1</v>
      </c>
      <c r="AK198" s="21" t="n">
        <v>0</v>
      </c>
      <c r="AL198" s="16" t="s">
        <v>335</v>
      </c>
      <c r="AM198" s="16"/>
      <c r="AN198" s="16" t="s">
        <v>340</v>
      </c>
      <c r="AO198" s="16" t="s">
        <v>340</v>
      </c>
      <c r="AP198" s="16" t="s">
        <v>335</v>
      </c>
      <c r="AQ198" s="16" t="s">
        <v>340</v>
      </c>
      <c r="AR198" s="21" t="n">
        <f aca="false">IF(AND(T198&lt;&gt;"",H198&lt;&gt;""),IF(AND((T198-H198)*86400&gt;=0,(T198-H198)*86400&lt;تنظیمات!$B$13),1,0),0)</f>
        <v>0</v>
      </c>
      <c r="AS198" s="21" t="n">
        <f aca="false">IF(Z198="پوز",IF(OR(AB198="",COUNTIF(پوزها!$A$2:$A$5,AA198)=0),1,0),0)</f>
        <v>0</v>
      </c>
      <c r="AT198" s="21" t="n">
        <f aca="false">IF(AI198="",0,IF(AI198&gt;0,1,0))</f>
        <v>0</v>
      </c>
      <c r="AU198" s="21" t="n">
        <f aca="false">IF(AI198="",0,IF(AI198&lt;0,1,0))</f>
        <v>0</v>
      </c>
      <c r="AV198" s="21" t="n">
        <f aca="false">IF(U198&gt;V198,1,0)</f>
        <v>0</v>
      </c>
      <c r="AW198" s="21" t="n">
        <f aca="false">IF(OR(W198&gt;تنظیمات!$B$8,X198="بله"),1,0)</f>
        <v>0</v>
      </c>
      <c r="AX198" s="21" t="n">
        <f aca="false">IF(AND(N198="بله",L198&gt;تنظیمات!$B$9),1,0)</f>
        <v>0</v>
      </c>
      <c r="AY198" s="21" t="n">
        <f aca="false">IF(Y198="معکوس",1,0)</f>
        <v>0</v>
      </c>
      <c r="AZ198" s="21" t="n">
        <f aca="false">IF(ABS(AJ198)&gt;تنظیمات!$B$10,1,0)</f>
        <v>0</v>
      </c>
      <c r="BA198" s="21" t="n">
        <f aca="false">IF(AND(OR(AD198="رایگان/VIP",AD198="جانباز"),AF198="خیر"),1,0)</f>
        <v>0</v>
      </c>
      <c r="BB198" s="21" t="n">
        <f aca="false">IF(AE198="",0,IF(COUNTIF($AE$2:$AE$1001,AE198)&gt;1,1,0))</f>
        <v>0</v>
      </c>
      <c r="BC198" s="21" t="n">
        <f aca="false">IF(AND(H198="",I198&gt;تنظیمات!$B$12*60,AM198="خالی"),1,0)</f>
        <v>0</v>
      </c>
      <c r="BD198" s="21" t="n">
        <f aca="false">IF(AND(AP198="بله",I198&lt;تنظیمات!$B$14,AO198="خیر"),1,0)</f>
        <v>0</v>
      </c>
      <c r="BE198" s="21" t="n">
        <f aca="false">IF(AN198="خیر",1,0)</f>
        <v>0</v>
      </c>
      <c r="BF198" s="21" t="n">
        <f aca="false">IF(AND(AD198="فیش مفقودی",AQ198="بله",I198&gt;تنظیمات!$B$12*60),1,0)</f>
        <v>0</v>
      </c>
      <c r="BG198" s="21" t="n">
        <f aca="false">IF(AND(AK198&gt;تنظیمات!$B$11,AL198="بله"),1,0)</f>
        <v>0</v>
      </c>
      <c r="BH198" s="21" t="n">
        <f aca="false">MIN(100,AR198*تنظیمات!$B$21+AS198*تنظیمات!$B$22+AT198*تنظیمات!$B$23+AU198*تنظیمات!$B$24+AV198*تنظیمات!$B$25+AW198*تنظیمات!$B$26+AX198*تنظیمات!$B$27+AY198*تنظیمات!$B$28+AZ198*تنظیمات!$B$29+BA198*تنظیمات!$B$30+BB198*تنظیمات!$B$31+BC198*تنظیمات!$B$32+BD198*تنظیمات!$B$33+BE198*تنظیمات!$B$34+BF198*تنظیمات!$B$35+BG198*تنظیمات!$B$36)</f>
        <v>0</v>
      </c>
      <c r="BI198" s="16" t="str">
        <f aca="false">IF(BH198&gt;=60,"بحرانی",IF(BH198&gt;=30,"مشکوک",IF(BH198&gt;0,"هشدار","عادی")))</f>
        <v>عادی</v>
      </c>
      <c r="BJ198" s="16" t="s">
        <v>338</v>
      </c>
    </row>
    <row r="199" customFormat="false" ht="15" hidden="false" customHeight="false" outlineLevel="0" collapsed="false">
      <c r="A199" s="16" t="s">
        <v>1072</v>
      </c>
      <c r="B199" s="16" t="s">
        <v>734</v>
      </c>
      <c r="C199" s="16"/>
      <c r="D199" s="16" t="s">
        <v>374</v>
      </c>
      <c r="E199" s="16" t="s">
        <v>345</v>
      </c>
      <c r="F199" s="16" t="s">
        <v>359</v>
      </c>
      <c r="G199" s="17" t="n">
        <v>46283.7210185185</v>
      </c>
      <c r="H199" s="17" t="n">
        <v>46283.7765740741</v>
      </c>
      <c r="I199" s="18" t="n">
        <f aca="false">IF(H199="",ROUND((تنظیمات!$B$7-G199)*1440,0),ROUND((H199-G199)*1440,0))</f>
        <v>80</v>
      </c>
      <c r="J199" s="16" t="s">
        <v>334</v>
      </c>
      <c r="K199" s="16" t="s">
        <v>400</v>
      </c>
      <c r="L199" s="19" t="n">
        <v>0.927</v>
      </c>
      <c r="M199" s="19" t="n">
        <v>0.971</v>
      </c>
      <c r="N199" s="16" t="s">
        <v>335</v>
      </c>
      <c r="O199" s="16" t="s">
        <v>650</v>
      </c>
      <c r="P199" s="16" t="s">
        <v>420</v>
      </c>
      <c r="Q199" s="20" t="n">
        <v>46283</v>
      </c>
      <c r="R199" s="16" t="s">
        <v>1073</v>
      </c>
      <c r="S199" s="16" t="s">
        <v>404</v>
      </c>
      <c r="T199" s="17"/>
      <c r="U199" s="21" t="n">
        <v>1</v>
      </c>
      <c r="V199" s="21" t="n">
        <v>1</v>
      </c>
      <c r="W199" s="22" t="n">
        <v>6</v>
      </c>
      <c r="X199" s="16" t="s">
        <v>335</v>
      </c>
      <c r="Y199" s="16" t="s">
        <v>338</v>
      </c>
      <c r="Z199" s="16" t="s">
        <v>413</v>
      </c>
      <c r="AA199" s="16" t="s">
        <v>427</v>
      </c>
      <c r="AB199" s="23" t="s">
        <v>1074</v>
      </c>
      <c r="AC199" s="17" t="n">
        <v>46283.7758101852</v>
      </c>
      <c r="AD199" s="16" t="s">
        <v>338</v>
      </c>
      <c r="AE199" s="16"/>
      <c r="AF199" s="16" t="str">
        <f aca="false">IF(COUNTIF(لیست_سفید!$A$2:$A$21,B199)&gt;0,"بله","خیر")</f>
        <v>خیر</v>
      </c>
      <c r="AG199" s="24" t="n">
        <f aca="false">IF(H199="","",IF(AD199="فیش مفقودی",تنظیمات!$B$6,(INT(I199/1440)*تنظیمات!$B$5+IF(MOD(I199,1440)&lt;=تنظیمات!$B$2,0,MIN(تنظیمات!$B$5,تنظیمات!$B$3+MAX(0,ROUNDUP((MOD(I199,1440)-60)/60,0))*تنظیمات!$B$4)))*INDEX(تعرفه!$B$2:$B$7,MATCH(AD199,تعرفه!$A$2:$A$7,0))))</f>
        <v>34000</v>
      </c>
      <c r="AH199" s="24" t="n">
        <v>34000</v>
      </c>
      <c r="AI199" s="24" t="n">
        <f aca="false">IF(AG199="","",AH199-AG199)</f>
        <v>0</v>
      </c>
      <c r="AJ199" s="21" t="n">
        <v>-2</v>
      </c>
      <c r="AK199" s="21" t="n">
        <v>0</v>
      </c>
      <c r="AL199" s="16" t="s">
        <v>335</v>
      </c>
      <c r="AM199" s="16"/>
      <c r="AN199" s="16" t="s">
        <v>340</v>
      </c>
      <c r="AO199" s="16" t="s">
        <v>340</v>
      </c>
      <c r="AP199" s="16" t="s">
        <v>335</v>
      </c>
      <c r="AQ199" s="16"/>
      <c r="AR199" s="21" t="n">
        <f aca="false">IF(AND(T199&lt;&gt;"",H199&lt;&gt;""),IF(AND((T199-H199)*86400&gt;=0,(T199-H199)*86400&lt;تنظیمات!$B$13),1,0),0)</f>
        <v>0</v>
      </c>
      <c r="AS199" s="21" t="n">
        <f aca="false">IF(Z199="پوز",IF(OR(AB199="",COUNTIF(پوزها!$A$2:$A$5,AA199)=0),1,0),0)</f>
        <v>0</v>
      </c>
      <c r="AT199" s="21" t="n">
        <f aca="false">IF(AI199="",0,IF(AI199&gt;0,1,0))</f>
        <v>0</v>
      </c>
      <c r="AU199" s="21" t="n">
        <f aca="false">IF(AI199="",0,IF(AI199&lt;0,1,0))</f>
        <v>0</v>
      </c>
      <c r="AV199" s="21" t="n">
        <f aca="false">IF(U199&gt;V199,1,0)</f>
        <v>0</v>
      </c>
      <c r="AW199" s="21" t="n">
        <f aca="false">IF(OR(W199&gt;تنظیمات!$B$8,X199="بله"),1,0)</f>
        <v>0</v>
      </c>
      <c r="AX199" s="21" t="n">
        <f aca="false">IF(AND(N199="بله",L199&gt;تنظیمات!$B$9),1,0)</f>
        <v>0</v>
      </c>
      <c r="AY199" s="21" t="n">
        <f aca="false">IF(Y199="معکوس",1,0)</f>
        <v>0</v>
      </c>
      <c r="AZ199" s="21" t="n">
        <f aca="false">IF(ABS(AJ199)&gt;تنظیمات!$B$10,1,0)</f>
        <v>0</v>
      </c>
      <c r="BA199" s="21" t="n">
        <f aca="false">IF(AND(OR(AD199="رایگان/VIP",AD199="جانباز"),AF199="خیر"),1,0)</f>
        <v>0</v>
      </c>
      <c r="BB199" s="21" t="n">
        <f aca="false">IF(AE199="",0,IF(COUNTIF($AE$2:$AE$1001,AE199)&gt;1,1,0))</f>
        <v>0</v>
      </c>
      <c r="BC199" s="21" t="n">
        <f aca="false">IF(AND(H199="",I199&gt;تنظیمات!$B$12*60,AM199="خالی"),1,0)</f>
        <v>0</v>
      </c>
      <c r="BD199" s="21" t="n">
        <f aca="false">IF(AND(AP199="بله",I199&lt;تنظیمات!$B$14,AO199="خیر"),1,0)</f>
        <v>0</v>
      </c>
      <c r="BE199" s="21" t="n">
        <f aca="false">IF(AN199="خیر",1,0)</f>
        <v>0</v>
      </c>
      <c r="BF199" s="21" t="n">
        <f aca="false">IF(AND(AD199="فیش مفقودی",AQ199="بله",I199&gt;تنظیمات!$B$12*60),1,0)</f>
        <v>0</v>
      </c>
      <c r="BG199" s="21" t="n">
        <f aca="false">IF(AND(AK199&gt;تنظیمات!$B$11,AL199="بله"),1,0)</f>
        <v>0</v>
      </c>
      <c r="BH199" s="21" t="n">
        <f aca="false">MIN(100,AR199*تنظیمات!$B$21+AS199*تنظیمات!$B$22+AT199*تنظیمات!$B$23+AU199*تنظیمات!$B$24+AV199*تنظیمات!$B$25+AW199*تنظیمات!$B$26+AX199*تنظیمات!$B$27+AY199*تنظیمات!$B$28+AZ199*تنظیمات!$B$29+BA199*تنظیمات!$B$30+BB199*تنظیمات!$B$31+BC199*تنظیمات!$B$32+BD199*تنظیمات!$B$33+BE199*تنظیمات!$B$34+BF199*تنظیمات!$B$35+BG199*تنظیمات!$B$36)</f>
        <v>0</v>
      </c>
      <c r="BI199" s="16" t="str">
        <f aca="false">IF(BH199&gt;=60,"بحرانی",IF(BH199&gt;=30,"مشکوک",IF(BH199&gt;0,"هشدار","عادی")))</f>
        <v>عادی</v>
      </c>
      <c r="BJ199" s="16" t="s">
        <v>338</v>
      </c>
    </row>
    <row r="200" customFormat="false" ht="15" hidden="false" customHeight="false" outlineLevel="0" collapsed="false">
      <c r="A200" s="16" t="s">
        <v>1075</v>
      </c>
      <c r="B200" s="16" t="s">
        <v>594</v>
      </c>
      <c r="C200" s="16"/>
      <c r="D200" s="16" t="s">
        <v>431</v>
      </c>
      <c r="E200" s="16" t="s">
        <v>375</v>
      </c>
      <c r="F200" s="16" t="s">
        <v>333</v>
      </c>
      <c r="G200" s="17" t="n">
        <v>46283.7228703704</v>
      </c>
      <c r="H200" s="17" t="n">
        <v>46283.758287037</v>
      </c>
      <c r="I200" s="18" t="n">
        <f aca="false">IF(H200="",ROUND((تنظیمات!$B$7-G200)*1440,0),ROUND((H200-G200)*1440,0))</f>
        <v>51</v>
      </c>
      <c r="J200" s="16" t="s">
        <v>334</v>
      </c>
      <c r="K200" s="16" t="s">
        <v>400</v>
      </c>
      <c r="L200" s="19" t="n">
        <v>0.927</v>
      </c>
      <c r="M200" s="19" t="n">
        <v>0.971</v>
      </c>
      <c r="N200" s="16" t="s">
        <v>335</v>
      </c>
      <c r="O200" s="16" t="s">
        <v>650</v>
      </c>
      <c r="P200" s="16" t="s">
        <v>420</v>
      </c>
      <c r="Q200" s="20" t="n">
        <v>46283</v>
      </c>
      <c r="R200" s="16" t="s">
        <v>1076</v>
      </c>
      <c r="S200" s="16" t="s">
        <v>404</v>
      </c>
      <c r="T200" s="17"/>
      <c r="U200" s="21" t="n">
        <v>1</v>
      </c>
      <c r="V200" s="21" t="n">
        <v>1</v>
      </c>
      <c r="W200" s="22" t="n">
        <v>3.7</v>
      </c>
      <c r="X200" s="16" t="s">
        <v>335</v>
      </c>
      <c r="Y200" s="16" t="s">
        <v>338</v>
      </c>
      <c r="Z200" s="16" t="s">
        <v>413</v>
      </c>
      <c r="AA200" s="16" t="s">
        <v>427</v>
      </c>
      <c r="AB200" s="23" t="s">
        <v>1077</v>
      </c>
      <c r="AC200" s="17" t="n">
        <v>46283.7576736111</v>
      </c>
      <c r="AD200" s="16" t="s">
        <v>338</v>
      </c>
      <c r="AE200" s="16"/>
      <c r="AF200" s="16" t="str">
        <f aca="false">IF(COUNTIF(لیست_سفید!$A$2:$A$21,B200)&gt;0,"بله","خیر")</f>
        <v>خیر</v>
      </c>
      <c r="AG200" s="24" t="n">
        <f aca="false">IF(H200="","",IF(AD200="فیش مفقودی",تنظیمات!$B$6,(INT(I200/1440)*تنظیمات!$B$5+IF(MOD(I200,1440)&lt;=تنظیمات!$B$2,0,MIN(تنظیمات!$B$5,تنظیمات!$B$3+MAX(0,ROUNDUP((MOD(I200,1440)-60)/60,0))*تنظیمات!$B$4)))*INDEX(تعرفه!$B$2:$B$7,MATCH(AD200,تعرفه!$A$2:$A$7,0))))</f>
        <v>20000</v>
      </c>
      <c r="AH200" s="24" t="n">
        <v>20000</v>
      </c>
      <c r="AI200" s="24" t="n">
        <f aca="false">IF(AG200="","",AH200-AG200)</f>
        <v>0</v>
      </c>
      <c r="AJ200" s="21" t="n">
        <v>-3</v>
      </c>
      <c r="AK200" s="21" t="n">
        <v>0</v>
      </c>
      <c r="AL200" s="16" t="s">
        <v>335</v>
      </c>
      <c r="AM200" s="16"/>
      <c r="AN200" s="16" t="s">
        <v>340</v>
      </c>
      <c r="AO200" s="16" t="s">
        <v>340</v>
      </c>
      <c r="AP200" s="16" t="s">
        <v>335</v>
      </c>
      <c r="AQ200" s="16"/>
      <c r="AR200" s="21" t="n">
        <f aca="false">IF(AND(T200&lt;&gt;"",H200&lt;&gt;""),IF(AND((T200-H200)*86400&gt;=0,(T200-H200)*86400&lt;تنظیمات!$B$13),1,0),0)</f>
        <v>0</v>
      </c>
      <c r="AS200" s="21" t="n">
        <f aca="false">IF(Z200="پوز",IF(OR(AB200="",COUNTIF(پوزها!$A$2:$A$5,AA200)=0),1,0),0)</f>
        <v>0</v>
      </c>
      <c r="AT200" s="21" t="n">
        <f aca="false">IF(AI200="",0,IF(AI200&gt;0,1,0))</f>
        <v>0</v>
      </c>
      <c r="AU200" s="21" t="n">
        <f aca="false">IF(AI200="",0,IF(AI200&lt;0,1,0))</f>
        <v>0</v>
      </c>
      <c r="AV200" s="21" t="n">
        <f aca="false">IF(U200&gt;V200,1,0)</f>
        <v>0</v>
      </c>
      <c r="AW200" s="21" t="n">
        <f aca="false">IF(OR(W200&gt;تنظیمات!$B$8,X200="بله"),1,0)</f>
        <v>0</v>
      </c>
      <c r="AX200" s="21" t="n">
        <f aca="false">IF(AND(N200="بله",L200&gt;تنظیمات!$B$9),1,0)</f>
        <v>0</v>
      </c>
      <c r="AY200" s="21" t="n">
        <f aca="false">IF(Y200="معکوس",1,0)</f>
        <v>0</v>
      </c>
      <c r="AZ200" s="21" t="n">
        <f aca="false">IF(ABS(AJ200)&gt;تنظیمات!$B$10,1,0)</f>
        <v>0</v>
      </c>
      <c r="BA200" s="21" t="n">
        <f aca="false">IF(AND(OR(AD200="رایگان/VIP",AD200="جانباز"),AF200="خیر"),1,0)</f>
        <v>0</v>
      </c>
      <c r="BB200" s="21" t="n">
        <f aca="false">IF(AE200="",0,IF(COUNTIF($AE$2:$AE$1001,AE200)&gt;1,1,0))</f>
        <v>0</v>
      </c>
      <c r="BC200" s="21" t="n">
        <f aca="false">IF(AND(H200="",I200&gt;تنظیمات!$B$12*60,AM200="خالی"),1,0)</f>
        <v>0</v>
      </c>
      <c r="BD200" s="21" t="n">
        <f aca="false">IF(AND(AP200="بله",I200&lt;تنظیمات!$B$14,AO200="خیر"),1,0)</f>
        <v>0</v>
      </c>
      <c r="BE200" s="21" t="n">
        <f aca="false">IF(AN200="خیر",1,0)</f>
        <v>0</v>
      </c>
      <c r="BF200" s="21" t="n">
        <f aca="false">IF(AND(AD200="فیش مفقودی",AQ200="بله",I200&gt;تنظیمات!$B$12*60),1,0)</f>
        <v>0</v>
      </c>
      <c r="BG200" s="21" t="n">
        <f aca="false">IF(AND(AK200&gt;تنظیمات!$B$11,AL200="بله"),1,0)</f>
        <v>0</v>
      </c>
      <c r="BH200" s="21" t="n">
        <f aca="false">MIN(100,AR200*تنظیمات!$B$21+AS200*تنظیمات!$B$22+AT200*تنظیمات!$B$23+AU200*تنظیمات!$B$24+AV200*تنظیمات!$B$25+AW200*تنظیمات!$B$26+AX200*تنظیمات!$B$27+AY200*تنظیمات!$B$28+AZ200*تنظیمات!$B$29+BA200*تنظیمات!$B$30+BB200*تنظیمات!$B$31+BC200*تنظیمات!$B$32+BD200*تنظیمات!$B$33+BE200*تنظیمات!$B$34+BF200*تنظیمات!$B$35+BG200*تنظیمات!$B$36)</f>
        <v>0</v>
      </c>
      <c r="BI200" s="16" t="str">
        <f aca="false">IF(BH200&gt;=60,"بحرانی",IF(BH200&gt;=30,"مشکوک",IF(BH200&gt;0,"هشدار","عادی")))</f>
        <v>عادی</v>
      </c>
      <c r="BJ200" s="16" t="s">
        <v>338</v>
      </c>
    </row>
    <row r="201" customFormat="false" ht="15" hidden="false" customHeight="false" outlineLevel="0" collapsed="false">
      <c r="A201" s="16" t="s">
        <v>1078</v>
      </c>
      <c r="B201" s="16" t="s">
        <v>1079</v>
      </c>
      <c r="C201" s="16"/>
      <c r="D201" s="16" t="s">
        <v>508</v>
      </c>
      <c r="E201" s="16" t="s">
        <v>332</v>
      </c>
      <c r="F201" s="16" t="s">
        <v>333</v>
      </c>
      <c r="G201" s="17" t="n">
        <v>46283.7272106482</v>
      </c>
      <c r="H201" s="17" t="n">
        <v>46283.9279050926</v>
      </c>
      <c r="I201" s="18" t="n">
        <f aca="false">IF(H201="",ROUND((تنظیمات!$B$7-G201)*1440,0),ROUND((H201-G201)*1440,0))</f>
        <v>289</v>
      </c>
      <c r="J201" s="16" t="s">
        <v>346</v>
      </c>
      <c r="K201" s="16" t="s">
        <v>400</v>
      </c>
      <c r="L201" s="19" t="n">
        <v>0.987</v>
      </c>
      <c r="M201" s="19" t="n">
        <v>0.995</v>
      </c>
      <c r="N201" s="16" t="s">
        <v>335</v>
      </c>
      <c r="O201" s="16" t="s">
        <v>677</v>
      </c>
      <c r="P201" s="16" t="s">
        <v>651</v>
      </c>
      <c r="Q201" s="20" t="n">
        <v>46283</v>
      </c>
      <c r="R201" s="16" t="s">
        <v>1080</v>
      </c>
      <c r="S201" s="16" t="s">
        <v>404</v>
      </c>
      <c r="T201" s="17"/>
      <c r="U201" s="21" t="n">
        <v>1</v>
      </c>
      <c r="V201" s="21" t="n">
        <v>1</v>
      </c>
      <c r="W201" s="22" t="n">
        <v>4.8</v>
      </c>
      <c r="X201" s="16" t="s">
        <v>335</v>
      </c>
      <c r="Y201" s="16" t="s">
        <v>338</v>
      </c>
      <c r="Z201" s="16" t="s">
        <v>413</v>
      </c>
      <c r="AA201" s="16" t="s">
        <v>427</v>
      </c>
      <c r="AB201" s="23" t="s">
        <v>1081</v>
      </c>
      <c r="AC201" s="17" t="n">
        <v>46283.9270138889</v>
      </c>
      <c r="AD201" s="16" t="s">
        <v>338</v>
      </c>
      <c r="AE201" s="16"/>
      <c r="AF201" s="16" t="str">
        <f aca="false">IF(COUNTIF(لیست_سفید!$A$2:$A$21,B201)&gt;0,"بله","خیر")</f>
        <v>خیر</v>
      </c>
      <c r="AG201" s="24" t="n">
        <f aca="false">IF(H201="","",IF(AD201="فیش مفقودی",تنظیمات!$B$6,(INT(I201/1440)*تنظیمات!$B$5+IF(MOD(I201,1440)&lt;=تنظیمات!$B$2,0,MIN(تنظیمات!$B$5,تنظیمات!$B$3+MAX(0,ROUNDUP((MOD(I201,1440)-60)/60,0))*تنظیمات!$B$4)))*INDEX(تعرفه!$B$2:$B$7,MATCH(AD201,تعرفه!$A$2:$A$7,0))))</f>
        <v>76000</v>
      </c>
      <c r="AH201" s="24" t="n">
        <v>76000</v>
      </c>
      <c r="AI201" s="24" t="n">
        <f aca="false">IF(AG201="","",AH201-AG201)</f>
        <v>0</v>
      </c>
      <c r="AJ201" s="21" t="n">
        <v>1</v>
      </c>
      <c r="AK201" s="21" t="n">
        <v>0</v>
      </c>
      <c r="AL201" s="16" t="s">
        <v>335</v>
      </c>
      <c r="AM201" s="16"/>
      <c r="AN201" s="16" t="s">
        <v>340</v>
      </c>
      <c r="AO201" s="16" t="s">
        <v>340</v>
      </c>
      <c r="AP201" s="16" t="s">
        <v>335</v>
      </c>
      <c r="AQ201" s="16"/>
      <c r="AR201" s="21" t="n">
        <f aca="false">IF(AND(T201&lt;&gt;"",H201&lt;&gt;""),IF(AND((T201-H201)*86400&gt;=0,(T201-H201)*86400&lt;تنظیمات!$B$13),1,0),0)</f>
        <v>0</v>
      </c>
      <c r="AS201" s="21" t="n">
        <f aca="false">IF(Z201="پوز",IF(OR(AB201="",COUNTIF(پوزها!$A$2:$A$5,AA201)=0),1,0),0)</f>
        <v>0</v>
      </c>
      <c r="AT201" s="21" t="n">
        <f aca="false">IF(AI201="",0,IF(AI201&gt;0,1,0))</f>
        <v>0</v>
      </c>
      <c r="AU201" s="21" t="n">
        <f aca="false">IF(AI201="",0,IF(AI201&lt;0,1,0))</f>
        <v>0</v>
      </c>
      <c r="AV201" s="21" t="n">
        <f aca="false">IF(U201&gt;V201,1,0)</f>
        <v>0</v>
      </c>
      <c r="AW201" s="21" t="n">
        <f aca="false">IF(OR(W201&gt;تنظیمات!$B$8,X201="بله"),1,0)</f>
        <v>0</v>
      </c>
      <c r="AX201" s="21" t="n">
        <f aca="false">IF(AND(N201="بله",L201&gt;تنظیمات!$B$9),1,0)</f>
        <v>0</v>
      </c>
      <c r="AY201" s="21" t="n">
        <f aca="false">IF(Y201="معکوس",1,0)</f>
        <v>0</v>
      </c>
      <c r="AZ201" s="21" t="n">
        <f aca="false">IF(ABS(AJ201)&gt;تنظیمات!$B$10,1,0)</f>
        <v>0</v>
      </c>
      <c r="BA201" s="21" t="n">
        <f aca="false">IF(AND(OR(AD201="رایگان/VIP",AD201="جانباز"),AF201="خیر"),1,0)</f>
        <v>0</v>
      </c>
      <c r="BB201" s="21" t="n">
        <f aca="false">IF(AE201="",0,IF(COUNTIF($AE$2:$AE$1001,AE201)&gt;1,1,0))</f>
        <v>0</v>
      </c>
      <c r="BC201" s="21" t="n">
        <f aca="false">IF(AND(H201="",I201&gt;تنظیمات!$B$12*60,AM201="خالی"),1,0)</f>
        <v>0</v>
      </c>
      <c r="BD201" s="21" t="n">
        <f aca="false">IF(AND(AP201="بله",I201&lt;تنظیمات!$B$14,AO201="خیر"),1,0)</f>
        <v>0</v>
      </c>
      <c r="BE201" s="21" t="n">
        <f aca="false">IF(AN201="خیر",1,0)</f>
        <v>0</v>
      </c>
      <c r="BF201" s="21" t="n">
        <f aca="false">IF(AND(AD201="فیش مفقودی",AQ201="بله",I201&gt;تنظیمات!$B$12*60),1,0)</f>
        <v>0</v>
      </c>
      <c r="BG201" s="21" t="n">
        <f aca="false">IF(AND(AK201&gt;تنظیمات!$B$11,AL201="بله"),1,0)</f>
        <v>0</v>
      </c>
      <c r="BH201" s="21" t="n">
        <f aca="false">MIN(100,AR201*تنظیمات!$B$21+AS201*تنظیمات!$B$22+AT201*تنظیمات!$B$23+AU201*تنظیمات!$B$24+AV201*تنظیمات!$B$25+AW201*تنظیمات!$B$26+AX201*تنظیمات!$B$27+AY201*تنظیمات!$B$28+AZ201*تنظیمات!$B$29+BA201*تنظیمات!$B$30+BB201*تنظیمات!$B$31+BC201*تنظیمات!$B$32+BD201*تنظیمات!$B$33+BE201*تنظیمات!$B$34+BF201*تنظیمات!$B$35+BG201*تنظیمات!$B$36)</f>
        <v>0</v>
      </c>
      <c r="BI201" s="16" t="str">
        <f aca="false">IF(BH201&gt;=60,"بحرانی",IF(BH201&gt;=30,"مشکوک",IF(BH201&gt;0,"هشدار","عادی")))</f>
        <v>عادی</v>
      </c>
      <c r="BJ201" s="16" t="s">
        <v>338</v>
      </c>
    </row>
    <row r="202" customFormat="false" ht="15" hidden="false" customHeight="false" outlineLevel="0" collapsed="false">
      <c r="A202" s="16" t="s">
        <v>1082</v>
      </c>
      <c r="B202" s="16" t="s">
        <v>1083</v>
      </c>
      <c r="C202" s="16"/>
      <c r="D202" s="16" t="s">
        <v>331</v>
      </c>
      <c r="E202" s="16" t="s">
        <v>390</v>
      </c>
      <c r="F202" s="16" t="s">
        <v>333</v>
      </c>
      <c r="G202" s="17" t="n">
        <v>46283.7283912037</v>
      </c>
      <c r="H202" s="17" t="n">
        <v>46283.8499189815</v>
      </c>
      <c r="I202" s="18" t="n">
        <f aca="false">IF(H202="",ROUND((تنظیمات!$B$7-G202)*1440,0),ROUND((H202-G202)*1440,0))</f>
        <v>175</v>
      </c>
      <c r="J202" s="16" t="s">
        <v>334</v>
      </c>
      <c r="K202" s="16" t="s">
        <v>400</v>
      </c>
      <c r="L202" s="19" t="n">
        <v>0.985</v>
      </c>
      <c r="M202" s="19" t="n">
        <v>0.933</v>
      </c>
      <c r="N202" s="16" t="s">
        <v>335</v>
      </c>
      <c r="O202" s="16" t="s">
        <v>650</v>
      </c>
      <c r="P202" s="16" t="s">
        <v>420</v>
      </c>
      <c r="Q202" s="20" t="n">
        <v>46283</v>
      </c>
      <c r="R202" s="16" t="s">
        <v>1084</v>
      </c>
      <c r="S202" s="16" t="s">
        <v>404</v>
      </c>
      <c r="T202" s="17"/>
      <c r="U202" s="21" t="n">
        <v>1</v>
      </c>
      <c r="V202" s="21" t="n">
        <v>1</v>
      </c>
      <c r="W202" s="22" t="n">
        <v>4.7</v>
      </c>
      <c r="X202" s="16" t="s">
        <v>335</v>
      </c>
      <c r="Y202" s="16" t="s">
        <v>338</v>
      </c>
      <c r="Z202" s="16" t="s">
        <v>413</v>
      </c>
      <c r="AA202" s="16" t="s">
        <v>427</v>
      </c>
      <c r="AB202" s="23" t="s">
        <v>1085</v>
      </c>
      <c r="AC202" s="17" t="n">
        <v>46283.8496527778</v>
      </c>
      <c r="AD202" s="16" t="s">
        <v>338</v>
      </c>
      <c r="AE202" s="16"/>
      <c r="AF202" s="16" t="str">
        <f aca="false">IF(COUNTIF(لیست_سفید!$A$2:$A$21,B202)&gt;0,"بله","خیر")</f>
        <v>خیر</v>
      </c>
      <c r="AG202" s="24" t="n">
        <f aca="false">IF(H202="","",IF(AD202="فیش مفقودی",تنظیمات!$B$6,(INT(I202/1440)*تنظیمات!$B$5+IF(MOD(I202,1440)&lt;=تنظیمات!$B$2,0,MIN(تنظیمات!$B$5,تنظیمات!$B$3+MAX(0,ROUNDUP((MOD(I202,1440)-60)/60,0))*تنظیمات!$B$4)))*INDEX(تعرفه!$B$2:$B$7,MATCH(AD202,تعرفه!$A$2:$A$7,0))))</f>
        <v>48000</v>
      </c>
      <c r="AH202" s="24" t="n">
        <v>48000</v>
      </c>
      <c r="AI202" s="24" t="n">
        <f aca="false">IF(AG202="","",AH202-AG202)</f>
        <v>0</v>
      </c>
      <c r="AJ202" s="21" t="n">
        <v>-3</v>
      </c>
      <c r="AK202" s="21" t="n">
        <v>0</v>
      </c>
      <c r="AL202" s="16" t="s">
        <v>335</v>
      </c>
      <c r="AM202" s="16"/>
      <c r="AN202" s="16" t="s">
        <v>340</v>
      </c>
      <c r="AO202" s="16" t="s">
        <v>340</v>
      </c>
      <c r="AP202" s="16" t="s">
        <v>335</v>
      </c>
      <c r="AQ202" s="16"/>
      <c r="AR202" s="21" t="n">
        <f aca="false">IF(AND(T202&lt;&gt;"",H202&lt;&gt;""),IF(AND((T202-H202)*86400&gt;=0,(T202-H202)*86400&lt;تنظیمات!$B$13),1,0),0)</f>
        <v>0</v>
      </c>
      <c r="AS202" s="21" t="n">
        <f aca="false">IF(Z202="پوز",IF(OR(AB202="",COUNTIF(پوزها!$A$2:$A$5,AA202)=0),1,0),0)</f>
        <v>0</v>
      </c>
      <c r="AT202" s="21" t="n">
        <f aca="false">IF(AI202="",0,IF(AI202&gt;0,1,0))</f>
        <v>0</v>
      </c>
      <c r="AU202" s="21" t="n">
        <f aca="false">IF(AI202="",0,IF(AI202&lt;0,1,0))</f>
        <v>0</v>
      </c>
      <c r="AV202" s="21" t="n">
        <f aca="false">IF(U202&gt;V202,1,0)</f>
        <v>0</v>
      </c>
      <c r="AW202" s="21" t="n">
        <f aca="false">IF(OR(W202&gt;تنظیمات!$B$8,X202="بله"),1,0)</f>
        <v>0</v>
      </c>
      <c r="AX202" s="21" t="n">
        <f aca="false">IF(AND(N202="بله",L202&gt;تنظیمات!$B$9),1,0)</f>
        <v>0</v>
      </c>
      <c r="AY202" s="21" t="n">
        <f aca="false">IF(Y202="معکوس",1,0)</f>
        <v>0</v>
      </c>
      <c r="AZ202" s="21" t="n">
        <f aca="false">IF(ABS(AJ202)&gt;تنظیمات!$B$10,1,0)</f>
        <v>0</v>
      </c>
      <c r="BA202" s="21" t="n">
        <f aca="false">IF(AND(OR(AD202="رایگان/VIP",AD202="جانباز"),AF202="خیر"),1,0)</f>
        <v>0</v>
      </c>
      <c r="BB202" s="21" t="n">
        <f aca="false">IF(AE202="",0,IF(COUNTIF($AE$2:$AE$1001,AE202)&gt;1,1,0))</f>
        <v>0</v>
      </c>
      <c r="BC202" s="21" t="n">
        <f aca="false">IF(AND(H202="",I202&gt;تنظیمات!$B$12*60,AM202="خالی"),1,0)</f>
        <v>0</v>
      </c>
      <c r="BD202" s="21" t="n">
        <f aca="false">IF(AND(AP202="بله",I202&lt;تنظیمات!$B$14,AO202="خیر"),1,0)</f>
        <v>0</v>
      </c>
      <c r="BE202" s="21" t="n">
        <f aca="false">IF(AN202="خیر",1,0)</f>
        <v>0</v>
      </c>
      <c r="BF202" s="21" t="n">
        <f aca="false">IF(AND(AD202="فیش مفقودی",AQ202="بله",I202&gt;تنظیمات!$B$12*60),1,0)</f>
        <v>0</v>
      </c>
      <c r="BG202" s="21" t="n">
        <f aca="false">IF(AND(AK202&gt;تنظیمات!$B$11,AL202="بله"),1,0)</f>
        <v>0</v>
      </c>
      <c r="BH202" s="21" t="n">
        <f aca="false">MIN(100,AR202*تنظیمات!$B$21+AS202*تنظیمات!$B$22+AT202*تنظیمات!$B$23+AU202*تنظیمات!$B$24+AV202*تنظیمات!$B$25+AW202*تنظیمات!$B$26+AX202*تنظیمات!$B$27+AY202*تنظیمات!$B$28+AZ202*تنظیمات!$B$29+BA202*تنظیمات!$B$30+BB202*تنظیمات!$B$31+BC202*تنظیمات!$B$32+BD202*تنظیمات!$B$33+BE202*تنظیمات!$B$34+BF202*تنظیمات!$B$35+BG202*تنظیمات!$B$36)</f>
        <v>0</v>
      </c>
      <c r="BI202" s="16" t="str">
        <f aca="false">IF(BH202&gt;=60,"بحرانی",IF(BH202&gt;=30,"مشکوک",IF(BH202&gt;0,"هشدار","عادی")))</f>
        <v>عادی</v>
      </c>
      <c r="BJ202" s="16" t="s">
        <v>338</v>
      </c>
    </row>
    <row r="203" customFormat="false" ht="15" hidden="false" customHeight="false" outlineLevel="0" collapsed="false">
      <c r="A203" s="16" t="s">
        <v>1086</v>
      </c>
      <c r="B203" s="16" t="s">
        <v>1087</v>
      </c>
      <c r="C203" s="16"/>
      <c r="D203" s="16" t="s">
        <v>382</v>
      </c>
      <c r="E203" s="16" t="s">
        <v>351</v>
      </c>
      <c r="F203" s="16" t="s">
        <v>333</v>
      </c>
      <c r="G203" s="17" t="n">
        <v>46283.7646412037</v>
      </c>
      <c r="H203" s="17" t="n">
        <v>46283.7958912037</v>
      </c>
      <c r="I203" s="18" t="n">
        <f aca="false">IF(H203="",ROUND((تنظیمات!$B$7-G203)*1440,0),ROUND((H203-G203)*1440,0))</f>
        <v>45</v>
      </c>
      <c r="J203" s="16" t="s">
        <v>334</v>
      </c>
      <c r="K203" s="16" t="s">
        <v>410</v>
      </c>
      <c r="L203" s="19" t="n">
        <v>0.951</v>
      </c>
      <c r="M203" s="19" t="n">
        <v>0.957</v>
      </c>
      <c r="N203" s="16" t="s">
        <v>335</v>
      </c>
      <c r="O203" s="16" t="s">
        <v>666</v>
      </c>
      <c r="P203" s="16" t="s">
        <v>420</v>
      </c>
      <c r="Q203" s="20" t="n">
        <v>46283</v>
      </c>
      <c r="R203" s="16" t="s">
        <v>1088</v>
      </c>
      <c r="S203" s="16" t="s">
        <v>404</v>
      </c>
      <c r="T203" s="17"/>
      <c r="U203" s="21" t="n">
        <v>3</v>
      </c>
      <c r="V203" s="21" t="n">
        <v>1</v>
      </c>
      <c r="W203" s="22" t="n">
        <v>10.6</v>
      </c>
      <c r="X203" s="16" t="s">
        <v>335</v>
      </c>
      <c r="Y203" s="16" t="s">
        <v>338</v>
      </c>
      <c r="Z203" s="16" t="s">
        <v>405</v>
      </c>
      <c r="AA203" s="16"/>
      <c r="AB203" s="23"/>
      <c r="AC203" s="17"/>
      <c r="AD203" s="16" t="s">
        <v>338</v>
      </c>
      <c r="AE203" s="16"/>
      <c r="AF203" s="16" t="str">
        <f aca="false">IF(COUNTIF(لیست_سفید!$A$2:$A$21,B203)&gt;0,"بله","خیر")</f>
        <v>خیر</v>
      </c>
      <c r="AG203" s="24" t="n">
        <f aca="false">IF(H203="","",IF(AD203="فیش مفقودی",تنظیمات!$B$6,(INT(I203/1440)*تنظیمات!$B$5+IF(MOD(I203,1440)&lt;=تنظیمات!$B$2,0,MIN(تنظیمات!$B$5,تنظیمات!$B$3+MAX(0,ROUNDUP((MOD(I203,1440)-60)/60,0))*تنظیمات!$B$4)))*INDEX(تعرفه!$B$2:$B$7,MATCH(AD203,تعرفه!$A$2:$A$7,0))))</f>
        <v>20000</v>
      </c>
      <c r="AH203" s="24" t="n">
        <v>20000</v>
      </c>
      <c r="AI203" s="24" t="n">
        <f aca="false">IF(AG203="","",AH203-AG203)</f>
        <v>0</v>
      </c>
      <c r="AJ203" s="21" t="n">
        <v>-3</v>
      </c>
      <c r="AK203" s="21" t="n">
        <v>0</v>
      </c>
      <c r="AL203" s="16" t="s">
        <v>335</v>
      </c>
      <c r="AM203" s="16"/>
      <c r="AN203" s="16" t="s">
        <v>340</v>
      </c>
      <c r="AO203" s="16" t="s">
        <v>340</v>
      </c>
      <c r="AP203" s="16" t="s">
        <v>335</v>
      </c>
      <c r="AQ203" s="16"/>
      <c r="AR203" s="21" t="n">
        <f aca="false">IF(AND(T203&lt;&gt;"",H203&lt;&gt;""),IF(AND((T203-H203)*86400&gt;=0,(T203-H203)*86400&lt;تنظیمات!$B$13),1,0),0)</f>
        <v>0</v>
      </c>
      <c r="AS203" s="21" t="n">
        <f aca="false">IF(Z203="پوز",IF(OR(AB203="",COUNTIF(پوزها!$A$2:$A$5,AA203)=0),1,0),0)</f>
        <v>0</v>
      </c>
      <c r="AT203" s="21" t="n">
        <f aca="false">IF(AI203="",0,IF(AI203&gt;0,1,0))</f>
        <v>0</v>
      </c>
      <c r="AU203" s="21" t="n">
        <f aca="false">IF(AI203="",0,IF(AI203&lt;0,1,0))</f>
        <v>0</v>
      </c>
      <c r="AV203" s="21" t="n">
        <f aca="false">IF(U203&gt;V203,1,0)</f>
        <v>1</v>
      </c>
      <c r="AW203" s="21" t="n">
        <f aca="false">IF(OR(W203&gt;تنظیمات!$B$8,X203="بله"),1,0)</f>
        <v>0</v>
      </c>
      <c r="AX203" s="21" t="n">
        <f aca="false">IF(AND(N203="بله",L203&gt;تنظیمات!$B$9),1,0)</f>
        <v>0</v>
      </c>
      <c r="AY203" s="21" t="n">
        <f aca="false">IF(Y203="معکوس",1,0)</f>
        <v>0</v>
      </c>
      <c r="AZ203" s="21" t="n">
        <f aca="false">IF(ABS(AJ203)&gt;تنظیمات!$B$10,1,0)</f>
        <v>0</v>
      </c>
      <c r="BA203" s="21" t="n">
        <f aca="false">IF(AND(OR(AD203="رایگان/VIP",AD203="جانباز"),AF203="خیر"),1,0)</f>
        <v>0</v>
      </c>
      <c r="BB203" s="21" t="n">
        <f aca="false">IF(AE203="",0,IF(COUNTIF($AE$2:$AE$1001,AE203)&gt;1,1,0))</f>
        <v>0</v>
      </c>
      <c r="BC203" s="21" t="n">
        <f aca="false">IF(AND(H203="",I203&gt;تنظیمات!$B$12*60,AM203="خالی"),1,0)</f>
        <v>0</v>
      </c>
      <c r="BD203" s="21" t="n">
        <f aca="false">IF(AND(AP203="بله",I203&lt;تنظیمات!$B$14,AO203="خیر"),1,0)</f>
        <v>0</v>
      </c>
      <c r="BE203" s="21" t="n">
        <f aca="false">IF(AN203="خیر",1,0)</f>
        <v>0</v>
      </c>
      <c r="BF203" s="21" t="n">
        <f aca="false">IF(AND(AD203="فیش مفقودی",AQ203="بله",I203&gt;تنظیمات!$B$12*60),1,0)</f>
        <v>0</v>
      </c>
      <c r="BG203" s="21" t="n">
        <f aca="false">IF(AND(AK203&gt;تنظیمات!$B$11,AL203="بله"),1,0)</f>
        <v>0</v>
      </c>
      <c r="BH203" s="21" t="n">
        <f aca="false">MIN(100,AR203*تنظیمات!$B$21+AS203*تنظیمات!$B$22+AT203*تنظیمات!$B$23+AU203*تنظیمات!$B$24+AV203*تنظیمات!$B$25+AW203*تنظیمات!$B$26+AX203*تنظیمات!$B$27+AY203*تنظیمات!$B$28+AZ203*تنظیمات!$B$29+BA203*تنظیمات!$B$30+BB203*تنظیمات!$B$31+BC203*تنظیمات!$B$32+BD203*تنظیمات!$B$33+BE203*تنظیمات!$B$34+BF203*تنظیمات!$B$35+BG203*تنظیمات!$B$36)</f>
        <v>30</v>
      </c>
      <c r="BI203" s="16" t="str">
        <f aca="false">IF(BH203&gt;=60,"بحرانی",IF(BH203&gt;=30,"مشکوک",IF(BH203&gt;0,"هشدار","عادی")))</f>
        <v>مشکوک</v>
      </c>
      <c r="BJ203" s="16" t="s">
        <v>516</v>
      </c>
    </row>
    <row r="204" customFormat="false" ht="15" hidden="false" customHeight="false" outlineLevel="0" collapsed="false">
      <c r="A204" s="16" t="s">
        <v>1089</v>
      </c>
      <c r="B204" s="16" t="s">
        <v>1090</v>
      </c>
      <c r="C204" s="16"/>
      <c r="D204" s="16" t="s">
        <v>531</v>
      </c>
      <c r="E204" s="16" t="s">
        <v>375</v>
      </c>
      <c r="F204" s="16" t="s">
        <v>333</v>
      </c>
      <c r="G204" s="17" t="n">
        <v>46283.7706134259</v>
      </c>
      <c r="H204" s="17" t="n">
        <v>46283.7810300926</v>
      </c>
      <c r="I204" s="18" t="n">
        <f aca="false">IF(H204="",ROUND((تنظیمات!$B$7-G204)*1440,0),ROUND((H204-G204)*1440,0))</f>
        <v>15</v>
      </c>
      <c r="J204" s="16" t="s">
        <v>334</v>
      </c>
      <c r="K204" s="16" t="s">
        <v>410</v>
      </c>
      <c r="L204" s="19" t="n">
        <v>0.937</v>
      </c>
      <c r="M204" s="19" t="n">
        <v>0.948</v>
      </c>
      <c r="N204" s="16" t="s">
        <v>335</v>
      </c>
      <c r="O204" s="16" t="s">
        <v>666</v>
      </c>
      <c r="P204" s="16" t="s">
        <v>420</v>
      </c>
      <c r="Q204" s="20" t="n">
        <v>46283</v>
      </c>
      <c r="R204" s="16" t="s">
        <v>1091</v>
      </c>
      <c r="S204" s="16" t="s">
        <v>404</v>
      </c>
      <c r="T204" s="17"/>
      <c r="U204" s="21" t="n">
        <v>1</v>
      </c>
      <c r="V204" s="21" t="n">
        <v>1</v>
      </c>
      <c r="W204" s="22" t="n">
        <v>5.6</v>
      </c>
      <c r="X204" s="16" t="s">
        <v>335</v>
      </c>
      <c r="Y204" s="16" t="s">
        <v>338</v>
      </c>
      <c r="Z204" s="16" t="s">
        <v>413</v>
      </c>
      <c r="AA204" s="16" t="s">
        <v>414</v>
      </c>
      <c r="AB204" s="23" t="s">
        <v>1092</v>
      </c>
      <c r="AC204" s="17" t="n">
        <v>46283.7804282407</v>
      </c>
      <c r="AD204" s="16" t="s">
        <v>338</v>
      </c>
      <c r="AE204" s="16"/>
      <c r="AF204" s="16" t="str">
        <f aca="false">IF(COUNTIF(لیست_سفید!$A$2:$A$21,B204)&gt;0,"بله","خیر")</f>
        <v>خیر</v>
      </c>
      <c r="AG204" s="24" t="n">
        <f aca="false">IF(H204="","",IF(AD204="فیش مفقودی",تنظیمات!$B$6,(INT(I204/1440)*تنظیمات!$B$5+IF(MOD(I204,1440)&lt;=تنظیمات!$B$2,0,MIN(تنظیمات!$B$5,تنظیمات!$B$3+MAX(0,ROUNDUP((MOD(I204,1440)-60)/60,0))*تنظیمات!$B$4)))*INDEX(تعرفه!$B$2:$B$7,MATCH(AD204,تعرفه!$A$2:$A$7,0))))</f>
        <v>20000</v>
      </c>
      <c r="AH204" s="24" t="n">
        <v>20000</v>
      </c>
      <c r="AI204" s="24" t="n">
        <f aca="false">IF(AG204="","",AH204-AG204)</f>
        <v>0</v>
      </c>
      <c r="AJ204" s="21" t="n">
        <v>0</v>
      </c>
      <c r="AK204" s="21" t="n">
        <v>0</v>
      </c>
      <c r="AL204" s="16" t="s">
        <v>335</v>
      </c>
      <c r="AM204" s="16"/>
      <c r="AN204" s="16" t="s">
        <v>340</v>
      </c>
      <c r="AO204" s="16" t="s">
        <v>340</v>
      </c>
      <c r="AP204" s="16" t="s">
        <v>335</v>
      </c>
      <c r="AQ204" s="16"/>
      <c r="AR204" s="21" t="n">
        <f aca="false">IF(AND(T204&lt;&gt;"",H204&lt;&gt;""),IF(AND((T204-H204)*86400&gt;=0,(T204-H204)*86400&lt;تنظیمات!$B$13),1,0),0)</f>
        <v>0</v>
      </c>
      <c r="AS204" s="21" t="n">
        <f aca="false">IF(Z204="پوز",IF(OR(AB204="",COUNTIF(پوزها!$A$2:$A$5,AA204)=0),1,0),0)</f>
        <v>0</v>
      </c>
      <c r="AT204" s="21" t="n">
        <f aca="false">IF(AI204="",0,IF(AI204&gt;0,1,0))</f>
        <v>0</v>
      </c>
      <c r="AU204" s="21" t="n">
        <f aca="false">IF(AI204="",0,IF(AI204&lt;0,1,0))</f>
        <v>0</v>
      </c>
      <c r="AV204" s="21" t="n">
        <f aca="false">IF(U204&gt;V204,1,0)</f>
        <v>0</v>
      </c>
      <c r="AW204" s="21" t="n">
        <f aca="false">IF(OR(W204&gt;تنظیمات!$B$8,X204="بله"),1,0)</f>
        <v>0</v>
      </c>
      <c r="AX204" s="21" t="n">
        <f aca="false">IF(AND(N204="بله",L204&gt;تنظیمات!$B$9),1,0)</f>
        <v>0</v>
      </c>
      <c r="AY204" s="21" t="n">
        <f aca="false">IF(Y204="معکوس",1,0)</f>
        <v>0</v>
      </c>
      <c r="AZ204" s="21" t="n">
        <f aca="false">IF(ABS(AJ204)&gt;تنظیمات!$B$10,1,0)</f>
        <v>0</v>
      </c>
      <c r="BA204" s="21" t="n">
        <f aca="false">IF(AND(OR(AD204="رایگان/VIP",AD204="جانباز"),AF204="خیر"),1,0)</f>
        <v>0</v>
      </c>
      <c r="BB204" s="21" t="n">
        <f aca="false">IF(AE204="",0,IF(COUNTIF($AE$2:$AE$1001,AE204)&gt;1,1,0))</f>
        <v>0</v>
      </c>
      <c r="BC204" s="21" t="n">
        <f aca="false">IF(AND(H204="",I204&gt;تنظیمات!$B$12*60,AM204="خالی"),1,0)</f>
        <v>0</v>
      </c>
      <c r="BD204" s="21" t="n">
        <f aca="false">IF(AND(AP204="بله",I204&lt;تنظیمات!$B$14,AO204="خیر"),1,0)</f>
        <v>0</v>
      </c>
      <c r="BE204" s="21" t="n">
        <f aca="false">IF(AN204="خیر",1,0)</f>
        <v>0</v>
      </c>
      <c r="BF204" s="21" t="n">
        <f aca="false">IF(AND(AD204="فیش مفقودی",AQ204="بله",I204&gt;تنظیمات!$B$12*60),1,0)</f>
        <v>0</v>
      </c>
      <c r="BG204" s="21" t="n">
        <f aca="false">IF(AND(AK204&gt;تنظیمات!$B$11,AL204="بله"),1,0)</f>
        <v>0</v>
      </c>
      <c r="BH204" s="21" t="n">
        <f aca="false">MIN(100,AR204*تنظیمات!$B$21+AS204*تنظیمات!$B$22+AT204*تنظیمات!$B$23+AU204*تنظیمات!$B$24+AV204*تنظیمات!$B$25+AW204*تنظیمات!$B$26+AX204*تنظیمات!$B$27+AY204*تنظیمات!$B$28+AZ204*تنظیمات!$B$29+BA204*تنظیمات!$B$30+BB204*تنظیمات!$B$31+BC204*تنظیمات!$B$32+BD204*تنظیمات!$B$33+BE204*تنظیمات!$B$34+BF204*تنظیمات!$B$35+BG204*تنظیمات!$B$36)</f>
        <v>0</v>
      </c>
      <c r="BI204" s="16" t="str">
        <f aca="false">IF(BH204&gt;=60,"بحرانی",IF(BH204&gt;=30,"مشکوک",IF(BH204&gt;0,"هشدار","عادی")))</f>
        <v>عادی</v>
      </c>
      <c r="BJ204" s="16" t="s">
        <v>338</v>
      </c>
    </row>
    <row r="205" customFormat="false" ht="15" hidden="false" customHeight="false" outlineLevel="0" collapsed="false">
      <c r="A205" s="16" t="s">
        <v>1093</v>
      </c>
      <c r="B205" s="16" t="s">
        <v>1094</v>
      </c>
      <c r="C205" s="16"/>
      <c r="D205" s="16" t="s">
        <v>531</v>
      </c>
      <c r="E205" s="16" t="s">
        <v>375</v>
      </c>
      <c r="F205" s="16" t="s">
        <v>333</v>
      </c>
      <c r="G205" s="17" t="n">
        <v>46283.7752199074</v>
      </c>
      <c r="H205" s="17" t="n">
        <v>46283.8564699074</v>
      </c>
      <c r="I205" s="18" t="n">
        <f aca="false">IF(H205="",ROUND((تنظیمات!$B$7-G205)*1440,0),ROUND((H205-G205)*1440,0))</f>
        <v>117</v>
      </c>
      <c r="J205" s="16" t="s">
        <v>346</v>
      </c>
      <c r="K205" s="16" t="s">
        <v>410</v>
      </c>
      <c r="L205" s="19" t="n">
        <v>0.932</v>
      </c>
      <c r="M205" s="19" t="n">
        <v>0.967</v>
      </c>
      <c r="N205" s="16" t="s">
        <v>335</v>
      </c>
      <c r="O205" s="16" t="s">
        <v>666</v>
      </c>
      <c r="P205" s="16" t="s">
        <v>420</v>
      </c>
      <c r="Q205" s="20" t="n">
        <v>46283</v>
      </c>
      <c r="R205" s="16" t="s">
        <v>1095</v>
      </c>
      <c r="S205" s="16" t="s">
        <v>404</v>
      </c>
      <c r="T205" s="17"/>
      <c r="U205" s="21" t="n">
        <v>1</v>
      </c>
      <c r="V205" s="21" t="n">
        <v>1</v>
      </c>
      <c r="W205" s="22" t="n">
        <v>3.9</v>
      </c>
      <c r="X205" s="16" t="s">
        <v>335</v>
      </c>
      <c r="Y205" s="16" t="s">
        <v>338</v>
      </c>
      <c r="Z205" s="16" t="s">
        <v>405</v>
      </c>
      <c r="AA205" s="16"/>
      <c r="AB205" s="23"/>
      <c r="AC205" s="17"/>
      <c r="AD205" s="16" t="s">
        <v>481</v>
      </c>
      <c r="AE205" s="16" t="s">
        <v>1096</v>
      </c>
      <c r="AF205" s="16" t="str">
        <f aca="false">IF(COUNTIF(لیست_سفید!$A$2:$A$21,B205)&gt;0,"بله","خیر")</f>
        <v>خیر</v>
      </c>
      <c r="AG205" s="24" t="n">
        <f aca="false">IF(H205="","",IF(AD205="فیش مفقودی",تنظیمات!$B$6,(INT(I205/1440)*تنظیمات!$B$5+IF(MOD(I205,1440)&lt;=تنظیمات!$B$2,0,MIN(تنظیمات!$B$5,تنظیمات!$B$3+MAX(0,ROUNDUP((MOD(I205,1440)-60)/60,0))*تنظیمات!$B$4)))*INDEX(تعرفه!$B$2:$B$7,MATCH(AD205,تعرفه!$A$2:$A$7,0))))</f>
        <v>17000</v>
      </c>
      <c r="AH205" s="24" t="n">
        <v>17000</v>
      </c>
      <c r="AI205" s="24" t="n">
        <f aca="false">IF(AG205="","",AH205-AG205)</f>
        <v>0</v>
      </c>
      <c r="AJ205" s="21" t="n">
        <v>-2</v>
      </c>
      <c r="AK205" s="21" t="n">
        <v>0</v>
      </c>
      <c r="AL205" s="16" t="s">
        <v>335</v>
      </c>
      <c r="AM205" s="16"/>
      <c r="AN205" s="16" t="s">
        <v>340</v>
      </c>
      <c r="AO205" s="16" t="s">
        <v>340</v>
      </c>
      <c r="AP205" s="16" t="s">
        <v>335</v>
      </c>
      <c r="AQ205" s="16"/>
      <c r="AR205" s="21" t="n">
        <f aca="false">IF(AND(T205&lt;&gt;"",H205&lt;&gt;""),IF(AND((T205-H205)*86400&gt;=0,(T205-H205)*86400&lt;تنظیمات!$B$13),1,0),0)</f>
        <v>0</v>
      </c>
      <c r="AS205" s="21" t="n">
        <f aca="false">IF(Z205="پوز",IF(OR(AB205="",COUNTIF(پوزها!$A$2:$A$5,AA205)=0),1,0),0)</f>
        <v>0</v>
      </c>
      <c r="AT205" s="21" t="n">
        <f aca="false">IF(AI205="",0,IF(AI205&gt;0,1,0))</f>
        <v>0</v>
      </c>
      <c r="AU205" s="21" t="n">
        <f aca="false">IF(AI205="",0,IF(AI205&lt;0,1,0))</f>
        <v>0</v>
      </c>
      <c r="AV205" s="21" t="n">
        <f aca="false">IF(U205&gt;V205,1,0)</f>
        <v>0</v>
      </c>
      <c r="AW205" s="21" t="n">
        <f aca="false">IF(OR(W205&gt;تنظیمات!$B$8,X205="بله"),1,0)</f>
        <v>0</v>
      </c>
      <c r="AX205" s="21" t="n">
        <f aca="false">IF(AND(N205="بله",L205&gt;تنظیمات!$B$9),1,0)</f>
        <v>0</v>
      </c>
      <c r="AY205" s="21" t="n">
        <f aca="false">IF(Y205="معکوس",1,0)</f>
        <v>0</v>
      </c>
      <c r="AZ205" s="21" t="n">
        <f aca="false">IF(ABS(AJ205)&gt;تنظیمات!$B$10,1,0)</f>
        <v>0</v>
      </c>
      <c r="BA205" s="21" t="n">
        <f aca="false">IF(AND(OR(AD205="رایگان/VIP",AD205="جانباز"),AF205="خیر"),1,0)</f>
        <v>0</v>
      </c>
      <c r="BB205" s="21" t="n">
        <f aca="false">IF(AE205="",0,IF(COUNTIF($AE$2:$AE$1001,AE205)&gt;1,1,0))</f>
        <v>1</v>
      </c>
      <c r="BC205" s="21" t="n">
        <f aca="false">IF(AND(H205="",I205&gt;تنظیمات!$B$12*60,AM205="خالی"),1,0)</f>
        <v>0</v>
      </c>
      <c r="BD205" s="21" t="n">
        <f aca="false">IF(AND(AP205="بله",I205&lt;تنظیمات!$B$14,AO205="خیر"),1,0)</f>
        <v>0</v>
      </c>
      <c r="BE205" s="21" t="n">
        <f aca="false">IF(AN205="خیر",1,0)</f>
        <v>0</v>
      </c>
      <c r="BF205" s="21" t="n">
        <f aca="false">IF(AND(AD205="فیش مفقودی",AQ205="بله",I205&gt;تنظیمات!$B$12*60),1,0)</f>
        <v>0</v>
      </c>
      <c r="BG205" s="21" t="n">
        <f aca="false">IF(AND(AK205&gt;تنظیمات!$B$11,AL205="بله"),1,0)</f>
        <v>0</v>
      </c>
      <c r="BH205" s="21" t="n">
        <f aca="false">MIN(100,AR205*تنظیمات!$B$21+AS205*تنظیمات!$B$22+AT205*تنظیمات!$B$23+AU205*تنظیمات!$B$24+AV205*تنظیمات!$B$25+AW205*تنظیمات!$B$26+AX205*تنظیمات!$B$27+AY205*تنظیمات!$B$28+AZ205*تنظیمات!$B$29+BA205*تنظیمات!$B$30+BB205*تنظیمات!$B$31+BC205*تنظیمات!$B$32+BD205*تنظیمات!$B$33+BE205*تنظیمات!$B$34+BF205*تنظیمات!$B$35+BG205*تنظیمات!$B$36)</f>
        <v>25</v>
      </c>
      <c r="BI205" s="16" t="str">
        <f aca="false">IF(BH205&gt;=60,"بحرانی",IF(BH205&gt;=30,"مشکوک",IF(BH205&gt;0,"هشدار","عادی")))</f>
        <v>هشدار</v>
      </c>
      <c r="BJ205" s="16" t="s">
        <v>950</v>
      </c>
    </row>
    <row r="206" customFormat="false" ht="15" hidden="false" customHeight="false" outlineLevel="0" collapsed="false">
      <c r="A206" s="16" t="s">
        <v>1097</v>
      </c>
      <c r="B206" s="16" t="s">
        <v>1090</v>
      </c>
      <c r="C206" s="16"/>
      <c r="D206" s="16" t="s">
        <v>531</v>
      </c>
      <c r="E206" s="16" t="s">
        <v>375</v>
      </c>
      <c r="F206" s="16" t="s">
        <v>333</v>
      </c>
      <c r="G206" s="17" t="n">
        <v>46283.8044560185</v>
      </c>
      <c r="H206" s="17" t="n">
        <v>46283.8391782407</v>
      </c>
      <c r="I206" s="18" t="n">
        <f aca="false">IF(H206="",ROUND((تنظیمات!$B$7-G206)*1440,0),ROUND((H206-G206)*1440,0))</f>
        <v>50</v>
      </c>
      <c r="J206" s="16" t="s">
        <v>334</v>
      </c>
      <c r="K206" s="16" t="s">
        <v>410</v>
      </c>
      <c r="L206" s="19" t="n">
        <v>0.937</v>
      </c>
      <c r="M206" s="19" t="n">
        <v>0.902</v>
      </c>
      <c r="N206" s="16" t="s">
        <v>335</v>
      </c>
      <c r="O206" s="16" t="s">
        <v>666</v>
      </c>
      <c r="P206" s="16" t="s">
        <v>420</v>
      </c>
      <c r="Q206" s="20" t="n">
        <v>46283</v>
      </c>
      <c r="R206" s="16" t="s">
        <v>1098</v>
      </c>
      <c r="S206" s="16" t="s">
        <v>404</v>
      </c>
      <c r="T206" s="17"/>
      <c r="U206" s="21" t="n">
        <v>1</v>
      </c>
      <c r="V206" s="21" t="n">
        <v>1</v>
      </c>
      <c r="W206" s="22" t="n">
        <v>4</v>
      </c>
      <c r="X206" s="16" t="s">
        <v>335</v>
      </c>
      <c r="Y206" s="16" t="s">
        <v>338</v>
      </c>
      <c r="Z206" s="16" t="s">
        <v>413</v>
      </c>
      <c r="AA206" s="16" t="s">
        <v>414</v>
      </c>
      <c r="AB206" s="23" t="s">
        <v>1099</v>
      </c>
      <c r="AC206" s="17" t="n">
        <v>46283.8381828704</v>
      </c>
      <c r="AD206" s="16" t="s">
        <v>338</v>
      </c>
      <c r="AE206" s="16"/>
      <c r="AF206" s="16" t="str">
        <f aca="false">IF(COUNTIF(لیست_سفید!$A$2:$A$21,B206)&gt;0,"بله","خیر")</f>
        <v>خیر</v>
      </c>
      <c r="AG206" s="24" t="n">
        <f aca="false">IF(H206="","",IF(AD206="فیش مفقودی",تنظیمات!$B$6,(INT(I206/1440)*تنظیمات!$B$5+IF(MOD(I206,1440)&lt;=تنظیمات!$B$2,0,MIN(تنظیمات!$B$5,تنظیمات!$B$3+MAX(0,ROUNDUP((MOD(I206,1440)-60)/60,0))*تنظیمات!$B$4)))*INDEX(تعرفه!$B$2:$B$7,MATCH(AD206,تعرفه!$A$2:$A$7,0))))</f>
        <v>20000</v>
      </c>
      <c r="AH206" s="24" t="n">
        <v>20000</v>
      </c>
      <c r="AI206" s="24" t="n">
        <f aca="false">IF(AG206="","",AH206-AG206)</f>
        <v>0</v>
      </c>
      <c r="AJ206" s="21" t="n">
        <v>-1</v>
      </c>
      <c r="AK206" s="21" t="n">
        <v>0</v>
      </c>
      <c r="AL206" s="16" t="s">
        <v>335</v>
      </c>
      <c r="AM206" s="16"/>
      <c r="AN206" s="16" t="s">
        <v>340</v>
      </c>
      <c r="AO206" s="16" t="s">
        <v>340</v>
      </c>
      <c r="AP206" s="16" t="s">
        <v>335</v>
      </c>
      <c r="AQ206" s="16"/>
      <c r="AR206" s="21" t="n">
        <f aca="false">IF(AND(T206&lt;&gt;"",H206&lt;&gt;""),IF(AND((T206-H206)*86400&gt;=0,(T206-H206)*86400&lt;تنظیمات!$B$13),1,0),0)</f>
        <v>0</v>
      </c>
      <c r="AS206" s="21" t="n">
        <f aca="false">IF(Z206="پوز",IF(OR(AB206="",COUNTIF(پوزها!$A$2:$A$5,AA206)=0),1,0),0)</f>
        <v>0</v>
      </c>
      <c r="AT206" s="21" t="n">
        <f aca="false">IF(AI206="",0,IF(AI206&gt;0,1,0))</f>
        <v>0</v>
      </c>
      <c r="AU206" s="21" t="n">
        <f aca="false">IF(AI206="",0,IF(AI206&lt;0,1,0))</f>
        <v>0</v>
      </c>
      <c r="AV206" s="21" t="n">
        <f aca="false">IF(U206&gt;V206,1,0)</f>
        <v>0</v>
      </c>
      <c r="AW206" s="21" t="n">
        <f aca="false">IF(OR(W206&gt;تنظیمات!$B$8,X206="بله"),1,0)</f>
        <v>0</v>
      </c>
      <c r="AX206" s="21" t="n">
        <f aca="false">IF(AND(N206="بله",L206&gt;تنظیمات!$B$9),1,0)</f>
        <v>0</v>
      </c>
      <c r="AY206" s="21" t="n">
        <f aca="false">IF(Y206="معکوس",1,0)</f>
        <v>0</v>
      </c>
      <c r="AZ206" s="21" t="n">
        <f aca="false">IF(ABS(AJ206)&gt;تنظیمات!$B$10,1,0)</f>
        <v>0</v>
      </c>
      <c r="BA206" s="21" t="n">
        <f aca="false">IF(AND(OR(AD206="رایگان/VIP",AD206="جانباز"),AF206="خیر"),1,0)</f>
        <v>0</v>
      </c>
      <c r="BB206" s="21" t="n">
        <f aca="false">IF(AE206="",0,IF(COUNTIF($AE$2:$AE$1001,AE206)&gt;1,1,0))</f>
        <v>0</v>
      </c>
      <c r="BC206" s="21" t="n">
        <f aca="false">IF(AND(H206="",I206&gt;تنظیمات!$B$12*60,AM206="خالی"),1,0)</f>
        <v>0</v>
      </c>
      <c r="BD206" s="21" t="n">
        <f aca="false">IF(AND(AP206="بله",I206&lt;تنظیمات!$B$14,AO206="خیر"),1,0)</f>
        <v>0</v>
      </c>
      <c r="BE206" s="21" t="n">
        <f aca="false">IF(AN206="خیر",1,0)</f>
        <v>0</v>
      </c>
      <c r="BF206" s="21" t="n">
        <f aca="false">IF(AND(AD206="فیش مفقودی",AQ206="بله",I206&gt;تنظیمات!$B$12*60),1,0)</f>
        <v>0</v>
      </c>
      <c r="BG206" s="21" t="n">
        <f aca="false">IF(AND(AK206&gt;تنظیمات!$B$11,AL206="بله"),1,0)</f>
        <v>0</v>
      </c>
      <c r="BH206" s="21" t="n">
        <f aca="false">MIN(100,AR206*تنظیمات!$B$21+AS206*تنظیمات!$B$22+AT206*تنظیمات!$B$23+AU206*تنظیمات!$B$24+AV206*تنظیمات!$B$25+AW206*تنظیمات!$B$26+AX206*تنظیمات!$B$27+AY206*تنظیمات!$B$28+AZ206*تنظیمات!$B$29+BA206*تنظیمات!$B$30+BB206*تنظیمات!$B$31+BC206*تنظیمات!$B$32+BD206*تنظیمات!$B$33+BE206*تنظیمات!$B$34+BF206*تنظیمات!$B$35+BG206*تنظیمات!$B$36)</f>
        <v>0</v>
      </c>
      <c r="BI206" s="16" t="str">
        <f aca="false">IF(BH206&gt;=60,"بحرانی",IF(BH206&gt;=30,"مشکوک",IF(BH206&gt;0,"هشدار","عادی")))</f>
        <v>عادی</v>
      </c>
      <c r="BJ206" s="16" t="s">
        <v>338</v>
      </c>
    </row>
    <row r="207" customFormat="false" ht="15" hidden="false" customHeight="false" outlineLevel="0" collapsed="false">
      <c r="A207" s="16" t="s">
        <v>1100</v>
      </c>
      <c r="B207" s="16" t="s">
        <v>378</v>
      </c>
      <c r="C207" s="16"/>
      <c r="D207" s="16" t="s">
        <v>350</v>
      </c>
      <c r="E207" s="16" t="s">
        <v>351</v>
      </c>
      <c r="F207" s="16" t="s">
        <v>333</v>
      </c>
      <c r="G207" s="17" t="n">
        <v>46283.8637731482</v>
      </c>
      <c r="H207" s="17" t="n">
        <v>46284.4950231482</v>
      </c>
      <c r="I207" s="18" t="n">
        <f aca="false">IF(H207="",ROUND((تنظیمات!$B$7-G207)*1440,0),ROUND((H207-G207)*1440,0))</f>
        <v>909</v>
      </c>
      <c r="J207" s="16" t="s">
        <v>346</v>
      </c>
      <c r="K207" s="16" t="s">
        <v>400</v>
      </c>
      <c r="L207" s="19" t="n">
        <v>0.929</v>
      </c>
      <c r="M207" s="19" t="n">
        <v>0.944</v>
      </c>
      <c r="N207" s="16" t="s">
        <v>335</v>
      </c>
      <c r="O207" s="16" t="s">
        <v>425</v>
      </c>
      <c r="P207" s="16" t="s">
        <v>402</v>
      </c>
      <c r="Q207" s="20" t="n">
        <v>46284</v>
      </c>
      <c r="R207" s="16" t="s">
        <v>1101</v>
      </c>
      <c r="S207" s="16" t="s">
        <v>404</v>
      </c>
      <c r="T207" s="17"/>
      <c r="U207" s="21" t="n">
        <v>1</v>
      </c>
      <c r="V207" s="21" t="n">
        <v>1</v>
      </c>
      <c r="W207" s="22" t="n">
        <v>5.5</v>
      </c>
      <c r="X207" s="16" t="s">
        <v>335</v>
      </c>
      <c r="Y207" s="16" t="s">
        <v>338</v>
      </c>
      <c r="Z207" s="16" t="s">
        <v>413</v>
      </c>
      <c r="AA207" s="16" t="s">
        <v>427</v>
      </c>
      <c r="AB207" s="23" t="s">
        <v>1102</v>
      </c>
      <c r="AC207" s="17" t="n">
        <v>46284.4947106482</v>
      </c>
      <c r="AD207" s="16" t="s">
        <v>406</v>
      </c>
      <c r="AE207" s="16"/>
      <c r="AF207" s="16" t="str">
        <f aca="false">IF(COUNTIF(لیست_سفید!$A$2:$A$21,B207)&gt;0,"بله","خیر")</f>
        <v>خیر</v>
      </c>
      <c r="AG207" s="24" t="n">
        <f aca="false">IF(H207="","",IF(AD207="فیش مفقودی",تنظیمات!$B$6,(INT(I207/1440)*تنظیمات!$B$5+IF(MOD(I207,1440)&lt;=تنظیمات!$B$2,0,MIN(تنظیمات!$B$5,تنظیمات!$B$3+MAX(0,ROUNDUP((MOD(I207,1440)-60)/60,0))*تنظیمات!$B$4)))*INDEX(تعرفه!$B$2:$B$7,MATCH(AD207,تعرفه!$A$2:$A$7,0))))</f>
        <v>300000</v>
      </c>
      <c r="AH207" s="24" t="n">
        <v>300000</v>
      </c>
      <c r="AI207" s="24" t="n">
        <f aca="false">IF(AG207="","",AH207-AG207)</f>
        <v>0</v>
      </c>
      <c r="AJ207" s="21" t="n">
        <v>1</v>
      </c>
      <c r="AK207" s="21" t="n">
        <v>0</v>
      </c>
      <c r="AL207" s="16" t="s">
        <v>335</v>
      </c>
      <c r="AM207" s="16"/>
      <c r="AN207" s="16" t="s">
        <v>340</v>
      </c>
      <c r="AO207" s="16" t="s">
        <v>340</v>
      </c>
      <c r="AP207" s="16" t="s">
        <v>335</v>
      </c>
      <c r="AQ207" s="16" t="s">
        <v>340</v>
      </c>
      <c r="AR207" s="21" t="n">
        <f aca="false">IF(AND(T207&lt;&gt;"",H207&lt;&gt;""),IF(AND((T207-H207)*86400&gt;=0,(T207-H207)*86400&lt;تنظیمات!$B$13),1,0),0)</f>
        <v>0</v>
      </c>
      <c r="AS207" s="21" t="n">
        <f aca="false">IF(Z207="پوز",IF(OR(AB207="",COUNTIF(پوزها!$A$2:$A$5,AA207)=0),1,0),0)</f>
        <v>0</v>
      </c>
      <c r="AT207" s="21" t="n">
        <f aca="false">IF(AI207="",0,IF(AI207&gt;0,1,0))</f>
        <v>0</v>
      </c>
      <c r="AU207" s="21" t="n">
        <f aca="false">IF(AI207="",0,IF(AI207&lt;0,1,0))</f>
        <v>0</v>
      </c>
      <c r="AV207" s="21" t="n">
        <f aca="false">IF(U207&gt;V207,1,0)</f>
        <v>0</v>
      </c>
      <c r="AW207" s="21" t="n">
        <f aca="false">IF(OR(W207&gt;تنظیمات!$B$8,X207="بله"),1,0)</f>
        <v>0</v>
      </c>
      <c r="AX207" s="21" t="n">
        <f aca="false">IF(AND(N207="بله",L207&gt;تنظیمات!$B$9),1,0)</f>
        <v>0</v>
      </c>
      <c r="AY207" s="21" t="n">
        <f aca="false">IF(Y207="معکوس",1,0)</f>
        <v>0</v>
      </c>
      <c r="AZ207" s="21" t="n">
        <f aca="false">IF(ABS(AJ207)&gt;تنظیمات!$B$10,1,0)</f>
        <v>0</v>
      </c>
      <c r="BA207" s="21" t="n">
        <f aca="false">IF(AND(OR(AD207="رایگان/VIP",AD207="جانباز"),AF207="خیر"),1,0)</f>
        <v>0</v>
      </c>
      <c r="BB207" s="21" t="n">
        <f aca="false">IF(AE207="",0,IF(COUNTIF($AE$2:$AE$1001,AE207)&gt;1,1,0))</f>
        <v>0</v>
      </c>
      <c r="BC207" s="21" t="n">
        <f aca="false">IF(AND(H207="",I207&gt;تنظیمات!$B$12*60,AM207="خالی"),1,0)</f>
        <v>0</v>
      </c>
      <c r="BD207" s="21" t="n">
        <f aca="false">IF(AND(AP207="بله",I207&lt;تنظیمات!$B$14,AO207="خیر"),1,0)</f>
        <v>0</v>
      </c>
      <c r="BE207" s="21" t="n">
        <f aca="false">IF(AN207="خیر",1,0)</f>
        <v>0</v>
      </c>
      <c r="BF207" s="21" t="n">
        <f aca="false">IF(AND(AD207="فیش مفقودی",AQ207="بله",I207&gt;تنظیمات!$B$12*60),1,0)</f>
        <v>0</v>
      </c>
      <c r="BG207" s="21" t="n">
        <f aca="false">IF(AND(AK207&gt;تنظیمات!$B$11,AL207="بله"),1,0)</f>
        <v>0</v>
      </c>
      <c r="BH207" s="21" t="n">
        <f aca="false">MIN(100,AR207*تنظیمات!$B$21+AS207*تنظیمات!$B$22+AT207*تنظیمات!$B$23+AU207*تنظیمات!$B$24+AV207*تنظیمات!$B$25+AW207*تنظیمات!$B$26+AX207*تنظیمات!$B$27+AY207*تنظیمات!$B$28+AZ207*تنظیمات!$B$29+BA207*تنظیمات!$B$30+BB207*تنظیمات!$B$31+BC207*تنظیمات!$B$32+BD207*تنظیمات!$B$33+BE207*تنظیمات!$B$34+BF207*تنظیمات!$B$35+BG207*تنظیمات!$B$36)</f>
        <v>0</v>
      </c>
      <c r="BI207" s="16" t="str">
        <f aca="false">IF(BH207&gt;=60,"بحرانی",IF(BH207&gt;=30,"مشکوک",IF(BH207&gt;0,"هشدار","عادی")))</f>
        <v>عادی</v>
      </c>
      <c r="BJ207" s="16" t="s">
        <v>338</v>
      </c>
    </row>
    <row r="208" customFormat="false" ht="15" hidden="false" customHeight="false" outlineLevel="0" collapsed="false">
      <c r="A208" s="16" t="s">
        <v>1103</v>
      </c>
      <c r="B208" s="16" t="s">
        <v>1104</v>
      </c>
      <c r="C208" s="16"/>
      <c r="D208" s="16" t="s">
        <v>431</v>
      </c>
      <c r="E208" s="16" t="s">
        <v>345</v>
      </c>
      <c r="F208" s="16" t="s">
        <v>333</v>
      </c>
      <c r="G208" s="17" t="n">
        <v>46283.9259953704</v>
      </c>
      <c r="H208" s="17" t="n">
        <v>46283.9454398148</v>
      </c>
      <c r="I208" s="18" t="n">
        <f aca="false">IF(H208="",ROUND((تنظیمات!$B$7-G208)*1440,0),ROUND((H208-G208)*1440,0))</f>
        <v>28</v>
      </c>
      <c r="J208" s="16" t="s">
        <v>334</v>
      </c>
      <c r="K208" s="16" t="s">
        <v>400</v>
      </c>
      <c r="L208" s="19" t="n">
        <v>0.908</v>
      </c>
      <c r="M208" s="19" t="n">
        <v>0.994</v>
      </c>
      <c r="N208" s="16" t="s">
        <v>335</v>
      </c>
      <c r="O208" s="16" t="s">
        <v>677</v>
      </c>
      <c r="P208" s="16" t="s">
        <v>651</v>
      </c>
      <c r="Q208" s="20" t="n">
        <v>46283</v>
      </c>
      <c r="R208" s="16" t="s">
        <v>1105</v>
      </c>
      <c r="S208" s="16" t="s">
        <v>404</v>
      </c>
      <c r="T208" s="17"/>
      <c r="U208" s="21" t="n">
        <v>1</v>
      </c>
      <c r="V208" s="21" t="n">
        <v>1</v>
      </c>
      <c r="W208" s="22" t="n">
        <v>6.9</v>
      </c>
      <c r="X208" s="16" t="s">
        <v>335</v>
      </c>
      <c r="Y208" s="16" t="s">
        <v>338</v>
      </c>
      <c r="Z208" s="16" t="s">
        <v>413</v>
      </c>
      <c r="AA208" s="16" t="s">
        <v>427</v>
      </c>
      <c r="AB208" s="23" t="s">
        <v>1106</v>
      </c>
      <c r="AC208" s="17" t="n">
        <v>46283.944537037</v>
      </c>
      <c r="AD208" s="16" t="s">
        <v>338</v>
      </c>
      <c r="AE208" s="16"/>
      <c r="AF208" s="16" t="str">
        <f aca="false">IF(COUNTIF(لیست_سفید!$A$2:$A$21,B208)&gt;0,"بله","خیر")</f>
        <v>خیر</v>
      </c>
      <c r="AG208" s="24" t="n">
        <f aca="false">IF(H208="","",IF(AD208="فیش مفقودی",تنظیمات!$B$6,(INT(I208/1440)*تنظیمات!$B$5+IF(MOD(I208,1440)&lt;=تنظیمات!$B$2,0,MIN(تنظیمات!$B$5,تنظیمات!$B$3+MAX(0,ROUNDUP((MOD(I208,1440)-60)/60,0))*تنظیمات!$B$4)))*INDEX(تعرفه!$B$2:$B$7,MATCH(AD208,تعرفه!$A$2:$A$7,0))))</f>
        <v>20000</v>
      </c>
      <c r="AH208" s="24" t="n">
        <v>20000</v>
      </c>
      <c r="AI208" s="24" t="n">
        <f aca="false">IF(AG208="","",AH208-AG208)</f>
        <v>0</v>
      </c>
      <c r="AJ208" s="21" t="n">
        <v>0</v>
      </c>
      <c r="AK208" s="21" t="n">
        <v>0</v>
      </c>
      <c r="AL208" s="16" t="s">
        <v>335</v>
      </c>
      <c r="AM208" s="16"/>
      <c r="AN208" s="16" t="s">
        <v>340</v>
      </c>
      <c r="AO208" s="16" t="s">
        <v>340</v>
      </c>
      <c r="AP208" s="16" t="s">
        <v>335</v>
      </c>
      <c r="AQ208" s="16"/>
      <c r="AR208" s="21" t="n">
        <f aca="false">IF(AND(T208&lt;&gt;"",H208&lt;&gt;""),IF(AND((T208-H208)*86400&gt;=0,(T208-H208)*86400&lt;تنظیمات!$B$13),1,0),0)</f>
        <v>0</v>
      </c>
      <c r="AS208" s="21" t="n">
        <f aca="false">IF(Z208="پوز",IF(OR(AB208="",COUNTIF(پوزها!$A$2:$A$5,AA208)=0),1,0),0)</f>
        <v>0</v>
      </c>
      <c r="AT208" s="21" t="n">
        <f aca="false">IF(AI208="",0,IF(AI208&gt;0,1,0))</f>
        <v>0</v>
      </c>
      <c r="AU208" s="21" t="n">
        <f aca="false">IF(AI208="",0,IF(AI208&lt;0,1,0))</f>
        <v>0</v>
      </c>
      <c r="AV208" s="21" t="n">
        <f aca="false">IF(U208&gt;V208,1,0)</f>
        <v>0</v>
      </c>
      <c r="AW208" s="21" t="n">
        <f aca="false">IF(OR(W208&gt;تنظیمات!$B$8,X208="بله"),1,0)</f>
        <v>0</v>
      </c>
      <c r="AX208" s="21" t="n">
        <f aca="false">IF(AND(N208="بله",L208&gt;تنظیمات!$B$9),1,0)</f>
        <v>0</v>
      </c>
      <c r="AY208" s="21" t="n">
        <f aca="false">IF(Y208="معکوس",1,0)</f>
        <v>0</v>
      </c>
      <c r="AZ208" s="21" t="n">
        <f aca="false">IF(ABS(AJ208)&gt;تنظیمات!$B$10,1,0)</f>
        <v>0</v>
      </c>
      <c r="BA208" s="21" t="n">
        <f aca="false">IF(AND(OR(AD208="رایگان/VIP",AD208="جانباز"),AF208="خیر"),1,0)</f>
        <v>0</v>
      </c>
      <c r="BB208" s="21" t="n">
        <f aca="false">IF(AE208="",0,IF(COUNTIF($AE$2:$AE$1001,AE208)&gt;1,1,0))</f>
        <v>0</v>
      </c>
      <c r="BC208" s="21" t="n">
        <f aca="false">IF(AND(H208="",I208&gt;تنظیمات!$B$12*60,AM208="خالی"),1,0)</f>
        <v>0</v>
      </c>
      <c r="BD208" s="21" t="n">
        <f aca="false">IF(AND(AP208="بله",I208&lt;تنظیمات!$B$14,AO208="خیر"),1,0)</f>
        <v>0</v>
      </c>
      <c r="BE208" s="21" t="n">
        <f aca="false">IF(AN208="خیر",1,0)</f>
        <v>0</v>
      </c>
      <c r="BF208" s="21" t="n">
        <f aca="false">IF(AND(AD208="فیش مفقودی",AQ208="بله",I208&gt;تنظیمات!$B$12*60),1,0)</f>
        <v>0</v>
      </c>
      <c r="BG208" s="21" t="n">
        <f aca="false">IF(AND(AK208&gt;تنظیمات!$B$11,AL208="بله"),1,0)</f>
        <v>0</v>
      </c>
      <c r="BH208" s="21" t="n">
        <f aca="false">MIN(100,AR208*تنظیمات!$B$21+AS208*تنظیمات!$B$22+AT208*تنظیمات!$B$23+AU208*تنظیمات!$B$24+AV208*تنظیمات!$B$25+AW208*تنظیمات!$B$26+AX208*تنظیمات!$B$27+AY208*تنظیمات!$B$28+AZ208*تنظیمات!$B$29+BA208*تنظیمات!$B$30+BB208*تنظیمات!$B$31+BC208*تنظیمات!$B$32+BD208*تنظیمات!$B$33+BE208*تنظیمات!$B$34+BF208*تنظیمات!$B$35+BG208*تنظیمات!$B$36)</f>
        <v>0</v>
      </c>
      <c r="BI208" s="16" t="str">
        <f aca="false">IF(BH208&gt;=60,"بحرانی",IF(BH208&gt;=30,"مشکوک",IF(BH208&gt;0,"هشدار","عادی")))</f>
        <v>عادی</v>
      </c>
      <c r="BJ208" s="16" t="s">
        <v>338</v>
      </c>
    </row>
    <row r="209" customFormat="false" ht="15" hidden="false" customHeight="false" outlineLevel="0" collapsed="false">
      <c r="A209" s="16" t="s">
        <v>1107</v>
      </c>
      <c r="B209" s="16" t="s">
        <v>915</v>
      </c>
      <c r="C209" s="16"/>
      <c r="D209" s="16" t="s">
        <v>374</v>
      </c>
      <c r="E209" s="16" t="s">
        <v>332</v>
      </c>
      <c r="F209" s="16" t="s">
        <v>359</v>
      </c>
      <c r="G209" s="17" t="n">
        <v>46283.9327083333</v>
      </c>
      <c r="H209" s="17" t="n">
        <v>46283.9389583333</v>
      </c>
      <c r="I209" s="18" t="n">
        <f aca="false">IF(H209="",ROUND((تنظیمات!$B$7-G209)*1440,0),ROUND((H209-G209)*1440,0))</f>
        <v>9</v>
      </c>
      <c r="J209" s="16" t="s">
        <v>334</v>
      </c>
      <c r="K209" s="16" t="s">
        <v>400</v>
      </c>
      <c r="L209" s="19" t="n">
        <v>0.939</v>
      </c>
      <c r="M209" s="19" t="n">
        <v>0.9</v>
      </c>
      <c r="N209" s="16" t="s">
        <v>335</v>
      </c>
      <c r="O209" s="16" t="s">
        <v>677</v>
      </c>
      <c r="P209" s="16" t="s">
        <v>651</v>
      </c>
      <c r="Q209" s="20" t="n">
        <v>46283</v>
      </c>
      <c r="R209" s="16" t="s">
        <v>1108</v>
      </c>
      <c r="S209" s="16" t="s">
        <v>404</v>
      </c>
      <c r="T209" s="17"/>
      <c r="U209" s="21" t="n">
        <v>1</v>
      </c>
      <c r="V209" s="21" t="n">
        <v>1</v>
      </c>
      <c r="W209" s="22" t="n">
        <v>6.7</v>
      </c>
      <c r="X209" s="16" t="s">
        <v>335</v>
      </c>
      <c r="Y209" s="16" t="s">
        <v>338</v>
      </c>
      <c r="Z209" s="16" t="s">
        <v>628</v>
      </c>
      <c r="AA209" s="16"/>
      <c r="AB209" s="23"/>
      <c r="AC209" s="17"/>
      <c r="AD209" s="16" t="s">
        <v>338</v>
      </c>
      <c r="AE209" s="16"/>
      <c r="AF209" s="16" t="str">
        <f aca="false">IF(COUNTIF(لیست_سفید!$A$2:$A$21,B209)&gt;0,"بله","خیر")</f>
        <v>خیر</v>
      </c>
      <c r="AG209" s="24" t="n">
        <f aca="false">IF(H209="","",IF(AD209="فیش مفقودی",تنظیمات!$B$6,(INT(I209/1440)*تنظیمات!$B$5+IF(MOD(I209,1440)&lt;=تنظیمات!$B$2,0,MIN(تنظیمات!$B$5,تنظیمات!$B$3+MAX(0,ROUNDUP((MOD(I209,1440)-60)/60,0))*تنظیمات!$B$4)))*INDEX(تعرفه!$B$2:$B$7,MATCH(AD209,تعرفه!$A$2:$A$7,0))))</f>
        <v>0</v>
      </c>
      <c r="AH209" s="24" t="n">
        <v>0</v>
      </c>
      <c r="AI209" s="24" t="n">
        <f aca="false">IF(AG209="","",AH209-AG209)</f>
        <v>0</v>
      </c>
      <c r="AJ209" s="21" t="n">
        <v>1</v>
      </c>
      <c r="AK209" s="21" t="n">
        <v>14</v>
      </c>
      <c r="AL209" s="16" t="s">
        <v>335</v>
      </c>
      <c r="AM209" s="16"/>
      <c r="AN209" s="16" t="s">
        <v>340</v>
      </c>
      <c r="AO209" s="16" t="s">
        <v>340</v>
      </c>
      <c r="AP209" s="16" t="s">
        <v>335</v>
      </c>
      <c r="AQ209" s="16"/>
      <c r="AR209" s="21" t="n">
        <f aca="false">IF(AND(T209&lt;&gt;"",H209&lt;&gt;""),IF(AND((T209-H209)*86400&gt;=0,(T209-H209)*86400&lt;تنظیمات!$B$13),1,0),0)</f>
        <v>0</v>
      </c>
      <c r="AS209" s="21" t="n">
        <f aca="false">IF(Z209="پوز",IF(OR(AB209="",COUNTIF(پوزها!$A$2:$A$5,AA209)=0),1,0),0)</f>
        <v>0</v>
      </c>
      <c r="AT209" s="21" t="n">
        <f aca="false">IF(AI209="",0,IF(AI209&gt;0,1,0))</f>
        <v>0</v>
      </c>
      <c r="AU209" s="21" t="n">
        <f aca="false">IF(AI209="",0,IF(AI209&lt;0,1,0))</f>
        <v>0</v>
      </c>
      <c r="AV209" s="21" t="n">
        <f aca="false">IF(U209&gt;V209,1,0)</f>
        <v>0</v>
      </c>
      <c r="AW209" s="21" t="n">
        <f aca="false">IF(OR(W209&gt;تنظیمات!$B$8,X209="بله"),1,0)</f>
        <v>0</v>
      </c>
      <c r="AX209" s="21" t="n">
        <f aca="false">IF(AND(N209="بله",L209&gt;تنظیمات!$B$9),1,0)</f>
        <v>0</v>
      </c>
      <c r="AY209" s="21" t="n">
        <f aca="false">IF(Y209="معکوس",1,0)</f>
        <v>0</v>
      </c>
      <c r="AZ209" s="21" t="n">
        <f aca="false">IF(ABS(AJ209)&gt;تنظیمات!$B$10,1,0)</f>
        <v>0</v>
      </c>
      <c r="BA209" s="21" t="n">
        <f aca="false">IF(AND(OR(AD209="رایگان/VIP",AD209="جانباز"),AF209="خیر"),1,0)</f>
        <v>0</v>
      </c>
      <c r="BB209" s="21" t="n">
        <f aca="false">IF(AE209="",0,IF(COUNTIF($AE$2:$AE$1001,AE209)&gt;1,1,0))</f>
        <v>0</v>
      </c>
      <c r="BC209" s="21" t="n">
        <f aca="false">IF(AND(H209="",I209&gt;تنظیمات!$B$12*60,AM209="خالی"),1,0)</f>
        <v>0</v>
      </c>
      <c r="BD209" s="21" t="n">
        <f aca="false">IF(AND(AP209="بله",I209&lt;تنظیمات!$B$14,AO209="خیر"),1,0)</f>
        <v>0</v>
      </c>
      <c r="BE209" s="21" t="n">
        <f aca="false">IF(AN209="خیر",1,0)</f>
        <v>0</v>
      </c>
      <c r="BF209" s="21" t="n">
        <f aca="false">IF(AND(AD209="فیش مفقودی",AQ209="بله",I209&gt;تنظیمات!$B$12*60),1,0)</f>
        <v>0</v>
      </c>
      <c r="BG209" s="21" t="n">
        <f aca="false">IF(AND(AK209&gt;تنظیمات!$B$11,AL209="بله"),1,0)</f>
        <v>0</v>
      </c>
      <c r="BH209" s="21" t="n">
        <f aca="false">MIN(100,AR209*تنظیمات!$B$21+AS209*تنظیمات!$B$22+AT209*تنظیمات!$B$23+AU209*تنظیمات!$B$24+AV209*تنظیمات!$B$25+AW209*تنظیمات!$B$26+AX209*تنظیمات!$B$27+AY209*تنظیمات!$B$28+AZ209*تنظیمات!$B$29+BA209*تنظیمات!$B$30+BB209*تنظیمات!$B$31+BC209*تنظیمات!$B$32+BD209*تنظیمات!$B$33+BE209*تنظیمات!$B$34+BF209*تنظیمات!$B$35+BG209*تنظیمات!$B$36)</f>
        <v>0</v>
      </c>
      <c r="BI209" s="16" t="str">
        <f aca="false">IF(BH209&gt;=60,"بحرانی",IF(BH209&gt;=30,"مشکوک",IF(BH209&gt;0,"هشدار","عادی")))</f>
        <v>عادی</v>
      </c>
      <c r="BJ209" s="16" t="s">
        <v>338</v>
      </c>
    </row>
    <row r="210" customFormat="false" ht="15" hidden="false" customHeight="false" outlineLevel="0" collapsed="false">
      <c r="A210" s="16" t="s">
        <v>1109</v>
      </c>
      <c r="B210" s="16" t="s">
        <v>1110</v>
      </c>
      <c r="C210" s="16"/>
      <c r="D210" s="16" t="s">
        <v>440</v>
      </c>
      <c r="E210" s="16" t="s">
        <v>351</v>
      </c>
      <c r="F210" s="16" t="s">
        <v>359</v>
      </c>
      <c r="G210" s="17" t="n">
        <v>46284.1221180556</v>
      </c>
      <c r="H210" s="17" t="n">
        <v>46284.3693402778</v>
      </c>
      <c r="I210" s="18" t="n">
        <f aca="false">IF(H210="",ROUND((تنظیمات!$B$7-G210)*1440,0),ROUND((H210-G210)*1440,0))</f>
        <v>356</v>
      </c>
      <c r="J210" s="16" t="s">
        <v>346</v>
      </c>
      <c r="K210" s="16" t="s">
        <v>400</v>
      </c>
      <c r="L210" s="19" t="n">
        <v>0.978</v>
      </c>
      <c r="M210" s="19" t="n">
        <v>0.964</v>
      </c>
      <c r="N210" s="16" t="s">
        <v>335</v>
      </c>
      <c r="O210" s="16" t="s">
        <v>425</v>
      </c>
      <c r="P210" s="16" t="s">
        <v>402</v>
      </c>
      <c r="Q210" s="20" t="n">
        <v>46284</v>
      </c>
      <c r="R210" s="16" t="s">
        <v>1111</v>
      </c>
      <c r="S210" s="16" t="s">
        <v>404</v>
      </c>
      <c r="T210" s="17"/>
      <c r="U210" s="21" t="n">
        <v>1</v>
      </c>
      <c r="V210" s="21" t="n">
        <v>1</v>
      </c>
      <c r="W210" s="22" t="n">
        <v>5.6</v>
      </c>
      <c r="X210" s="16" t="s">
        <v>335</v>
      </c>
      <c r="Y210" s="16" t="s">
        <v>338</v>
      </c>
      <c r="Z210" s="16" t="s">
        <v>443</v>
      </c>
      <c r="AA210" s="16"/>
      <c r="AB210" s="23"/>
      <c r="AC210" s="17"/>
      <c r="AD210" s="16" t="s">
        <v>444</v>
      </c>
      <c r="AE210" s="16"/>
      <c r="AF210" s="16" t="str">
        <f aca="false">IF(COUNTIF(لیست_سفید!$A$2:$A$21,B210)&gt;0,"بله","خیر")</f>
        <v>خیر</v>
      </c>
      <c r="AG210" s="24" t="n">
        <f aca="false">IF(H210="","",IF(AD210="فیش مفقودی",تنظیمات!$B$6,(INT(I210/1440)*تنظیمات!$B$5+IF(MOD(I210,1440)&lt;=تنظیمات!$B$2,0,MIN(تنظیمات!$B$5,تنظیمات!$B$3+MAX(0,ROUNDUP((MOD(I210,1440)-60)/60,0))*تنظیمات!$B$4)))*INDEX(تعرفه!$B$2:$B$7,MATCH(AD210,تعرفه!$A$2:$A$7,0))))</f>
        <v>0</v>
      </c>
      <c r="AH210" s="24" t="n">
        <v>0</v>
      </c>
      <c r="AI210" s="24" t="n">
        <f aca="false">IF(AG210="","",AH210-AG210)</f>
        <v>0</v>
      </c>
      <c r="AJ210" s="21" t="n">
        <v>-1</v>
      </c>
      <c r="AK210" s="21" t="n">
        <v>0</v>
      </c>
      <c r="AL210" s="16" t="s">
        <v>335</v>
      </c>
      <c r="AM210" s="16"/>
      <c r="AN210" s="16" t="s">
        <v>340</v>
      </c>
      <c r="AO210" s="16" t="s">
        <v>340</v>
      </c>
      <c r="AP210" s="16" t="s">
        <v>335</v>
      </c>
      <c r="AQ210" s="16"/>
      <c r="AR210" s="21" t="n">
        <f aca="false">IF(AND(T210&lt;&gt;"",H210&lt;&gt;""),IF(AND((T210-H210)*86400&gt;=0,(T210-H210)*86400&lt;تنظیمات!$B$13),1,0),0)</f>
        <v>0</v>
      </c>
      <c r="AS210" s="21" t="n">
        <f aca="false">IF(Z210="پوز",IF(OR(AB210="",COUNTIF(پوزها!$A$2:$A$5,AA210)=0),1,0),0)</f>
        <v>0</v>
      </c>
      <c r="AT210" s="21" t="n">
        <f aca="false">IF(AI210="",0,IF(AI210&gt;0,1,0))</f>
        <v>0</v>
      </c>
      <c r="AU210" s="21" t="n">
        <f aca="false">IF(AI210="",0,IF(AI210&lt;0,1,0))</f>
        <v>0</v>
      </c>
      <c r="AV210" s="21" t="n">
        <f aca="false">IF(U210&gt;V210,1,0)</f>
        <v>0</v>
      </c>
      <c r="AW210" s="21" t="n">
        <f aca="false">IF(OR(W210&gt;تنظیمات!$B$8,X210="بله"),1,0)</f>
        <v>0</v>
      </c>
      <c r="AX210" s="21" t="n">
        <f aca="false">IF(AND(N210="بله",L210&gt;تنظیمات!$B$9),1,0)</f>
        <v>0</v>
      </c>
      <c r="AY210" s="21" t="n">
        <f aca="false">IF(Y210="معکوس",1,0)</f>
        <v>0</v>
      </c>
      <c r="AZ210" s="21" t="n">
        <f aca="false">IF(ABS(AJ210)&gt;تنظیمات!$B$10,1,0)</f>
        <v>0</v>
      </c>
      <c r="BA210" s="21" t="n">
        <f aca="false">IF(AND(OR(AD210="رایگان/VIP",AD210="جانباز"),AF210="خیر"),1,0)</f>
        <v>0</v>
      </c>
      <c r="BB210" s="21" t="n">
        <f aca="false">IF(AE210="",0,IF(COUNTIF($AE$2:$AE$1001,AE210)&gt;1,1,0))</f>
        <v>0</v>
      </c>
      <c r="BC210" s="21" t="n">
        <f aca="false">IF(AND(H210="",I210&gt;تنظیمات!$B$12*60,AM210="خالی"),1,0)</f>
        <v>0</v>
      </c>
      <c r="BD210" s="21" t="n">
        <f aca="false">IF(AND(AP210="بله",I210&lt;تنظیمات!$B$14,AO210="خیر"),1,0)</f>
        <v>0</v>
      </c>
      <c r="BE210" s="21" t="n">
        <f aca="false">IF(AN210="خیر",1,0)</f>
        <v>0</v>
      </c>
      <c r="BF210" s="21" t="n">
        <f aca="false">IF(AND(AD210="فیش مفقودی",AQ210="بله",I210&gt;تنظیمات!$B$12*60),1,0)</f>
        <v>0</v>
      </c>
      <c r="BG210" s="21" t="n">
        <f aca="false">IF(AND(AK210&gt;تنظیمات!$B$11,AL210="بله"),1,0)</f>
        <v>0</v>
      </c>
      <c r="BH210" s="21" t="n">
        <f aca="false">MIN(100,AR210*تنظیمات!$B$21+AS210*تنظیمات!$B$22+AT210*تنظیمات!$B$23+AU210*تنظیمات!$B$24+AV210*تنظیمات!$B$25+AW210*تنظیمات!$B$26+AX210*تنظیمات!$B$27+AY210*تنظیمات!$B$28+AZ210*تنظیمات!$B$29+BA210*تنظیمات!$B$30+BB210*تنظیمات!$B$31+BC210*تنظیمات!$B$32+BD210*تنظیمات!$B$33+BE210*تنظیمات!$B$34+BF210*تنظیمات!$B$35+BG210*تنظیمات!$B$36)</f>
        <v>0</v>
      </c>
      <c r="BI210" s="16" t="str">
        <f aca="false">IF(BH210&gt;=60,"بحرانی",IF(BH210&gt;=30,"مشکوک",IF(BH210&gt;0,"هشدار","عادی")))</f>
        <v>عادی</v>
      </c>
      <c r="BJ210" s="16" t="s">
        <v>338</v>
      </c>
    </row>
    <row r="211" customFormat="false" ht="15" hidden="false" customHeight="false" outlineLevel="0" collapsed="false">
      <c r="A211" s="16" t="s">
        <v>1112</v>
      </c>
      <c r="B211" s="16" t="s">
        <v>1113</v>
      </c>
      <c r="C211" s="16"/>
      <c r="D211" s="16" t="s">
        <v>508</v>
      </c>
      <c r="E211" s="16" t="s">
        <v>332</v>
      </c>
      <c r="F211" s="16" t="s">
        <v>333</v>
      </c>
      <c r="G211" s="17" t="n">
        <v>46284.1297106482</v>
      </c>
      <c r="H211" s="17" t="n">
        <v>46284.318599537</v>
      </c>
      <c r="I211" s="18" t="n">
        <f aca="false">IF(H211="",ROUND((تنظیمات!$B$7-G211)*1440,0),ROUND((H211-G211)*1440,0))</f>
        <v>272</v>
      </c>
      <c r="J211" s="16" t="s">
        <v>334</v>
      </c>
      <c r="K211" s="16" t="s">
        <v>410</v>
      </c>
      <c r="L211" s="19" t="n">
        <v>0.942</v>
      </c>
      <c r="M211" s="19" t="n">
        <v>0.973</v>
      </c>
      <c r="N211" s="16" t="s">
        <v>335</v>
      </c>
      <c r="O211" s="16" t="s">
        <v>441</v>
      </c>
      <c r="P211" s="16" t="s">
        <v>402</v>
      </c>
      <c r="Q211" s="20" t="n">
        <v>46284</v>
      </c>
      <c r="R211" s="16" t="s">
        <v>1114</v>
      </c>
      <c r="S211" s="16" t="s">
        <v>404</v>
      </c>
      <c r="T211" s="17"/>
      <c r="U211" s="21" t="n">
        <v>1</v>
      </c>
      <c r="V211" s="21" t="n">
        <v>1</v>
      </c>
      <c r="W211" s="22" t="n">
        <v>4.2</v>
      </c>
      <c r="X211" s="16" t="s">
        <v>335</v>
      </c>
      <c r="Y211" s="16" t="s">
        <v>338</v>
      </c>
      <c r="Z211" s="16" t="s">
        <v>413</v>
      </c>
      <c r="AA211" s="16" t="s">
        <v>414</v>
      </c>
      <c r="AB211" s="23" t="s">
        <v>1115</v>
      </c>
      <c r="AC211" s="17" t="n">
        <v>46284.3177199074</v>
      </c>
      <c r="AD211" s="16" t="s">
        <v>338</v>
      </c>
      <c r="AE211" s="16"/>
      <c r="AF211" s="16" t="str">
        <f aca="false">IF(COUNTIF(لیست_سفید!$A$2:$A$21,B211)&gt;0,"بله","خیر")</f>
        <v>خیر</v>
      </c>
      <c r="AG211" s="24" t="n">
        <f aca="false">IF(H211="","",IF(AD211="فیش مفقودی",تنظیمات!$B$6,(INT(I211/1440)*تنظیمات!$B$5+IF(MOD(I211,1440)&lt;=تنظیمات!$B$2,0,MIN(تنظیمات!$B$5,تنظیمات!$B$3+MAX(0,ROUNDUP((MOD(I211,1440)-60)/60,0))*تنظیمات!$B$4)))*INDEX(تعرفه!$B$2:$B$7,MATCH(AD211,تعرفه!$A$2:$A$7,0))))</f>
        <v>76000</v>
      </c>
      <c r="AH211" s="24" t="n">
        <v>76000</v>
      </c>
      <c r="AI211" s="24" t="n">
        <f aca="false">IF(AG211="","",AH211-AG211)</f>
        <v>0</v>
      </c>
      <c r="AJ211" s="21" t="n">
        <v>1</v>
      </c>
      <c r="AK211" s="21" t="n">
        <v>0</v>
      </c>
      <c r="AL211" s="16" t="s">
        <v>335</v>
      </c>
      <c r="AM211" s="16"/>
      <c r="AN211" s="16" t="s">
        <v>340</v>
      </c>
      <c r="AO211" s="16" t="s">
        <v>340</v>
      </c>
      <c r="AP211" s="16" t="s">
        <v>335</v>
      </c>
      <c r="AQ211" s="16"/>
      <c r="AR211" s="21" t="n">
        <f aca="false">IF(AND(T211&lt;&gt;"",H211&lt;&gt;""),IF(AND((T211-H211)*86400&gt;=0,(T211-H211)*86400&lt;تنظیمات!$B$13),1,0),0)</f>
        <v>0</v>
      </c>
      <c r="AS211" s="21" t="n">
        <f aca="false">IF(Z211="پوز",IF(OR(AB211="",COUNTIF(پوزها!$A$2:$A$5,AA211)=0),1,0),0)</f>
        <v>0</v>
      </c>
      <c r="AT211" s="21" t="n">
        <f aca="false">IF(AI211="",0,IF(AI211&gt;0,1,0))</f>
        <v>0</v>
      </c>
      <c r="AU211" s="21" t="n">
        <f aca="false">IF(AI211="",0,IF(AI211&lt;0,1,0))</f>
        <v>0</v>
      </c>
      <c r="AV211" s="21" t="n">
        <f aca="false">IF(U211&gt;V211,1,0)</f>
        <v>0</v>
      </c>
      <c r="AW211" s="21" t="n">
        <f aca="false">IF(OR(W211&gt;تنظیمات!$B$8,X211="بله"),1,0)</f>
        <v>0</v>
      </c>
      <c r="AX211" s="21" t="n">
        <f aca="false">IF(AND(N211="بله",L211&gt;تنظیمات!$B$9),1,0)</f>
        <v>0</v>
      </c>
      <c r="AY211" s="21" t="n">
        <f aca="false">IF(Y211="معکوس",1,0)</f>
        <v>0</v>
      </c>
      <c r="AZ211" s="21" t="n">
        <f aca="false">IF(ABS(AJ211)&gt;تنظیمات!$B$10,1,0)</f>
        <v>0</v>
      </c>
      <c r="BA211" s="21" t="n">
        <f aca="false">IF(AND(OR(AD211="رایگان/VIP",AD211="جانباز"),AF211="خیر"),1,0)</f>
        <v>0</v>
      </c>
      <c r="BB211" s="21" t="n">
        <f aca="false">IF(AE211="",0,IF(COUNTIF($AE$2:$AE$1001,AE211)&gt;1,1,0))</f>
        <v>0</v>
      </c>
      <c r="BC211" s="21" t="n">
        <f aca="false">IF(AND(H211="",I211&gt;تنظیمات!$B$12*60,AM211="خالی"),1,0)</f>
        <v>0</v>
      </c>
      <c r="BD211" s="21" t="n">
        <f aca="false">IF(AND(AP211="بله",I211&lt;تنظیمات!$B$14,AO211="خیر"),1,0)</f>
        <v>0</v>
      </c>
      <c r="BE211" s="21" t="n">
        <f aca="false">IF(AN211="خیر",1,0)</f>
        <v>0</v>
      </c>
      <c r="BF211" s="21" t="n">
        <f aca="false">IF(AND(AD211="فیش مفقودی",AQ211="بله",I211&gt;تنظیمات!$B$12*60),1,0)</f>
        <v>0</v>
      </c>
      <c r="BG211" s="21" t="n">
        <f aca="false">IF(AND(AK211&gt;تنظیمات!$B$11,AL211="بله"),1,0)</f>
        <v>0</v>
      </c>
      <c r="BH211" s="21" t="n">
        <f aca="false">MIN(100,AR211*تنظیمات!$B$21+AS211*تنظیمات!$B$22+AT211*تنظیمات!$B$23+AU211*تنظیمات!$B$24+AV211*تنظیمات!$B$25+AW211*تنظیمات!$B$26+AX211*تنظیمات!$B$27+AY211*تنظیمات!$B$28+AZ211*تنظیمات!$B$29+BA211*تنظیمات!$B$30+BB211*تنظیمات!$B$31+BC211*تنظیمات!$B$32+BD211*تنظیمات!$B$33+BE211*تنظیمات!$B$34+BF211*تنظیمات!$B$35+BG211*تنظیمات!$B$36)</f>
        <v>0</v>
      </c>
      <c r="BI211" s="16" t="str">
        <f aca="false">IF(BH211&gt;=60,"بحرانی",IF(BH211&gt;=30,"مشکوک",IF(BH211&gt;0,"هشدار","عادی")))</f>
        <v>عادی</v>
      </c>
      <c r="BJ211" s="16" t="s">
        <v>338</v>
      </c>
    </row>
    <row r="212" customFormat="false" ht="15" hidden="false" customHeight="false" outlineLevel="0" collapsed="false">
      <c r="A212" s="16" t="s">
        <v>1116</v>
      </c>
      <c r="B212" s="16" t="s">
        <v>1117</v>
      </c>
      <c r="C212" s="16"/>
      <c r="D212" s="16" t="s">
        <v>344</v>
      </c>
      <c r="E212" s="16" t="s">
        <v>351</v>
      </c>
      <c r="F212" s="16" t="s">
        <v>333</v>
      </c>
      <c r="G212" s="17" t="n">
        <v>46284.1302777778</v>
      </c>
      <c r="H212" s="17" t="n">
        <v>46284.3233333333</v>
      </c>
      <c r="I212" s="18" t="n">
        <f aca="false">IF(H212="",ROUND((تنظیمات!$B$7-G212)*1440,0),ROUND((H212-G212)*1440,0))</f>
        <v>278</v>
      </c>
      <c r="J212" s="16" t="s">
        <v>346</v>
      </c>
      <c r="K212" s="16" t="s">
        <v>400</v>
      </c>
      <c r="L212" s="19" t="n">
        <v>0.901</v>
      </c>
      <c r="M212" s="19" t="n">
        <v>0.974</v>
      </c>
      <c r="N212" s="16" t="s">
        <v>335</v>
      </c>
      <c r="O212" s="16" t="s">
        <v>425</v>
      </c>
      <c r="P212" s="16" t="s">
        <v>402</v>
      </c>
      <c r="Q212" s="20" t="n">
        <v>46284</v>
      </c>
      <c r="R212" s="16" t="s">
        <v>1118</v>
      </c>
      <c r="S212" s="16" t="s">
        <v>404</v>
      </c>
      <c r="T212" s="17"/>
      <c r="U212" s="21" t="n">
        <v>1</v>
      </c>
      <c r="V212" s="21" t="n">
        <v>1</v>
      </c>
      <c r="W212" s="22" t="n">
        <v>4.4</v>
      </c>
      <c r="X212" s="16" t="s">
        <v>335</v>
      </c>
      <c r="Y212" s="16" t="s">
        <v>338</v>
      </c>
      <c r="Z212" s="16" t="s">
        <v>405</v>
      </c>
      <c r="AA212" s="16"/>
      <c r="AB212" s="23"/>
      <c r="AC212" s="17"/>
      <c r="AD212" s="16" t="s">
        <v>338</v>
      </c>
      <c r="AE212" s="16"/>
      <c r="AF212" s="16" t="str">
        <f aca="false">IF(COUNTIF(لیست_سفید!$A$2:$A$21,B212)&gt;0,"بله","خیر")</f>
        <v>خیر</v>
      </c>
      <c r="AG212" s="24" t="n">
        <f aca="false">IF(H212="","",IF(AD212="فیش مفقودی",تنظیمات!$B$6,(INT(I212/1440)*تنظیمات!$B$5+IF(MOD(I212,1440)&lt;=تنظیمات!$B$2,0,MIN(تنظیمات!$B$5,تنظیمات!$B$3+MAX(0,ROUNDUP((MOD(I212,1440)-60)/60,0))*تنظیمات!$B$4)))*INDEX(تعرفه!$B$2:$B$7,MATCH(AD212,تعرفه!$A$2:$A$7,0))))</f>
        <v>76000</v>
      </c>
      <c r="AH212" s="24" t="n">
        <v>76000</v>
      </c>
      <c r="AI212" s="24" t="n">
        <f aca="false">IF(AG212="","",AH212-AG212)</f>
        <v>0</v>
      </c>
      <c r="AJ212" s="21" t="n">
        <v>0</v>
      </c>
      <c r="AK212" s="21" t="n">
        <v>0</v>
      </c>
      <c r="AL212" s="16" t="s">
        <v>335</v>
      </c>
      <c r="AM212" s="16"/>
      <c r="AN212" s="16" t="s">
        <v>340</v>
      </c>
      <c r="AO212" s="16" t="s">
        <v>340</v>
      </c>
      <c r="AP212" s="16" t="s">
        <v>335</v>
      </c>
      <c r="AQ212" s="16"/>
      <c r="AR212" s="21" t="n">
        <f aca="false">IF(AND(T212&lt;&gt;"",H212&lt;&gt;""),IF(AND((T212-H212)*86400&gt;=0,(T212-H212)*86400&lt;تنظیمات!$B$13),1,0),0)</f>
        <v>0</v>
      </c>
      <c r="AS212" s="21" t="n">
        <f aca="false">IF(Z212="پوز",IF(OR(AB212="",COUNTIF(پوزها!$A$2:$A$5,AA212)=0),1,0),0)</f>
        <v>0</v>
      </c>
      <c r="AT212" s="21" t="n">
        <f aca="false">IF(AI212="",0,IF(AI212&gt;0,1,0))</f>
        <v>0</v>
      </c>
      <c r="AU212" s="21" t="n">
        <f aca="false">IF(AI212="",0,IF(AI212&lt;0,1,0))</f>
        <v>0</v>
      </c>
      <c r="AV212" s="21" t="n">
        <f aca="false">IF(U212&gt;V212,1,0)</f>
        <v>0</v>
      </c>
      <c r="AW212" s="21" t="n">
        <f aca="false">IF(OR(W212&gt;تنظیمات!$B$8,X212="بله"),1,0)</f>
        <v>0</v>
      </c>
      <c r="AX212" s="21" t="n">
        <f aca="false">IF(AND(N212="بله",L212&gt;تنظیمات!$B$9),1,0)</f>
        <v>0</v>
      </c>
      <c r="AY212" s="21" t="n">
        <f aca="false">IF(Y212="معکوس",1,0)</f>
        <v>0</v>
      </c>
      <c r="AZ212" s="21" t="n">
        <f aca="false">IF(ABS(AJ212)&gt;تنظیمات!$B$10,1,0)</f>
        <v>0</v>
      </c>
      <c r="BA212" s="21" t="n">
        <f aca="false">IF(AND(OR(AD212="رایگان/VIP",AD212="جانباز"),AF212="خیر"),1,0)</f>
        <v>0</v>
      </c>
      <c r="BB212" s="21" t="n">
        <f aca="false">IF(AE212="",0,IF(COUNTIF($AE$2:$AE$1001,AE212)&gt;1,1,0))</f>
        <v>0</v>
      </c>
      <c r="BC212" s="21" t="n">
        <f aca="false">IF(AND(H212="",I212&gt;تنظیمات!$B$12*60,AM212="خالی"),1,0)</f>
        <v>0</v>
      </c>
      <c r="BD212" s="21" t="n">
        <f aca="false">IF(AND(AP212="بله",I212&lt;تنظیمات!$B$14,AO212="خیر"),1,0)</f>
        <v>0</v>
      </c>
      <c r="BE212" s="21" t="n">
        <f aca="false">IF(AN212="خیر",1,0)</f>
        <v>0</v>
      </c>
      <c r="BF212" s="21" t="n">
        <f aca="false">IF(AND(AD212="فیش مفقودی",AQ212="بله",I212&gt;تنظیمات!$B$12*60),1,0)</f>
        <v>0</v>
      </c>
      <c r="BG212" s="21" t="n">
        <f aca="false">IF(AND(AK212&gt;تنظیمات!$B$11,AL212="بله"),1,0)</f>
        <v>0</v>
      </c>
      <c r="BH212" s="21" t="n">
        <f aca="false">MIN(100,AR212*تنظیمات!$B$21+AS212*تنظیمات!$B$22+AT212*تنظیمات!$B$23+AU212*تنظیمات!$B$24+AV212*تنظیمات!$B$25+AW212*تنظیمات!$B$26+AX212*تنظیمات!$B$27+AY212*تنظیمات!$B$28+AZ212*تنظیمات!$B$29+BA212*تنظیمات!$B$30+BB212*تنظیمات!$B$31+BC212*تنظیمات!$B$32+BD212*تنظیمات!$B$33+BE212*تنظیمات!$B$34+BF212*تنظیمات!$B$35+BG212*تنظیمات!$B$36)</f>
        <v>0</v>
      </c>
      <c r="BI212" s="16" t="str">
        <f aca="false">IF(BH212&gt;=60,"بحرانی",IF(BH212&gt;=30,"مشکوک",IF(BH212&gt;0,"هشدار","عادی")))</f>
        <v>عادی</v>
      </c>
      <c r="BJ212" s="16" t="s">
        <v>338</v>
      </c>
    </row>
    <row r="213" customFormat="false" ht="15" hidden="false" customHeight="false" outlineLevel="0" collapsed="false">
      <c r="A213" s="16" t="s">
        <v>1119</v>
      </c>
      <c r="B213" s="16" t="s">
        <v>659</v>
      </c>
      <c r="C213" s="16"/>
      <c r="D213" s="16" t="s">
        <v>418</v>
      </c>
      <c r="E213" s="16" t="s">
        <v>345</v>
      </c>
      <c r="F213" s="16" t="s">
        <v>333</v>
      </c>
      <c r="G213" s="17" t="n">
        <v>46284.1315625</v>
      </c>
      <c r="H213" s="17" t="n">
        <v>46284.1329513889</v>
      </c>
      <c r="I213" s="18" t="n">
        <f aca="false">IF(H213="",ROUND((تنظیمات!$B$7-G213)*1440,0),ROUND((H213-G213)*1440,0))</f>
        <v>2</v>
      </c>
      <c r="J213" s="16" t="s">
        <v>346</v>
      </c>
      <c r="K213" s="16" t="s">
        <v>400</v>
      </c>
      <c r="L213" s="19" t="n">
        <v>0.964</v>
      </c>
      <c r="M213" s="19" t="n">
        <v>0.991</v>
      </c>
      <c r="N213" s="16" t="s">
        <v>335</v>
      </c>
      <c r="O213" s="16" t="s">
        <v>677</v>
      </c>
      <c r="P213" s="16" t="s">
        <v>651</v>
      </c>
      <c r="Q213" s="20" t="n">
        <v>46283</v>
      </c>
      <c r="R213" s="16" t="s">
        <v>1120</v>
      </c>
      <c r="S213" s="16" t="s">
        <v>404</v>
      </c>
      <c r="T213" s="17"/>
      <c r="U213" s="21" t="n">
        <v>1</v>
      </c>
      <c r="V213" s="21" t="n">
        <v>1</v>
      </c>
      <c r="W213" s="22" t="n">
        <v>5.4</v>
      </c>
      <c r="X213" s="16" t="s">
        <v>335</v>
      </c>
      <c r="Y213" s="16" t="s">
        <v>338</v>
      </c>
      <c r="Z213" s="16" t="s">
        <v>628</v>
      </c>
      <c r="AA213" s="16"/>
      <c r="AB213" s="23"/>
      <c r="AC213" s="17"/>
      <c r="AD213" s="16" t="s">
        <v>338</v>
      </c>
      <c r="AE213" s="16"/>
      <c r="AF213" s="16" t="str">
        <f aca="false">IF(COUNTIF(لیست_سفید!$A$2:$A$21,B213)&gt;0,"بله","خیر")</f>
        <v>خیر</v>
      </c>
      <c r="AG213" s="24" t="n">
        <f aca="false">IF(H213="","",IF(AD213="فیش مفقودی",تنظیمات!$B$6,(INT(I213/1440)*تنظیمات!$B$5+IF(MOD(I213,1440)&lt;=تنظیمات!$B$2,0,MIN(تنظیمات!$B$5,تنظیمات!$B$3+MAX(0,ROUNDUP((MOD(I213,1440)-60)/60,0))*تنظیمات!$B$4)))*INDEX(تعرفه!$B$2:$B$7,MATCH(AD213,تعرفه!$A$2:$A$7,0))))</f>
        <v>0</v>
      </c>
      <c r="AH213" s="24" t="n">
        <v>0</v>
      </c>
      <c r="AI213" s="24" t="n">
        <f aca="false">IF(AG213="","",AH213-AG213)</f>
        <v>0</v>
      </c>
      <c r="AJ213" s="21" t="n">
        <v>-1</v>
      </c>
      <c r="AK213" s="21" t="n">
        <v>0</v>
      </c>
      <c r="AL213" s="16" t="s">
        <v>335</v>
      </c>
      <c r="AM213" s="16"/>
      <c r="AN213" s="16" t="s">
        <v>340</v>
      </c>
      <c r="AO213" s="16" t="s">
        <v>340</v>
      </c>
      <c r="AP213" s="16" t="s">
        <v>335</v>
      </c>
      <c r="AQ213" s="16"/>
      <c r="AR213" s="21" t="n">
        <f aca="false">IF(AND(T213&lt;&gt;"",H213&lt;&gt;""),IF(AND((T213-H213)*86400&gt;=0,(T213-H213)*86400&lt;تنظیمات!$B$13),1,0),0)</f>
        <v>0</v>
      </c>
      <c r="AS213" s="21" t="n">
        <f aca="false">IF(Z213="پوز",IF(OR(AB213="",COUNTIF(پوزها!$A$2:$A$5,AA213)=0),1,0),0)</f>
        <v>0</v>
      </c>
      <c r="AT213" s="21" t="n">
        <f aca="false">IF(AI213="",0,IF(AI213&gt;0,1,0))</f>
        <v>0</v>
      </c>
      <c r="AU213" s="21" t="n">
        <f aca="false">IF(AI213="",0,IF(AI213&lt;0,1,0))</f>
        <v>0</v>
      </c>
      <c r="AV213" s="21" t="n">
        <f aca="false">IF(U213&gt;V213,1,0)</f>
        <v>0</v>
      </c>
      <c r="AW213" s="21" t="n">
        <f aca="false">IF(OR(W213&gt;تنظیمات!$B$8,X213="بله"),1,0)</f>
        <v>0</v>
      </c>
      <c r="AX213" s="21" t="n">
        <f aca="false">IF(AND(N213="بله",L213&gt;تنظیمات!$B$9),1,0)</f>
        <v>0</v>
      </c>
      <c r="AY213" s="21" t="n">
        <f aca="false">IF(Y213="معکوس",1,0)</f>
        <v>0</v>
      </c>
      <c r="AZ213" s="21" t="n">
        <f aca="false">IF(ABS(AJ213)&gt;تنظیمات!$B$10,1,0)</f>
        <v>0</v>
      </c>
      <c r="BA213" s="21" t="n">
        <f aca="false">IF(AND(OR(AD213="رایگان/VIP",AD213="جانباز"),AF213="خیر"),1,0)</f>
        <v>0</v>
      </c>
      <c r="BB213" s="21" t="n">
        <f aca="false">IF(AE213="",0,IF(COUNTIF($AE$2:$AE$1001,AE213)&gt;1,1,0))</f>
        <v>0</v>
      </c>
      <c r="BC213" s="21" t="n">
        <f aca="false">IF(AND(H213="",I213&gt;تنظیمات!$B$12*60,AM213="خالی"),1,0)</f>
        <v>0</v>
      </c>
      <c r="BD213" s="21" t="n">
        <f aca="false">IF(AND(AP213="بله",I213&lt;تنظیمات!$B$14,AO213="خیر"),1,0)</f>
        <v>0</v>
      </c>
      <c r="BE213" s="21" t="n">
        <f aca="false">IF(AN213="خیر",1,0)</f>
        <v>0</v>
      </c>
      <c r="BF213" s="21" t="n">
        <f aca="false">IF(AND(AD213="فیش مفقودی",AQ213="بله",I213&gt;تنظیمات!$B$12*60),1,0)</f>
        <v>0</v>
      </c>
      <c r="BG213" s="21" t="n">
        <f aca="false">IF(AND(AK213&gt;تنظیمات!$B$11,AL213="بله"),1,0)</f>
        <v>0</v>
      </c>
      <c r="BH213" s="21" t="n">
        <f aca="false">MIN(100,AR213*تنظیمات!$B$21+AS213*تنظیمات!$B$22+AT213*تنظیمات!$B$23+AU213*تنظیمات!$B$24+AV213*تنظیمات!$B$25+AW213*تنظیمات!$B$26+AX213*تنظیمات!$B$27+AY213*تنظیمات!$B$28+AZ213*تنظیمات!$B$29+BA213*تنظیمات!$B$30+BB213*تنظیمات!$B$31+BC213*تنظیمات!$B$32+BD213*تنظیمات!$B$33+BE213*تنظیمات!$B$34+BF213*تنظیمات!$B$35+BG213*تنظیمات!$B$36)</f>
        <v>0</v>
      </c>
      <c r="BI213" s="16" t="str">
        <f aca="false">IF(BH213&gt;=60,"بحرانی",IF(BH213&gt;=30,"مشکوک",IF(BH213&gt;0,"هشدار","عادی")))</f>
        <v>عادی</v>
      </c>
      <c r="BJ213" s="16" t="s">
        <v>338</v>
      </c>
    </row>
    <row r="214" customFormat="false" ht="15" hidden="false" customHeight="false" outlineLevel="0" collapsed="false">
      <c r="A214" s="16" t="s">
        <v>1121</v>
      </c>
      <c r="B214" s="16" t="s">
        <v>676</v>
      </c>
      <c r="C214" s="16"/>
      <c r="D214" s="16" t="s">
        <v>331</v>
      </c>
      <c r="E214" s="16" t="s">
        <v>345</v>
      </c>
      <c r="F214" s="16" t="s">
        <v>333</v>
      </c>
      <c r="G214" s="17" t="n">
        <v>46284.1498958333</v>
      </c>
      <c r="H214" s="17" t="n">
        <v>46284.4137847222</v>
      </c>
      <c r="I214" s="18" t="n">
        <f aca="false">IF(H214="",ROUND((تنظیمات!$B$7-G214)*1440,0),ROUND((H214-G214)*1440,0))</f>
        <v>380</v>
      </c>
      <c r="J214" s="16" t="s">
        <v>346</v>
      </c>
      <c r="K214" s="16" t="s">
        <v>410</v>
      </c>
      <c r="L214" s="19" t="n">
        <v>0.891</v>
      </c>
      <c r="M214" s="19" t="n">
        <v>0.907</v>
      </c>
      <c r="N214" s="16" t="s">
        <v>335</v>
      </c>
      <c r="O214" s="16" t="s">
        <v>441</v>
      </c>
      <c r="P214" s="16" t="s">
        <v>402</v>
      </c>
      <c r="Q214" s="20" t="n">
        <v>46284</v>
      </c>
      <c r="R214" s="16" t="s">
        <v>1122</v>
      </c>
      <c r="S214" s="16" t="s">
        <v>404</v>
      </c>
      <c r="T214" s="17"/>
      <c r="U214" s="21" t="n">
        <v>1</v>
      </c>
      <c r="V214" s="21" t="n">
        <v>1</v>
      </c>
      <c r="W214" s="22" t="n">
        <v>5.4</v>
      </c>
      <c r="X214" s="16" t="s">
        <v>335</v>
      </c>
      <c r="Y214" s="16" t="s">
        <v>338</v>
      </c>
      <c r="Z214" s="16" t="s">
        <v>443</v>
      </c>
      <c r="AA214" s="16"/>
      <c r="AB214" s="23"/>
      <c r="AC214" s="17"/>
      <c r="AD214" s="16" t="s">
        <v>444</v>
      </c>
      <c r="AE214" s="16"/>
      <c r="AF214" s="16" t="str">
        <f aca="false">IF(COUNTIF(لیست_سفید!$A$2:$A$21,B214)&gt;0,"بله","خیر")</f>
        <v>خیر</v>
      </c>
      <c r="AG214" s="24" t="n">
        <f aca="false">IF(H214="","",IF(AD214="فیش مفقودی",تنظیمات!$B$6,(INT(I214/1440)*تنظیمات!$B$5+IF(MOD(I214,1440)&lt;=تنظیمات!$B$2,0,MIN(تنظیمات!$B$5,تنظیمات!$B$3+MAX(0,ROUNDUP((MOD(I214,1440)-60)/60,0))*تنظیمات!$B$4)))*INDEX(تعرفه!$B$2:$B$7,MATCH(AD214,تعرفه!$A$2:$A$7,0))))</f>
        <v>0</v>
      </c>
      <c r="AH214" s="24" t="n">
        <v>0</v>
      </c>
      <c r="AI214" s="24" t="n">
        <f aca="false">IF(AG214="","",AH214-AG214)</f>
        <v>0</v>
      </c>
      <c r="AJ214" s="21" t="n">
        <v>-3</v>
      </c>
      <c r="AK214" s="21" t="n">
        <v>0</v>
      </c>
      <c r="AL214" s="16" t="s">
        <v>335</v>
      </c>
      <c r="AM214" s="16"/>
      <c r="AN214" s="16" t="s">
        <v>340</v>
      </c>
      <c r="AO214" s="16" t="s">
        <v>340</v>
      </c>
      <c r="AP214" s="16" t="s">
        <v>335</v>
      </c>
      <c r="AQ214" s="16"/>
      <c r="AR214" s="21" t="n">
        <f aca="false">IF(AND(T214&lt;&gt;"",H214&lt;&gt;""),IF(AND((T214-H214)*86400&gt;=0,(T214-H214)*86400&lt;تنظیمات!$B$13),1,0),0)</f>
        <v>0</v>
      </c>
      <c r="AS214" s="21" t="n">
        <f aca="false">IF(Z214="پوز",IF(OR(AB214="",COUNTIF(پوزها!$A$2:$A$5,AA214)=0),1,0),0)</f>
        <v>0</v>
      </c>
      <c r="AT214" s="21" t="n">
        <f aca="false">IF(AI214="",0,IF(AI214&gt;0,1,0))</f>
        <v>0</v>
      </c>
      <c r="AU214" s="21" t="n">
        <f aca="false">IF(AI214="",0,IF(AI214&lt;0,1,0))</f>
        <v>0</v>
      </c>
      <c r="AV214" s="21" t="n">
        <f aca="false">IF(U214&gt;V214,1,0)</f>
        <v>0</v>
      </c>
      <c r="AW214" s="21" t="n">
        <f aca="false">IF(OR(W214&gt;تنظیمات!$B$8,X214="بله"),1,0)</f>
        <v>0</v>
      </c>
      <c r="AX214" s="21" t="n">
        <f aca="false">IF(AND(N214="بله",L214&gt;تنظیمات!$B$9),1,0)</f>
        <v>0</v>
      </c>
      <c r="AY214" s="21" t="n">
        <f aca="false">IF(Y214="معکوس",1,0)</f>
        <v>0</v>
      </c>
      <c r="AZ214" s="21" t="n">
        <f aca="false">IF(ABS(AJ214)&gt;تنظیمات!$B$10,1,0)</f>
        <v>0</v>
      </c>
      <c r="BA214" s="21" t="n">
        <f aca="false">IF(AND(OR(AD214="رایگان/VIP",AD214="جانباز"),AF214="خیر"),1,0)</f>
        <v>0</v>
      </c>
      <c r="BB214" s="21" t="n">
        <f aca="false">IF(AE214="",0,IF(COUNTIF($AE$2:$AE$1001,AE214)&gt;1,1,0))</f>
        <v>0</v>
      </c>
      <c r="BC214" s="21" t="n">
        <f aca="false">IF(AND(H214="",I214&gt;تنظیمات!$B$12*60,AM214="خالی"),1,0)</f>
        <v>0</v>
      </c>
      <c r="BD214" s="21" t="n">
        <f aca="false">IF(AND(AP214="بله",I214&lt;تنظیمات!$B$14,AO214="خیر"),1,0)</f>
        <v>0</v>
      </c>
      <c r="BE214" s="21" t="n">
        <f aca="false">IF(AN214="خیر",1,0)</f>
        <v>0</v>
      </c>
      <c r="BF214" s="21" t="n">
        <f aca="false">IF(AND(AD214="فیش مفقودی",AQ214="بله",I214&gt;تنظیمات!$B$12*60),1,0)</f>
        <v>0</v>
      </c>
      <c r="BG214" s="21" t="n">
        <f aca="false">IF(AND(AK214&gt;تنظیمات!$B$11,AL214="بله"),1,0)</f>
        <v>0</v>
      </c>
      <c r="BH214" s="21" t="n">
        <f aca="false">MIN(100,AR214*تنظیمات!$B$21+AS214*تنظیمات!$B$22+AT214*تنظیمات!$B$23+AU214*تنظیمات!$B$24+AV214*تنظیمات!$B$25+AW214*تنظیمات!$B$26+AX214*تنظیمات!$B$27+AY214*تنظیمات!$B$28+AZ214*تنظیمات!$B$29+BA214*تنظیمات!$B$30+BB214*تنظیمات!$B$31+BC214*تنظیمات!$B$32+BD214*تنظیمات!$B$33+BE214*تنظیمات!$B$34+BF214*تنظیمات!$B$35+BG214*تنظیمات!$B$36)</f>
        <v>0</v>
      </c>
      <c r="BI214" s="16" t="str">
        <f aca="false">IF(BH214&gt;=60,"بحرانی",IF(BH214&gt;=30,"مشکوک",IF(BH214&gt;0,"هشدار","عادی")))</f>
        <v>عادی</v>
      </c>
      <c r="BJ214" s="16" t="s">
        <v>338</v>
      </c>
    </row>
    <row r="215" customFormat="false" ht="15" hidden="false" customHeight="false" outlineLevel="0" collapsed="false">
      <c r="A215" s="16" t="s">
        <v>1123</v>
      </c>
      <c r="B215" s="16" t="s">
        <v>1056</v>
      </c>
      <c r="C215" s="16"/>
      <c r="D215" s="16" t="s">
        <v>531</v>
      </c>
      <c r="E215" s="16" t="s">
        <v>390</v>
      </c>
      <c r="F215" s="16" t="s">
        <v>333</v>
      </c>
      <c r="G215" s="17" t="n">
        <v>46284.1646527778</v>
      </c>
      <c r="H215" s="17" t="n">
        <v>46284.3354861111</v>
      </c>
      <c r="I215" s="18" t="n">
        <f aca="false">IF(H215="",ROUND((تنظیمات!$B$7-G215)*1440,0),ROUND((H215-G215)*1440,0))</f>
        <v>246</v>
      </c>
      <c r="J215" s="16" t="s">
        <v>334</v>
      </c>
      <c r="K215" s="16" t="s">
        <v>400</v>
      </c>
      <c r="L215" s="19" t="n">
        <v>0.927</v>
      </c>
      <c r="M215" s="19" t="n">
        <v>0.977</v>
      </c>
      <c r="N215" s="16" t="s">
        <v>335</v>
      </c>
      <c r="O215" s="16" t="s">
        <v>425</v>
      </c>
      <c r="P215" s="16" t="s">
        <v>402</v>
      </c>
      <c r="Q215" s="20" t="n">
        <v>46284</v>
      </c>
      <c r="R215" s="16" t="s">
        <v>1124</v>
      </c>
      <c r="S215" s="16" t="s">
        <v>404</v>
      </c>
      <c r="T215" s="17"/>
      <c r="U215" s="21" t="n">
        <v>1</v>
      </c>
      <c r="V215" s="21" t="n">
        <v>1</v>
      </c>
      <c r="W215" s="22" t="n">
        <v>5.3</v>
      </c>
      <c r="X215" s="16" t="s">
        <v>335</v>
      </c>
      <c r="Y215" s="16" t="s">
        <v>338</v>
      </c>
      <c r="Z215" s="16" t="s">
        <v>413</v>
      </c>
      <c r="AA215" s="16" t="s">
        <v>427</v>
      </c>
      <c r="AB215" s="23" t="s">
        <v>1125</v>
      </c>
      <c r="AC215" s="17" t="n">
        <v>46284.3344791667</v>
      </c>
      <c r="AD215" s="16" t="s">
        <v>338</v>
      </c>
      <c r="AE215" s="16"/>
      <c r="AF215" s="16" t="str">
        <f aca="false">IF(COUNTIF(لیست_سفید!$A$2:$A$21,B215)&gt;0,"بله","خیر")</f>
        <v>خیر</v>
      </c>
      <c r="AG215" s="24" t="n">
        <f aca="false">IF(H215="","",IF(AD215="فیش مفقودی",تنظیمات!$B$6,(INT(I215/1440)*تنظیمات!$B$5+IF(MOD(I215,1440)&lt;=تنظیمات!$B$2,0,MIN(تنظیمات!$B$5,تنظیمات!$B$3+MAX(0,ROUNDUP((MOD(I215,1440)-60)/60,0))*تنظیمات!$B$4)))*INDEX(تعرفه!$B$2:$B$7,MATCH(AD215,تعرفه!$A$2:$A$7,0))))</f>
        <v>76000</v>
      </c>
      <c r="AH215" s="24" t="n">
        <v>76000</v>
      </c>
      <c r="AI215" s="24" t="n">
        <f aca="false">IF(AG215="","",AH215-AG215)</f>
        <v>0</v>
      </c>
      <c r="AJ215" s="21" t="n">
        <v>0</v>
      </c>
      <c r="AK215" s="21" t="n">
        <v>0</v>
      </c>
      <c r="AL215" s="16" t="s">
        <v>335</v>
      </c>
      <c r="AM215" s="16"/>
      <c r="AN215" s="16" t="s">
        <v>340</v>
      </c>
      <c r="AO215" s="16" t="s">
        <v>340</v>
      </c>
      <c r="AP215" s="16" t="s">
        <v>335</v>
      </c>
      <c r="AQ215" s="16"/>
      <c r="AR215" s="21" t="n">
        <f aca="false">IF(AND(T215&lt;&gt;"",H215&lt;&gt;""),IF(AND((T215-H215)*86400&gt;=0,(T215-H215)*86400&lt;تنظیمات!$B$13),1,0),0)</f>
        <v>0</v>
      </c>
      <c r="AS215" s="21" t="n">
        <f aca="false">IF(Z215="پوز",IF(OR(AB215="",COUNTIF(پوزها!$A$2:$A$5,AA215)=0),1,0),0)</f>
        <v>0</v>
      </c>
      <c r="AT215" s="21" t="n">
        <f aca="false">IF(AI215="",0,IF(AI215&gt;0,1,0))</f>
        <v>0</v>
      </c>
      <c r="AU215" s="21" t="n">
        <f aca="false">IF(AI215="",0,IF(AI215&lt;0,1,0))</f>
        <v>0</v>
      </c>
      <c r="AV215" s="21" t="n">
        <f aca="false">IF(U215&gt;V215,1,0)</f>
        <v>0</v>
      </c>
      <c r="AW215" s="21" t="n">
        <f aca="false">IF(OR(W215&gt;تنظیمات!$B$8,X215="بله"),1,0)</f>
        <v>0</v>
      </c>
      <c r="AX215" s="21" t="n">
        <f aca="false">IF(AND(N215="بله",L215&gt;تنظیمات!$B$9),1,0)</f>
        <v>0</v>
      </c>
      <c r="AY215" s="21" t="n">
        <f aca="false">IF(Y215="معکوس",1,0)</f>
        <v>0</v>
      </c>
      <c r="AZ215" s="21" t="n">
        <f aca="false">IF(ABS(AJ215)&gt;تنظیمات!$B$10,1,0)</f>
        <v>0</v>
      </c>
      <c r="BA215" s="21" t="n">
        <f aca="false">IF(AND(OR(AD215="رایگان/VIP",AD215="جانباز"),AF215="خیر"),1,0)</f>
        <v>0</v>
      </c>
      <c r="BB215" s="21" t="n">
        <f aca="false">IF(AE215="",0,IF(COUNTIF($AE$2:$AE$1001,AE215)&gt;1,1,0))</f>
        <v>0</v>
      </c>
      <c r="BC215" s="21" t="n">
        <f aca="false">IF(AND(H215="",I215&gt;تنظیمات!$B$12*60,AM215="خالی"),1,0)</f>
        <v>0</v>
      </c>
      <c r="BD215" s="21" t="n">
        <f aca="false">IF(AND(AP215="بله",I215&lt;تنظیمات!$B$14,AO215="خیر"),1,0)</f>
        <v>0</v>
      </c>
      <c r="BE215" s="21" t="n">
        <f aca="false">IF(AN215="خیر",1,0)</f>
        <v>0</v>
      </c>
      <c r="BF215" s="21" t="n">
        <f aca="false">IF(AND(AD215="فیش مفقودی",AQ215="بله",I215&gt;تنظیمات!$B$12*60),1,0)</f>
        <v>0</v>
      </c>
      <c r="BG215" s="21" t="n">
        <f aca="false">IF(AND(AK215&gt;تنظیمات!$B$11,AL215="بله"),1,0)</f>
        <v>0</v>
      </c>
      <c r="BH215" s="21" t="n">
        <f aca="false">MIN(100,AR215*تنظیمات!$B$21+AS215*تنظیمات!$B$22+AT215*تنظیمات!$B$23+AU215*تنظیمات!$B$24+AV215*تنظیمات!$B$25+AW215*تنظیمات!$B$26+AX215*تنظیمات!$B$27+AY215*تنظیمات!$B$28+AZ215*تنظیمات!$B$29+BA215*تنظیمات!$B$30+BB215*تنظیمات!$B$31+BC215*تنظیمات!$B$32+BD215*تنظیمات!$B$33+BE215*تنظیمات!$B$34+BF215*تنظیمات!$B$35+BG215*تنظیمات!$B$36)</f>
        <v>0</v>
      </c>
      <c r="BI215" s="16" t="str">
        <f aca="false">IF(BH215&gt;=60,"بحرانی",IF(BH215&gt;=30,"مشکوک",IF(BH215&gt;0,"هشدار","عادی")))</f>
        <v>عادی</v>
      </c>
      <c r="BJ215" s="16" t="s">
        <v>338</v>
      </c>
    </row>
    <row r="216" customFormat="false" ht="15" hidden="false" customHeight="false" outlineLevel="0" collapsed="false">
      <c r="A216" s="16" t="s">
        <v>1126</v>
      </c>
      <c r="B216" s="16" t="s">
        <v>522</v>
      </c>
      <c r="C216" s="16"/>
      <c r="D216" s="16" t="s">
        <v>523</v>
      </c>
      <c r="E216" s="16" t="s">
        <v>351</v>
      </c>
      <c r="F216" s="16" t="s">
        <v>333</v>
      </c>
      <c r="G216" s="17" t="n">
        <v>46284.1697800926</v>
      </c>
      <c r="H216" s="17" t="n">
        <v>46284.3586689815</v>
      </c>
      <c r="I216" s="18" t="n">
        <f aca="false">IF(H216="",ROUND((تنظیمات!$B$7-G216)*1440,0),ROUND((H216-G216)*1440,0))</f>
        <v>272</v>
      </c>
      <c r="J216" s="16" t="s">
        <v>346</v>
      </c>
      <c r="K216" s="16" t="s">
        <v>410</v>
      </c>
      <c r="L216" s="19" t="n">
        <v>0.965</v>
      </c>
      <c r="M216" s="19" t="n">
        <v>0.904</v>
      </c>
      <c r="N216" s="16" t="s">
        <v>335</v>
      </c>
      <c r="O216" s="16" t="s">
        <v>441</v>
      </c>
      <c r="P216" s="16" t="s">
        <v>402</v>
      </c>
      <c r="Q216" s="20" t="n">
        <v>46284</v>
      </c>
      <c r="R216" s="16" t="s">
        <v>1127</v>
      </c>
      <c r="S216" s="16" t="s">
        <v>404</v>
      </c>
      <c r="T216" s="17"/>
      <c r="U216" s="21" t="n">
        <v>1</v>
      </c>
      <c r="V216" s="21" t="n">
        <v>1</v>
      </c>
      <c r="W216" s="22" t="n">
        <v>5.8</v>
      </c>
      <c r="X216" s="16" t="s">
        <v>335</v>
      </c>
      <c r="Y216" s="16" t="s">
        <v>338</v>
      </c>
      <c r="Z216" s="16" t="s">
        <v>443</v>
      </c>
      <c r="AA216" s="16"/>
      <c r="AB216" s="23"/>
      <c r="AC216" s="17"/>
      <c r="AD216" s="16" t="s">
        <v>444</v>
      </c>
      <c r="AE216" s="16"/>
      <c r="AF216" s="16" t="str">
        <f aca="false">IF(COUNTIF(لیست_سفید!$A$2:$A$21,B216)&gt;0,"بله","خیر")</f>
        <v>خیر</v>
      </c>
      <c r="AG216" s="24" t="n">
        <f aca="false">IF(H216="","",IF(AD216="فیش مفقودی",تنظیمات!$B$6,(INT(I216/1440)*تنظیمات!$B$5+IF(MOD(I216,1440)&lt;=تنظیمات!$B$2,0,MIN(تنظیمات!$B$5,تنظیمات!$B$3+MAX(0,ROUNDUP((MOD(I216,1440)-60)/60,0))*تنظیمات!$B$4)))*INDEX(تعرفه!$B$2:$B$7,MATCH(AD216,تعرفه!$A$2:$A$7,0))))</f>
        <v>0</v>
      </c>
      <c r="AH216" s="24" t="n">
        <v>0</v>
      </c>
      <c r="AI216" s="24" t="n">
        <f aca="false">IF(AG216="","",AH216-AG216)</f>
        <v>0</v>
      </c>
      <c r="AJ216" s="21" t="n">
        <v>1</v>
      </c>
      <c r="AK216" s="21" t="n">
        <v>0</v>
      </c>
      <c r="AL216" s="16" t="s">
        <v>335</v>
      </c>
      <c r="AM216" s="16"/>
      <c r="AN216" s="16" t="s">
        <v>340</v>
      </c>
      <c r="AO216" s="16" t="s">
        <v>340</v>
      </c>
      <c r="AP216" s="16" t="s">
        <v>335</v>
      </c>
      <c r="AQ216" s="16"/>
      <c r="AR216" s="21" t="n">
        <f aca="false">IF(AND(T216&lt;&gt;"",H216&lt;&gt;""),IF(AND((T216-H216)*86400&gt;=0,(T216-H216)*86400&lt;تنظیمات!$B$13),1,0),0)</f>
        <v>0</v>
      </c>
      <c r="AS216" s="21" t="n">
        <f aca="false">IF(Z216="پوز",IF(OR(AB216="",COUNTIF(پوزها!$A$2:$A$5,AA216)=0),1,0),0)</f>
        <v>0</v>
      </c>
      <c r="AT216" s="21" t="n">
        <f aca="false">IF(AI216="",0,IF(AI216&gt;0,1,0))</f>
        <v>0</v>
      </c>
      <c r="AU216" s="21" t="n">
        <f aca="false">IF(AI216="",0,IF(AI216&lt;0,1,0))</f>
        <v>0</v>
      </c>
      <c r="AV216" s="21" t="n">
        <f aca="false">IF(U216&gt;V216,1,0)</f>
        <v>0</v>
      </c>
      <c r="AW216" s="21" t="n">
        <f aca="false">IF(OR(W216&gt;تنظیمات!$B$8,X216="بله"),1,0)</f>
        <v>0</v>
      </c>
      <c r="AX216" s="21" t="n">
        <f aca="false">IF(AND(N216="بله",L216&gt;تنظیمات!$B$9),1,0)</f>
        <v>0</v>
      </c>
      <c r="AY216" s="21" t="n">
        <f aca="false">IF(Y216="معکوس",1,0)</f>
        <v>0</v>
      </c>
      <c r="AZ216" s="21" t="n">
        <f aca="false">IF(ABS(AJ216)&gt;تنظیمات!$B$10,1,0)</f>
        <v>0</v>
      </c>
      <c r="BA216" s="21" t="n">
        <f aca="false">IF(AND(OR(AD216="رایگان/VIP",AD216="جانباز"),AF216="خیر"),1,0)</f>
        <v>0</v>
      </c>
      <c r="BB216" s="21" t="n">
        <f aca="false">IF(AE216="",0,IF(COUNTIF($AE$2:$AE$1001,AE216)&gt;1,1,0))</f>
        <v>0</v>
      </c>
      <c r="BC216" s="21" t="n">
        <f aca="false">IF(AND(H216="",I216&gt;تنظیمات!$B$12*60,AM216="خالی"),1,0)</f>
        <v>0</v>
      </c>
      <c r="BD216" s="21" t="n">
        <f aca="false">IF(AND(AP216="بله",I216&lt;تنظیمات!$B$14,AO216="خیر"),1,0)</f>
        <v>0</v>
      </c>
      <c r="BE216" s="21" t="n">
        <f aca="false">IF(AN216="خیر",1,0)</f>
        <v>0</v>
      </c>
      <c r="BF216" s="21" t="n">
        <f aca="false">IF(AND(AD216="فیش مفقودی",AQ216="بله",I216&gt;تنظیمات!$B$12*60),1,0)</f>
        <v>0</v>
      </c>
      <c r="BG216" s="21" t="n">
        <f aca="false">IF(AND(AK216&gt;تنظیمات!$B$11,AL216="بله"),1,0)</f>
        <v>0</v>
      </c>
      <c r="BH216" s="21" t="n">
        <f aca="false">MIN(100,AR216*تنظیمات!$B$21+AS216*تنظیمات!$B$22+AT216*تنظیمات!$B$23+AU216*تنظیمات!$B$24+AV216*تنظیمات!$B$25+AW216*تنظیمات!$B$26+AX216*تنظیمات!$B$27+AY216*تنظیمات!$B$28+AZ216*تنظیمات!$B$29+BA216*تنظیمات!$B$30+BB216*تنظیمات!$B$31+BC216*تنظیمات!$B$32+BD216*تنظیمات!$B$33+BE216*تنظیمات!$B$34+BF216*تنظیمات!$B$35+BG216*تنظیمات!$B$36)</f>
        <v>0</v>
      </c>
      <c r="BI216" s="16" t="str">
        <f aca="false">IF(BH216&gt;=60,"بحرانی",IF(BH216&gt;=30,"مشکوک",IF(BH216&gt;0,"هشدار","عادی")))</f>
        <v>عادی</v>
      </c>
      <c r="BJ216" s="16" t="s">
        <v>338</v>
      </c>
    </row>
    <row r="217" customFormat="false" ht="15" hidden="false" customHeight="false" outlineLevel="0" collapsed="false">
      <c r="A217" s="16" t="s">
        <v>1128</v>
      </c>
      <c r="B217" s="16" t="s">
        <v>539</v>
      </c>
      <c r="C217" s="16"/>
      <c r="D217" s="16" t="s">
        <v>540</v>
      </c>
      <c r="E217" s="16" t="s">
        <v>351</v>
      </c>
      <c r="F217" s="16" t="s">
        <v>359</v>
      </c>
      <c r="G217" s="17" t="n">
        <v>46284.186712963</v>
      </c>
      <c r="H217" s="17" t="n">
        <v>46284.2526851852</v>
      </c>
      <c r="I217" s="18" t="n">
        <f aca="false">IF(H217="",ROUND((تنظیمات!$B$7-G217)*1440,0),ROUND((H217-G217)*1440,0))</f>
        <v>95</v>
      </c>
      <c r="J217" s="16" t="s">
        <v>334</v>
      </c>
      <c r="K217" s="16" t="s">
        <v>400</v>
      </c>
      <c r="L217" s="19" t="n">
        <v>0.923</v>
      </c>
      <c r="M217" s="19" t="n">
        <v>0.995</v>
      </c>
      <c r="N217" s="16" t="s">
        <v>335</v>
      </c>
      <c r="O217" s="16" t="s">
        <v>425</v>
      </c>
      <c r="P217" s="16" t="s">
        <v>402</v>
      </c>
      <c r="Q217" s="20" t="n">
        <v>46284</v>
      </c>
      <c r="R217" s="16" t="s">
        <v>1129</v>
      </c>
      <c r="S217" s="16" t="s">
        <v>404</v>
      </c>
      <c r="T217" s="17"/>
      <c r="U217" s="21" t="n">
        <v>1</v>
      </c>
      <c r="V217" s="21" t="n">
        <v>1</v>
      </c>
      <c r="W217" s="22" t="n">
        <v>6.7</v>
      </c>
      <c r="X217" s="16" t="s">
        <v>335</v>
      </c>
      <c r="Y217" s="16" t="s">
        <v>338</v>
      </c>
      <c r="Z217" s="16" t="s">
        <v>413</v>
      </c>
      <c r="AA217" s="16" t="s">
        <v>427</v>
      </c>
      <c r="AB217" s="23" t="s">
        <v>1130</v>
      </c>
      <c r="AC217" s="17" t="n">
        <v>46284.2516898148</v>
      </c>
      <c r="AD217" s="16" t="s">
        <v>338</v>
      </c>
      <c r="AE217" s="16"/>
      <c r="AF217" s="16" t="str">
        <f aca="false">IF(COUNTIF(لیست_سفید!$A$2:$A$21,B217)&gt;0,"بله","خیر")</f>
        <v>خیر</v>
      </c>
      <c r="AG217" s="24" t="n">
        <f aca="false">IF(H217="","",IF(AD217="فیش مفقودی",تنظیمات!$B$6,(INT(I217/1440)*تنظیمات!$B$5+IF(MOD(I217,1440)&lt;=تنظیمات!$B$2,0,MIN(تنظیمات!$B$5,تنظیمات!$B$3+MAX(0,ROUNDUP((MOD(I217,1440)-60)/60,0))*تنظیمات!$B$4)))*INDEX(تعرفه!$B$2:$B$7,MATCH(AD217,تعرفه!$A$2:$A$7,0))))</f>
        <v>34000</v>
      </c>
      <c r="AH217" s="24" t="n">
        <v>34000</v>
      </c>
      <c r="AI217" s="24" t="n">
        <f aca="false">IF(AG217="","",AH217-AG217)</f>
        <v>0</v>
      </c>
      <c r="AJ217" s="21" t="n">
        <v>1</v>
      </c>
      <c r="AK217" s="21" t="n">
        <v>0</v>
      </c>
      <c r="AL217" s="16" t="s">
        <v>335</v>
      </c>
      <c r="AM217" s="16"/>
      <c r="AN217" s="16" t="s">
        <v>340</v>
      </c>
      <c r="AO217" s="16" t="s">
        <v>340</v>
      </c>
      <c r="AP217" s="16" t="s">
        <v>335</v>
      </c>
      <c r="AQ217" s="16"/>
      <c r="AR217" s="21" t="n">
        <f aca="false">IF(AND(T217&lt;&gt;"",H217&lt;&gt;""),IF(AND((T217-H217)*86400&gt;=0,(T217-H217)*86400&lt;تنظیمات!$B$13),1,0),0)</f>
        <v>0</v>
      </c>
      <c r="AS217" s="21" t="n">
        <f aca="false">IF(Z217="پوز",IF(OR(AB217="",COUNTIF(پوزها!$A$2:$A$5,AA217)=0),1,0),0)</f>
        <v>0</v>
      </c>
      <c r="AT217" s="21" t="n">
        <f aca="false">IF(AI217="",0,IF(AI217&gt;0,1,0))</f>
        <v>0</v>
      </c>
      <c r="AU217" s="21" t="n">
        <f aca="false">IF(AI217="",0,IF(AI217&lt;0,1,0))</f>
        <v>0</v>
      </c>
      <c r="AV217" s="21" t="n">
        <f aca="false">IF(U217&gt;V217,1,0)</f>
        <v>0</v>
      </c>
      <c r="AW217" s="21" t="n">
        <f aca="false">IF(OR(W217&gt;تنظیمات!$B$8,X217="بله"),1,0)</f>
        <v>0</v>
      </c>
      <c r="AX217" s="21" t="n">
        <f aca="false">IF(AND(N217="بله",L217&gt;تنظیمات!$B$9),1,0)</f>
        <v>0</v>
      </c>
      <c r="AY217" s="21" t="n">
        <f aca="false">IF(Y217="معکوس",1,0)</f>
        <v>0</v>
      </c>
      <c r="AZ217" s="21" t="n">
        <f aca="false">IF(ABS(AJ217)&gt;تنظیمات!$B$10,1,0)</f>
        <v>0</v>
      </c>
      <c r="BA217" s="21" t="n">
        <f aca="false">IF(AND(OR(AD217="رایگان/VIP",AD217="جانباز"),AF217="خیر"),1,0)</f>
        <v>0</v>
      </c>
      <c r="BB217" s="21" t="n">
        <f aca="false">IF(AE217="",0,IF(COUNTIF($AE$2:$AE$1001,AE217)&gt;1,1,0))</f>
        <v>0</v>
      </c>
      <c r="BC217" s="21" t="n">
        <f aca="false">IF(AND(H217="",I217&gt;تنظیمات!$B$12*60,AM217="خالی"),1,0)</f>
        <v>0</v>
      </c>
      <c r="BD217" s="21" t="n">
        <f aca="false">IF(AND(AP217="بله",I217&lt;تنظیمات!$B$14,AO217="خیر"),1,0)</f>
        <v>0</v>
      </c>
      <c r="BE217" s="21" t="n">
        <f aca="false">IF(AN217="خیر",1,0)</f>
        <v>0</v>
      </c>
      <c r="BF217" s="21" t="n">
        <f aca="false">IF(AND(AD217="فیش مفقودی",AQ217="بله",I217&gt;تنظیمات!$B$12*60),1,0)</f>
        <v>0</v>
      </c>
      <c r="BG217" s="21" t="n">
        <f aca="false">IF(AND(AK217&gt;تنظیمات!$B$11,AL217="بله"),1,0)</f>
        <v>0</v>
      </c>
      <c r="BH217" s="21" t="n">
        <f aca="false">MIN(100,AR217*تنظیمات!$B$21+AS217*تنظیمات!$B$22+AT217*تنظیمات!$B$23+AU217*تنظیمات!$B$24+AV217*تنظیمات!$B$25+AW217*تنظیمات!$B$26+AX217*تنظیمات!$B$27+AY217*تنظیمات!$B$28+AZ217*تنظیمات!$B$29+BA217*تنظیمات!$B$30+BB217*تنظیمات!$B$31+BC217*تنظیمات!$B$32+BD217*تنظیمات!$B$33+BE217*تنظیمات!$B$34+BF217*تنظیمات!$B$35+BG217*تنظیمات!$B$36)</f>
        <v>0</v>
      </c>
      <c r="BI217" s="16" t="str">
        <f aca="false">IF(BH217&gt;=60,"بحرانی",IF(BH217&gt;=30,"مشکوک",IF(BH217&gt;0,"هشدار","عادی")))</f>
        <v>عادی</v>
      </c>
      <c r="BJ217" s="16" t="s">
        <v>338</v>
      </c>
    </row>
    <row r="218" customFormat="false" ht="15" hidden="false" customHeight="false" outlineLevel="0" collapsed="false">
      <c r="A218" s="16" t="s">
        <v>1131</v>
      </c>
      <c r="B218" s="16" t="s">
        <v>1132</v>
      </c>
      <c r="C218" s="16"/>
      <c r="D218" s="16" t="s">
        <v>418</v>
      </c>
      <c r="E218" s="16" t="s">
        <v>351</v>
      </c>
      <c r="F218" s="16" t="s">
        <v>333</v>
      </c>
      <c r="G218" s="17" t="n">
        <v>46284.2346296296</v>
      </c>
      <c r="H218" s="17" t="n">
        <v>46284.6096296296</v>
      </c>
      <c r="I218" s="18" t="n">
        <f aca="false">IF(H218="",ROUND((تنظیمات!$B$7-G218)*1440,0),ROUND((H218-G218)*1440,0))</f>
        <v>540</v>
      </c>
      <c r="J218" s="16" t="s">
        <v>334</v>
      </c>
      <c r="K218" s="16" t="s">
        <v>400</v>
      </c>
      <c r="L218" s="19" t="n">
        <v>0.953</v>
      </c>
      <c r="M218" s="19" t="n">
        <v>0.962</v>
      </c>
      <c r="N218" s="16" t="s">
        <v>335</v>
      </c>
      <c r="O218" s="16" t="s">
        <v>411</v>
      </c>
      <c r="P218" s="16" t="s">
        <v>420</v>
      </c>
      <c r="Q218" s="20" t="n">
        <v>46284</v>
      </c>
      <c r="R218" s="16" t="s">
        <v>1133</v>
      </c>
      <c r="S218" s="16" t="s">
        <v>404</v>
      </c>
      <c r="T218" s="17"/>
      <c r="U218" s="21" t="n">
        <v>1</v>
      </c>
      <c r="V218" s="21" t="n">
        <v>1</v>
      </c>
      <c r="W218" s="22" t="n">
        <v>4.5</v>
      </c>
      <c r="X218" s="16" t="s">
        <v>335</v>
      </c>
      <c r="Y218" s="16" t="s">
        <v>338</v>
      </c>
      <c r="Z218" s="16" t="s">
        <v>443</v>
      </c>
      <c r="AA218" s="16"/>
      <c r="AB218" s="23"/>
      <c r="AC218" s="17"/>
      <c r="AD218" s="16" t="s">
        <v>444</v>
      </c>
      <c r="AE218" s="16"/>
      <c r="AF218" s="16" t="str">
        <f aca="false">IF(COUNTIF(لیست_سفید!$A$2:$A$21,B218)&gt;0,"بله","خیر")</f>
        <v>خیر</v>
      </c>
      <c r="AG218" s="24" t="n">
        <f aca="false">IF(H218="","",IF(AD218="فیش مفقودی",تنظیمات!$B$6,(INT(I218/1440)*تنظیمات!$B$5+IF(MOD(I218,1440)&lt;=تنظیمات!$B$2,0,MIN(تنظیمات!$B$5,تنظیمات!$B$3+MAX(0,ROUNDUP((MOD(I218,1440)-60)/60,0))*تنظیمات!$B$4)))*INDEX(تعرفه!$B$2:$B$7,MATCH(AD218,تعرفه!$A$2:$A$7,0))))</f>
        <v>0</v>
      </c>
      <c r="AH218" s="24" t="n">
        <v>0</v>
      </c>
      <c r="AI218" s="24" t="n">
        <f aca="false">IF(AG218="","",AH218-AG218)</f>
        <v>0</v>
      </c>
      <c r="AJ218" s="21" t="n">
        <v>0</v>
      </c>
      <c r="AK218" s="21" t="n">
        <v>0</v>
      </c>
      <c r="AL218" s="16" t="s">
        <v>335</v>
      </c>
      <c r="AM218" s="16"/>
      <c r="AN218" s="16" t="s">
        <v>340</v>
      </c>
      <c r="AO218" s="16" t="s">
        <v>340</v>
      </c>
      <c r="AP218" s="16" t="s">
        <v>335</v>
      </c>
      <c r="AQ218" s="16"/>
      <c r="AR218" s="21" t="n">
        <f aca="false">IF(AND(T218&lt;&gt;"",H218&lt;&gt;""),IF(AND((T218-H218)*86400&gt;=0,(T218-H218)*86400&lt;تنظیمات!$B$13),1,0),0)</f>
        <v>0</v>
      </c>
      <c r="AS218" s="21" t="n">
        <f aca="false">IF(Z218="پوز",IF(OR(AB218="",COUNTIF(پوزها!$A$2:$A$5,AA218)=0),1,0),0)</f>
        <v>0</v>
      </c>
      <c r="AT218" s="21" t="n">
        <f aca="false">IF(AI218="",0,IF(AI218&gt;0,1,0))</f>
        <v>0</v>
      </c>
      <c r="AU218" s="21" t="n">
        <f aca="false">IF(AI218="",0,IF(AI218&lt;0,1,0))</f>
        <v>0</v>
      </c>
      <c r="AV218" s="21" t="n">
        <f aca="false">IF(U218&gt;V218,1,0)</f>
        <v>0</v>
      </c>
      <c r="AW218" s="21" t="n">
        <f aca="false">IF(OR(W218&gt;تنظیمات!$B$8,X218="بله"),1,0)</f>
        <v>0</v>
      </c>
      <c r="AX218" s="21" t="n">
        <f aca="false">IF(AND(N218="بله",L218&gt;تنظیمات!$B$9),1,0)</f>
        <v>0</v>
      </c>
      <c r="AY218" s="21" t="n">
        <f aca="false">IF(Y218="معکوس",1,0)</f>
        <v>0</v>
      </c>
      <c r="AZ218" s="21" t="n">
        <f aca="false">IF(ABS(AJ218)&gt;تنظیمات!$B$10,1,0)</f>
        <v>0</v>
      </c>
      <c r="BA218" s="21" t="n">
        <f aca="false">IF(AND(OR(AD218="رایگان/VIP",AD218="جانباز"),AF218="خیر"),1,0)</f>
        <v>0</v>
      </c>
      <c r="BB218" s="21" t="n">
        <f aca="false">IF(AE218="",0,IF(COUNTIF($AE$2:$AE$1001,AE218)&gt;1,1,0))</f>
        <v>0</v>
      </c>
      <c r="BC218" s="21" t="n">
        <f aca="false">IF(AND(H218="",I218&gt;تنظیمات!$B$12*60,AM218="خالی"),1,0)</f>
        <v>0</v>
      </c>
      <c r="BD218" s="21" t="n">
        <f aca="false">IF(AND(AP218="بله",I218&lt;تنظیمات!$B$14,AO218="خیر"),1,0)</f>
        <v>0</v>
      </c>
      <c r="BE218" s="21" t="n">
        <f aca="false">IF(AN218="خیر",1,0)</f>
        <v>0</v>
      </c>
      <c r="BF218" s="21" t="n">
        <f aca="false">IF(AND(AD218="فیش مفقودی",AQ218="بله",I218&gt;تنظیمات!$B$12*60),1,0)</f>
        <v>0</v>
      </c>
      <c r="BG218" s="21" t="n">
        <f aca="false">IF(AND(AK218&gt;تنظیمات!$B$11,AL218="بله"),1,0)</f>
        <v>0</v>
      </c>
      <c r="BH218" s="21" t="n">
        <f aca="false">MIN(100,AR218*تنظیمات!$B$21+AS218*تنظیمات!$B$22+AT218*تنظیمات!$B$23+AU218*تنظیمات!$B$24+AV218*تنظیمات!$B$25+AW218*تنظیمات!$B$26+AX218*تنظیمات!$B$27+AY218*تنظیمات!$B$28+AZ218*تنظیمات!$B$29+BA218*تنظیمات!$B$30+BB218*تنظیمات!$B$31+BC218*تنظیمات!$B$32+BD218*تنظیمات!$B$33+BE218*تنظیمات!$B$34+BF218*تنظیمات!$B$35+BG218*تنظیمات!$B$36)</f>
        <v>0</v>
      </c>
      <c r="BI218" s="16" t="str">
        <f aca="false">IF(BH218&gt;=60,"بحرانی",IF(BH218&gt;=30,"مشکوک",IF(BH218&gt;0,"هشدار","عادی")))</f>
        <v>عادی</v>
      </c>
      <c r="BJ218" s="16" t="s">
        <v>338</v>
      </c>
    </row>
    <row r="219" customFormat="false" ht="15" hidden="false" customHeight="false" outlineLevel="0" collapsed="false">
      <c r="A219" s="16" t="s">
        <v>1134</v>
      </c>
      <c r="B219" s="16" t="s">
        <v>1135</v>
      </c>
      <c r="C219" s="16"/>
      <c r="D219" s="16" t="s">
        <v>386</v>
      </c>
      <c r="E219" s="16" t="s">
        <v>363</v>
      </c>
      <c r="F219" s="16" t="s">
        <v>333</v>
      </c>
      <c r="G219" s="17" t="n">
        <v>46284.2363425926</v>
      </c>
      <c r="H219" s="17" t="n">
        <v>46284.2946759259</v>
      </c>
      <c r="I219" s="18" t="n">
        <f aca="false">IF(H219="",ROUND((تنظیمات!$B$7-G219)*1440,0),ROUND((H219-G219)*1440,0))</f>
        <v>84</v>
      </c>
      <c r="J219" s="16" t="s">
        <v>346</v>
      </c>
      <c r="K219" s="16" t="s">
        <v>410</v>
      </c>
      <c r="L219" s="19" t="n">
        <v>0.956</v>
      </c>
      <c r="M219" s="19" t="n">
        <v>0.995</v>
      </c>
      <c r="N219" s="16" t="s">
        <v>335</v>
      </c>
      <c r="O219" s="16" t="s">
        <v>441</v>
      </c>
      <c r="P219" s="16" t="s">
        <v>402</v>
      </c>
      <c r="Q219" s="20" t="n">
        <v>46284</v>
      </c>
      <c r="R219" s="16" t="s">
        <v>1136</v>
      </c>
      <c r="S219" s="16" t="s">
        <v>404</v>
      </c>
      <c r="T219" s="17"/>
      <c r="U219" s="21" t="n">
        <v>1</v>
      </c>
      <c r="V219" s="21" t="n">
        <v>1</v>
      </c>
      <c r="W219" s="22" t="n">
        <v>4.6</v>
      </c>
      <c r="X219" s="16" t="s">
        <v>335</v>
      </c>
      <c r="Y219" s="16" t="s">
        <v>338</v>
      </c>
      <c r="Z219" s="16" t="s">
        <v>413</v>
      </c>
      <c r="AA219" s="16" t="s">
        <v>414</v>
      </c>
      <c r="AB219" s="23" t="s">
        <v>1137</v>
      </c>
      <c r="AC219" s="17" t="n">
        <v>46284.2943171296</v>
      </c>
      <c r="AD219" s="16" t="s">
        <v>338</v>
      </c>
      <c r="AE219" s="16"/>
      <c r="AF219" s="16" t="str">
        <f aca="false">IF(COUNTIF(لیست_سفید!$A$2:$A$21,B219)&gt;0,"بله","خیر")</f>
        <v>خیر</v>
      </c>
      <c r="AG219" s="24" t="n">
        <f aca="false">IF(H219="","",IF(AD219="فیش مفقودی",تنظیمات!$B$6,(INT(I219/1440)*تنظیمات!$B$5+IF(MOD(I219,1440)&lt;=تنظیمات!$B$2,0,MIN(تنظیمات!$B$5,تنظیمات!$B$3+MAX(0,ROUNDUP((MOD(I219,1440)-60)/60,0))*تنظیمات!$B$4)))*INDEX(تعرفه!$B$2:$B$7,MATCH(AD219,تعرفه!$A$2:$A$7,0))))</f>
        <v>34000</v>
      </c>
      <c r="AH219" s="24" t="n">
        <v>34000</v>
      </c>
      <c r="AI219" s="24" t="n">
        <f aca="false">IF(AG219="","",AH219-AG219)</f>
        <v>0</v>
      </c>
      <c r="AJ219" s="21" t="n">
        <v>0</v>
      </c>
      <c r="AK219" s="21" t="n">
        <v>0</v>
      </c>
      <c r="AL219" s="16" t="s">
        <v>335</v>
      </c>
      <c r="AM219" s="16"/>
      <c r="AN219" s="16" t="s">
        <v>340</v>
      </c>
      <c r="AO219" s="16" t="s">
        <v>340</v>
      </c>
      <c r="AP219" s="16" t="s">
        <v>335</v>
      </c>
      <c r="AQ219" s="16"/>
      <c r="AR219" s="21" t="n">
        <f aca="false">IF(AND(T219&lt;&gt;"",H219&lt;&gt;""),IF(AND((T219-H219)*86400&gt;=0,(T219-H219)*86400&lt;تنظیمات!$B$13),1,0),0)</f>
        <v>0</v>
      </c>
      <c r="AS219" s="21" t="n">
        <f aca="false">IF(Z219="پوز",IF(OR(AB219="",COUNTIF(پوزها!$A$2:$A$5,AA219)=0),1,0),0)</f>
        <v>0</v>
      </c>
      <c r="AT219" s="21" t="n">
        <f aca="false">IF(AI219="",0,IF(AI219&gt;0,1,0))</f>
        <v>0</v>
      </c>
      <c r="AU219" s="21" t="n">
        <f aca="false">IF(AI219="",0,IF(AI219&lt;0,1,0))</f>
        <v>0</v>
      </c>
      <c r="AV219" s="21" t="n">
        <f aca="false">IF(U219&gt;V219,1,0)</f>
        <v>0</v>
      </c>
      <c r="AW219" s="21" t="n">
        <f aca="false">IF(OR(W219&gt;تنظیمات!$B$8,X219="بله"),1,0)</f>
        <v>0</v>
      </c>
      <c r="AX219" s="21" t="n">
        <f aca="false">IF(AND(N219="بله",L219&gt;تنظیمات!$B$9),1,0)</f>
        <v>0</v>
      </c>
      <c r="AY219" s="21" t="n">
        <f aca="false">IF(Y219="معکوس",1,0)</f>
        <v>0</v>
      </c>
      <c r="AZ219" s="21" t="n">
        <f aca="false">IF(ABS(AJ219)&gt;تنظیمات!$B$10,1,0)</f>
        <v>0</v>
      </c>
      <c r="BA219" s="21" t="n">
        <f aca="false">IF(AND(OR(AD219="رایگان/VIP",AD219="جانباز"),AF219="خیر"),1,0)</f>
        <v>0</v>
      </c>
      <c r="BB219" s="21" t="n">
        <f aca="false">IF(AE219="",0,IF(COUNTIF($AE$2:$AE$1001,AE219)&gt;1,1,0))</f>
        <v>0</v>
      </c>
      <c r="BC219" s="21" t="n">
        <f aca="false">IF(AND(H219="",I219&gt;تنظیمات!$B$12*60,AM219="خالی"),1,0)</f>
        <v>0</v>
      </c>
      <c r="BD219" s="21" t="n">
        <f aca="false">IF(AND(AP219="بله",I219&lt;تنظیمات!$B$14,AO219="خیر"),1,0)</f>
        <v>0</v>
      </c>
      <c r="BE219" s="21" t="n">
        <f aca="false">IF(AN219="خیر",1,0)</f>
        <v>0</v>
      </c>
      <c r="BF219" s="21" t="n">
        <f aca="false">IF(AND(AD219="فیش مفقودی",AQ219="بله",I219&gt;تنظیمات!$B$12*60),1,0)</f>
        <v>0</v>
      </c>
      <c r="BG219" s="21" t="n">
        <f aca="false">IF(AND(AK219&gt;تنظیمات!$B$11,AL219="بله"),1,0)</f>
        <v>0</v>
      </c>
      <c r="BH219" s="21" t="n">
        <f aca="false">MIN(100,AR219*تنظیمات!$B$21+AS219*تنظیمات!$B$22+AT219*تنظیمات!$B$23+AU219*تنظیمات!$B$24+AV219*تنظیمات!$B$25+AW219*تنظیمات!$B$26+AX219*تنظیمات!$B$27+AY219*تنظیمات!$B$28+AZ219*تنظیمات!$B$29+BA219*تنظیمات!$B$30+BB219*تنظیمات!$B$31+BC219*تنظیمات!$B$32+BD219*تنظیمات!$B$33+BE219*تنظیمات!$B$34+BF219*تنظیمات!$B$35+BG219*تنظیمات!$B$36)</f>
        <v>0</v>
      </c>
      <c r="BI219" s="16" t="str">
        <f aca="false">IF(BH219&gt;=60,"بحرانی",IF(BH219&gt;=30,"مشکوک",IF(BH219&gt;0,"هشدار","عادی")))</f>
        <v>عادی</v>
      </c>
      <c r="BJ219" s="16" t="s">
        <v>338</v>
      </c>
    </row>
    <row r="220" customFormat="false" ht="15" hidden="false" customHeight="false" outlineLevel="0" collapsed="false">
      <c r="A220" s="16" t="s">
        <v>1138</v>
      </c>
      <c r="B220" s="16" t="s">
        <v>1139</v>
      </c>
      <c r="C220" s="16"/>
      <c r="D220" s="16" t="s">
        <v>382</v>
      </c>
      <c r="E220" s="16" t="s">
        <v>363</v>
      </c>
      <c r="F220" s="16" t="s">
        <v>333</v>
      </c>
      <c r="G220" s="17" t="n">
        <v>46284.2408449074</v>
      </c>
      <c r="H220" s="17" t="n">
        <v>46284.6234837963</v>
      </c>
      <c r="I220" s="18" t="n">
        <f aca="false">IF(H220="",ROUND((تنظیمات!$B$7-G220)*1440,0),ROUND((H220-G220)*1440,0))</f>
        <v>551</v>
      </c>
      <c r="J220" s="16" t="s">
        <v>346</v>
      </c>
      <c r="K220" s="16" t="s">
        <v>410</v>
      </c>
      <c r="L220" s="19" t="n">
        <v>0.988</v>
      </c>
      <c r="M220" s="19" t="n">
        <v>0.958</v>
      </c>
      <c r="N220" s="16" t="s">
        <v>335</v>
      </c>
      <c r="O220" s="16" t="s">
        <v>401</v>
      </c>
      <c r="P220" s="16" t="s">
        <v>420</v>
      </c>
      <c r="Q220" s="20" t="n">
        <v>46284</v>
      </c>
      <c r="R220" s="16" t="s">
        <v>1140</v>
      </c>
      <c r="S220" s="16" t="s">
        <v>452</v>
      </c>
      <c r="T220" s="17" t="n">
        <v>46284.6167824074</v>
      </c>
      <c r="U220" s="21" t="n">
        <v>1</v>
      </c>
      <c r="V220" s="21" t="n">
        <v>1</v>
      </c>
      <c r="W220" s="22" t="n">
        <v>5.1</v>
      </c>
      <c r="X220" s="16" t="s">
        <v>335</v>
      </c>
      <c r="Y220" s="16" t="s">
        <v>338</v>
      </c>
      <c r="Z220" s="16" t="s">
        <v>413</v>
      </c>
      <c r="AA220" s="16" t="s">
        <v>414</v>
      </c>
      <c r="AB220" s="23" t="s">
        <v>1141</v>
      </c>
      <c r="AC220" s="17" t="n">
        <v>46284.6230439815</v>
      </c>
      <c r="AD220" s="16" t="s">
        <v>338</v>
      </c>
      <c r="AE220" s="16"/>
      <c r="AF220" s="16" t="str">
        <f aca="false">IF(COUNTIF(لیست_سفید!$A$2:$A$21,B220)&gt;0,"بله","خیر")</f>
        <v>خیر</v>
      </c>
      <c r="AG220" s="24" t="n">
        <f aca="false">IF(H220="","",IF(AD220="فیش مفقودی",تنظیمات!$B$6,(INT(I220/1440)*تنظیمات!$B$5+IF(MOD(I220,1440)&lt;=تنظیمات!$B$2,0,MIN(تنظیمات!$B$5,تنظیمات!$B$3+MAX(0,ROUNDUP((MOD(I220,1440)-60)/60,0))*تنظیمات!$B$4)))*INDEX(تعرفه!$B$2:$B$7,MATCH(AD220,تعرفه!$A$2:$A$7,0))))</f>
        <v>146000</v>
      </c>
      <c r="AH220" s="24" t="n">
        <v>146000</v>
      </c>
      <c r="AI220" s="24" t="n">
        <f aca="false">IF(AG220="","",AH220-AG220)</f>
        <v>0</v>
      </c>
      <c r="AJ220" s="21" t="n">
        <v>1</v>
      </c>
      <c r="AK220" s="21" t="n">
        <v>0</v>
      </c>
      <c r="AL220" s="16" t="s">
        <v>335</v>
      </c>
      <c r="AM220" s="16"/>
      <c r="AN220" s="16" t="s">
        <v>340</v>
      </c>
      <c r="AO220" s="16" t="s">
        <v>340</v>
      </c>
      <c r="AP220" s="16" t="s">
        <v>335</v>
      </c>
      <c r="AQ220" s="16"/>
      <c r="AR220" s="21" t="n">
        <f aca="false">IF(AND(T220&lt;&gt;"",H220&lt;&gt;""),IF(AND((T220-H220)*86400&gt;=0,(T220-H220)*86400&lt;تنظیمات!$B$13),1,0),0)</f>
        <v>0</v>
      </c>
      <c r="AS220" s="21" t="n">
        <f aca="false">IF(Z220="پوز",IF(OR(AB220="",COUNTIF(پوزها!$A$2:$A$5,AA220)=0),1,0),0)</f>
        <v>0</v>
      </c>
      <c r="AT220" s="21" t="n">
        <f aca="false">IF(AI220="",0,IF(AI220&gt;0,1,0))</f>
        <v>0</v>
      </c>
      <c r="AU220" s="21" t="n">
        <f aca="false">IF(AI220="",0,IF(AI220&lt;0,1,0))</f>
        <v>0</v>
      </c>
      <c r="AV220" s="21" t="n">
        <f aca="false">IF(U220&gt;V220,1,0)</f>
        <v>0</v>
      </c>
      <c r="AW220" s="21" t="n">
        <f aca="false">IF(OR(W220&gt;تنظیمات!$B$8,X220="بله"),1,0)</f>
        <v>0</v>
      </c>
      <c r="AX220" s="21" t="n">
        <f aca="false">IF(AND(N220="بله",L220&gt;تنظیمات!$B$9),1,0)</f>
        <v>0</v>
      </c>
      <c r="AY220" s="21" t="n">
        <f aca="false">IF(Y220="معکوس",1,0)</f>
        <v>0</v>
      </c>
      <c r="AZ220" s="21" t="n">
        <f aca="false">IF(ABS(AJ220)&gt;تنظیمات!$B$10,1,0)</f>
        <v>0</v>
      </c>
      <c r="BA220" s="21" t="n">
        <f aca="false">IF(AND(OR(AD220="رایگان/VIP",AD220="جانباز"),AF220="خیر"),1,0)</f>
        <v>0</v>
      </c>
      <c r="BB220" s="21" t="n">
        <f aca="false">IF(AE220="",0,IF(COUNTIF($AE$2:$AE$1001,AE220)&gt;1,1,0))</f>
        <v>0</v>
      </c>
      <c r="BC220" s="21" t="n">
        <f aca="false">IF(AND(H220="",I220&gt;تنظیمات!$B$12*60,AM220="خالی"),1,0)</f>
        <v>0</v>
      </c>
      <c r="BD220" s="21" t="n">
        <f aca="false">IF(AND(AP220="بله",I220&lt;تنظیمات!$B$14,AO220="خیر"),1,0)</f>
        <v>0</v>
      </c>
      <c r="BE220" s="21" t="n">
        <f aca="false">IF(AN220="خیر",1,0)</f>
        <v>0</v>
      </c>
      <c r="BF220" s="21" t="n">
        <f aca="false">IF(AND(AD220="فیش مفقودی",AQ220="بله",I220&gt;تنظیمات!$B$12*60),1,0)</f>
        <v>0</v>
      </c>
      <c r="BG220" s="21" t="n">
        <f aca="false">IF(AND(AK220&gt;تنظیمات!$B$11,AL220="بله"),1,0)</f>
        <v>0</v>
      </c>
      <c r="BH220" s="21" t="n">
        <f aca="false">MIN(100,AR220*تنظیمات!$B$21+AS220*تنظیمات!$B$22+AT220*تنظیمات!$B$23+AU220*تنظیمات!$B$24+AV220*تنظیمات!$B$25+AW220*تنظیمات!$B$26+AX220*تنظیمات!$B$27+AY220*تنظیمات!$B$28+AZ220*تنظیمات!$B$29+BA220*تنظیمات!$B$30+BB220*تنظیمات!$B$31+BC220*تنظیمات!$B$32+BD220*تنظیمات!$B$33+BE220*تنظیمات!$B$34+BF220*تنظیمات!$B$35+BG220*تنظیمات!$B$36)</f>
        <v>0</v>
      </c>
      <c r="BI220" s="16" t="str">
        <f aca="false">IF(BH220&gt;=60,"بحرانی",IF(BH220&gt;=30,"مشکوک",IF(BH220&gt;0,"هشدار","عادی")))</f>
        <v>عادی</v>
      </c>
      <c r="BJ220" s="16" t="s">
        <v>338</v>
      </c>
    </row>
    <row r="221" customFormat="false" ht="15" hidden="false" customHeight="false" outlineLevel="0" collapsed="false">
      <c r="A221" s="16" t="s">
        <v>1142</v>
      </c>
      <c r="B221" s="16" t="s">
        <v>417</v>
      </c>
      <c r="C221" s="16"/>
      <c r="D221" s="16" t="s">
        <v>418</v>
      </c>
      <c r="E221" s="16" t="s">
        <v>351</v>
      </c>
      <c r="F221" s="16" t="s">
        <v>333</v>
      </c>
      <c r="G221" s="17" t="n">
        <v>46284.2791435185</v>
      </c>
      <c r="H221" s="17" t="n">
        <v>46284.3874768519</v>
      </c>
      <c r="I221" s="18" t="n">
        <f aca="false">IF(H221="",ROUND((تنظیمات!$B$7-G221)*1440,0),ROUND((H221-G221)*1440,0))</f>
        <v>156</v>
      </c>
      <c r="J221" s="16" t="s">
        <v>346</v>
      </c>
      <c r="K221" s="16" t="s">
        <v>400</v>
      </c>
      <c r="L221" s="19" t="n">
        <v>0.93</v>
      </c>
      <c r="M221" s="19" t="n">
        <v>0.916</v>
      </c>
      <c r="N221" s="16" t="s">
        <v>335</v>
      </c>
      <c r="O221" s="16" t="s">
        <v>425</v>
      </c>
      <c r="P221" s="16" t="s">
        <v>402</v>
      </c>
      <c r="Q221" s="20" t="n">
        <v>46284</v>
      </c>
      <c r="R221" s="16" t="s">
        <v>1143</v>
      </c>
      <c r="S221" s="16" t="s">
        <v>404</v>
      </c>
      <c r="T221" s="17"/>
      <c r="U221" s="21" t="n">
        <v>1</v>
      </c>
      <c r="V221" s="21" t="n">
        <v>1</v>
      </c>
      <c r="W221" s="22" t="n">
        <v>6.1</v>
      </c>
      <c r="X221" s="16" t="s">
        <v>335</v>
      </c>
      <c r="Y221" s="16" t="s">
        <v>338</v>
      </c>
      <c r="Z221" s="16" t="s">
        <v>405</v>
      </c>
      <c r="AA221" s="16"/>
      <c r="AB221" s="23"/>
      <c r="AC221" s="17"/>
      <c r="AD221" s="16" t="s">
        <v>338</v>
      </c>
      <c r="AE221" s="16"/>
      <c r="AF221" s="16" t="str">
        <f aca="false">IF(COUNTIF(لیست_سفید!$A$2:$A$21,B221)&gt;0,"بله","خیر")</f>
        <v>خیر</v>
      </c>
      <c r="AG221" s="24" t="n">
        <f aca="false">IF(H221="","",IF(AD221="فیش مفقودی",تنظیمات!$B$6,(INT(I221/1440)*تنظیمات!$B$5+IF(MOD(I221,1440)&lt;=تنظیمات!$B$2,0,MIN(تنظیمات!$B$5,تنظیمات!$B$3+MAX(0,ROUNDUP((MOD(I221,1440)-60)/60,0))*تنظیمات!$B$4)))*INDEX(تعرفه!$B$2:$B$7,MATCH(AD221,تعرفه!$A$2:$A$7,0))))</f>
        <v>48000</v>
      </c>
      <c r="AH221" s="24" t="n">
        <v>48000</v>
      </c>
      <c r="AI221" s="24" t="n">
        <f aca="false">IF(AG221="","",AH221-AG221)</f>
        <v>0</v>
      </c>
      <c r="AJ221" s="21" t="n">
        <v>-1</v>
      </c>
      <c r="AK221" s="21" t="n">
        <v>0</v>
      </c>
      <c r="AL221" s="16" t="s">
        <v>335</v>
      </c>
      <c r="AM221" s="16"/>
      <c r="AN221" s="16" t="s">
        <v>340</v>
      </c>
      <c r="AO221" s="16" t="s">
        <v>340</v>
      </c>
      <c r="AP221" s="16" t="s">
        <v>335</v>
      </c>
      <c r="AQ221" s="16"/>
      <c r="AR221" s="21" t="n">
        <f aca="false">IF(AND(T221&lt;&gt;"",H221&lt;&gt;""),IF(AND((T221-H221)*86400&gt;=0,(T221-H221)*86400&lt;تنظیمات!$B$13),1,0),0)</f>
        <v>0</v>
      </c>
      <c r="AS221" s="21" t="n">
        <f aca="false">IF(Z221="پوز",IF(OR(AB221="",COUNTIF(پوزها!$A$2:$A$5,AA221)=0),1,0),0)</f>
        <v>0</v>
      </c>
      <c r="AT221" s="21" t="n">
        <f aca="false">IF(AI221="",0,IF(AI221&gt;0,1,0))</f>
        <v>0</v>
      </c>
      <c r="AU221" s="21" t="n">
        <f aca="false">IF(AI221="",0,IF(AI221&lt;0,1,0))</f>
        <v>0</v>
      </c>
      <c r="AV221" s="21" t="n">
        <f aca="false">IF(U221&gt;V221,1,0)</f>
        <v>0</v>
      </c>
      <c r="AW221" s="21" t="n">
        <f aca="false">IF(OR(W221&gt;تنظیمات!$B$8,X221="بله"),1,0)</f>
        <v>0</v>
      </c>
      <c r="AX221" s="21" t="n">
        <f aca="false">IF(AND(N221="بله",L221&gt;تنظیمات!$B$9),1,0)</f>
        <v>0</v>
      </c>
      <c r="AY221" s="21" t="n">
        <f aca="false">IF(Y221="معکوس",1,0)</f>
        <v>0</v>
      </c>
      <c r="AZ221" s="21" t="n">
        <f aca="false">IF(ABS(AJ221)&gt;تنظیمات!$B$10,1,0)</f>
        <v>0</v>
      </c>
      <c r="BA221" s="21" t="n">
        <f aca="false">IF(AND(OR(AD221="رایگان/VIP",AD221="جانباز"),AF221="خیر"),1,0)</f>
        <v>0</v>
      </c>
      <c r="BB221" s="21" t="n">
        <f aca="false">IF(AE221="",0,IF(COUNTIF($AE$2:$AE$1001,AE221)&gt;1,1,0))</f>
        <v>0</v>
      </c>
      <c r="BC221" s="21" t="n">
        <f aca="false">IF(AND(H221="",I221&gt;تنظیمات!$B$12*60,AM221="خالی"),1,0)</f>
        <v>0</v>
      </c>
      <c r="BD221" s="21" t="n">
        <f aca="false">IF(AND(AP221="بله",I221&lt;تنظیمات!$B$14,AO221="خیر"),1,0)</f>
        <v>0</v>
      </c>
      <c r="BE221" s="21" t="n">
        <f aca="false">IF(AN221="خیر",1,0)</f>
        <v>0</v>
      </c>
      <c r="BF221" s="21" t="n">
        <f aca="false">IF(AND(AD221="فیش مفقودی",AQ221="بله",I221&gt;تنظیمات!$B$12*60),1,0)</f>
        <v>0</v>
      </c>
      <c r="BG221" s="21" t="n">
        <f aca="false">IF(AND(AK221&gt;تنظیمات!$B$11,AL221="بله"),1,0)</f>
        <v>0</v>
      </c>
      <c r="BH221" s="21" t="n">
        <f aca="false">MIN(100,AR221*تنظیمات!$B$21+AS221*تنظیمات!$B$22+AT221*تنظیمات!$B$23+AU221*تنظیمات!$B$24+AV221*تنظیمات!$B$25+AW221*تنظیمات!$B$26+AX221*تنظیمات!$B$27+AY221*تنظیمات!$B$28+AZ221*تنظیمات!$B$29+BA221*تنظیمات!$B$30+BB221*تنظیمات!$B$31+BC221*تنظیمات!$B$32+BD221*تنظیمات!$B$33+BE221*تنظیمات!$B$34+BF221*تنظیمات!$B$35+BG221*تنظیمات!$B$36)</f>
        <v>0</v>
      </c>
      <c r="BI221" s="16" t="str">
        <f aca="false">IF(BH221&gt;=60,"بحرانی",IF(BH221&gt;=30,"مشکوک",IF(BH221&gt;0,"هشدار","عادی")))</f>
        <v>عادی</v>
      </c>
      <c r="BJ221" s="16" t="s">
        <v>338</v>
      </c>
    </row>
    <row r="222" customFormat="false" ht="15" hidden="false" customHeight="false" outlineLevel="0" collapsed="false">
      <c r="A222" s="16" t="s">
        <v>1144</v>
      </c>
      <c r="B222" s="16" t="s">
        <v>539</v>
      </c>
      <c r="C222" s="16"/>
      <c r="D222" s="16" t="s">
        <v>540</v>
      </c>
      <c r="E222" s="16" t="s">
        <v>351</v>
      </c>
      <c r="F222" s="16" t="s">
        <v>359</v>
      </c>
      <c r="G222" s="17" t="n">
        <v>46284.2802083333</v>
      </c>
      <c r="H222" s="17" t="n">
        <v>46284.328125</v>
      </c>
      <c r="I222" s="18" t="n">
        <f aca="false">IF(H222="",ROUND((تنظیمات!$B$7-G222)*1440,0),ROUND((H222-G222)*1440,0))</f>
        <v>69</v>
      </c>
      <c r="J222" s="16" t="s">
        <v>346</v>
      </c>
      <c r="K222" s="16" t="s">
        <v>400</v>
      </c>
      <c r="L222" s="19" t="n">
        <v>0.937</v>
      </c>
      <c r="M222" s="19" t="n">
        <v>0.937</v>
      </c>
      <c r="N222" s="16" t="s">
        <v>335</v>
      </c>
      <c r="O222" s="16" t="s">
        <v>425</v>
      </c>
      <c r="P222" s="16" t="s">
        <v>402</v>
      </c>
      <c r="Q222" s="20" t="n">
        <v>46284</v>
      </c>
      <c r="R222" s="16" t="s">
        <v>1145</v>
      </c>
      <c r="S222" s="16" t="s">
        <v>404</v>
      </c>
      <c r="T222" s="17"/>
      <c r="U222" s="21" t="n">
        <v>1</v>
      </c>
      <c r="V222" s="21" t="n">
        <v>1</v>
      </c>
      <c r="W222" s="22" t="n">
        <v>6.7</v>
      </c>
      <c r="X222" s="16" t="s">
        <v>335</v>
      </c>
      <c r="Y222" s="16" t="s">
        <v>338</v>
      </c>
      <c r="Z222" s="16" t="s">
        <v>413</v>
      </c>
      <c r="AA222" s="16" t="s">
        <v>427</v>
      </c>
      <c r="AB222" s="23" t="s">
        <v>1146</v>
      </c>
      <c r="AC222" s="17" t="n">
        <v>46284.3276736111</v>
      </c>
      <c r="AD222" s="16" t="s">
        <v>338</v>
      </c>
      <c r="AE222" s="16"/>
      <c r="AF222" s="16" t="str">
        <f aca="false">IF(COUNTIF(لیست_سفید!$A$2:$A$21,B222)&gt;0,"بله","خیر")</f>
        <v>خیر</v>
      </c>
      <c r="AG222" s="24" t="n">
        <f aca="false">IF(H222="","",IF(AD222="فیش مفقودی",تنظیمات!$B$6,(INT(I222/1440)*تنظیمات!$B$5+IF(MOD(I222,1440)&lt;=تنظیمات!$B$2,0,MIN(تنظیمات!$B$5,تنظیمات!$B$3+MAX(0,ROUNDUP((MOD(I222,1440)-60)/60,0))*تنظیمات!$B$4)))*INDEX(تعرفه!$B$2:$B$7,MATCH(AD222,تعرفه!$A$2:$A$7,0))))</f>
        <v>34000</v>
      </c>
      <c r="AH222" s="24" t="n">
        <v>34000</v>
      </c>
      <c r="AI222" s="24" t="n">
        <f aca="false">IF(AG222="","",AH222-AG222)</f>
        <v>0</v>
      </c>
      <c r="AJ222" s="21" t="n">
        <v>0</v>
      </c>
      <c r="AK222" s="21" t="n">
        <v>0</v>
      </c>
      <c r="AL222" s="16" t="s">
        <v>335</v>
      </c>
      <c r="AM222" s="16"/>
      <c r="AN222" s="16" t="s">
        <v>340</v>
      </c>
      <c r="AO222" s="16" t="s">
        <v>340</v>
      </c>
      <c r="AP222" s="16" t="s">
        <v>335</v>
      </c>
      <c r="AQ222" s="16"/>
      <c r="AR222" s="21" t="n">
        <f aca="false">IF(AND(T222&lt;&gt;"",H222&lt;&gt;""),IF(AND((T222-H222)*86400&gt;=0,(T222-H222)*86400&lt;تنظیمات!$B$13),1,0),0)</f>
        <v>0</v>
      </c>
      <c r="AS222" s="21" t="n">
        <f aca="false">IF(Z222="پوز",IF(OR(AB222="",COUNTIF(پوزها!$A$2:$A$5,AA222)=0),1,0),0)</f>
        <v>0</v>
      </c>
      <c r="AT222" s="21" t="n">
        <f aca="false">IF(AI222="",0,IF(AI222&gt;0,1,0))</f>
        <v>0</v>
      </c>
      <c r="AU222" s="21" t="n">
        <f aca="false">IF(AI222="",0,IF(AI222&lt;0,1,0))</f>
        <v>0</v>
      </c>
      <c r="AV222" s="21" t="n">
        <f aca="false">IF(U222&gt;V222,1,0)</f>
        <v>0</v>
      </c>
      <c r="AW222" s="21" t="n">
        <f aca="false">IF(OR(W222&gt;تنظیمات!$B$8,X222="بله"),1,0)</f>
        <v>0</v>
      </c>
      <c r="AX222" s="21" t="n">
        <f aca="false">IF(AND(N222="بله",L222&gt;تنظیمات!$B$9),1,0)</f>
        <v>0</v>
      </c>
      <c r="AY222" s="21" t="n">
        <f aca="false">IF(Y222="معکوس",1,0)</f>
        <v>0</v>
      </c>
      <c r="AZ222" s="21" t="n">
        <f aca="false">IF(ABS(AJ222)&gt;تنظیمات!$B$10,1,0)</f>
        <v>0</v>
      </c>
      <c r="BA222" s="21" t="n">
        <f aca="false">IF(AND(OR(AD222="رایگان/VIP",AD222="جانباز"),AF222="خیر"),1,0)</f>
        <v>0</v>
      </c>
      <c r="BB222" s="21" t="n">
        <f aca="false">IF(AE222="",0,IF(COUNTIF($AE$2:$AE$1001,AE222)&gt;1,1,0))</f>
        <v>0</v>
      </c>
      <c r="BC222" s="21" t="n">
        <f aca="false">IF(AND(H222="",I222&gt;تنظیمات!$B$12*60,AM222="خالی"),1,0)</f>
        <v>0</v>
      </c>
      <c r="BD222" s="21" t="n">
        <f aca="false">IF(AND(AP222="بله",I222&lt;تنظیمات!$B$14,AO222="خیر"),1,0)</f>
        <v>0</v>
      </c>
      <c r="BE222" s="21" t="n">
        <f aca="false">IF(AN222="خیر",1,0)</f>
        <v>0</v>
      </c>
      <c r="BF222" s="21" t="n">
        <f aca="false">IF(AND(AD222="فیش مفقودی",AQ222="بله",I222&gt;تنظیمات!$B$12*60),1,0)</f>
        <v>0</v>
      </c>
      <c r="BG222" s="21" t="n">
        <f aca="false">IF(AND(AK222&gt;تنظیمات!$B$11,AL222="بله"),1,0)</f>
        <v>0</v>
      </c>
      <c r="BH222" s="21" t="n">
        <f aca="false">MIN(100,AR222*تنظیمات!$B$21+AS222*تنظیمات!$B$22+AT222*تنظیمات!$B$23+AU222*تنظیمات!$B$24+AV222*تنظیمات!$B$25+AW222*تنظیمات!$B$26+AX222*تنظیمات!$B$27+AY222*تنظیمات!$B$28+AZ222*تنظیمات!$B$29+BA222*تنظیمات!$B$30+BB222*تنظیمات!$B$31+BC222*تنظیمات!$B$32+BD222*تنظیمات!$B$33+BE222*تنظیمات!$B$34+BF222*تنظیمات!$B$35+BG222*تنظیمات!$B$36)</f>
        <v>0</v>
      </c>
      <c r="BI222" s="16" t="str">
        <f aca="false">IF(BH222&gt;=60,"بحرانی",IF(BH222&gt;=30,"مشکوک",IF(BH222&gt;0,"هشدار","عادی")))</f>
        <v>عادی</v>
      </c>
      <c r="BJ222" s="16" t="s">
        <v>338</v>
      </c>
    </row>
    <row r="223" customFormat="false" ht="15" hidden="false" customHeight="false" outlineLevel="0" collapsed="false">
      <c r="A223" s="16" t="s">
        <v>1147</v>
      </c>
      <c r="B223" s="16" t="s">
        <v>682</v>
      </c>
      <c r="C223" s="16"/>
      <c r="D223" s="16" t="s">
        <v>531</v>
      </c>
      <c r="E223" s="16" t="s">
        <v>375</v>
      </c>
      <c r="F223" s="16" t="s">
        <v>333</v>
      </c>
      <c r="G223" s="17" t="n">
        <v>46284.2868171296</v>
      </c>
      <c r="H223" s="17" t="n">
        <v>46284.3208449074</v>
      </c>
      <c r="I223" s="18" t="n">
        <f aca="false">IF(H223="",ROUND((تنظیمات!$B$7-G223)*1440,0),ROUND((H223-G223)*1440,0))</f>
        <v>49</v>
      </c>
      <c r="J223" s="16" t="s">
        <v>346</v>
      </c>
      <c r="K223" s="16" t="s">
        <v>400</v>
      </c>
      <c r="L223" s="19" t="n">
        <v>0.916</v>
      </c>
      <c r="M223" s="19" t="n">
        <v>0.949</v>
      </c>
      <c r="N223" s="16" t="s">
        <v>335</v>
      </c>
      <c r="O223" s="16" t="s">
        <v>425</v>
      </c>
      <c r="P223" s="16" t="s">
        <v>402</v>
      </c>
      <c r="Q223" s="20" t="n">
        <v>46284</v>
      </c>
      <c r="R223" s="16" t="s">
        <v>1148</v>
      </c>
      <c r="S223" s="16" t="s">
        <v>404</v>
      </c>
      <c r="T223" s="17"/>
      <c r="U223" s="21" t="n">
        <v>1</v>
      </c>
      <c r="V223" s="21" t="n">
        <v>1</v>
      </c>
      <c r="W223" s="22" t="n">
        <v>3.7</v>
      </c>
      <c r="X223" s="16" t="s">
        <v>335</v>
      </c>
      <c r="Y223" s="16" t="s">
        <v>338</v>
      </c>
      <c r="Z223" s="16" t="s">
        <v>405</v>
      </c>
      <c r="AA223" s="16"/>
      <c r="AB223" s="23"/>
      <c r="AC223" s="17"/>
      <c r="AD223" s="16" t="s">
        <v>338</v>
      </c>
      <c r="AE223" s="16"/>
      <c r="AF223" s="16" t="str">
        <f aca="false">IF(COUNTIF(لیست_سفید!$A$2:$A$21,B223)&gt;0,"بله","خیر")</f>
        <v>خیر</v>
      </c>
      <c r="AG223" s="24" t="n">
        <f aca="false">IF(H223="","",IF(AD223="فیش مفقودی",تنظیمات!$B$6,(INT(I223/1440)*تنظیمات!$B$5+IF(MOD(I223,1440)&lt;=تنظیمات!$B$2,0,MIN(تنظیمات!$B$5,تنظیمات!$B$3+MAX(0,ROUNDUP((MOD(I223,1440)-60)/60,0))*تنظیمات!$B$4)))*INDEX(تعرفه!$B$2:$B$7,MATCH(AD223,تعرفه!$A$2:$A$7,0))))</f>
        <v>20000</v>
      </c>
      <c r="AH223" s="24" t="n">
        <v>20000</v>
      </c>
      <c r="AI223" s="24" t="n">
        <f aca="false">IF(AG223="","",AH223-AG223)</f>
        <v>0</v>
      </c>
      <c r="AJ223" s="21" t="n">
        <v>-6</v>
      </c>
      <c r="AK223" s="21" t="n">
        <v>0</v>
      </c>
      <c r="AL223" s="16" t="s">
        <v>335</v>
      </c>
      <c r="AM223" s="16"/>
      <c r="AN223" s="16" t="s">
        <v>340</v>
      </c>
      <c r="AO223" s="16" t="s">
        <v>340</v>
      </c>
      <c r="AP223" s="16" t="s">
        <v>335</v>
      </c>
      <c r="AQ223" s="16"/>
      <c r="AR223" s="21" t="n">
        <f aca="false">IF(AND(T223&lt;&gt;"",H223&lt;&gt;""),IF(AND((T223-H223)*86400&gt;=0,(T223-H223)*86400&lt;تنظیمات!$B$13),1,0),0)</f>
        <v>0</v>
      </c>
      <c r="AS223" s="21" t="n">
        <f aca="false">IF(Z223="پوز",IF(OR(AB223="",COUNTIF(پوزها!$A$2:$A$5,AA223)=0),1,0),0)</f>
        <v>0</v>
      </c>
      <c r="AT223" s="21" t="n">
        <f aca="false">IF(AI223="",0,IF(AI223&gt;0,1,0))</f>
        <v>0</v>
      </c>
      <c r="AU223" s="21" t="n">
        <f aca="false">IF(AI223="",0,IF(AI223&lt;0,1,0))</f>
        <v>0</v>
      </c>
      <c r="AV223" s="21" t="n">
        <f aca="false">IF(U223&gt;V223,1,0)</f>
        <v>0</v>
      </c>
      <c r="AW223" s="21" t="n">
        <f aca="false">IF(OR(W223&gt;تنظیمات!$B$8,X223="بله"),1,0)</f>
        <v>0</v>
      </c>
      <c r="AX223" s="21" t="n">
        <f aca="false">IF(AND(N223="بله",L223&gt;تنظیمات!$B$9),1,0)</f>
        <v>0</v>
      </c>
      <c r="AY223" s="21" t="n">
        <f aca="false">IF(Y223="معکوس",1,0)</f>
        <v>0</v>
      </c>
      <c r="AZ223" s="21" t="n">
        <f aca="false">IF(ABS(AJ223)&gt;تنظیمات!$B$10,1,0)</f>
        <v>0</v>
      </c>
      <c r="BA223" s="21" t="n">
        <f aca="false">IF(AND(OR(AD223="رایگان/VIP",AD223="جانباز"),AF223="خیر"),1,0)</f>
        <v>0</v>
      </c>
      <c r="BB223" s="21" t="n">
        <f aca="false">IF(AE223="",0,IF(COUNTIF($AE$2:$AE$1001,AE223)&gt;1,1,0))</f>
        <v>0</v>
      </c>
      <c r="BC223" s="21" t="n">
        <f aca="false">IF(AND(H223="",I223&gt;تنظیمات!$B$12*60,AM223="خالی"),1,0)</f>
        <v>0</v>
      </c>
      <c r="BD223" s="21" t="n">
        <f aca="false">IF(AND(AP223="بله",I223&lt;تنظیمات!$B$14,AO223="خیر"),1,0)</f>
        <v>0</v>
      </c>
      <c r="BE223" s="21" t="n">
        <f aca="false">IF(AN223="خیر",1,0)</f>
        <v>0</v>
      </c>
      <c r="BF223" s="21" t="n">
        <f aca="false">IF(AND(AD223="فیش مفقودی",AQ223="بله",I223&gt;تنظیمات!$B$12*60),1,0)</f>
        <v>0</v>
      </c>
      <c r="BG223" s="21" t="n">
        <f aca="false">IF(AND(AK223&gt;تنظیمات!$B$11,AL223="بله"),1,0)</f>
        <v>0</v>
      </c>
      <c r="BH223" s="21" t="n">
        <f aca="false">MIN(100,AR223*تنظیمات!$B$21+AS223*تنظیمات!$B$22+AT223*تنظیمات!$B$23+AU223*تنظیمات!$B$24+AV223*تنظیمات!$B$25+AW223*تنظیمات!$B$26+AX223*تنظیمات!$B$27+AY223*تنظیمات!$B$28+AZ223*تنظیمات!$B$29+BA223*تنظیمات!$B$30+BB223*تنظیمات!$B$31+BC223*تنظیمات!$B$32+BD223*تنظیمات!$B$33+BE223*تنظیمات!$B$34+BF223*تنظیمات!$B$35+BG223*تنظیمات!$B$36)</f>
        <v>0</v>
      </c>
      <c r="BI223" s="16" t="str">
        <f aca="false">IF(BH223&gt;=60,"بحرانی",IF(BH223&gt;=30,"مشکوک",IF(BH223&gt;0,"هشدار","عادی")))</f>
        <v>عادی</v>
      </c>
      <c r="BJ223" s="16" t="s">
        <v>338</v>
      </c>
    </row>
    <row r="224" customFormat="false" ht="15" hidden="false" customHeight="false" outlineLevel="0" collapsed="false">
      <c r="A224" s="16" t="s">
        <v>1149</v>
      </c>
      <c r="B224" s="16" t="s">
        <v>915</v>
      </c>
      <c r="C224" s="16"/>
      <c r="D224" s="16" t="s">
        <v>374</v>
      </c>
      <c r="E224" s="16" t="s">
        <v>332</v>
      </c>
      <c r="F224" s="16" t="s">
        <v>359</v>
      </c>
      <c r="G224" s="17" t="n">
        <v>46284.3203819445</v>
      </c>
      <c r="H224" s="17" t="n">
        <v>46284.3530208333</v>
      </c>
      <c r="I224" s="18" t="n">
        <f aca="false">IF(H224="",ROUND((تنظیمات!$B$7-G224)*1440,0),ROUND((H224-G224)*1440,0))</f>
        <v>47</v>
      </c>
      <c r="J224" s="16" t="s">
        <v>346</v>
      </c>
      <c r="K224" s="16" t="s">
        <v>400</v>
      </c>
      <c r="L224" s="19" t="n">
        <v>0.99</v>
      </c>
      <c r="M224" s="19" t="n">
        <v>0.995</v>
      </c>
      <c r="N224" s="16" t="s">
        <v>335</v>
      </c>
      <c r="O224" s="16" t="s">
        <v>425</v>
      </c>
      <c r="P224" s="16" t="s">
        <v>402</v>
      </c>
      <c r="Q224" s="20" t="n">
        <v>46284</v>
      </c>
      <c r="R224" s="16" t="s">
        <v>1150</v>
      </c>
      <c r="S224" s="16" t="s">
        <v>404</v>
      </c>
      <c r="T224" s="17"/>
      <c r="U224" s="21" t="n">
        <v>1</v>
      </c>
      <c r="V224" s="21" t="n">
        <v>1</v>
      </c>
      <c r="W224" s="22" t="n">
        <v>6.9</v>
      </c>
      <c r="X224" s="16" t="s">
        <v>335</v>
      </c>
      <c r="Y224" s="16" t="s">
        <v>338</v>
      </c>
      <c r="Z224" s="16" t="s">
        <v>413</v>
      </c>
      <c r="AA224" s="16" t="s">
        <v>427</v>
      </c>
      <c r="AB224" s="23" t="s">
        <v>1151</v>
      </c>
      <c r="AC224" s="17" t="n">
        <v>46284.3526736111</v>
      </c>
      <c r="AD224" s="16" t="s">
        <v>338</v>
      </c>
      <c r="AE224" s="16"/>
      <c r="AF224" s="16" t="str">
        <f aca="false">IF(COUNTIF(لیست_سفید!$A$2:$A$21,B224)&gt;0,"بله","خیر")</f>
        <v>خیر</v>
      </c>
      <c r="AG224" s="24" t="n">
        <f aca="false">IF(H224="","",IF(AD224="فیش مفقودی",تنظیمات!$B$6,(INT(I224/1440)*تنظیمات!$B$5+IF(MOD(I224,1440)&lt;=تنظیمات!$B$2,0,MIN(تنظیمات!$B$5,تنظیمات!$B$3+MAX(0,ROUNDUP((MOD(I224,1440)-60)/60,0))*تنظیمات!$B$4)))*INDEX(تعرفه!$B$2:$B$7,MATCH(AD224,تعرفه!$A$2:$A$7,0))))</f>
        <v>20000</v>
      </c>
      <c r="AH224" s="24" t="n">
        <v>20000</v>
      </c>
      <c r="AI224" s="24" t="n">
        <f aca="false">IF(AG224="","",AH224-AG224)</f>
        <v>0</v>
      </c>
      <c r="AJ224" s="21" t="n">
        <v>1</v>
      </c>
      <c r="AK224" s="21" t="n">
        <v>0</v>
      </c>
      <c r="AL224" s="16" t="s">
        <v>335</v>
      </c>
      <c r="AM224" s="16"/>
      <c r="AN224" s="16" t="s">
        <v>340</v>
      </c>
      <c r="AO224" s="16" t="s">
        <v>340</v>
      </c>
      <c r="AP224" s="16" t="s">
        <v>335</v>
      </c>
      <c r="AQ224" s="16"/>
      <c r="AR224" s="21" t="n">
        <f aca="false">IF(AND(T224&lt;&gt;"",H224&lt;&gt;""),IF(AND((T224-H224)*86400&gt;=0,(T224-H224)*86400&lt;تنظیمات!$B$13),1,0),0)</f>
        <v>0</v>
      </c>
      <c r="AS224" s="21" t="n">
        <f aca="false">IF(Z224="پوز",IF(OR(AB224="",COUNTIF(پوزها!$A$2:$A$5,AA224)=0),1,0),0)</f>
        <v>0</v>
      </c>
      <c r="AT224" s="21" t="n">
        <f aca="false">IF(AI224="",0,IF(AI224&gt;0,1,0))</f>
        <v>0</v>
      </c>
      <c r="AU224" s="21" t="n">
        <f aca="false">IF(AI224="",0,IF(AI224&lt;0,1,0))</f>
        <v>0</v>
      </c>
      <c r="AV224" s="21" t="n">
        <f aca="false">IF(U224&gt;V224,1,0)</f>
        <v>0</v>
      </c>
      <c r="AW224" s="21" t="n">
        <f aca="false">IF(OR(W224&gt;تنظیمات!$B$8,X224="بله"),1,0)</f>
        <v>0</v>
      </c>
      <c r="AX224" s="21" t="n">
        <f aca="false">IF(AND(N224="بله",L224&gt;تنظیمات!$B$9),1,0)</f>
        <v>0</v>
      </c>
      <c r="AY224" s="21" t="n">
        <f aca="false">IF(Y224="معکوس",1,0)</f>
        <v>0</v>
      </c>
      <c r="AZ224" s="21" t="n">
        <f aca="false">IF(ABS(AJ224)&gt;تنظیمات!$B$10,1,0)</f>
        <v>0</v>
      </c>
      <c r="BA224" s="21" t="n">
        <f aca="false">IF(AND(OR(AD224="رایگان/VIP",AD224="جانباز"),AF224="خیر"),1,0)</f>
        <v>0</v>
      </c>
      <c r="BB224" s="21" t="n">
        <f aca="false">IF(AE224="",0,IF(COUNTIF($AE$2:$AE$1001,AE224)&gt;1,1,0))</f>
        <v>0</v>
      </c>
      <c r="BC224" s="21" t="n">
        <f aca="false">IF(AND(H224="",I224&gt;تنظیمات!$B$12*60,AM224="خالی"),1,0)</f>
        <v>0</v>
      </c>
      <c r="BD224" s="21" t="n">
        <f aca="false">IF(AND(AP224="بله",I224&lt;تنظیمات!$B$14,AO224="خیر"),1,0)</f>
        <v>0</v>
      </c>
      <c r="BE224" s="21" t="n">
        <f aca="false">IF(AN224="خیر",1,0)</f>
        <v>0</v>
      </c>
      <c r="BF224" s="21" t="n">
        <f aca="false">IF(AND(AD224="فیش مفقودی",AQ224="بله",I224&gt;تنظیمات!$B$12*60),1,0)</f>
        <v>0</v>
      </c>
      <c r="BG224" s="21" t="n">
        <f aca="false">IF(AND(AK224&gt;تنظیمات!$B$11,AL224="بله"),1,0)</f>
        <v>0</v>
      </c>
      <c r="BH224" s="21" t="n">
        <f aca="false">MIN(100,AR224*تنظیمات!$B$21+AS224*تنظیمات!$B$22+AT224*تنظیمات!$B$23+AU224*تنظیمات!$B$24+AV224*تنظیمات!$B$25+AW224*تنظیمات!$B$26+AX224*تنظیمات!$B$27+AY224*تنظیمات!$B$28+AZ224*تنظیمات!$B$29+BA224*تنظیمات!$B$30+BB224*تنظیمات!$B$31+BC224*تنظیمات!$B$32+BD224*تنظیمات!$B$33+BE224*تنظیمات!$B$34+BF224*تنظیمات!$B$35+BG224*تنظیمات!$B$36)</f>
        <v>0</v>
      </c>
      <c r="BI224" s="16" t="str">
        <f aca="false">IF(BH224&gt;=60,"بحرانی",IF(BH224&gt;=30,"مشکوک",IF(BH224&gt;0,"هشدار","عادی")))</f>
        <v>عادی</v>
      </c>
      <c r="BJ224" s="16" t="s">
        <v>338</v>
      </c>
    </row>
    <row r="225" customFormat="false" ht="15" hidden="false" customHeight="false" outlineLevel="0" collapsed="false">
      <c r="A225" s="16" t="s">
        <v>1152</v>
      </c>
      <c r="B225" s="16" t="s">
        <v>343</v>
      </c>
      <c r="C225" s="16"/>
      <c r="D225" s="16" t="s">
        <v>344</v>
      </c>
      <c r="E225" s="16" t="s">
        <v>345</v>
      </c>
      <c r="F225" s="16" t="s">
        <v>333</v>
      </c>
      <c r="G225" s="17" t="n">
        <v>46284.3347800926</v>
      </c>
      <c r="H225" s="17" t="n">
        <v>46284.466724537</v>
      </c>
      <c r="I225" s="18" t="n">
        <f aca="false">IF(H225="",ROUND((تنظیمات!$B$7-G225)*1440,0),ROUND((H225-G225)*1440,0))</f>
        <v>190</v>
      </c>
      <c r="J225" s="16" t="s">
        <v>334</v>
      </c>
      <c r="K225" s="16" t="s">
        <v>410</v>
      </c>
      <c r="L225" s="19" t="n">
        <v>0.981</v>
      </c>
      <c r="M225" s="19" t="n">
        <v>0.969</v>
      </c>
      <c r="N225" s="16" t="s">
        <v>335</v>
      </c>
      <c r="O225" s="16" t="s">
        <v>441</v>
      </c>
      <c r="P225" s="16" t="s">
        <v>402</v>
      </c>
      <c r="Q225" s="20" t="n">
        <v>46284</v>
      </c>
      <c r="R225" s="16" t="s">
        <v>1153</v>
      </c>
      <c r="S225" s="16" t="s">
        <v>404</v>
      </c>
      <c r="T225" s="17"/>
      <c r="U225" s="21" t="n">
        <v>1</v>
      </c>
      <c r="V225" s="21" t="n">
        <v>1</v>
      </c>
      <c r="W225" s="22" t="n">
        <v>7.2</v>
      </c>
      <c r="X225" s="16" t="s">
        <v>335</v>
      </c>
      <c r="Y225" s="16" t="s">
        <v>338</v>
      </c>
      <c r="Z225" s="16" t="s">
        <v>413</v>
      </c>
      <c r="AA225" s="16" t="s">
        <v>414</v>
      </c>
      <c r="AB225" s="23" t="s">
        <v>1154</v>
      </c>
      <c r="AC225" s="17" t="n">
        <v>46284.466400463</v>
      </c>
      <c r="AD225" s="16" t="s">
        <v>338</v>
      </c>
      <c r="AE225" s="16"/>
      <c r="AF225" s="16" t="str">
        <f aca="false">IF(COUNTIF(لیست_سفید!$A$2:$A$21,B225)&gt;0,"بله","خیر")</f>
        <v>خیر</v>
      </c>
      <c r="AG225" s="24" t="n">
        <f aca="false">IF(H225="","",IF(AD225="فیش مفقودی",تنظیمات!$B$6,(INT(I225/1440)*تنظیمات!$B$5+IF(MOD(I225,1440)&lt;=تنظیمات!$B$2,0,MIN(تنظیمات!$B$5,تنظیمات!$B$3+MAX(0,ROUNDUP((MOD(I225,1440)-60)/60,0))*تنظیمات!$B$4)))*INDEX(تعرفه!$B$2:$B$7,MATCH(AD225,تعرفه!$A$2:$A$7,0))))</f>
        <v>62000</v>
      </c>
      <c r="AH225" s="24" t="n">
        <v>62000</v>
      </c>
      <c r="AI225" s="24" t="n">
        <f aca="false">IF(AG225="","",AH225-AG225)</f>
        <v>0</v>
      </c>
      <c r="AJ225" s="21" t="n">
        <v>3</v>
      </c>
      <c r="AK225" s="21" t="n">
        <v>0</v>
      </c>
      <c r="AL225" s="16" t="s">
        <v>335</v>
      </c>
      <c r="AM225" s="16"/>
      <c r="AN225" s="16" t="s">
        <v>340</v>
      </c>
      <c r="AO225" s="16" t="s">
        <v>340</v>
      </c>
      <c r="AP225" s="16" t="s">
        <v>335</v>
      </c>
      <c r="AQ225" s="16"/>
      <c r="AR225" s="21" t="n">
        <f aca="false">IF(AND(T225&lt;&gt;"",H225&lt;&gt;""),IF(AND((T225-H225)*86400&gt;=0,(T225-H225)*86400&lt;تنظیمات!$B$13),1,0),0)</f>
        <v>0</v>
      </c>
      <c r="AS225" s="21" t="n">
        <f aca="false">IF(Z225="پوز",IF(OR(AB225="",COUNTIF(پوزها!$A$2:$A$5,AA225)=0),1,0),0)</f>
        <v>0</v>
      </c>
      <c r="AT225" s="21" t="n">
        <f aca="false">IF(AI225="",0,IF(AI225&gt;0,1,0))</f>
        <v>0</v>
      </c>
      <c r="AU225" s="21" t="n">
        <f aca="false">IF(AI225="",0,IF(AI225&lt;0,1,0))</f>
        <v>0</v>
      </c>
      <c r="AV225" s="21" t="n">
        <f aca="false">IF(U225&gt;V225,1,0)</f>
        <v>0</v>
      </c>
      <c r="AW225" s="21" t="n">
        <f aca="false">IF(OR(W225&gt;تنظیمات!$B$8,X225="بله"),1,0)</f>
        <v>0</v>
      </c>
      <c r="AX225" s="21" t="n">
        <f aca="false">IF(AND(N225="بله",L225&gt;تنظیمات!$B$9),1,0)</f>
        <v>0</v>
      </c>
      <c r="AY225" s="21" t="n">
        <f aca="false">IF(Y225="معکوس",1,0)</f>
        <v>0</v>
      </c>
      <c r="AZ225" s="21" t="n">
        <f aca="false">IF(ABS(AJ225)&gt;تنظیمات!$B$10,1,0)</f>
        <v>0</v>
      </c>
      <c r="BA225" s="21" t="n">
        <f aca="false">IF(AND(OR(AD225="رایگان/VIP",AD225="جانباز"),AF225="خیر"),1,0)</f>
        <v>0</v>
      </c>
      <c r="BB225" s="21" t="n">
        <f aca="false">IF(AE225="",0,IF(COUNTIF($AE$2:$AE$1001,AE225)&gt;1,1,0))</f>
        <v>0</v>
      </c>
      <c r="BC225" s="21" t="n">
        <f aca="false">IF(AND(H225="",I225&gt;تنظیمات!$B$12*60,AM225="خالی"),1,0)</f>
        <v>0</v>
      </c>
      <c r="BD225" s="21" t="n">
        <f aca="false">IF(AND(AP225="بله",I225&lt;تنظیمات!$B$14,AO225="خیر"),1,0)</f>
        <v>0</v>
      </c>
      <c r="BE225" s="21" t="n">
        <f aca="false">IF(AN225="خیر",1,0)</f>
        <v>0</v>
      </c>
      <c r="BF225" s="21" t="n">
        <f aca="false">IF(AND(AD225="فیش مفقودی",AQ225="بله",I225&gt;تنظیمات!$B$12*60),1,0)</f>
        <v>0</v>
      </c>
      <c r="BG225" s="21" t="n">
        <f aca="false">IF(AND(AK225&gt;تنظیمات!$B$11,AL225="بله"),1,0)</f>
        <v>0</v>
      </c>
      <c r="BH225" s="21" t="n">
        <f aca="false">MIN(100,AR225*تنظیمات!$B$21+AS225*تنظیمات!$B$22+AT225*تنظیمات!$B$23+AU225*تنظیمات!$B$24+AV225*تنظیمات!$B$25+AW225*تنظیمات!$B$26+AX225*تنظیمات!$B$27+AY225*تنظیمات!$B$28+AZ225*تنظیمات!$B$29+BA225*تنظیمات!$B$30+BB225*تنظیمات!$B$31+BC225*تنظیمات!$B$32+BD225*تنظیمات!$B$33+BE225*تنظیمات!$B$34+BF225*تنظیمات!$B$35+BG225*تنظیمات!$B$36)</f>
        <v>0</v>
      </c>
      <c r="BI225" s="16" t="str">
        <f aca="false">IF(BH225&gt;=60,"بحرانی",IF(BH225&gt;=30,"مشکوک",IF(BH225&gt;0,"هشدار","عادی")))</f>
        <v>عادی</v>
      </c>
      <c r="BJ225" s="16" t="s">
        <v>338</v>
      </c>
    </row>
    <row r="226" customFormat="false" ht="15" hidden="false" customHeight="false" outlineLevel="0" collapsed="false">
      <c r="A226" s="16" t="s">
        <v>1155</v>
      </c>
      <c r="B226" s="16" t="s">
        <v>1156</v>
      </c>
      <c r="C226" s="16"/>
      <c r="D226" s="16" t="s">
        <v>469</v>
      </c>
      <c r="E226" s="16" t="s">
        <v>351</v>
      </c>
      <c r="F226" s="16" t="s">
        <v>359</v>
      </c>
      <c r="G226" s="17" t="n">
        <v>46284.3591898148</v>
      </c>
      <c r="H226" s="17" t="n">
        <v>46284.6293287037</v>
      </c>
      <c r="I226" s="18" t="n">
        <f aca="false">IF(H226="",ROUND((تنظیمات!$B$7-G226)*1440,0),ROUND((H226-G226)*1440,0))</f>
        <v>389</v>
      </c>
      <c r="J226" s="16" t="s">
        <v>334</v>
      </c>
      <c r="K226" s="16" t="s">
        <v>400</v>
      </c>
      <c r="L226" s="19" t="n">
        <v>0.968</v>
      </c>
      <c r="M226" s="19" t="n">
        <v>0.934</v>
      </c>
      <c r="N226" s="16" t="s">
        <v>335</v>
      </c>
      <c r="O226" s="16" t="s">
        <v>411</v>
      </c>
      <c r="P226" s="16" t="s">
        <v>420</v>
      </c>
      <c r="Q226" s="20" t="n">
        <v>46284</v>
      </c>
      <c r="R226" s="16" t="s">
        <v>1157</v>
      </c>
      <c r="S226" s="16" t="s">
        <v>404</v>
      </c>
      <c r="T226" s="17"/>
      <c r="U226" s="21" t="n">
        <v>1</v>
      </c>
      <c r="V226" s="21" t="n">
        <v>1</v>
      </c>
      <c r="W226" s="22" t="n">
        <v>5.5</v>
      </c>
      <c r="X226" s="16" t="s">
        <v>335</v>
      </c>
      <c r="Y226" s="16" t="s">
        <v>338</v>
      </c>
      <c r="Z226" s="16" t="s">
        <v>465</v>
      </c>
      <c r="AA226" s="16"/>
      <c r="AB226" s="23"/>
      <c r="AC226" s="17"/>
      <c r="AD226" s="16" t="s">
        <v>466</v>
      </c>
      <c r="AE226" s="16"/>
      <c r="AF226" s="16" t="str">
        <f aca="false">IF(COUNTIF(لیست_سفید!$A$2:$A$21,B226)&gt;0,"بله","خیر")</f>
        <v>بله</v>
      </c>
      <c r="AG226" s="24" t="n">
        <f aca="false">IF(H226="","",IF(AD226="فیش مفقودی",تنظیمات!$B$6,(INT(I226/1440)*تنظیمات!$B$5+IF(MOD(I226,1440)&lt;=تنظیمات!$B$2,0,MIN(تنظیمات!$B$5,تنظیمات!$B$3+MAX(0,ROUNDUP((MOD(I226,1440)-60)/60,0))*تنظیمات!$B$4)))*INDEX(تعرفه!$B$2:$B$7,MATCH(AD226,تعرفه!$A$2:$A$7,0))))</f>
        <v>0</v>
      </c>
      <c r="AH226" s="24" t="n">
        <v>0</v>
      </c>
      <c r="AI226" s="24" t="n">
        <f aca="false">IF(AG226="","",AH226-AG226)</f>
        <v>0</v>
      </c>
      <c r="AJ226" s="21" t="n">
        <v>0</v>
      </c>
      <c r="AK226" s="21" t="n">
        <v>0</v>
      </c>
      <c r="AL226" s="16" t="s">
        <v>335</v>
      </c>
      <c r="AM226" s="16"/>
      <c r="AN226" s="16" t="s">
        <v>340</v>
      </c>
      <c r="AO226" s="16" t="s">
        <v>340</v>
      </c>
      <c r="AP226" s="16" t="s">
        <v>335</v>
      </c>
      <c r="AQ226" s="16"/>
      <c r="AR226" s="21" t="n">
        <f aca="false">IF(AND(T226&lt;&gt;"",H226&lt;&gt;""),IF(AND((T226-H226)*86400&gt;=0,(T226-H226)*86400&lt;تنظیمات!$B$13),1,0),0)</f>
        <v>0</v>
      </c>
      <c r="AS226" s="21" t="n">
        <f aca="false">IF(Z226="پوز",IF(OR(AB226="",COUNTIF(پوزها!$A$2:$A$5,AA226)=0),1,0),0)</f>
        <v>0</v>
      </c>
      <c r="AT226" s="21" t="n">
        <f aca="false">IF(AI226="",0,IF(AI226&gt;0,1,0))</f>
        <v>0</v>
      </c>
      <c r="AU226" s="21" t="n">
        <f aca="false">IF(AI226="",0,IF(AI226&lt;0,1,0))</f>
        <v>0</v>
      </c>
      <c r="AV226" s="21" t="n">
        <f aca="false">IF(U226&gt;V226,1,0)</f>
        <v>0</v>
      </c>
      <c r="AW226" s="21" t="n">
        <f aca="false">IF(OR(W226&gt;تنظیمات!$B$8,X226="بله"),1,0)</f>
        <v>0</v>
      </c>
      <c r="AX226" s="21" t="n">
        <f aca="false">IF(AND(N226="بله",L226&gt;تنظیمات!$B$9),1,0)</f>
        <v>0</v>
      </c>
      <c r="AY226" s="21" t="n">
        <f aca="false">IF(Y226="معکوس",1,0)</f>
        <v>0</v>
      </c>
      <c r="AZ226" s="21" t="n">
        <f aca="false">IF(ABS(AJ226)&gt;تنظیمات!$B$10,1,0)</f>
        <v>0</v>
      </c>
      <c r="BA226" s="21" t="n">
        <f aca="false">IF(AND(OR(AD226="رایگان/VIP",AD226="جانباز"),AF226="خیر"),1,0)</f>
        <v>0</v>
      </c>
      <c r="BB226" s="21" t="n">
        <f aca="false">IF(AE226="",0,IF(COUNTIF($AE$2:$AE$1001,AE226)&gt;1,1,0))</f>
        <v>0</v>
      </c>
      <c r="BC226" s="21" t="n">
        <f aca="false">IF(AND(H226="",I226&gt;تنظیمات!$B$12*60,AM226="خالی"),1,0)</f>
        <v>0</v>
      </c>
      <c r="BD226" s="21" t="n">
        <f aca="false">IF(AND(AP226="بله",I226&lt;تنظیمات!$B$14,AO226="خیر"),1,0)</f>
        <v>0</v>
      </c>
      <c r="BE226" s="21" t="n">
        <f aca="false">IF(AN226="خیر",1,0)</f>
        <v>0</v>
      </c>
      <c r="BF226" s="21" t="n">
        <f aca="false">IF(AND(AD226="فیش مفقودی",AQ226="بله",I226&gt;تنظیمات!$B$12*60),1,0)</f>
        <v>0</v>
      </c>
      <c r="BG226" s="21" t="n">
        <f aca="false">IF(AND(AK226&gt;تنظیمات!$B$11,AL226="بله"),1,0)</f>
        <v>0</v>
      </c>
      <c r="BH226" s="21" t="n">
        <f aca="false">MIN(100,AR226*تنظیمات!$B$21+AS226*تنظیمات!$B$22+AT226*تنظیمات!$B$23+AU226*تنظیمات!$B$24+AV226*تنظیمات!$B$25+AW226*تنظیمات!$B$26+AX226*تنظیمات!$B$27+AY226*تنظیمات!$B$28+AZ226*تنظیمات!$B$29+BA226*تنظیمات!$B$30+BB226*تنظیمات!$B$31+BC226*تنظیمات!$B$32+BD226*تنظیمات!$B$33+BE226*تنظیمات!$B$34+BF226*تنظیمات!$B$35+BG226*تنظیمات!$B$36)</f>
        <v>0</v>
      </c>
      <c r="BI226" s="16" t="str">
        <f aca="false">IF(BH226&gt;=60,"بحرانی",IF(BH226&gt;=30,"مشکوک",IF(BH226&gt;0,"هشدار","عادی")))</f>
        <v>عادی</v>
      </c>
      <c r="BJ226" s="16" t="s">
        <v>338</v>
      </c>
    </row>
    <row r="227" customFormat="false" ht="15" hidden="false" customHeight="false" outlineLevel="0" collapsed="false">
      <c r="A227" s="16" t="s">
        <v>1158</v>
      </c>
      <c r="B227" s="16" t="s">
        <v>535</v>
      </c>
      <c r="C227" s="16"/>
      <c r="D227" s="16" t="s">
        <v>350</v>
      </c>
      <c r="E227" s="16" t="s">
        <v>351</v>
      </c>
      <c r="F227" s="16" t="s">
        <v>333</v>
      </c>
      <c r="G227" s="17" t="n">
        <v>46284.3878125</v>
      </c>
      <c r="H227" s="17" t="n">
        <v>46284.4169791667</v>
      </c>
      <c r="I227" s="18" t="n">
        <f aca="false">IF(H227="",ROUND((تنظیمات!$B$7-G227)*1440,0),ROUND((H227-G227)*1440,0))</f>
        <v>42</v>
      </c>
      <c r="J227" s="16" t="s">
        <v>346</v>
      </c>
      <c r="K227" s="16" t="s">
        <v>400</v>
      </c>
      <c r="L227" s="19" t="n">
        <v>0.939</v>
      </c>
      <c r="M227" s="19" t="n">
        <v>0.979</v>
      </c>
      <c r="N227" s="16" t="s">
        <v>335</v>
      </c>
      <c r="O227" s="16" t="s">
        <v>425</v>
      </c>
      <c r="P227" s="16" t="s">
        <v>402</v>
      </c>
      <c r="Q227" s="20" t="n">
        <v>46284</v>
      </c>
      <c r="R227" s="16" t="s">
        <v>1159</v>
      </c>
      <c r="S227" s="16" t="s">
        <v>404</v>
      </c>
      <c r="T227" s="17"/>
      <c r="U227" s="21" t="n">
        <v>1</v>
      </c>
      <c r="V227" s="21" t="n">
        <v>1</v>
      </c>
      <c r="W227" s="22" t="n">
        <v>5.6</v>
      </c>
      <c r="X227" s="16" t="s">
        <v>335</v>
      </c>
      <c r="Y227" s="16" t="s">
        <v>338</v>
      </c>
      <c r="Z227" s="16" t="s">
        <v>405</v>
      </c>
      <c r="AA227" s="16"/>
      <c r="AB227" s="23"/>
      <c r="AC227" s="17"/>
      <c r="AD227" s="16" t="s">
        <v>338</v>
      </c>
      <c r="AE227" s="16"/>
      <c r="AF227" s="16" t="str">
        <f aca="false">IF(COUNTIF(لیست_سفید!$A$2:$A$21,B227)&gt;0,"بله","خیر")</f>
        <v>خیر</v>
      </c>
      <c r="AG227" s="24" t="n">
        <f aca="false">IF(H227="","",IF(AD227="فیش مفقودی",تنظیمات!$B$6,(INT(I227/1440)*تنظیمات!$B$5+IF(MOD(I227,1440)&lt;=تنظیمات!$B$2,0,MIN(تنظیمات!$B$5,تنظیمات!$B$3+MAX(0,ROUNDUP((MOD(I227,1440)-60)/60,0))*تنظیمات!$B$4)))*INDEX(تعرفه!$B$2:$B$7,MATCH(AD227,تعرفه!$A$2:$A$7,0))))</f>
        <v>20000</v>
      </c>
      <c r="AH227" s="24" t="n">
        <v>20000</v>
      </c>
      <c r="AI227" s="24" t="n">
        <f aca="false">IF(AG227="","",AH227-AG227)</f>
        <v>0</v>
      </c>
      <c r="AJ227" s="21" t="n">
        <v>-1</v>
      </c>
      <c r="AK227" s="21" t="n">
        <v>0</v>
      </c>
      <c r="AL227" s="16" t="s">
        <v>335</v>
      </c>
      <c r="AM227" s="16"/>
      <c r="AN227" s="16" t="s">
        <v>340</v>
      </c>
      <c r="AO227" s="16" t="s">
        <v>340</v>
      </c>
      <c r="AP227" s="16" t="s">
        <v>335</v>
      </c>
      <c r="AQ227" s="16"/>
      <c r="AR227" s="21" t="n">
        <f aca="false">IF(AND(T227&lt;&gt;"",H227&lt;&gt;""),IF(AND((T227-H227)*86400&gt;=0,(T227-H227)*86400&lt;تنظیمات!$B$13),1,0),0)</f>
        <v>0</v>
      </c>
      <c r="AS227" s="21" t="n">
        <f aca="false">IF(Z227="پوز",IF(OR(AB227="",COUNTIF(پوزها!$A$2:$A$5,AA227)=0),1,0),0)</f>
        <v>0</v>
      </c>
      <c r="AT227" s="21" t="n">
        <f aca="false">IF(AI227="",0,IF(AI227&gt;0,1,0))</f>
        <v>0</v>
      </c>
      <c r="AU227" s="21" t="n">
        <f aca="false">IF(AI227="",0,IF(AI227&lt;0,1,0))</f>
        <v>0</v>
      </c>
      <c r="AV227" s="21" t="n">
        <f aca="false">IF(U227&gt;V227,1,0)</f>
        <v>0</v>
      </c>
      <c r="AW227" s="21" t="n">
        <f aca="false">IF(OR(W227&gt;تنظیمات!$B$8,X227="بله"),1,0)</f>
        <v>0</v>
      </c>
      <c r="AX227" s="21" t="n">
        <f aca="false">IF(AND(N227="بله",L227&gt;تنظیمات!$B$9),1,0)</f>
        <v>0</v>
      </c>
      <c r="AY227" s="21" t="n">
        <f aca="false">IF(Y227="معکوس",1,0)</f>
        <v>0</v>
      </c>
      <c r="AZ227" s="21" t="n">
        <f aca="false">IF(ABS(AJ227)&gt;تنظیمات!$B$10,1,0)</f>
        <v>0</v>
      </c>
      <c r="BA227" s="21" t="n">
        <f aca="false">IF(AND(OR(AD227="رایگان/VIP",AD227="جانباز"),AF227="خیر"),1,0)</f>
        <v>0</v>
      </c>
      <c r="BB227" s="21" t="n">
        <f aca="false">IF(AE227="",0,IF(COUNTIF($AE$2:$AE$1001,AE227)&gt;1,1,0))</f>
        <v>0</v>
      </c>
      <c r="BC227" s="21" t="n">
        <f aca="false">IF(AND(H227="",I227&gt;تنظیمات!$B$12*60,AM227="خالی"),1,0)</f>
        <v>0</v>
      </c>
      <c r="BD227" s="21" t="n">
        <f aca="false">IF(AND(AP227="بله",I227&lt;تنظیمات!$B$14,AO227="خیر"),1,0)</f>
        <v>0</v>
      </c>
      <c r="BE227" s="21" t="n">
        <f aca="false">IF(AN227="خیر",1,0)</f>
        <v>0</v>
      </c>
      <c r="BF227" s="21" t="n">
        <f aca="false">IF(AND(AD227="فیش مفقودی",AQ227="بله",I227&gt;تنظیمات!$B$12*60),1,0)</f>
        <v>0</v>
      </c>
      <c r="BG227" s="21" t="n">
        <f aca="false">IF(AND(AK227&gt;تنظیمات!$B$11,AL227="بله"),1,0)</f>
        <v>0</v>
      </c>
      <c r="BH227" s="21" t="n">
        <f aca="false">MIN(100,AR227*تنظیمات!$B$21+AS227*تنظیمات!$B$22+AT227*تنظیمات!$B$23+AU227*تنظیمات!$B$24+AV227*تنظیمات!$B$25+AW227*تنظیمات!$B$26+AX227*تنظیمات!$B$27+AY227*تنظیمات!$B$28+AZ227*تنظیمات!$B$29+BA227*تنظیمات!$B$30+BB227*تنظیمات!$B$31+BC227*تنظیمات!$B$32+BD227*تنظیمات!$B$33+BE227*تنظیمات!$B$34+BF227*تنظیمات!$B$35+BG227*تنظیمات!$B$36)</f>
        <v>0</v>
      </c>
      <c r="BI227" s="16" t="str">
        <f aca="false">IF(BH227&gt;=60,"بحرانی",IF(BH227&gt;=30,"مشکوک",IF(BH227&gt;0,"هشدار","عادی")))</f>
        <v>عادی</v>
      </c>
      <c r="BJ227" s="16" t="s">
        <v>338</v>
      </c>
    </row>
    <row r="228" customFormat="false" ht="15" hidden="false" customHeight="false" outlineLevel="0" collapsed="false">
      <c r="A228" s="16" t="s">
        <v>1160</v>
      </c>
      <c r="B228" s="16" t="s">
        <v>1161</v>
      </c>
      <c r="C228" s="16"/>
      <c r="D228" s="16" t="s">
        <v>386</v>
      </c>
      <c r="E228" s="16" t="s">
        <v>375</v>
      </c>
      <c r="F228" s="16" t="s">
        <v>333</v>
      </c>
      <c r="G228" s="17" t="n">
        <v>46284.3911805556</v>
      </c>
      <c r="H228" s="17" t="n">
        <v>46284.6599305556</v>
      </c>
      <c r="I228" s="18" t="n">
        <f aca="false">IF(H228="",ROUND((تنظیمات!$B$7-G228)*1440,0),ROUND((H228-G228)*1440,0))</f>
        <v>387</v>
      </c>
      <c r="J228" s="16" t="s">
        <v>334</v>
      </c>
      <c r="K228" s="16" t="s">
        <v>400</v>
      </c>
      <c r="L228" s="19" t="n">
        <v>0.967</v>
      </c>
      <c r="M228" s="19" t="n">
        <v>0.955</v>
      </c>
      <c r="N228" s="16" t="s">
        <v>335</v>
      </c>
      <c r="O228" s="16" t="s">
        <v>411</v>
      </c>
      <c r="P228" s="16" t="s">
        <v>420</v>
      </c>
      <c r="Q228" s="20" t="n">
        <v>46284</v>
      </c>
      <c r="R228" s="16" t="s">
        <v>1162</v>
      </c>
      <c r="S228" s="16" t="s">
        <v>404</v>
      </c>
      <c r="T228" s="17"/>
      <c r="U228" s="21" t="n">
        <v>1</v>
      </c>
      <c r="V228" s="21" t="n">
        <v>1</v>
      </c>
      <c r="W228" s="22" t="n">
        <v>2.5</v>
      </c>
      <c r="X228" s="16" t="s">
        <v>335</v>
      </c>
      <c r="Y228" s="16" t="s">
        <v>338</v>
      </c>
      <c r="Z228" s="16" t="s">
        <v>413</v>
      </c>
      <c r="AA228" s="16" t="s">
        <v>427</v>
      </c>
      <c r="AB228" s="23" t="s">
        <v>1163</v>
      </c>
      <c r="AC228" s="17" t="n">
        <v>46284.6591666667</v>
      </c>
      <c r="AD228" s="16" t="s">
        <v>338</v>
      </c>
      <c r="AE228" s="16"/>
      <c r="AF228" s="16" t="str">
        <f aca="false">IF(COUNTIF(لیست_سفید!$A$2:$A$21,B228)&gt;0,"بله","خیر")</f>
        <v>خیر</v>
      </c>
      <c r="AG228" s="24" t="n">
        <f aca="false">IF(H228="","",IF(AD228="فیش مفقودی",تنظیمات!$B$6,(INT(I228/1440)*تنظیمات!$B$5+IF(MOD(I228,1440)&lt;=تنظیمات!$B$2,0,MIN(تنظیمات!$B$5,تنظیمات!$B$3+MAX(0,ROUNDUP((MOD(I228,1440)-60)/60,0))*تنظیمات!$B$4)))*INDEX(تعرفه!$B$2:$B$7,MATCH(AD228,تعرفه!$A$2:$A$7,0))))</f>
        <v>104000</v>
      </c>
      <c r="AH228" s="24" t="n">
        <v>104000</v>
      </c>
      <c r="AI228" s="24" t="n">
        <f aca="false">IF(AG228="","",AH228-AG228)</f>
        <v>0</v>
      </c>
      <c r="AJ228" s="21" t="n">
        <v>0</v>
      </c>
      <c r="AK228" s="21" t="n">
        <v>0</v>
      </c>
      <c r="AL228" s="16" t="s">
        <v>335</v>
      </c>
      <c r="AM228" s="16"/>
      <c r="AN228" s="16" t="s">
        <v>340</v>
      </c>
      <c r="AO228" s="16" t="s">
        <v>340</v>
      </c>
      <c r="AP228" s="16" t="s">
        <v>335</v>
      </c>
      <c r="AQ228" s="16"/>
      <c r="AR228" s="21" t="n">
        <f aca="false">IF(AND(T228&lt;&gt;"",H228&lt;&gt;""),IF(AND((T228-H228)*86400&gt;=0,(T228-H228)*86400&lt;تنظیمات!$B$13),1,0),0)</f>
        <v>0</v>
      </c>
      <c r="AS228" s="21" t="n">
        <f aca="false">IF(Z228="پوز",IF(OR(AB228="",COUNTIF(پوزها!$A$2:$A$5,AA228)=0),1,0),0)</f>
        <v>0</v>
      </c>
      <c r="AT228" s="21" t="n">
        <f aca="false">IF(AI228="",0,IF(AI228&gt;0,1,0))</f>
        <v>0</v>
      </c>
      <c r="AU228" s="21" t="n">
        <f aca="false">IF(AI228="",0,IF(AI228&lt;0,1,0))</f>
        <v>0</v>
      </c>
      <c r="AV228" s="21" t="n">
        <f aca="false">IF(U228&gt;V228,1,0)</f>
        <v>0</v>
      </c>
      <c r="AW228" s="21" t="n">
        <f aca="false">IF(OR(W228&gt;تنظیمات!$B$8,X228="بله"),1,0)</f>
        <v>0</v>
      </c>
      <c r="AX228" s="21" t="n">
        <f aca="false">IF(AND(N228="بله",L228&gt;تنظیمات!$B$9),1,0)</f>
        <v>0</v>
      </c>
      <c r="AY228" s="21" t="n">
        <f aca="false">IF(Y228="معکوس",1,0)</f>
        <v>0</v>
      </c>
      <c r="AZ228" s="21" t="n">
        <f aca="false">IF(ABS(AJ228)&gt;تنظیمات!$B$10,1,0)</f>
        <v>0</v>
      </c>
      <c r="BA228" s="21" t="n">
        <f aca="false">IF(AND(OR(AD228="رایگان/VIP",AD228="جانباز"),AF228="خیر"),1,0)</f>
        <v>0</v>
      </c>
      <c r="BB228" s="21" t="n">
        <f aca="false">IF(AE228="",0,IF(COUNTIF($AE$2:$AE$1001,AE228)&gt;1,1,0))</f>
        <v>0</v>
      </c>
      <c r="BC228" s="21" t="n">
        <f aca="false">IF(AND(H228="",I228&gt;تنظیمات!$B$12*60,AM228="خالی"),1,0)</f>
        <v>0</v>
      </c>
      <c r="BD228" s="21" t="n">
        <f aca="false">IF(AND(AP228="بله",I228&lt;تنظیمات!$B$14,AO228="خیر"),1,0)</f>
        <v>0</v>
      </c>
      <c r="BE228" s="21" t="n">
        <f aca="false">IF(AN228="خیر",1,0)</f>
        <v>0</v>
      </c>
      <c r="BF228" s="21" t="n">
        <f aca="false">IF(AND(AD228="فیش مفقودی",AQ228="بله",I228&gt;تنظیمات!$B$12*60),1,0)</f>
        <v>0</v>
      </c>
      <c r="BG228" s="21" t="n">
        <f aca="false">IF(AND(AK228&gt;تنظیمات!$B$11,AL228="بله"),1,0)</f>
        <v>0</v>
      </c>
      <c r="BH228" s="21" t="n">
        <f aca="false">MIN(100,AR228*تنظیمات!$B$21+AS228*تنظیمات!$B$22+AT228*تنظیمات!$B$23+AU228*تنظیمات!$B$24+AV228*تنظیمات!$B$25+AW228*تنظیمات!$B$26+AX228*تنظیمات!$B$27+AY228*تنظیمات!$B$28+AZ228*تنظیمات!$B$29+BA228*تنظیمات!$B$30+BB228*تنظیمات!$B$31+BC228*تنظیمات!$B$32+BD228*تنظیمات!$B$33+BE228*تنظیمات!$B$34+BF228*تنظیمات!$B$35+BG228*تنظیمات!$B$36)</f>
        <v>0</v>
      </c>
      <c r="BI228" s="16" t="str">
        <f aca="false">IF(BH228&gt;=60,"بحرانی",IF(BH228&gt;=30,"مشکوک",IF(BH228&gt;0,"هشدار","عادی")))</f>
        <v>عادی</v>
      </c>
      <c r="BJ228" s="16" t="s">
        <v>338</v>
      </c>
    </row>
    <row r="229" customFormat="false" ht="15" hidden="false" customHeight="false" outlineLevel="0" collapsed="false">
      <c r="A229" s="16" t="s">
        <v>1164</v>
      </c>
      <c r="B229" s="16" t="s">
        <v>484</v>
      </c>
      <c r="C229" s="16"/>
      <c r="D229" s="16" t="s">
        <v>431</v>
      </c>
      <c r="E229" s="16" t="s">
        <v>332</v>
      </c>
      <c r="F229" s="16" t="s">
        <v>333</v>
      </c>
      <c r="G229" s="17" t="n">
        <v>46284.3924421296</v>
      </c>
      <c r="H229" s="17" t="n">
        <v>46284.4188310185</v>
      </c>
      <c r="I229" s="18" t="n">
        <f aca="false">IF(H229="",ROUND((تنظیمات!$B$7-G229)*1440,0),ROUND((H229-G229)*1440,0))</f>
        <v>38</v>
      </c>
      <c r="J229" s="16" t="s">
        <v>346</v>
      </c>
      <c r="K229" s="16" t="s">
        <v>410</v>
      </c>
      <c r="L229" s="19" t="n">
        <v>0.995</v>
      </c>
      <c r="M229" s="19" t="n">
        <v>0.965</v>
      </c>
      <c r="N229" s="16" t="s">
        <v>335</v>
      </c>
      <c r="O229" s="16" t="s">
        <v>441</v>
      </c>
      <c r="P229" s="16" t="s">
        <v>402</v>
      </c>
      <c r="Q229" s="20" t="n">
        <v>46284</v>
      </c>
      <c r="R229" s="16" t="s">
        <v>1165</v>
      </c>
      <c r="S229" s="16" t="s">
        <v>404</v>
      </c>
      <c r="T229" s="17"/>
      <c r="U229" s="21" t="n">
        <v>1</v>
      </c>
      <c r="V229" s="21" t="n">
        <v>1</v>
      </c>
      <c r="W229" s="22" t="n">
        <v>2.6</v>
      </c>
      <c r="X229" s="16" t="s">
        <v>335</v>
      </c>
      <c r="Y229" s="16" t="s">
        <v>338</v>
      </c>
      <c r="Z229" s="16" t="s">
        <v>413</v>
      </c>
      <c r="AA229" s="16" t="s">
        <v>414</v>
      </c>
      <c r="AB229" s="23" t="s">
        <v>1166</v>
      </c>
      <c r="AC229" s="17" t="n">
        <v>46284.4183796296</v>
      </c>
      <c r="AD229" s="16" t="s">
        <v>338</v>
      </c>
      <c r="AE229" s="16"/>
      <c r="AF229" s="16" t="str">
        <f aca="false">IF(COUNTIF(لیست_سفید!$A$2:$A$21,B229)&gt;0,"بله","خیر")</f>
        <v>خیر</v>
      </c>
      <c r="AG229" s="24" t="n">
        <f aca="false">IF(H229="","",IF(AD229="فیش مفقودی",تنظیمات!$B$6,(INT(I229/1440)*تنظیمات!$B$5+IF(MOD(I229,1440)&lt;=تنظیمات!$B$2,0,MIN(تنظیمات!$B$5,تنظیمات!$B$3+MAX(0,ROUNDUP((MOD(I229,1440)-60)/60,0))*تنظیمات!$B$4)))*INDEX(تعرفه!$B$2:$B$7,MATCH(AD229,تعرفه!$A$2:$A$7,0))))</f>
        <v>20000</v>
      </c>
      <c r="AH229" s="24" t="n">
        <v>20000</v>
      </c>
      <c r="AI229" s="24" t="n">
        <f aca="false">IF(AG229="","",AH229-AG229)</f>
        <v>0</v>
      </c>
      <c r="AJ229" s="21" t="n">
        <v>0</v>
      </c>
      <c r="AK229" s="21" t="n">
        <v>74</v>
      </c>
      <c r="AL229" s="16" t="s">
        <v>335</v>
      </c>
      <c r="AM229" s="16"/>
      <c r="AN229" s="16" t="s">
        <v>340</v>
      </c>
      <c r="AO229" s="16" t="s">
        <v>340</v>
      </c>
      <c r="AP229" s="16" t="s">
        <v>335</v>
      </c>
      <c r="AQ229" s="16"/>
      <c r="AR229" s="21" t="n">
        <f aca="false">IF(AND(T229&lt;&gt;"",H229&lt;&gt;""),IF(AND((T229-H229)*86400&gt;=0,(T229-H229)*86400&lt;تنظیمات!$B$13),1,0),0)</f>
        <v>0</v>
      </c>
      <c r="AS229" s="21" t="n">
        <f aca="false">IF(Z229="پوز",IF(OR(AB229="",COUNTIF(پوزها!$A$2:$A$5,AA229)=0),1,0),0)</f>
        <v>0</v>
      </c>
      <c r="AT229" s="21" t="n">
        <f aca="false">IF(AI229="",0,IF(AI229&gt;0,1,0))</f>
        <v>0</v>
      </c>
      <c r="AU229" s="21" t="n">
        <f aca="false">IF(AI229="",0,IF(AI229&lt;0,1,0))</f>
        <v>0</v>
      </c>
      <c r="AV229" s="21" t="n">
        <f aca="false">IF(U229&gt;V229,1,0)</f>
        <v>0</v>
      </c>
      <c r="AW229" s="21" t="n">
        <f aca="false">IF(OR(W229&gt;تنظیمات!$B$8,X229="بله"),1,0)</f>
        <v>0</v>
      </c>
      <c r="AX229" s="21" t="n">
        <f aca="false">IF(AND(N229="بله",L229&gt;تنظیمات!$B$9),1,0)</f>
        <v>0</v>
      </c>
      <c r="AY229" s="21" t="n">
        <f aca="false">IF(Y229="معکوس",1,0)</f>
        <v>0</v>
      </c>
      <c r="AZ229" s="21" t="n">
        <f aca="false">IF(ABS(AJ229)&gt;تنظیمات!$B$10,1,0)</f>
        <v>0</v>
      </c>
      <c r="BA229" s="21" t="n">
        <f aca="false">IF(AND(OR(AD229="رایگان/VIP",AD229="جانباز"),AF229="خیر"),1,0)</f>
        <v>0</v>
      </c>
      <c r="BB229" s="21" t="n">
        <f aca="false">IF(AE229="",0,IF(COUNTIF($AE$2:$AE$1001,AE229)&gt;1,1,0))</f>
        <v>0</v>
      </c>
      <c r="BC229" s="21" t="n">
        <f aca="false">IF(AND(H229="",I229&gt;تنظیمات!$B$12*60,AM229="خالی"),1,0)</f>
        <v>0</v>
      </c>
      <c r="BD229" s="21" t="n">
        <f aca="false">IF(AND(AP229="بله",I229&lt;تنظیمات!$B$14,AO229="خیر"),1,0)</f>
        <v>0</v>
      </c>
      <c r="BE229" s="21" t="n">
        <f aca="false">IF(AN229="خیر",1,0)</f>
        <v>0</v>
      </c>
      <c r="BF229" s="21" t="n">
        <f aca="false">IF(AND(AD229="فیش مفقودی",AQ229="بله",I229&gt;تنظیمات!$B$12*60),1,0)</f>
        <v>0</v>
      </c>
      <c r="BG229" s="21" t="n">
        <f aca="false">IF(AND(AK229&gt;تنظیمات!$B$11,AL229="بله"),1,0)</f>
        <v>0</v>
      </c>
      <c r="BH229" s="21" t="n">
        <f aca="false">MIN(100,AR229*تنظیمات!$B$21+AS229*تنظیمات!$B$22+AT229*تنظیمات!$B$23+AU229*تنظیمات!$B$24+AV229*تنظیمات!$B$25+AW229*تنظیمات!$B$26+AX229*تنظیمات!$B$27+AY229*تنظیمات!$B$28+AZ229*تنظیمات!$B$29+BA229*تنظیمات!$B$30+BB229*تنظیمات!$B$31+BC229*تنظیمات!$B$32+BD229*تنظیمات!$B$33+BE229*تنظیمات!$B$34+BF229*تنظیمات!$B$35+BG229*تنظیمات!$B$36)</f>
        <v>0</v>
      </c>
      <c r="BI229" s="16" t="str">
        <f aca="false">IF(BH229&gt;=60,"بحرانی",IF(BH229&gt;=30,"مشکوک",IF(BH229&gt;0,"هشدار","عادی")))</f>
        <v>عادی</v>
      </c>
      <c r="BJ229" s="16" t="s">
        <v>338</v>
      </c>
    </row>
    <row r="230" customFormat="false" ht="15" hidden="false" customHeight="false" outlineLevel="0" collapsed="false">
      <c r="A230" s="16" t="s">
        <v>1167</v>
      </c>
      <c r="B230" s="16" t="s">
        <v>1168</v>
      </c>
      <c r="C230" s="16"/>
      <c r="D230" s="16" t="s">
        <v>523</v>
      </c>
      <c r="E230" s="16" t="s">
        <v>375</v>
      </c>
      <c r="F230" s="16" t="s">
        <v>333</v>
      </c>
      <c r="G230" s="17" t="n">
        <v>46284.4006018519</v>
      </c>
      <c r="H230" s="17" t="n">
        <v>46284.6901851852</v>
      </c>
      <c r="I230" s="18" t="n">
        <f aca="false">IF(H230="",ROUND((تنظیمات!$B$7-G230)*1440,0),ROUND((H230-G230)*1440,0))</f>
        <v>417</v>
      </c>
      <c r="J230" s="16" t="s">
        <v>334</v>
      </c>
      <c r="K230" s="16" t="s">
        <v>400</v>
      </c>
      <c r="L230" s="19" t="n">
        <v>0.897</v>
      </c>
      <c r="M230" s="19" t="n">
        <v>0.851</v>
      </c>
      <c r="N230" s="16" t="s">
        <v>335</v>
      </c>
      <c r="O230" s="16" t="s">
        <v>411</v>
      </c>
      <c r="P230" s="16" t="s">
        <v>420</v>
      </c>
      <c r="Q230" s="20" t="n">
        <v>46284</v>
      </c>
      <c r="R230" s="16" t="s">
        <v>1169</v>
      </c>
      <c r="S230" s="16" t="s">
        <v>404</v>
      </c>
      <c r="T230" s="17"/>
      <c r="U230" s="21" t="n">
        <v>1</v>
      </c>
      <c r="V230" s="21" t="n">
        <v>1</v>
      </c>
      <c r="W230" s="22" t="n">
        <v>5.8</v>
      </c>
      <c r="X230" s="16" t="s">
        <v>335</v>
      </c>
      <c r="Y230" s="16" t="s">
        <v>338</v>
      </c>
      <c r="Z230" s="16" t="s">
        <v>443</v>
      </c>
      <c r="AA230" s="16"/>
      <c r="AB230" s="23"/>
      <c r="AC230" s="17"/>
      <c r="AD230" s="16" t="s">
        <v>444</v>
      </c>
      <c r="AE230" s="16"/>
      <c r="AF230" s="16" t="str">
        <f aca="false">IF(COUNTIF(لیست_سفید!$A$2:$A$21,B230)&gt;0,"بله","خیر")</f>
        <v>خیر</v>
      </c>
      <c r="AG230" s="24" t="n">
        <f aca="false">IF(H230="","",IF(AD230="فیش مفقودی",تنظیمات!$B$6,(INT(I230/1440)*تنظیمات!$B$5+IF(MOD(I230,1440)&lt;=تنظیمات!$B$2,0,MIN(تنظیمات!$B$5,تنظیمات!$B$3+MAX(0,ROUNDUP((MOD(I230,1440)-60)/60,0))*تنظیمات!$B$4)))*INDEX(تعرفه!$B$2:$B$7,MATCH(AD230,تعرفه!$A$2:$A$7,0))))</f>
        <v>0</v>
      </c>
      <c r="AH230" s="24" t="n">
        <v>0</v>
      </c>
      <c r="AI230" s="24" t="n">
        <f aca="false">IF(AG230="","",AH230-AG230)</f>
        <v>0</v>
      </c>
      <c r="AJ230" s="21" t="n">
        <v>-1</v>
      </c>
      <c r="AK230" s="21" t="n">
        <v>30</v>
      </c>
      <c r="AL230" s="16" t="s">
        <v>335</v>
      </c>
      <c r="AM230" s="16"/>
      <c r="AN230" s="16" t="s">
        <v>340</v>
      </c>
      <c r="AO230" s="16" t="s">
        <v>340</v>
      </c>
      <c r="AP230" s="16" t="s">
        <v>335</v>
      </c>
      <c r="AQ230" s="16"/>
      <c r="AR230" s="21" t="n">
        <f aca="false">IF(AND(T230&lt;&gt;"",H230&lt;&gt;""),IF(AND((T230-H230)*86400&gt;=0,(T230-H230)*86400&lt;تنظیمات!$B$13),1,0),0)</f>
        <v>0</v>
      </c>
      <c r="AS230" s="21" t="n">
        <f aca="false">IF(Z230="پوز",IF(OR(AB230="",COUNTIF(پوزها!$A$2:$A$5,AA230)=0),1,0),0)</f>
        <v>0</v>
      </c>
      <c r="AT230" s="21" t="n">
        <f aca="false">IF(AI230="",0,IF(AI230&gt;0,1,0))</f>
        <v>0</v>
      </c>
      <c r="AU230" s="21" t="n">
        <f aca="false">IF(AI230="",0,IF(AI230&lt;0,1,0))</f>
        <v>0</v>
      </c>
      <c r="AV230" s="21" t="n">
        <f aca="false">IF(U230&gt;V230,1,0)</f>
        <v>0</v>
      </c>
      <c r="AW230" s="21" t="n">
        <f aca="false">IF(OR(W230&gt;تنظیمات!$B$8,X230="بله"),1,0)</f>
        <v>0</v>
      </c>
      <c r="AX230" s="21" t="n">
        <f aca="false">IF(AND(N230="بله",L230&gt;تنظیمات!$B$9),1,0)</f>
        <v>0</v>
      </c>
      <c r="AY230" s="21" t="n">
        <f aca="false">IF(Y230="معکوس",1,0)</f>
        <v>0</v>
      </c>
      <c r="AZ230" s="21" t="n">
        <f aca="false">IF(ABS(AJ230)&gt;تنظیمات!$B$10,1,0)</f>
        <v>0</v>
      </c>
      <c r="BA230" s="21" t="n">
        <f aca="false">IF(AND(OR(AD230="رایگان/VIP",AD230="جانباز"),AF230="خیر"),1,0)</f>
        <v>0</v>
      </c>
      <c r="BB230" s="21" t="n">
        <f aca="false">IF(AE230="",0,IF(COUNTIF($AE$2:$AE$1001,AE230)&gt;1,1,0))</f>
        <v>0</v>
      </c>
      <c r="BC230" s="21" t="n">
        <f aca="false">IF(AND(H230="",I230&gt;تنظیمات!$B$12*60,AM230="خالی"),1,0)</f>
        <v>0</v>
      </c>
      <c r="BD230" s="21" t="n">
        <f aca="false">IF(AND(AP230="بله",I230&lt;تنظیمات!$B$14,AO230="خیر"),1,0)</f>
        <v>0</v>
      </c>
      <c r="BE230" s="21" t="n">
        <f aca="false">IF(AN230="خیر",1,0)</f>
        <v>0</v>
      </c>
      <c r="BF230" s="21" t="n">
        <f aca="false">IF(AND(AD230="فیش مفقودی",AQ230="بله",I230&gt;تنظیمات!$B$12*60),1,0)</f>
        <v>0</v>
      </c>
      <c r="BG230" s="21" t="n">
        <f aca="false">IF(AND(AK230&gt;تنظیمات!$B$11,AL230="بله"),1,0)</f>
        <v>0</v>
      </c>
      <c r="BH230" s="21" t="n">
        <f aca="false">MIN(100,AR230*تنظیمات!$B$21+AS230*تنظیمات!$B$22+AT230*تنظیمات!$B$23+AU230*تنظیمات!$B$24+AV230*تنظیمات!$B$25+AW230*تنظیمات!$B$26+AX230*تنظیمات!$B$27+AY230*تنظیمات!$B$28+AZ230*تنظیمات!$B$29+BA230*تنظیمات!$B$30+BB230*تنظیمات!$B$31+BC230*تنظیمات!$B$32+BD230*تنظیمات!$B$33+BE230*تنظیمات!$B$34+BF230*تنظیمات!$B$35+BG230*تنظیمات!$B$36)</f>
        <v>0</v>
      </c>
      <c r="BI230" s="16" t="str">
        <f aca="false">IF(BH230&gt;=60,"بحرانی",IF(BH230&gt;=30,"مشکوک",IF(BH230&gt;0,"هشدار","عادی")))</f>
        <v>عادی</v>
      </c>
      <c r="BJ230" s="16" t="s">
        <v>338</v>
      </c>
    </row>
    <row r="231" customFormat="false" ht="15" hidden="false" customHeight="false" outlineLevel="0" collapsed="false">
      <c r="A231" s="16" t="s">
        <v>1170</v>
      </c>
      <c r="B231" s="16" t="s">
        <v>851</v>
      </c>
      <c r="C231" s="16"/>
      <c r="D231" s="16" t="s">
        <v>344</v>
      </c>
      <c r="E231" s="16" t="s">
        <v>363</v>
      </c>
      <c r="F231" s="16" t="s">
        <v>333</v>
      </c>
      <c r="G231" s="17" t="n">
        <v>46284.4158564815</v>
      </c>
      <c r="H231" s="17" t="n">
        <v>46284.4582175926</v>
      </c>
      <c r="I231" s="18" t="n">
        <f aca="false">IF(H231="",ROUND((تنظیمات!$B$7-G231)*1440,0),ROUND((H231-G231)*1440,0))</f>
        <v>61</v>
      </c>
      <c r="J231" s="16" t="s">
        <v>346</v>
      </c>
      <c r="K231" s="16" t="s">
        <v>400</v>
      </c>
      <c r="L231" s="19" t="n">
        <v>0.963</v>
      </c>
      <c r="M231" s="19" t="n">
        <v>0.935</v>
      </c>
      <c r="N231" s="16" t="s">
        <v>335</v>
      </c>
      <c r="O231" s="16" t="s">
        <v>425</v>
      </c>
      <c r="P231" s="16" t="s">
        <v>402</v>
      </c>
      <c r="Q231" s="20" t="n">
        <v>46284</v>
      </c>
      <c r="R231" s="16" t="s">
        <v>1171</v>
      </c>
      <c r="S231" s="16" t="s">
        <v>404</v>
      </c>
      <c r="T231" s="17"/>
      <c r="U231" s="21" t="n">
        <v>1</v>
      </c>
      <c r="V231" s="21" t="n">
        <v>1</v>
      </c>
      <c r="W231" s="22" t="n">
        <v>3.1</v>
      </c>
      <c r="X231" s="16" t="s">
        <v>335</v>
      </c>
      <c r="Y231" s="16" t="s">
        <v>338</v>
      </c>
      <c r="Z231" s="16" t="s">
        <v>413</v>
      </c>
      <c r="AA231" s="16" t="s">
        <v>427</v>
      </c>
      <c r="AB231" s="23" t="s">
        <v>1172</v>
      </c>
      <c r="AC231" s="17" t="n">
        <v>46284.4578819444</v>
      </c>
      <c r="AD231" s="16" t="s">
        <v>338</v>
      </c>
      <c r="AE231" s="16"/>
      <c r="AF231" s="16" t="str">
        <f aca="false">IF(COUNTIF(لیست_سفید!$A$2:$A$21,B231)&gt;0,"بله","خیر")</f>
        <v>خیر</v>
      </c>
      <c r="AG231" s="24" t="n">
        <f aca="false">IF(H231="","",IF(AD231="فیش مفقودی",تنظیمات!$B$6,(INT(I231/1440)*تنظیمات!$B$5+IF(MOD(I231,1440)&lt;=تنظیمات!$B$2,0,MIN(تنظیمات!$B$5,تنظیمات!$B$3+MAX(0,ROUNDUP((MOD(I231,1440)-60)/60,0))*تنظیمات!$B$4)))*INDEX(تعرفه!$B$2:$B$7,MATCH(AD231,تعرفه!$A$2:$A$7,0))))</f>
        <v>34000</v>
      </c>
      <c r="AH231" s="24" t="n">
        <v>34000</v>
      </c>
      <c r="AI231" s="24" t="n">
        <f aca="false">IF(AG231="","",AH231-AG231)</f>
        <v>0</v>
      </c>
      <c r="AJ231" s="21" t="n">
        <v>0</v>
      </c>
      <c r="AK231" s="21" t="n">
        <v>39</v>
      </c>
      <c r="AL231" s="16" t="s">
        <v>335</v>
      </c>
      <c r="AM231" s="16"/>
      <c r="AN231" s="16" t="s">
        <v>340</v>
      </c>
      <c r="AO231" s="16" t="s">
        <v>340</v>
      </c>
      <c r="AP231" s="16" t="s">
        <v>335</v>
      </c>
      <c r="AQ231" s="16"/>
      <c r="AR231" s="21" t="n">
        <f aca="false">IF(AND(T231&lt;&gt;"",H231&lt;&gt;""),IF(AND((T231-H231)*86400&gt;=0,(T231-H231)*86400&lt;تنظیمات!$B$13),1,0),0)</f>
        <v>0</v>
      </c>
      <c r="AS231" s="21" t="n">
        <f aca="false">IF(Z231="پوز",IF(OR(AB231="",COUNTIF(پوزها!$A$2:$A$5,AA231)=0),1,0),0)</f>
        <v>0</v>
      </c>
      <c r="AT231" s="21" t="n">
        <f aca="false">IF(AI231="",0,IF(AI231&gt;0,1,0))</f>
        <v>0</v>
      </c>
      <c r="AU231" s="21" t="n">
        <f aca="false">IF(AI231="",0,IF(AI231&lt;0,1,0))</f>
        <v>0</v>
      </c>
      <c r="AV231" s="21" t="n">
        <f aca="false">IF(U231&gt;V231,1,0)</f>
        <v>0</v>
      </c>
      <c r="AW231" s="21" t="n">
        <f aca="false">IF(OR(W231&gt;تنظیمات!$B$8,X231="بله"),1,0)</f>
        <v>0</v>
      </c>
      <c r="AX231" s="21" t="n">
        <f aca="false">IF(AND(N231="بله",L231&gt;تنظیمات!$B$9),1,0)</f>
        <v>0</v>
      </c>
      <c r="AY231" s="21" t="n">
        <f aca="false">IF(Y231="معکوس",1,0)</f>
        <v>0</v>
      </c>
      <c r="AZ231" s="21" t="n">
        <f aca="false">IF(ABS(AJ231)&gt;تنظیمات!$B$10,1,0)</f>
        <v>0</v>
      </c>
      <c r="BA231" s="21" t="n">
        <f aca="false">IF(AND(OR(AD231="رایگان/VIP",AD231="جانباز"),AF231="خیر"),1,0)</f>
        <v>0</v>
      </c>
      <c r="BB231" s="21" t="n">
        <f aca="false">IF(AE231="",0,IF(COUNTIF($AE$2:$AE$1001,AE231)&gt;1,1,0))</f>
        <v>0</v>
      </c>
      <c r="BC231" s="21" t="n">
        <f aca="false">IF(AND(H231="",I231&gt;تنظیمات!$B$12*60,AM231="خالی"),1,0)</f>
        <v>0</v>
      </c>
      <c r="BD231" s="21" t="n">
        <f aca="false">IF(AND(AP231="بله",I231&lt;تنظیمات!$B$14,AO231="خیر"),1,0)</f>
        <v>0</v>
      </c>
      <c r="BE231" s="21" t="n">
        <f aca="false">IF(AN231="خیر",1,0)</f>
        <v>0</v>
      </c>
      <c r="BF231" s="21" t="n">
        <f aca="false">IF(AND(AD231="فیش مفقودی",AQ231="بله",I231&gt;تنظیمات!$B$12*60),1,0)</f>
        <v>0</v>
      </c>
      <c r="BG231" s="21" t="n">
        <f aca="false">IF(AND(AK231&gt;تنظیمات!$B$11,AL231="بله"),1,0)</f>
        <v>0</v>
      </c>
      <c r="BH231" s="21" t="n">
        <f aca="false">MIN(100,AR231*تنظیمات!$B$21+AS231*تنظیمات!$B$22+AT231*تنظیمات!$B$23+AU231*تنظیمات!$B$24+AV231*تنظیمات!$B$25+AW231*تنظیمات!$B$26+AX231*تنظیمات!$B$27+AY231*تنظیمات!$B$28+AZ231*تنظیمات!$B$29+BA231*تنظیمات!$B$30+BB231*تنظیمات!$B$31+BC231*تنظیمات!$B$32+BD231*تنظیمات!$B$33+BE231*تنظیمات!$B$34+BF231*تنظیمات!$B$35+BG231*تنظیمات!$B$36)</f>
        <v>0</v>
      </c>
      <c r="BI231" s="16" t="str">
        <f aca="false">IF(BH231&gt;=60,"بحرانی",IF(BH231&gt;=30,"مشکوک",IF(BH231&gt;0,"هشدار","عادی")))</f>
        <v>عادی</v>
      </c>
      <c r="BJ231" s="16" t="s">
        <v>338</v>
      </c>
    </row>
    <row r="232" customFormat="false" ht="15" hidden="false" customHeight="false" outlineLevel="0" collapsed="false">
      <c r="A232" s="16" t="s">
        <v>1173</v>
      </c>
      <c r="B232" s="16" t="s">
        <v>1016</v>
      </c>
      <c r="C232" s="16"/>
      <c r="D232" s="16" t="s">
        <v>531</v>
      </c>
      <c r="E232" s="16" t="s">
        <v>332</v>
      </c>
      <c r="F232" s="16" t="s">
        <v>333</v>
      </c>
      <c r="G232" s="17" t="n">
        <v>46284.4189699074</v>
      </c>
      <c r="H232" s="17" t="n">
        <v>46284.5717476852</v>
      </c>
      <c r="I232" s="18" t="n">
        <f aca="false">IF(H232="",ROUND((تنظیمات!$B$7-G232)*1440,0),ROUND((H232-G232)*1440,0))</f>
        <v>220</v>
      </c>
      <c r="J232" s="16" t="s">
        <v>334</v>
      </c>
      <c r="K232" s="16" t="s">
        <v>410</v>
      </c>
      <c r="L232" s="19" t="n">
        <v>0.877</v>
      </c>
      <c r="M232" s="19" t="n">
        <v>0.907</v>
      </c>
      <c r="N232" s="16" t="s">
        <v>335</v>
      </c>
      <c r="O232" s="16" t="s">
        <v>441</v>
      </c>
      <c r="P232" s="16" t="s">
        <v>402</v>
      </c>
      <c r="Q232" s="20" t="n">
        <v>46284</v>
      </c>
      <c r="R232" s="16" t="s">
        <v>1174</v>
      </c>
      <c r="S232" s="16" t="s">
        <v>404</v>
      </c>
      <c r="T232" s="17"/>
      <c r="U232" s="21" t="n">
        <v>1</v>
      </c>
      <c r="V232" s="21" t="n">
        <v>1</v>
      </c>
      <c r="W232" s="22" t="n">
        <v>4.4</v>
      </c>
      <c r="X232" s="16" t="s">
        <v>335</v>
      </c>
      <c r="Y232" s="16" t="s">
        <v>338</v>
      </c>
      <c r="Z232" s="16" t="s">
        <v>413</v>
      </c>
      <c r="AA232" s="16" t="s">
        <v>414</v>
      </c>
      <c r="AB232" s="23" t="s">
        <v>1175</v>
      </c>
      <c r="AC232" s="17" t="n">
        <v>46284.5711226852</v>
      </c>
      <c r="AD232" s="16" t="s">
        <v>406</v>
      </c>
      <c r="AE232" s="16"/>
      <c r="AF232" s="16" t="str">
        <f aca="false">IF(COUNTIF(لیست_سفید!$A$2:$A$21,B232)&gt;0,"بله","خیر")</f>
        <v>خیر</v>
      </c>
      <c r="AG232" s="24" t="n">
        <f aca="false">IF(H232="","",IF(AD232="فیش مفقودی",تنظیمات!$B$6,(INT(I232/1440)*تنظیمات!$B$5+IF(MOD(I232,1440)&lt;=تنظیمات!$B$2,0,MIN(تنظیمات!$B$5,تنظیمات!$B$3+MAX(0,ROUNDUP((MOD(I232,1440)-60)/60,0))*تنظیمات!$B$4)))*INDEX(تعرفه!$B$2:$B$7,MATCH(AD232,تعرفه!$A$2:$A$7,0))))</f>
        <v>300000</v>
      </c>
      <c r="AH232" s="24" t="n">
        <v>300000</v>
      </c>
      <c r="AI232" s="24" t="n">
        <f aca="false">IF(AG232="","",AH232-AG232)</f>
        <v>0</v>
      </c>
      <c r="AJ232" s="21" t="n">
        <v>0</v>
      </c>
      <c r="AK232" s="21" t="n">
        <v>0</v>
      </c>
      <c r="AL232" s="16" t="s">
        <v>335</v>
      </c>
      <c r="AM232" s="16"/>
      <c r="AN232" s="16" t="s">
        <v>340</v>
      </c>
      <c r="AO232" s="16" t="s">
        <v>340</v>
      </c>
      <c r="AP232" s="16" t="s">
        <v>335</v>
      </c>
      <c r="AQ232" s="16" t="s">
        <v>340</v>
      </c>
      <c r="AR232" s="21" t="n">
        <f aca="false">IF(AND(T232&lt;&gt;"",H232&lt;&gt;""),IF(AND((T232-H232)*86400&gt;=0,(T232-H232)*86400&lt;تنظیمات!$B$13),1,0),0)</f>
        <v>0</v>
      </c>
      <c r="AS232" s="21" t="n">
        <f aca="false">IF(Z232="پوز",IF(OR(AB232="",COUNTIF(پوزها!$A$2:$A$5,AA232)=0),1,0),0)</f>
        <v>0</v>
      </c>
      <c r="AT232" s="21" t="n">
        <f aca="false">IF(AI232="",0,IF(AI232&gt;0,1,0))</f>
        <v>0</v>
      </c>
      <c r="AU232" s="21" t="n">
        <f aca="false">IF(AI232="",0,IF(AI232&lt;0,1,0))</f>
        <v>0</v>
      </c>
      <c r="AV232" s="21" t="n">
        <f aca="false">IF(U232&gt;V232,1,0)</f>
        <v>0</v>
      </c>
      <c r="AW232" s="21" t="n">
        <f aca="false">IF(OR(W232&gt;تنظیمات!$B$8,X232="بله"),1,0)</f>
        <v>0</v>
      </c>
      <c r="AX232" s="21" t="n">
        <f aca="false">IF(AND(N232="بله",L232&gt;تنظیمات!$B$9),1,0)</f>
        <v>0</v>
      </c>
      <c r="AY232" s="21" t="n">
        <f aca="false">IF(Y232="معکوس",1,0)</f>
        <v>0</v>
      </c>
      <c r="AZ232" s="21" t="n">
        <f aca="false">IF(ABS(AJ232)&gt;تنظیمات!$B$10,1,0)</f>
        <v>0</v>
      </c>
      <c r="BA232" s="21" t="n">
        <f aca="false">IF(AND(OR(AD232="رایگان/VIP",AD232="جانباز"),AF232="خیر"),1,0)</f>
        <v>0</v>
      </c>
      <c r="BB232" s="21" t="n">
        <f aca="false">IF(AE232="",0,IF(COUNTIF($AE$2:$AE$1001,AE232)&gt;1,1,0))</f>
        <v>0</v>
      </c>
      <c r="BC232" s="21" t="n">
        <f aca="false">IF(AND(H232="",I232&gt;تنظیمات!$B$12*60,AM232="خالی"),1,0)</f>
        <v>0</v>
      </c>
      <c r="BD232" s="21" t="n">
        <f aca="false">IF(AND(AP232="بله",I232&lt;تنظیمات!$B$14,AO232="خیر"),1,0)</f>
        <v>0</v>
      </c>
      <c r="BE232" s="21" t="n">
        <f aca="false">IF(AN232="خیر",1,0)</f>
        <v>0</v>
      </c>
      <c r="BF232" s="21" t="n">
        <f aca="false">IF(AND(AD232="فیش مفقودی",AQ232="بله",I232&gt;تنظیمات!$B$12*60),1,0)</f>
        <v>0</v>
      </c>
      <c r="BG232" s="21" t="n">
        <f aca="false">IF(AND(AK232&gt;تنظیمات!$B$11,AL232="بله"),1,0)</f>
        <v>0</v>
      </c>
      <c r="BH232" s="21" t="n">
        <f aca="false">MIN(100,AR232*تنظیمات!$B$21+AS232*تنظیمات!$B$22+AT232*تنظیمات!$B$23+AU232*تنظیمات!$B$24+AV232*تنظیمات!$B$25+AW232*تنظیمات!$B$26+AX232*تنظیمات!$B$27+AY232*تنظیمات!$B$28+AZ232*تنظیمات!$B$29+BA232*تنظیمات!$B$30+BB232*تنظیمات!$B$31+BC232*تنظیمات!$B$32+BD232*تنظیمات!$B$33+BE232*تنظیمات!$B$34+BF232*تنظیمات!$B$35+BG232*تنظیمات!$B$36)</f>
        <v>0</v>
      </c>
      <c r="BI232" s="16" t="str">
        <f aca="false">IF(BH232&gt;=60,"بحرانی",IF(BH232&gt;=30,"مشکوک",IF(BH232&gt;0,"هشدار","عادی")))</f>
        <v>عادی</v>
      </c>
      <c r="BJ232" s="16" t="s">
        <v>338</v>
      </c>
    </row>
    <row r="233" customFormat="false" ht="15" hidden="false" customHeight="false" outlineLevel="0" collapsed="false">
      <c r="A233" s="16" t="s">
        <v>1176</v>
      </c>
      <c r="B233" s="16" t="s">
        <v>1161</v>
      </c>
      <c r="C233" s="16"/>
      <c r="D233" s="16" t="s">
        <v>386</v>
      </c>
      <c r="E233" s="16" t="s">
        <v>375</v>
      </c>
      <c r="F233" s="16" t="s">
        <v>333</v>
      </c>
      <c r="G233" s="17" t="n">
        <v>46284.420787037</v>
      </c>
      <c r="H233" s="17" t="n">
        <v>46284.4937037037</v>
      </c>
      <c r="I233" s="18" t="n">
        <f aca="false">IF(H233="",ROUND((تنظیمات!$B$7-G233)*1440,0),ROUND((H233-G233)*1440,0))</f>
        <v>105</v>
      </c>
      <c r="J233" s="16" t="s">
        <v>334</v>
      </c>
      <c r="K233" s="16" t="s">
        <v>410</v>
      </c>
      <c r="L233" s="19" t="n">
        <v>0.988</v>
      </c>
      <c r="M233" s="19" t="n">
        <v>0.901</v>
      </c>
      <c r="N233" s="16" t="s">
        <v>335</v>
      </c>
      <c r="O233" s="16" t="s">
        <v>441</v>
      </c>
      <c r="P233" s="16" t="s">
        <v>402</v>
      </c>
      <c r="Q233" s="20" t="n">
        <v>46284</v>
      </c>
      <c r="R233" s="16" t="s">
        <v>1177</v>
      </c>
      <c r="S233" s="16" t="s">
        <v>404</v>
      </c>
      <c r="T233" s="17"/>
      <c r="U233" s="21" t="n">
        <v>1</v>
      </c>
      <c r="V233" s="21" t="n">
        <v>1</v>
      </c>
      <c r="W233" s="22" t="n">
        <v>6.3</v>
      </c>
      <c r="X233" s="16" t="s">
        <v>335</v>
      </c>
      <c r="Y233" s="16" t="s">
        <v>338</v>
      </c>
      <c r="Z233" s="16" t="s">
        <v>405</v>
      </c>
      <c r="AA233" s="16"/>
      <c r="AB233" s="23"/>
      <c r="AC233" s="17"/>
      <c r="AD233" s="16" t="s">
        <v>338</v>
      </c>
      <c r="AE233" s="16"/>
      <c r="AF233" s="16" t="str">
        <f aca="false">IF(COUNTIF(لیست_سفید!$A$2:$A$21,B233)&gt;0,"بله","خیر")</f>
        <v>خیر</v>
      </c>
      <c r="AG233" s="24" t="n">
        <f aca="false">IF(H233="","",IF(AD233="فیش مفقودی",تنظیمات!$B$6,(INT(I233/1440)*تنظیمات!$B$5+IF(MOD(I233,1440)&lt;=تنظیمات!$B$2,0,MIN(تنظیمات!$B$5,تنظیمات!$B$3+MAX(0,ROUNDUP((MOD(I233,1440)-60)/60,0))*تنظیمات!$B$4)))*INDEX(تعرفه!$B$2:$B$7,MATCH(AD233,تعرفه!$A$2:$A$7,0))))</f>
        <v>34000</v>
      </c>
      <c r="AH233" s="24" t="n">
        <v>34000</v>
      </c>
      <c r="AI233" s="24" t="n">
        <f aca="false">IF(AG233="","",AH233-AG233)</f>
        <v>0</v>
      </c>
      <c r="AJ233" s="21" t="n">
        <v>2</v>
      </c>
      <c r="AK233" s="21" t="n">
        <v>0</v>
      </c>
      <c r="AL233" s="16" t="s">
        <v>335</v>
      </c>
      <c r="AM233" s="16"/>
      <c r="AN233" s="16" t="s">
        <v>340</v>
      </c>
      <c r="AO233" s="16" t="s">
        <v>340</v>
      </c>
      <c r="AP233" s="16" t="s">
        <v>335</v>
      </c>
      <c r="AQ233" s="16"/>
      <c r="AR233" s="21" t="n">
        <f aca="false">IF(AND(T233&lt;&gt;"",H233&lt;&gt;""),IF(AND((T233-H233)*86400&gt;=0,(T233-H233)*86400&lt;تنظیمات!$B$13),1,0),0)</f>
        <v>0</v>
      </c>
      <c r="AS233" s="21" t="n">
        <f aca="false">IF(Z233="پوز",IF(OR(AB233="",COUNTIF(پوزها!$A$2:$A$5,AA233)=0),1,0),0)</f>
        <v>0</v>
      </c>
      <c r="AT233" s="21" t="n">
        <f aca="false">IF(AI233="",0,IF(AI233&gt;0,1,0))</f>
        <v>0</v>
      </c>
      <c r="AU233" s="21" t="n">
        <f aca="false">IF(AI233="",0,IF(AI233&lt;0,1,0))</f>
        <v>0</v>
      </c>
      <c r="AV233" s="21" t="n">
        <f aca="false">IF(U233&gt;V233,1,0)</f>
        <v>0</v>
      </c>
      <c r="AW233" s="21" t="n">
        <f aca="false">IF(OR(W233&gt;تنظیمات!$B$8,X233="بله"),1,0)</f>
        <v>0</v>
      </c>
      <c r="AX233" s="21" t="n">
        <f aca="false">IF(AND(N233="بله",L233&gt;تنظیمات!$B$9),1,0)</f>
        <v>0</v>
      </c>
      <c r="AY233" s="21" t="n">
        <f aca="false">IF(Y233="معکوس",1,0)</f>
        <v>0</v>
      </c>
      <c r="AZ233" s="21" t="n">
        <f aca="false">IF(ABS(AJ233)&gt;تنظیمات!$B$10,1,0)</f>
        <v>0</v>
      </c>
      <c r="BA233" s="21" t="n">
        <f aca="false">IF(AND(OR(AD233="رایگان/VIP",AD233="جانباز"),AF233="خیر"),1,0)</f>
        <v>0</v>
      </c>
      <c r="BB233" s="21" t="n">
        <f aca="false">IF(AE233="",0,IF(COUNTIF($AE$2:$AE$1001,AE233)&gt;1,1,0))</f>
        <v>0</v>
      </c>
      <c r="BC233" s="21" t="n">
        <f aca="false">IF(AND(H233="",I233&gt;تنظیمات!$B$12*60,AM233="خالی"),1,0)</f>
        <v>0</v>
      </c>
      <c r="BD233" s="21" t="n">
        <f aca="false">IF(AND(AP233="بله",I233&lt;تنظیمات!$B$14,AO233="خیر"),1,0)</f>
        <v>0</v>
      </c>
      <c r="BE233" s="21" t="n">
        <f aca="false">IF(AN233="خیر",1,0)</f>
        <v>0</v>
      </c>
      <c r="BF233" s="21" t="n">
        <f aca="false">IF(AND(AD233="فیش مفقودی",AQ233="بله",I233&gt;تنظیمات!$B$12*60),1,0)</f>
        <v>0</v>
      </c>
      <c r="BG233" s="21" t="n">
        <f aca="false">IF(AND(AK233&gt;تنظیمات!$B$11,AL233="بله"),1,0)</f>
        <v>0</v>
      </c>
      <c r="BH233" s="21" t="n">
        <f aca="false">MIN(100,AR233*تنظیمات!$B$21+AS233*تنظیمات!$B$22+AT233*تنظیمات!$B$23+AU233*تنظیمات!$B$24+AV233*تنظیمات!$B$25+AW233*تنظیمات!$B$26+AX233*تنظیمات!$B$27+AY233*تنظیمات!$B$28+AZ233*تنظیمات!$B$29+BA233*تنظیمات!$B$30+BB233*تنظیمات!$B$31+BC233*تنظیمات!$B$32+BD233*تنظیمات!$B$33+BE233*تنظیمات!$B$34+BF233*تنظیمات!$B$35+BG233*تنظیمات!$B$36)</f>
        <v>0</v>
      </c>
      <c r="BI233" s="16" t="str">
        <f aca="false">IF(BH233&gt;=60,"بحرانی",IF(BH233&gt;=30,"مشکوک",IF(BH233&gt;0,"هشدار","عادی")))</f>
        <v>عادی</v>
      </c>
      <c r="BJ233" s="16" t="s">
        <v>338</v>
      </c>
    </row>
    <row r="234" customFormat="false" ht="15" hidden="false" customHeight="false" outlineLevel="0" collapsed="false">
      <c r="A234" s="16" t="s">
        <v>1178</v>
      </c>
      <c r="B234" s="16" t="s">
        <v>659</v>
      </c>
      <c r="C234" s="16"/>
      <c r="D234" s="16" t="s">
        <v>418</v>
      </c>
      <c r="E234" s="16" t="s">
        <v>345</v>
      </c>
      <c r="F234" s="16" t="s">
        <v>333</v>
      </c>
      <c r="G234" s="17" t="n">
        <v>46284.4302314815</v>
      </c>
      <c r="H234" s="17" t="n">
        <v>46284.5343981482</v>
      </c>
      <c r="I234" s="18" t="n">
        <f aca="false">IF(H234="",ROUND((تنظیمات!$B$7-G234)*1440,0),ROUND((H234-G234)*1440,0))</f>
        <v>150</v>
      </c>
      <c r="J234" s="16" t="s">
        <v>334</v>
      </c>
      <c r="K234" s="16" t="s">
        <v>410</v>
      </c>
      <c r="L234" s="19" t="n">
        <v>0.955</v>
      </c>
      <c r="M234" s="19" t="n">
        <v>0.899</v>
      </c>
      <c r="N234" s="16" t="s">
        <v>335</v>
      </c>
      <c r="O234" s="16" t="s">
        <v>441</v>
      </c>
      <c r="P234" s="16" t="s">
        <v>402</v>
      </c>
      <c r="Q234" s="20" t="n">
        <v>46284</v>
      </c>
      <c r="R234" s="16" t="s">
        <v>1179</v>
      </c>
      <c r="S234" s="16" t="s">
        <v>404</v>
      </c>
      <c r="T234" s="17"/>
      <c r="U234" s="21" t="n">
        <v>1</v>
      </c>
      <c r="V234" s="21" t="n">
        <v>1</v>
      </c>
      <c r="W234" s="22" t="n">
        <v>4.5</v>
      </c>
      <c r="X234" s="16" t="s">
        <v>335</v>
      </c>
      <c r="Y234" s="16" t="s">
        <v>338</v>
      </c>
      <c r="Z234" s="16" t="s">
        <v>413</v>
      </c>
      <c r="AA234" s="16" t="s">
        <v>414</v>
      </c>
      <c r="AB234" s="23" t="s">
        <v>1180</v>
      </c>
      <c r="AC234" s="17" t="n">
        <v>46284.5334027778</v>
      </c>
      <c r="AD234" s="16" t="s">
        <v>338</v>
      </c>
      <c r="AE234" s="16"/>
      <c r="AF234" s="16" t="str">
        <f aca="false">IF(COUNTIF(لیست_سفید!$A$2:$A$21,B234)&gt;0,"بله","خیر")</f>
        <v>خیر</v>
      </c>
      <c r="AG234" s="24" t="n">
        <f aca="false">IF(H234="","",IF(AD234="فیش مفقودی",تنظیمات!$B$6,(INT(I234/1440)*تنظیمات!$B$5+IF(MOD(I234,1440)&lt;=تنظیمات!$B$2,0,MIN(تنظیمات!$B$5,تنظیمات!$B$3+MAX(0,ROUNDUP((MOD(I234,1440)-60)/60,0))*تنظیمات!$B$4)))*INDEX(تعرفه!$B$2:$B$7,MATCH(AD234,تعرفه!$A$2:$A$7,0))))</f>
        <v>48000</v>
      </c>
      <c r="AH234" s="24" t="n">
        <v>48000</v>
      </c>
      <c r="AI234" s="24" t="n">
        <f aca="false">IF(AG234="","",AH234-AG234)</f>
        <v>0</v>
      </c>
      <c r="AJ234" s="21" t="n">
        <v>1</v>
      </c>
      <c r="AK234" s="21" t="n">
        <v>0</v>
      </c>
      <c r="AL234" s="16" t="s">
        <v>335</v>
      </c>
      <c r="AM234" s="16"/>
      <c r="AN234" s="16" t="s">
        <v>340</v>
      </c>
      <c r="AO234" s="16" t="s">
        <v>340</v>
      </c>
      <c r="AP234" s="16" t="s">
        <v>335</v>
      </c>
      <c r="AQ234" s="16"/>
      <c r="AR234" s="21" t="n">
        <f aca="false">IF(AND(T234&lt;&gt;"",H234&lt;&gt;""),IF(AND((T234-H234)*86400&gt;=0,(T234-H234)*86400&lt;تنظیمات!$B$13),1,0),0)</f>
        <v>0</v>
      </c>
      <c r="AS234" s="21" t="n">
        <f aca="false">IF(Z234="پوز",IF(OR(AB234="",COUNTIF(پوزها!$A$2:$A$5,AA234)=0),1,0),0)</f>
        <v>0</v>
      </c>
      <c r="AT234" s="21" t="n">
        <f aca="false">IF(AI234="",0,IF(AI234&gt;0,1,0))</f>
        <v>0</v>
      </c>
      <c r="AU234" s="21" t="n">
        <f aca="false">IF(AI234="",0,IF(AI234&lt;0,1,0))</f>
        <v>0</v>
      </c>
      <c r="AV234" s="21" t="n">
        <f aca="false">IF(U234&gt;V234,1,0)</f>
        <v>0</v>
      </c>
      <c r="AW234" s="21" t="n">
        <f aca="false">IF(OR(W234&gt;تنظیمات!$B$8,X234="بله"),1,0)</f>
        <v>0</v>
      </c>
      <c r="AX234" s="21" t="n">
        <f aca="false">IF(AND(N234="بله",L234&gt;تنظیمات!$B$9),1,0)</f>
        <v>0</v>
      </c>
      <c r="AY234" s="21" t="n">
        <f aca="false">IF(Y234="معکوس",1,0)</f>
        <v>0</v>
      </c>
      <c r="AZ234" s="21" t="n">
        <f aca="false">IF(ABS(AJ234)&gt;تنظیمات!$B$10,1,0)</f>
        <v>0</v>
      </c>
      <c r="BA234" s="21" t="n">
        <f aca="false">IF(AND(OR(AD234="رایگان/VIP",AD234="جانباز"),AF234="خیر"),1,0)</f>
        <v>0</v>
      </c>
      <c r="BB234" s="21" t="n">
        <f aca="false">IF(AE234="",0,IF(COUNTIF($AE$2:$AE$1001,AE234)&gt;1,1,0))</f>
        <v>0</v>
      </c>
      <c r="BC234" s="21" t="n">
        <f aca="false">IF(AND(H234="",I234&gt;تنظیمات!$B$12*60,AM234="خالی"),1,0)</f>
        <v>0</v>
      </c>
      <c r="BD234" s="21" t="n">
        <f aca="false">IF(AND(AP234="بله",I234&lt;تنظیمات!$B$14,AO234="خیر"),1,0)</f>
        <v>0</v>
      </c>
      <c r="BE234" s="21" t="n">
        <f aca="false">IF(AN234="خیر",1,0)</f>
        <v>0</v>
      </c>
      <c r="BF234" s="21" t="n">
        <f aca="false">IF(AND(AD234="فیش مفقودی",AQ234="بله",I234&gt;تنظیمات!$B$12*60),1,0)</f>
        <v>0</v>
      </c>
      <c r="BG234" s="21" t="n">
        <f aca="false">IF(AND(AK234&gt;تنظیمات!$B$11,AL234="بله"),1,0)</f>
        <v>0</v>
      </c>
      <c r="BH234" s="21" t="n">
        <f aca="false">MIN(100,AR234*تنظیمات!$B$21+AS234*تنظیمات!$B$22+AT234*تنظیمات!$B$23+AU234*تنظیمات!$B$24+AV234*تنظیمات!$B$25+AW234*تنظیمات!$B$26+AX234*تنظیمات!$B$27+AY234*تنظیمات!$B$28+AZ234*تنظیمات!$B$29+BA234*تنظیمات!$B$30+BB234*تنظیمات!$B$31+BC234*تنظیمات!$B$32+BD234*تنظیمات!$B$33+BE234*تنظیمات!$B$34+BF234*تنظیمات!$B$35+BG234*تنظیمات!$B$36)</f>
        <v>0</v>
      </c>
      <c r="BI234" s="16" t="str">
        <f aca="false">IF(BH234&gt;=60,"بحرانی",IF(BH234&gt;=30,"مشکوک",IF(BH234&gt;0,"هشدار","عادی")))</f>
        <v>عادی</v>
      </c>
      <c r="BJ234" s="16" t="s">
        <v>338</v>
      </c>
    </row>
    <row r="235" customFormat="false" ht="15" hidden="false" customHeight="false" outlineLevel="0" collapsed="false">
      <c r="A235" s="16" t="s">
        <v>1181</v>
      </c>
      <c r="B235" s="16" t="s">
        <v>1182</v>
      </c>
      <c r="C235" s="16"/>
      <c r="D235" s="16" t="s">
        <v>450</v>
      </c>
      <c r="E235" s="16" t="s">
        <v>375</v>
      </c>
      <c r="F235" s="16" t="s">
        <v>333</v>
      </c>
      <c r="G235" s="17" t="n">
        <v>46284.4397569444</v>
      </c>
      <c r="H235" s="17" t="n">
        <v>46284.4869791667</v>
      </c>
      <c r="I235" s="18" t="n">
        <f aca="false">IF(H235="",ROUND((تنظیمات!$B$7-G235)*1440,0),ROUND((H235-G235)*1440,0))</f>
        <v>68</v>
      </c>
      <c r="J235" s="16" t="s">
        <v>334</v>
      </c>
      <c r="K235" s="16" t="s">
        <v>410</v>
      </c>
      <c r="L235" s="19" t="n">
        <v>0.991</v>
      </c>
      <c r="M235" s="19" t="n">
        <v>0.99</v>
      </c>
      <c r="N235" s="16" t="s">
        <v>335</v>
      </c>
      <c r="O235" s="16" t="s">
        <v>441</v>
      </c>
      <c r="P235" s="16" t="s">
        <v>402</v>
      </c>
      <c r="Q235" s="20" t="n">
        <v>46284</v>
      </c>
      <c r="R235" s="16" t="s">
        <v>1183</v>
      </c>
      <c r="S235" s="16" t="s">
        <v>404</v>
      </c>
      <c r="T235" s="17"/>
      <c r="U235" s="21" t="n">
        <v>1</v>
      </c>
      <c r="V235" s="21" t="n">
        <v>1</v>
      </c>
      <c r="W235" s="22" t="n">
        <v>5.2</v>
      </c>
      <c r="X235" s="16" t="s">
        <v>335</v>
      </c>
      <c r="Y235" s="16" t="s">
        <v>338</v>
      </c>
      <c r="Z235" s="16" t="s">
        <v>405</v>
      </c>
      <c r="AA235" s="16"/>
      <c r="AB235" s="23"/>
      <c r="AC235" s="17"/>
      <c r="AD235" s="16" t="s">
        <v>338</v>
      </c>
      <c r="AE235" s="16"/>
      <c r="AF235" s="16" t="str">
        <f aca="false">IF(COUNTIF(لیست_سفید!$A$2:$A$21,B235)&gt;0,"بله","خیر")</f>
        <v>خیر</v>
      </c>
      <c r="AG235" s="24" t="n">
        <f aca="false">IF(H235="","",IF(AD235="فیش مفقودی",تنظیمات!$B$6,(INT(I235/1440)*تنظیمات!$B$5+IF(MOD(I235,1440)&lt;=تنظیمات!$B$2,0,MIN(تنظیمات!$B$5,تنظیمات!$B$3+MAX(0,ROUNDUP((MOD(I235,1440)-60)/60,0))*تنظیمات!$B$4)))*INDEX(تعرفه!$B$2:$B$7,MATCH(AD235,تعرفه!$A$2:$A$7,0))))</f>
        <v>34000</v>
      </c>
      <c r="AH235" s="24" t="n">
        <v>34000</v>
      </c>
      <c r="AI235" s="24" t="n">
        <f aca="false">IF(AG235="","",AH235-AG235)</f>
        <v>0</v>
      </c>
      <c r="AJ235" s="21" t="n">
        <v>-1</v>
      </c>
      <c r="AK235" s="21" t="n">
        <v>0</v>
      </c>
      <c r="AL235" s="16" t="s">
        <v>335</v>
      </c>
      <c r="AM235" s="16"/>
      <c r="AN235" s="16" t="s">
        <v>340</v>
      </c>
      <c r="AO235" s="16" t="s">
        <v>340</v>
      </c>
      <c r="AP235" s="16" t="s">
        <v>335</v>
      </c>
      <c r="AQ235" s="16"/>
      <c r="AR235" s="21" t="n">
        <f aca="false">IF(AND(T235&lt;&gt;"",H235&lt;&gt;""),IF(AND((T235-H235)*86400&gt;=0,(T235-H235)*86400&lt;تنظیمات!$B$13),1,0),0)</f>
        <v>0</v>
      </c>
      <c r="AS235" s="21" t="n">
        <f aca="false">IF(Z235="پوز",IF(OR(AB235="",COUNTIF(پوزها!$A$2:$A$5,AA235)=0),1,0),0)</f>
        <v>0</v>
      </c>
      <c r="AT235" s="21" t="n">
        <f aca="false">IF(AI235="",0,IF(AI235&gt;0,1,0))</f>
        <v>0</v>
      </c>
      <c r="AU235" s="21" t="n">
        <f aca="false">IF(AI235="",0,IF(AI235&lt;0,1,0))</f>
        <v>0</v>
      </c>
      <c r="AV235" s="21" t="n">
        <f aca="false">IF(U235&gt;V235,1,0)</f>
        <v>0</v>
      </c>
      <c r="AW235" s="21" t="n">
        <f aca="false">IF(OR(W235&gt;تنظیمات!$B$8,X235="بله"),1,0)</f>
        <v>0</v>
      </c>
      <c r="AX235" s="21" t="n">
        <f aca="false">IF(AND(N235="بله",L235&gt;تنظیمات!$B$9),1,0)</f>
        <v>0</v>
      </c>
      <c r="AY235" s="21" t="n">
        <f aca="false">IF(Y235="معکوس",1,0)</f>
        <v>0</v>
      </c>
      <c r="AZ235" s="21" t="n">
        <f aca="false">IF(ABS(AJ235)&gt;تنظیمات!$B$10,1,0)</f>
        <v>0</v>
      </c>
      <c r="BA235" s="21" t="n">
        <f aca="false">IF(AND(OR(AD235="رایگان/VIP",AD235="جانباز"),AF235="خیر"),1,0)</f>
        <v>0</v>
      </c>
      <c r="BB235" s="21" t="n">
        <f aca="false">IF(AE235="",0,IF(COUNTIF($AE$2:$AE$1001,AE235)&gt;1,1,0))</f>
        <v>0</v>
      </c>
      <c r="BC235" s="21" t="n">
        <f aca="false">IF(AND(H235="",I235&gt;تنظیمات!$B$12*60,AM235="خالی"),1,0)</f>
        <v>0</v>
      </c>
      <c r="BD235" s="21" t="n">
        <f aca="false">IF(AND(AP235="بله",I235&lt;تنظیمات!$B$14,AO235="خیر"),1,0)</f>
        <v>0</v>
      </c>
      <c r="BE235" s="21" t="n">
        <f aca="false">IF(AN235="خیر",1,0)</f>
        <v>0</v>
      </c>
      <c r="BF235" s="21" t="n">
        <f aca="false">IF(AND(AD235="فیش مفقودی",AQ235="بله",I235&gt;تنظیمات!$B$12*60),1,0)</f>
        <v>0</v>
      </c>
      <c r="BG235" s="21" t="n">
        <f aca="false">IF(AND(AK235&gt;تنظیمات!$B$11,AL235="بله"),1,0)</f>
        <v>0</v>
      </c>
      <c r="BH235" s="21" t="n">
        <f aca="false">MIN(100,AR235*تنظیمات!$B$21+AS235*تنظیمات!$B$22+AT235*تنظیمات!$B$23+AU235*تنظیمات!$B$24+AV235*تنظیمات!$B$25+AW235*تنظیمات!$B$26+AX235*تنظیمات!$B$27+AY235*تنظیمات!$B$28+AZ235*تنظیمات!$B$29+BA235*تنظیمات!$B$30+BB235*تنظیمات!$B$31+BC235*تنظیمات!$B$32+BD235*تنظیمات!$B$33+BE235*تنظیمات!$B$34+BF235*تنظیمات!$B$35+BG235*تنظیمات!$B$36)</f>
        <v>0</v>
      </c>
      <c r="BI235" s="16" t="str">
        <f aca="false">IF(BH235&gt;=60,"بحرانی",IF(BH235&gt;=30,"مشکوک",IF(BH235&gt;0,"هشدار","عادی")))</f>
        <v>عادی</v>
      </c>
      <c r="BJ235" s="16" t="s">
        <v>338</v>
      </c>
    </row>
    <row r="236" customFormat="false" ht="15" hidden="false" customHeight="false" outlineLevel="0" collapsed="false">
      <c r="A236" s="16" t="s">
        <v>1184</v>
      </c>
      <c r="B236" s="16" t="s">
        <v>1185</v>
      </c>
      <c r="C236" s="16"/>
      <c r="D236" s="16" t="s">
        <v>469</v>
      </c>
      <c r="E236" s="16" t="s">
        <v>332</v>
      </c>
      <c r="F236" s="16" t="s">
        <v>359</v>
      </c>
      <c r="G236" s="17" t="n">
        <v>46284.4431365741</v>
      </c>
      <c r="H236" s="17" t="n">
        <v>46284.5056365741</v>
      </c>
      <c r="I236" s="18" t="n">
        <f aca="false">IF(H236="",ROUND((تنظیمات!$B$7-G236)*1440,0),ROUND((H236-G236)*1440,0))</f>
        <v>90</v>
      </c>
      <c r="J236" s="16" t="s">
        <v>334</v>
      </c>
      <c r="K236" s="16" t="s">
        <v>400</v>
      </c>
      <c r="L236" s="19" t="n">
        <v>0.93</v>
      </c>
      <c r="M236" s="19" t="n">
        <v>0.995</v>
      </c>
      <c r="N236" s="16" t="s">
        <v>335</v>
      </c>
      <c r="O236" s="16" t="s">
        <v>425</v>
      </c>
      <c r="P236" s="16" t="s">
        <v>402</v>
      </c>
      <c r="Q236" s="20" t="n">
        <v>46284</v>
      </c>
      <c r="R236" s="16" t="s">
        <v>1186</v>
      </c>
      <c r="S236" s="16" t="s">
        <v>404</v>
      </c>
      <c r="T236" s="17"/>
      <c r="U236" s="21" t="n">
        <v>1</v>
      </c>
      <c r="V236" s="21" t="n">
        <v>1</v>
      </c>
      <c r="W236" s="22" t="n">
        <v>6.8</v>
      </c>
      <c r="X236" s="16" t="s">
        <v>335</v>
      </c>
      <c r="Y236" s="16" t="s">
        <v>338</v>
      </c>
      <c r="Z236" s="16" t="s">
        <v>405</v>
      </c>
      <c r="AA236" s="16"/>
      <c r="AB236" s="23"/>
      <c r="AC236" s="17"/>
      <c r="AD236" s="16" t="s">
        <v>481</v>
      </c>
      <c r="AE236" s="16" t="s">
        <v>1187</v>
      </c>
      <c r="AF236" s="16" t="str">
        <f aca="false">IF(COUNTIF(لیست_سفید!$A$2:$A$21,B236)&gt;0,"بله","خیر")</f>
        <v>خیر</v>
      </c>
      <c r="AG236" s="24" t="n">
        <f aca="false">IF(H236="","",IF(AD236="فیش مفقودی",تنظیمات!$B$6,(INT(I236/1440)*تنظیمات!$B$5+IF(MOD(I236,1440)&lt;=تنظیمات!$B$2,0,MIN(تنظیمات!$B$5,تنظیمات!$B$3+MAX(0,ROUNDUP((MOD(I236,1440)-60)/60,0))*تنظیمات!$B$4)))*INDEX(تعرفه!$B$2:$B$7,MATCH(AD236,تعرفه!$A$2:$A$7,0))))</f>
        <v>17000</v>
      </c>
      <c r="AH236" s="24" t="n">
        <v>17000</v>
      </c>
      <c r="AI236" s="24" t="n">
        <f aca="false">IF(AG236="","",AH236-AG236)</f>
        <v>0</v>
      </c>
      <c r="AJ236" s="21" t="n">
        <v>1</v>
      </c>
      <c r="AK236" s="21" t="n">
        <v>0</v>
      </c>
      <c r="AL236" s="16" t="s">
        <v>335</v>
      </c>
      <c r="AM236" s="16"/>
      <c r="AN236" s="16" t="s">
        <v>340</v>
      </c>
      <c r="AO236" s="16" t="s">
        <v>340</v>
      </c>
      <c r="AP236" s="16" t="s">
        <v>335</v>
      </c>
      <c r="AQ236" s="16"/>
      <c r="AR236" s="21" t="n">
        <f aca="false">IF(AND(T236&lt;&gt;"",H236&lt;&gt;""),IF(AND((T236-H236)*86400&gt;=0,(T236-H236)*86400&lt;تنظیمات!$B$13),1,0),0)</f>
        <v>0</v>
      </c>
      <c r="AS236" s="21" t="n">
        <f aca="false">IF(Z236="پوز",IF(OR(AB236="",COUNTIF(پوزها!$A$2:$A$5,AA236)=0),1,0),0)</f>
        <v>0</v>
      </c>
      <c r="AT236" s="21" t="n">
        <f aca="false">IF(AI236="",0,IF(AI236&gt;0,1,0))</f>
        <v>0</v>
      </c>
      <c r="AU236" s="21" t="n">
        <f aca="false">IF(AI236="",0,IF(AI236&lt;0,1,0))</f>
        <v>0</v>
      </c>
      <c r="AV236" s="21" t="n">
        <f aca="false">IF(U236&gt;V236,1,0)</f>
        <v>0</v>
      </c>
      <c r="AW236" s="21" t="n">
        <f aca="false">IF(OR(W236&gt;تنظیمات!$B$8,X236="بله"),1,0)</f>
        <v>0</v>
      </c>
      <c r="AX236" s="21" t="n">
        <f aca="false">IF(AND(N236="بله",L236&gt;تنظیمات!$B$9),1,0)</f>
        <v>0</v>
      </c>
      <c r="AY236" s="21" t="n">
        <f aca="false">IF(Y236="معکوس",1,0)</f>
        <v>0</v>
      </c>
      <c r="AZ236" s="21" t="n">
        <f aca="false">IF(ABS(AJ236)&gt;تنظیمات!$B$10,1,0)</f>
        <v>0</v>
      </c>
      <c r="BA236" s="21" t="n">
        <f aca="false">IF(AND(OR(AD236="رایگان/VIP",AD236="جانباز"),AF236="خیر"),1,0)</f>
        <v>0</v>
      </c>
      <c r="BB236" s="21" t="n">
        <f aca="false">IF(AE236="",0,IF(COUNTIF($AE$2:$AE$1001,AE236)&gt;1,1,0))</f>
        <v>0</v>
      </c>
      <c r="BC236" s="21" t="n">
        <f aca="false">IF(AND(H236="",I236&gt;تنظیمات!$B$12*60,AM236="خالی"),1,0)</f>
        <v>0</v>
      </c>
      <c r="BD236" s="21" t="n">
        <f aca="false">IF(AND(AP236="بله",I236&lt;تنظیمات!$B$14,AO236="خیر"),1,0)</f>
        <v>0</v>
      </c>
      <c r="BE236" s="21" t="n">
        <f aca="false">IF(AN236="خیر",1,0)</f>
        <v>0</v>
      </c>
      <c r="BF236" s="21" t="n">
        <f aca="false">IF(AND(AD236="فیش مفقودی",AQ236="بله",I236&gt;تنظیمات!$B$12*60),1,0)</f>
        <v>0</v>
      </c>
      <c r="BG236" s="21" t="n">
        <f aca="false">IF(AND(AK236&gt;تنظیمات!$B$11,AL236="بله"),1,0)</f>
        <v>0</v>
      </c>
      <c r="BH236" s="21" t="n">
        <f aca="false">MIN(100,AR236*تنظیمات!$B$21+AS236*تنظیمات!$B$22+AT236*تنظیمات!$B$23+AU236*تنظیمات!$B$24+AV236*تنظیمات!$B$25+AW236*تنظیمات!$B$26+AX236*تنظیمات!$B$27+AY236*تنظیمات!$B$28+AZ236*تنظیمات!$B$29+BA236*تنظیمات!$B$30+BB236*تنظیمات!$B$31+BC236*تنظیمات!$B$32+BD236*تنظیمات!$B$33+BE236*تنظیمات!$B$34+BF236*تنظیمات!$B$35+BG236*تنظیمات!$B$36)</f>
        <v>0</v>
      </c>
      <c r="BI236" s="16" t="str">
        <f aca="false">IF(BH236&gt;=60,"بحرانی",IF(BH236&gt;=30,"مشکوک",IF(BH236&gt;0,"هشدار","عادی")))</f>
        <v>عادی</v>
      </c>
      <c r="BJ236" s="16" t="s">
        <v>338</v>
      </c>
    </row>
    <row r="237" customFormat="false" ht="15" hidden="false" customHeight="false" outlineLevel="0" collapsed="false">
      <c r="A237" s="16" t="s">
        <v>1188</v>
      </c>
      <c r="B237" s="16" t="s">
        <v>385</v>
      </c>
      <c r="C237" s="16"/>
      <c r="D237" s="16" t="s">
        <v>386</v>
      </c>
      <c r="E237" s="16" t="s">
        <v>351</v>
      </c>
      <c r="F237" s="16" t="s">
        <v>333</v>
      </c>
      <c r="G237" s="17" t="n">
        <v>46284.4687615741</v>
      </c>
      <c r="H237" s="17" t="n">
        <v>46284.7416782407</v>
      </c>
      <c r="I237" s="18" t="n">
        <f aca="false">IF(H237="",ROUND((تنظیمات!$B$7-G237)*1440,0),ROUND((H237-G237)*1440,0))</f>
        <v>393</v>
      </c>
      <c r="J237" s="16" t="s">
        <v>334</v>
      </c>
      <c r="K237" s="16" t="s">
        <v>400</v>
      </c>
      <c r="L237" s="19" t="n">
        <v>0.986</v>
      </c>
      <c r="M237" s="19" t="n">
        <v>0.939</v>
      </c>
      <c r="N237" s="16" t="s">
        <v>335</v>
      </c>
      <c r="O237" s="16" t="s">
        <v>411</v>
      </c>
      <c r="P237" s="16" t="s">
        <v>420</v>
      </c>
      <c r="Q237" s="20" t="n">
        <v>46284</v>
      </c>
      <c r="R237" s="16" t="s">
        <v>1189</v>
      </c>
      <c r="S237" s="16" t="s">
        <v>404</v>
      </c>
      <c r="T237" s="17"/>
      <c r="U237" s="21" t="n">
        <v>1</v>
      </c>
      <c r="V237" s="21" t="n">
        <v>1</v>
      </c>
      <c r="W237" s="22" t="n">
        <v>4.8</v>
      </c>
      <c r="X237" s="16" t="s">
        <v>335</v>
      </c>
      <c r="Y237" s="16" t="s">
        <v>338</v>
      </c>
      <c r="Z237" s="16" t="s">
        <v>413</v>
      </c>
      <c r="AA237" s="16" t="s">
        <v>427</v>
      </c>
      <c r="AB237" s="23" t="s">
        <v>1190</v>
      </c>
      <c r="AC237" s="17" t="n">
        <v>46284.7411574074</v>
      </c>
      <c r="AD237" s="16" t="s">
        <v>338</v>
      </c>
      <c r="AE237" s="16"/>
      <c r="AF237" s="16" t="str">
        <f aca="false">IF(COUNTIF(لیست_سفید!$A$2:$A$21,B237)&gt;0,"بله","خیر")</f>
        <v>خیر</v>
      </c>
      <c r="AG237" s="24" t="n">
        <f aca="false">IF(H237="","",IF(AD237="فیش مفقودی",تنظیمات!$B$6,(INT(I237/1440)*تنظیمات!$B$5+IF(MOD(I237,1440)&lt;=تنظیمات!$B$2,0,MIN(تنظیمات!$B$5,تنظیمات!$B$3+MAX(0,ROUNDUP((MOD(I237,1440)-60)/60,0))*تنظیمات!$B$4)))*INDEX(تعرفه!$B$2:$B$7,MATCH(AD237,تعرفه!$A$2:$A$7,0))))</f>
        <v>104000</v>
      </c>
      <c r="AH237" s="24" t="n">
        <v>104000</v>
      </c>
      <c r="AI237" s="24" t="n">
        <f aca="false">IF(AG237="","",AH237-AG237)</f>
        <v>0</v>
      </c>
      <c r="AJ237" s="21" t="n">
        <v>-1</v>
      </c>
      <c r="AK237" s="21" t="n">
        <v>0</v>
      </c>
      <c r="AL237" s="16" t="s">
        <v>335</v>
      </c>
      <c r="AM237" s="16"/>
      <c r="AN237" s="16" t="s">
        <v>340</v>
      </c>
      <c r="AO237" s="16" t="s">
        <v>340</v>
      </c>
      <c r="AP237" s="16" t="s">
        <v>335</v>
      </c>
      <c r="AQ237" s="16"/>
      <c r="AR237" s="21" t="n">
        <f aca="false">IF(AND(T237&lt;&gt;"",H237&lt;&gt;""),IF(AND((T237-H237)*86400&gt;=0,(T237-H237)*86400&lt;تنظیمات!$B$13),1,0),0)</f>
        <v>0</v>
      </c>
      <c r="AS237" s="21" t="n">
        <f aca="false">IF(Z237="پوز",IF(OR(AB237="",COUNTIF(پوزها!$A$2:$A$5,AA237)=0),1,0),0)</f>
        <v>0</v>
      </c>
      <c r="AT237" s="21" t="n">
        <f aca="false">IF(AI237="",0,IF(AI237&gt;0,1,0))</f>
        <v>0</v>
      </c>
      <c r="AU237" s="21" t="n">
        <f aca="false">IF(AI237="",0,IF(AI237&lt;0,1,0))</f>
        <v>0</v>
      </c>
      <c r="AV237" s="21" t="n">
        <f aca="false">IF(U237&gt;V237,1,0)</f>
        <v>0</v>
      </c>
      <c r="AW237" s="21" t="n">
        <f aca="false">IF(OR(W237&gt;تنظیمات!$B$8,X237="بله"),1,0)</f>
        <v>0</v>
      </c>
      <c r="AX237" s="21" t="n">
        <f aca="false">IF(AND(N237="بله",L237&gt;تنظیمات!$B$9),1,0)</f>
        <v>0</v>
      </c>
      <c r="AY237" s="21" t="n">
        <f aca="false">IF(Y237="معکوس",1,0)</f>
        <v>0</v>
      </c>
      <c r="AZ237" s="21" t="n">
        <f aca="false">IF(ABS(AJ237)&gt;تنظیمات!$B$10,1,0)</f>
        <v>0</v>
      </c>
      <c r="BA237" s="21" t="n">
        <f aca="false">IF(AND(OR(AD237="رایگان/VIP",AD237="جانباز"),AF237="خیر"),1,0)</f>
        <v>0</v>
      </c>
      <c r="BB237" s="21" t="n">
        <f aca="false">IF(AE237="",0,IF(COUNTIF($AE$2:$AE$1001,AE237)&gt;1,1,0))</f>
        <v>0</v>
      </c>
      <c r="BC237" s="21" t="n">
        <f aca="false">IF(AND(H237="",I237&gt;تنظیمات!$B$12*60,AM237="خالی"),1,0)</f>
        <v>0</v>
      </c>
      <c r="BD237" s="21" t="n">
        <f aca="false">IF(AND(AP237="بله",I237&lt;تنظیمات!$B$14,AO237="خیر"),1,0)</f>
        <v>0</v>
      </c>
      <c r="BE237" s="21" t="n">
        <f aca="false">IF(AN237="خیر",1,0)</f>
        <v>0</v>
      </c>
      <c r="BF237" s="21" t="n">
        <f aca="false">IF(AND(AD237="فیش مفقودی",AQ237="بله",I237&gt;تنظیمات!$B$12*60),1,0)</f>
        <v>0</v>
      </c>
      <c r="BG237" s="21" t="n">
        <f aca="false">IF(AND(AK237&gt;تنظیمات!$B$11,AL237="بله"),1,0)</f>
        <v>0</v>
      </c>
      <c r="BH237" s="21" t="n">
        <f aca="false">MIN(100,AR237*تنظیمات!$B$21+AS237*تنظیمات!$B$22+AT237*تنظیمات!$B$23+AU237*تنظیمات!$B$24+AV237*تنظیمات!$B$25+AW237*تنظیمات!$B$26+AX237*تنظیمات!$B$27+AY237*تنظیمات!$B$28+AZ237*تنظیمات!$B$29+BA237*تنظیمات!$B$30+BB237*تنظیمات!$B$31+BC237*تنظیمات!$B$32+BD237*تنظیمات!$B$33+BE237*تنظیمات!$B$34+BF237*تنظیمات!$B$35+BG237*تنظیمات!$B$36)</f>
        <v>0</v>
      </c>
      <c r="BI237" s="16" t="str">
        <f aca="false">IF(BH237&gt;=60,"بحرانی",IF(BH237&gt;=30,"مشکوک",IF(BH237&gt;0,"هشدار","عادی")))</f>
        <v>عادی</v>
      </c>
      <c r="BJ237" s="16" t="s">
        <v>338</v>
      </c>
    </row>
    <row r="238" customFormat="false" ht="15" hidden="false" customHeight="false" outlineLevel="0" collapsed="false">
      <c r="A238" s="16" t="s">
        <v>1191</v>
      </c>
      <c r="B238" s="16" t="s">
        <v>1045</v>
      </c>
      <c r="C238" s="16"/>
      <c r="D238" s="16" t="s">
        <v>418</v>
      </c>
      <c r="E238" s="16" t="s">
        <v>345</v>
      </c>
      <c r="F238" s="16" t="s">
        <v>333</v>
      </c>
      <c r="G238" s="17" t="n">
        <v>46284.4715625</v>
      </c>
      <c r="H238" s="17" t="n">
        <v>46284.4972569444</v>
      </c>
      <c r="I238" s="18" t="n">
        <f aca="false">IF(H238="",ROUND((تنظیمات!$B$7-G238)*1440,0),ROUND((H238-G238)*1440,0))</f>
        <v>37</v>
      </c>
      <c r="J238" s="16" t="s">
        <v>334</v>
      </c>
      <c r="K238" s="16" t="s">
        <v>400</v>
      </c>
      <c r="L238" s="19" t="n">
        <v>0.968</v>
      </c>
      <c r="M238" s="19" t="n">
        <v>0.981</v>
      </c>
      <c r="N238" s="16" t="s">
        <v>335</v>
      </c>
      <c r="O238" s="16" t="s">
        <v>425</v>
      </c>
      <c r="P238" s="16" t="s">
        <v>402</v>
      </c>
      <c r="Q238" s="20" t="n">
        <v>46284</v>
      </c>
      <c r="R238" s="16" t="s">
        <v>1192</v>
      </c>
      <c r="S238" s="16" t="s">
        <v>404</v>
      </c>
      <c r="T238" s="17"/>
      <c r="U238" s="21" t="n">
        <v>1</v>
      </c>
      <c r="V238" s="21" t="n">
        <v>1</v>
      </c>
      <c r="W238" s="22" t="n">
        <v>5.4</v>
      </c>
      <c r="X238" s="16" t="s">
        <v>335</v>
      </c>
      <c r="Y238" s="16" t="s">
        <v>338</v>
      </c>
      <c r="Z238" s="16" t="s">
        <v>413</v>
      </c>
      <c r="AA238" s="16" t="s">
        <v>427</v>
      </c>
      <c r="AB238" s="23" t="s">
        <v>1193</v>
      </c>
      <c r="AC238" s="17" t="n">
        <v>46284.4967708333</v>
      </c>
      <c r="AD238" s="16" t="s">
        <v>338</v>
      </c>
      <c r="AE238" s="16"/>
      <c r="AF238" s="16" t="str">
        <f aca="false">IF(COUNTIF(لیست_سفید!$A$2:$A$21,B238)&gt;0,"بله","خیر")</f>
        <v>خیر</v>
      </c>
      <c r="AG238" s="24" t="n">
        <f aca="false">IF(H238="","",IF(AD238="فیش مفقودی",تنظیمات!$B$6,(INT(I238/1440)*تنظیمات!$B$5+IF(MOD(I238,1440)&lt;=تنظیمات!$B$2,0,MIN(تنظیمات!$B$5,تنظیمات!$B$3+MAX(0,ROUNDUP((MOD(I238,1440)-60)/60,0))*تنظیمات!$B$4)))*INDEX(تعرفه!$B$2:$B$7,MATCH(AD238,تعرفه!$A$2:$A$7,0))))</f>
        <v>20000</v>
      </c>
      <c r="AH238" s="24" t="n">
        <v>20000</v>
      </c>
      <c r="AI238" s="24" t="n">
        <f aca="false">IF(AG238="","",AH238-AG238)</f>
        <v>0</v>
      </c>
      <c r="AJ238" s="21" t="n">
        <v>-2</v>
      </c>
      <c r="AK238" s="21" t="n">
        <v>0</v>
      </c>
      <c r="AL238" s="16" t="s">
        <v>335</v>
      </c>
      <c r="AM238" s="16"/>
      <c r="AN238" s="16" t="s">
        <v>340</v>
      </c>
      <c r="AO238" s="16" t="s">
        <v>340</v>
      </c>
      <c r="AP238" s="16" t="s">
        <v>335</v>
      </c>
      <c r="AQ238" s="16"/>
      <c r="AR238" s="21" t="n">
        <f aca="false">IF(AND(T238&lt;&gt;"",H238&lt;&gt;""),IF(AND((T238-H238)*86400&gt;=0,(T238-H238)*86400&lt;تنظیمات!$B$13),1,0),0)</f>
        <v>0</v>
      </c>
      <c r="AS238" s="21" t="n">
        <f aca="false">IF(Z238="پوز",IF(OR(AB238="",COUNTIF(پوزها!$A$2:$A$5,AA238)=0),1,0),0)</f>
        <v>0</v>
      </c>
      <c r="AT238" s="21" t="n">
        <f aca="false">IF(AI238="",0,IF(AI238&gt;0,1,0))</f>
        <v>0</v>
      </c>
      <c r="AU238" s="21" t="n">
        <f aca="false">IF(AI238="",0,IF(AI238&lt;0,1,0))</f>
        <v>0</v>
      </c>
      <c r="AV238" s="21" t="n">
        <f aca="false">IF(U238&gt;V238,1,0)</f>
        <v>0</v>
      </c>
      <c r="AW238" s="21" t="n">
        <f aca="false">IF(OR(W238&gt;تنظیمات!$B$8,X238="بله"),1,0)</f>
        <v>0</v>
      </c>
      <c r="AX238" s="21" t="n">
        <f aca="false">IF(AND(N238="بله",L238&gt;تنظیمات!$B$9),1,0)</f>
        <v>0</v>
      </c>
      <c r="AY238" s="21" t="n">
        <f aca="false">IF(Y238="معکوس",1,0)</f>
        <v>0</v>
      </c>
      <c r="AZ238" s="21" t="n">
        <f aca="false">IF(ABS(AJ238)&gt;تنظیمات!$B$10,1,0)</f>
        <v>0</v>
      </c>
      <c r="BA238" s="21" t="n">
        <f aca="false">IF(AND(OR(AD238="رایگان/VIP",AD238="جانباز"),AF238="خیر"),1,0)</f>
        <v>0</v>
      </c>
      <c r="BB238" s="21" t="n">
        <f aca="false">IF(AE238="",0,IF(COUNTIF($AE$2:$AE$1001,AE238)&gt;1,1,0))</f>
        <v>0</v>
      </c>
      <c r="BC238" s="21" t="n">
        <f aca="false">IF(AND(H238="",I238&gt;تنظیمات!$B$12*60,AM238="خالی"),1,0)</f>
        <v>0</v>
      </c>
      <c r="BD238" s="21" t="n">
        <f aca="false">IF(AND(AP238="بله",I238&lt;تنظیمات!$B$14,AO238="خیر"),1,0)</f>
        <v>0</v>
      </c>
      <c r="BE238" s="21" t="n">
        <f aca="false">IF(AN238="خیر",1,0)</f>
        <v>0</v>
      </c>
      <c r="BF238" s="21" t="n">
        <f aca="false">IF(AND(AD238="فیش مفقودی",AQ238="بله",I238&gt;تنظیمات!$B$12*60),1,0)</f>
        <v>0</v>
      </c>
      <c r="BG238" s="21" t="n">
        <f aca="false">IF(AND(AK238&gt;تنظیمات!$B$11,AL238="بله"),1,0)</f>
        <v>0</v>
      </c>
      <c r="BH238" s="21" t="n">
        <f aca="false">MIN(100,AR238*تنظیمات!$B$21+AS238*تنظیمات!$B$22+AT238*تنظیمات!$B$23+AU238*تنظیمات!$B$24+AV238*تنظیمات!$B$25+AW238*تنظیمات!$B$26+AX238*تنظیمات!$B$27+AY238*تنظیمات!$B$28+AZ238*تنظیمات!$B$29+BA238*تنظیمات!$B$30+BB238*تنظیمات!$B$31+BC238*تنظیمات!$B$32+BD238*تنظیمات!$B$33+BE238*تنظیمات!$B$34+BF238*تنظیمات!$B$35+BG238*تنظیمات!$B$36)</f>
        <v>0</v>
      </c>
      <c r="BI238" s="16" t="str">
        <f aca="false">IF(BH238&gt;=60,"بحرانی",IF(BH238&gt;=30,"مشکوک",IF(BH238&gt;0,"هشدار","عادی")))</f>
        <v>عادی</v>
      </c>
      <c r="BJ238" s="16" t="s">
        <v>338</v>
      </c>
    </row>
    <row r="239" customFormat="false" ht="15" hidden="false" customHeight="false" outlineLevel="0" collapsed="false">
      <c r="A239" s="16" t="s">
        <v>1194</v>
      </c>
      <c r="B239" s="16" t="s">
        <v>901</v>
      </c>
      <c r="C239" s="16"/>
      <c r="D239" s="16" t="s">
        <v>386</v>
      </c>
      <c r="E239" s="16" t="s">
        <v>375</v>
      </c>
      <c r="F239" s="16" t="s">
        <v>333</v>
      </c>
      <c r="G239" s="17" t="n">
        <v>46284.4753703704</v>
      </c>
      <c r="H239" s="17" t="n">
        <v>46284.5739814815</v>
      </c>
      <c r="I239" s="18" t="n">
        <f aca="false">IF(H239="",ROUND((تنظیمات!$B$7-G239)*1440,0),ROUND((H239-G239)*1440,0))</f>
        <v>142</v>
      </c>
      <c r="J239" s="16" t="s">
        <v>346</v>
      </c>
      <c r="K239" s="16" t="s">
        <v>400</v>
      </c>
      <c r="L239" s="19" t="n">
        <v>0.882</v>
      </c>
      <c r="M239" s="19" t="n">
        <v>0.952</v>
      </c>
      <c r="N239" s="16" t="s">
        <v>335</v>
      </c>
      <c r="O239" s="16" t="s">
        <v>425</v>
      </c>
      <c r="P239" s="16" t="s">
        <v>402</v>
      </c>
      <c r="Q239" s="20" t="n">
        <v>46284</v>
      </c>
      <c r="R239" s="16" t="s">
        <v>1195</v>
      </c>
      <c r="S239" s="16" t="s">
        <v>404</v>
      </c>
      <c r="T239" s="17"/>
      <c r="U239" s="21" t="n">
        <v>3</v>
      </c>
      <c r="V239" s="21" t="n">
        <v>1</v>
      </c>
      <c r="W239" s="22" t="n">
        <v>13.7</v>
      </c>
      <c r="X239" s="16" t="s">
        <v>335</v>
      </c>
      <c r="Y239" s="16" t="s">
        <v>338</v>
      </c>
      <c r="Z239" s="16" t="s">
        <v>405</v>
      </c>
      <c r="AA239" s="16"/>
      <c r="AB239" s="23"/>
      <c r="AC239" s="17"/>
      <c r="AD239" s="16" t="s">
        <v>338</v>
      </c>
      <c r="AE239" s="16"/>
      <c r="AF239" s="16" t="str">
        <f aca="false">IF(COUNTIF(لیست_سفید!$A$2:$A$21,B239)&gt;0,"بله","خیر")</f>
        <v>خیر</v>
      </c>
      <c r="AG239" s="24" t="n">
        <f aca="false">IF(H239="","",IF(AD239="فیش مفقودی",تنظیمات!$B$6,(INT(I239/1440)*تنظیمات!$B$5+IF(MOD(I239,1440)&lt;=تنظیمات!$B$2,0,MIN(تنظیمات!$B$5,تنظیمات!$B$3+MAX(0,ROUNDUP((MOD(I239,1440)-60)/60,0))*تنظیمات!$B$4)))*INDEX(تعرفه!$B$2:$B$7,MATCH(AD239,تعرفه!$A$2:$A$7,0))))</f>
        <v>48000</v>
      </c>
      <c r="AH239" s="24" t="n">
        <v>48000</v>
      </c>
      <c r="AI239" s="24" t="n">
        <f aca="false">IF(AG239="","",AH239-AG239)</f>
        <v>0</v>
      </c>
      <c r="AJ239" s="21" t="n">
        <v>-4</v>
      </c>
      <c r="AK239" s="21" t="n">
        <v>0</v>
      </c>
      <c r="AL239" s="16" t="s">
        <v>335</v>
      </c>
      <c r="AM239" s="16"/>
      <c r="AN239" s="16" t="s">
        <v>340</v>
      </c>
      <c r="AO239" s="16" t="s">
        <v>340</v>
      </c>
      <c r="AP239" s="16" t="s">
        <v>335</v>
      </c>
      <c r="AQ239" s="16"/>
      <c r="AR239" s="21" t="n">
        <f aca="false">IF(AND(T239&lt;&gt;"",H239&lt;&gt;""),IF(AND((T239-H239)*86400&gt;=0,(T239-H239)*86400&lt;تنظیمات!$B$13),1,0),0)</f>
        <v>0</v>
      </c>
      <c r="AS239" s="21" t="n">
        <f aca="false">IF(Z239="پوز",IF(OR(AB239="",COUNTIF(پوزها!$A$2:$A$5,AA239)=0),1,0),0)</f>
        <v>0</v>
      </c>
      <c r="AT239" s="21" t="n">
        <f aca="false">IF(AI239="",0,IF(AI239&gt;0,1,0))</f>
        <v>0</v>
      </c>
      <c r="AU239" s="21" t="n">
        <f aca="false">IF(AI239="",0,IF(AI239&lt;0,1,0))</f>
        <v>0</v>
      </c>
      <c r="AV239" s="21" t="n">
        <f aca="false">IF(U239&gt;V239,1,0)</f>
        <v>1</v>
      </c>
      <c r="AW239" s="21" t="n">
        <f aca="false">IF(OR(W239&gt;تنظیمات!$B$8,X239="بله"),1,0)</f>
        <v>1</v>
      </c>
      <c r="AX239" s="21" t="n">
        <f aca="false">IF(AND(N239="بله",L239&gt;تنظیمات!$B$9),1,0)</f>
        <v>0</v>
      </c>
      <c r="AY239" s="21" t="n">
        <f aca="false">IF(Y239="معکوس",1,0)</f>
        <v>0</v>
      </c>
      <c r="AZ239" s="21" t="n">
        <f aca="false">IF(ABS(AJ239)&gt;تنظیمات!$B$10,1,0)</f>
        <v>0</v>
      </c>
      <c r="BA239" s="21" t="n">
        <f aca="false">IF(AND(OR(AD239="رایگان/VIP",AD239="جانباز"),AF239="خیر"),1,0)</f>
        <v>0</v>
      </c>
      <c r="BB239" s="21" t="n">
        <f aca="false">IF(AE239="",0,IF(COUNTIF($AE$2:$AE$1001,AE239)&gt;1,1,0))</f>
        <v>0</v>
      </c>
      <c r="BC239" s="21" t="n">
        <f aca="false">IF(AND(H239="",I239&gt;تنظیمات!$B$12*60,AM239="خالی"),1,0)</f>
        <v>0</v>
      </c>
      <c r="BD239" s="21" t="n">
        <f aca="false">IF(AND(AP239="بله",I239&lt;تنظیمات!$B$14,AO239="خیر"),1,0)</f>
        <v>0</v>
      </c>
      <c r="BE239" s="21" t="n">
        <f aca="false">IF(AN239="خیر",1,0)</f>
        <v>0</v>
      </c>
      <c r="BF239" s="21" t="n">
        <f aca="false">IF(AND(AD239="فیش مفقودی",AQ239="بله",I239&gt;تنظیمات!$B$12*60),1,0)</f>
        <v>0</v>
      </c>
      <c r="BG239" s="21" t="n">
        <f aca="false">IF(AND(AK239&gt;تنظیمات!$B$11,AL239="بله"),1,0)</f>
        <v>0</v>
      </c>
      <c r="BH239" s="21" t="n">
        <f aca="false">MIN(100,AR239*تنظیمات!$B$21+AS239*تنظیمات!$B$22+AT239*تنظیمات!$B$23+AU239*تنظیمات!$B$24+AV239*تنظیمات!$B$25+AW239*تنظیمات!$B$26+AX239*تنظیمات!$B$27+AY239*تنظیمات!$B$28+AZ239*تنظیمات!$B$29+BA239*تنظیمات!$B$30+BB239*تنظیمات!$B$31+BC239*تنظیمات!$B$32+BD239*تنظیمات!$B$33+BE239*تنظیمات!$B$34+BF239*تنظیمات!$B$35+BG239*تنظیمات!$B$36)</f>
        <v>55</v>
      </c>
      <c r="BI239" s="16" t="str">
        <f aca="false">IF(BH239&gt;=60,"بحرانی",IF(BH239&gt;=30,"مشکوک",IF(BH239&gt;0,"هشدار","عادی")))</f>
        <v>مشکوک</v>
      </c>
      <c r="BJ239" s="16" t="s">
        <v>516</v>
      </c>
    </row>
    <row r="240" customFormat="false" ht="15" hidden="false" customHeight="false" outlineLevel="0" collapsed="false">
      <c r="A240" s="16" t="s">
        <v>1196</v>
      </c>
      <c r="B240" s="16" t="s">
        <v>958</v>
      </c>
      <c r="C240" s="16"/>
      <c r="D240" s="16" t="s">
        <v>431</v>
      </c>
      <c r="E240" s="16" t="s">
        <v>351</v>
      </c>
      <c r="F240" s="16" t="s">
        <v>333</v>
      </c>
      <c r="G240" s="17" t="n">
        <v>46284.4780555556</v>
      </c>
      <c r="H240" s="17" t="n">
        <v>46284.5440277778</v>
      </c>
      <c r="I240" s="18" t="n">
        <f aca="false">IF(H240="",ROUND((تنظیمات!$B$7-G240)*1440,0),ROUND((H240-G240)*1440,0))</f>
        <v>95</v>
      </c>
      <c r="J240" s="16" t="s">
        <v>334</v>
      </c>
      <c r="K240" s="16" t="s">
        <v>400</v>
      </c>
      <c r="L240" s="19" t="n">
        <v>0.914</v>
      </c>
      <c r="M240" s="19" t="n">
        <v>0.983</v>
      </c>
      <c r="N240" s="16" t="s">
        <v>335</v>
      </c>
      <c r="O240" s="16" t="s">
        <v>425</v>
      </c>
      <c r="P240" s="16" t="s">
        <v>402</v>
      </c>
      <c r="Q240" s="20" t="n">
        <v>46284</v>
      </c>
      <c r="R240" s="16" t="s">
        <v>1197</v>
      </c>
      <c r="S240" s="16" t="s">
        <v>404</v>
      </c>
      <c r="T240" s="17"/>
      <c r="U240" s="21" t="n">
        <v>1</v>
      </c>
      <c r="V240" s="21" t="n">
        <v>1</v>
      </c>
      <c r="W240" s="22" t="n">
        <v>4</v>
      </c>
      <c r="X240" s="16" t="s">
        <v>335</v>
      </c>
      <c r="Y240" s="16" t="s">
        <v>338</v>
      </c>
      <c r="Z240" s="16" t="s">
        <v>413</v>
      </c>
      <c r="AA240" s="16" t="s">
        <v>427</v>
      </c>
      <c r="AB240" s="23" t="s">
        <v>1198</v>
      </c>
      <c r="AC240" s="17" t="n">
        <v>46284.5431134259</v>
      </c>
      <c r="AD240" s="16" t="s">
        <v>338</v>
      </c>
      <c r="AE240" s="16"/>
      <c r="AF240" s="16" t="str">
        <f aca="false">IF(COUNTIF(لیست_سفید!$A$2:$A$21,B240)&gt;0,"بله","خیر")</f>
        <v>خیر</v>
      </c>
      <c r="AG240" s="24" t="n">
        <f aca="false">IF(H240="","",IF(AD240="فیش مفقودی",تنظیمات!$B$6,(INT(I240/1440)*تنظیمات!$B$5+IF(MOD(I240,1440)&lt;=تنظیمات!$B$2,0,MIN(تنظیمات!$B$5,تنظیمات!$B$3+MAX(0,ROUNDUP((MOD(I240,1440)-60)/60,0))*تنظیمات!$B$4)))*INDEX(تعرفه!$B$2:$B$7,MATCH(AD240,تعرفه!$A$2:$A$7,0))))</f>
        <v>34000</v>
      </c>
      <c r="AH240" s="24" t="n">
        <v>34000</v>
      </c>
      <c r="AI240" s="24" t="n">
        <f aca="false">IF(AG240="","",AH240-AG240)</f>
        <v>0</v>
      </c>
      <c r="AJ240" s="21" t="n">
        <v>-5</v>
      </c>
      <c r="AK240" s="21" t="n">
        <v>0</v>
      </c>
      <c r="AL240" s="16" t="s">
        <v>335</v>
      </c>
      <c r="AM240" s="16"/>
      <c r="AN240" s="16" t="s">
        <v>340</v>
      </c>
      <c r="AO240" s="16" t="s">
        <v>340</v>
      </c>
      <c r="AP240" s="16" t="s">
        <v>335</v>
      </c>
      <c r="AQ240" s="16"/>
      <c r="AR240" s="21" t="n">
        <f aca="false">IF(AND(T240&lt;&gt;"",H240&lt;&gt;""),IF(AND((T240-H240)*86400&gt;=0,(T240-H240)*86400&lt;تنظیمات!$B$13),1,0),0)</f>
        <v>0</v>
      </c>
      <c r="AS240" s="21" t="n">
        <f aca="false">IF(Z240="پوز",IF(OR(AB240="",COUNTIF(پوزها!$A$2:$A$5,AA240)=0),1,0),0)</f>
        <v>0</v>
      </c>
      <c r="AT240" s="21" t="n">
        <f aca="false">IF(AI240="",0,IF(AI240&gt;0,1,0))</f>
        <v>0</v>
      </c>
      <c r="AU240" s="21" t="n">
        <f aca="false">IF(AI240="",0,IF(AI240&lt;0,1,0))</f>
        <v>0</v>
      </c>
      <c r="AV240" s="21" t="n">
        <f aca="false">IF(U240&gt;V240,1,0)</f>
        <v>0</v>
      </c>
      <c r="AW240" s="21" t="n">
        <f aca="false">IF(OR(W240&gt;تنظیمات!$B$8,X240="بله"),1,0)</f>
        <v>0</v>
      </c>
      <c r="AX240" s="21" t="n">
        <f aca="false">IF(AND(N240="بله",L240&gt;تنظیمات!$B$9),1,0)</f>
        <v>0</v>
      </c>
      <c r="AY240" s="21" t="n">
        <f aca="false">IF(Y240="معکوس",1,0)</f>
        <v>0</v>
      </c>
      <c r="AZ240" s="21" t="n">
        <f aca="false">IF(ABS(AJ240)&gt;تنظیمات!$B$10,1,0)</f>
        <v>0</v>
      </c>
      <c r="BA240" s="21" t="n">
        <f aca="false">IF(AND(OR(AD240="رایگان/VIP",AD240="جانباز"),AF240="خیر"),1,0)</f>
        <v>0</v>
      </c>
      <c r="BB240" s="21" t="n">
        <f aca="false">IF(AE240="",0,IF(COUNTIF($AE$2:$AE$1001,AE240)&gt;1,1,0))</f>
        <v>0</v>
      </c>
      <c r="BC240" s="21" t="n">
        <f aca="false">IF(AND(H240="",I240&gt;تنظیمات!$B$12*60,AM240="خالی"),1,0)</f>
        <v>0</v>
      </c>
      <c r="BD240" s="21" t="n">
        <f aca="false">IF(AND(AP240="بله",I240&lt;تنظیمات!$B$14,AO240="خیر"),1,0)</f>
        <v>0</v>
      </c>
      <c r="BE240" s="21" t="n">
        <f aca="false">IF(AN240="خیر",1,0)</f>
        <v>0</v>
      </c>
      <c r="BF240" s="21" t="n">
        <f aca="false">IF(AND(AD240="فیش مفقودی",AQ240="بله",I240&gt;تنظیمات!$B$12*60),1,0)</f>
        <v>0</v>
      </c>
      <c r="BG240" s="21" t="n">
        <f aca="false">IF(AND(AK240&gt;تنظیمات!$B$11,AL240="بله"),1,0)</f>
        <v>0</v>
      </c>
      <c r="BH240" s="21" t="n">
        <f aca="false">MIN(100,AR240*تنظیمات!$B$21+AS240*تنظیمات!$B$22+AT240*تنظیمات!$B$23+AU240*تنظیمات!$B$24+AV240*تنظیمات!$B$25+AW240*تنظیمات!$B$26+AX240*تنظیمات!$B$27+AY240*تنظیمات!$B$28+AZ240*تنظیمات!$B$29+BA240*تنظیمات!$B$30+BB240*تنظیمات!$B$31+BC240*تنظیمات!$B$32+BD240*تنظیمات!$B$33+BE240*تنظیمات!$B$34+BF240*تنظیمات!$B$35+BG240*تنظیمات!$B$36)</f>
        <v>0</v>
      </c>
      <c r="BI240" s="16" t="str">
        <f aca="false">IF(BH240&gt;=60,"بحرانی",IF(BH240&gt;=30,"مشکوک",IF(BH240&gt;0,"هشدار","عادی")))</f>
        <v>عادی</v>
      </c>
      <c r="BJ240" s="16" t="s">
        <v>338</v>
      </c>
    </row>
    <row r="241" customFormat="false" ht="15" hidden="false" customHeight="false" outlineLevel="0" collapsed="false">
      <c r="A241" s="16" t="s">
        <v>1199</v>
      </c>
      <c r="B241" s="16" t="s">
        <v>1200</v>
      </c>
      <c r="C241" s="16"/>
      <c r="D241" s="16" t="s">
        <v>358</v>
      </c>
      <c r="E241" s="16" t="s">
        <v>363</v>
      </c>
      <c r="F241" s="16" t="s">
        <v>359</v>
      </c>
      <c r="G241" s="17" t="n">
        <v>46284.4798726852</v>
      </c>
      <c r="H241" s="17" t="n">
        <v>46284.5055671296</v>
      </c>
      <c r="I241" s="18" t="n">
        <f aca="false">IF(H241="",ROUND((تنظیمات!$B$7-G241)*1440,0),ROUND((H241-G241)*1440,0))</f>
        <v>37</v>
      </c>
      <c r="J241" s="16" t="s">
        <v>334</v>
      </c>
      <c r="K241" s="16" t="s">
        <v>400</v>
      </c>
      <c r="L241" s="19" t="n">
        <v>0.982</v>
      </c>
      <c r="M241" s="19" t="n">
        <v>0.91</v>
      </c>
      <c r="N241" s="16" t="s">
        <v>335</v>
      </c>
      <c r="O241" s="16" t="s">
        <v>425</v>
      </c>
      <c r="P241" s="16" t="s">
        <v>402</v>
      </c>
      <c r="Q241" s="20" t="n">
        <v>46284</v>
      </c>
      <c r="R241" s="16" t="s">
        <v>1201</v>
      </c>
      <c r="S241" s="16" t="s">
        <v>404</v>
      </c>
      <c r="T241" s="17"/>
      <c r="U241" s="21" t="n">
        <v>1</v>
      </c>
      <c r="V241" s="21" t="n">
        <v>1</v>
      </c>
      <c r="W241" s="22" t="n">
        <v>5.3</v>
      </c>
      <c r="X241" s="16" t="s">
        <v>335</v>
      </c>
      <c r="Y241" s="16" t="s">
        <v>338</v>
      </c>
      <c r="Z241" s="16" t="s">
        <v>405</v>
      </c>
      <c r="AA241" s="16"/>
      <c r="AB241" s="23"/>
      <c r="AC241" s="17"/>
      <c r="AD241" s="16" t="s">
        <v>338</v>
      </c>
      <c r="AE241" s="16"/>
      <c r="AF241" s="16" t="str">
        <f aca="false">IF(COUNTIF(لیست_سفید!$A$2:$A$21,B241)&gt;0,"بله","خیر")</f>
        <v>خیر</v>
      </c>
      <c r="AG241" s="24" t="n">
        <f aca="false">IF(H241="","",IF(AD241="فیش مفقودی",تنظیمات!$B$6,(INT(I241/1440)*تنظیمات!$B$5+IF(MOD(I241,1440)&lt;=تنظیمات!$B$2,0,MIN(تنظیمات!$B$5,تنظیمات!$B$3+MAX(0,ROUNDUP((MOD(I241,1440)-60)/60,0))*تنظیمات!$B$4)))*INDEX(تعرفه!$B$2:$B$7,MATCH(AD241,تعرفه!$A$2:$A$7,0))))</f>
        <v>20000</v>
      </c>
      <c r="AH241" s="24" t="n">
        <v>20000</v>
      </c>
      <c r="AI241" s="24" t="n">
        <f aca="false">IF(AG241="","",AH241-AG241)</f>
        <v>0</v>
      </c>
      <c r="AJ241" s="21" t="n">
        <v>0</v>
      </c>
      <c r="AK241" s="21" t="n">
        <v>0</v>
      </c>
      <c r="AL241" s="16" t="s">
        <v>335</v>
      </c>
      <c r="AM241" s="16"/>
      <c r="AN241" s="16" t="s">
        <v>340</v>
      </c>
      <c r="AO241" s="16" t="s">
        <v>340</v>
      </c>
      <c r="AP241" s="16" t="s">
        <v>335</v>
      </c>
      <c r="AQ241" s="16"/>
      <c r="AR241" s="21" t="n">
        <f aca="false">IF(AND(T241&lt;&gt;"",H241&lt;&gt;""),IF(AND((T241-H241)*86400&gt;=0,(T241-H241)*86400&lt;تنظیمات!$B$13),1,0),0)</f>
        <v>0</v>
      </c>
      <c r="AS241" s="21" t="n">
        <f aca="false">IF(Z241="پوز",IF(OR(AB241="",COUNTIF(پوزها!$A$2:$A$5,AA241)=0),1,0),0)</f>
        <v>0</v>
      </c>
      <c r="AT241" s="21" t="n">
        <f aca="false">IF(AI241="",0,IF(AI241&gt;0,1,0))</f>
        <v>0</v>
      </c>
      <c r="AU241" s="21" t="n">
        <f aca="false">IF(AI241="",0,IF(AI241&lt;0,1,0))</f>
        <v>0</v>
      </c>
      <c r="AV241" s="21" t="n">
        <f aca="false">IF(U241&gt;V241,1,0)</f>
        <v>0</v>
      </c>
      <c r="AW241" s="21" t="n">
        <f aca="false">IF(OR(W241&gt;تنظیمات!$B$8,X241="بله"),1,0)</f>
        <v>0</v>
      </c>
      <c r="AX241" s="21" t="n">
        <f aca="false">IF(AND(N241="بله",L241&gt;تنظیمات!$B$9),1,0)</f>
        <v>0</v>
      </c>
      <c r="AY241" s="21" t="n">
        <f aca="false">IF(Y241="معکوس",1,0)</f>
        <v>0</v>
      </c>
      <c r="AZ241" s="21" t="n">
        <f aca="false">IF(ABS(AJ241)&gt;تنظیمات!$B$10,1,0)</f>
        <v>0</v>
      </c>
      <c r="BA241" s="21" t="n">
        <f aca="false">IF(AND(OR(AD241="رایگان/VIP",AD241="جانباز"),AF241="خیر"),1,0)</f>
        <v>0</v>
      </c>
      <c r="BB241" s="21" t="n">
        <f aca="false">IF(AE241="",0,IF(COUNTIF($AE$2:$AE$1001,AE241)&gt;1,1,0))</f>
        <v>0</v>
      </c>
      <c r="BC241" s="21" t="n">
        <f aca="false">IF(AND(H241="",I241&gt;تنظیمات!$B$12*60,AM241="خالی"),1,0)</f>
        <v>0</v>
      </c>
      <c r="BD241" s="21" t="n">
        <f aca="false">IF(AND(AP241="بله",I241&lt;تنظیمات!$B$14,AO241="خیر"),1,0)</f>
        <v>0</v>
      </c>
      <c r="BE241" s="21" t="n">
        <f aca="false">IF(AN241="خیر",1,0)</f>
        <v>0</v>
      </c>
      <c r="BF241" s="21" t="n">
        <f aca="false">IF(AND(AD241="فیش مفقودی",AQ241="بله",I241&gt;تنظیمات!$B$12*60),1,0)</f>
        <v>0</v>
      </c>
      <c r="BG241" s="21" t="n">
        <f aca="false">IF(AND(AK241&gt;تنظیمات!$B$11,AL241="بله"),1,0)</f>
        <v>0</v>
      </c>
      <c r="BH241" s="21" t="n">
        <f aca="false">MIN(100,AR241*تنظیمات!$B$21+AS241*تنظیمات!$B$22+AT241*تنظیمات!$B$23+AU241*تنظیمات!$B$24+AV241*تنظیمات!$B$25+AW241*تنظیمات!$B$26+AX241*تنظیمات!$B$27+AY241*تنظیمات!$B$28+AZ241*تنظیمات!$B$29+BA241*تنظیمات!$B$30+BB241*تنظیمات!$B$31+BC241*تنظیمات!$B$32+BD241*تنظیمات!$B$33+BE241*تنظیمات!$B$34+BF241*تنظیمات!$B$35+BG241*تنظیمات!$B$36)</f>
        <v>0</v>
      </c>
      <c r="BI241" s="16" t="str">
        <f aca="false">IF(BH241&gt;=60,"بحرانی",IF(BH241&gt;=30,"مشکوک",IF(BH241&gt;0,"هشدار","عادی")))</f>
        <v>عادی</v>
      </c>
      <c r="BJ241" s="16" t="s">
        <v>338</v>
      </c>
    </row>
    <row r="242" customFormat="false" ht="15" hidden="false" customHeight="false" outlineLevel="0" collapsed="false">
      <c r="A242" s="16" t="s">
        <v>1202</v>
      </c>
      <c r="B242" s="16" t="s">
        <v>1203</v>
      </c>
      <c r="C242" s="16"/>
      <c r="D242" s="16" t="s">
        <v>350</v>
      </c>
      <c r="E242" s="16" t="s">
        <v>332</v>
      </c>
      <c r="F242" s="16" t="s">
        <v>333</v>
      </c>
      <c r="G242" s="17" t="n">
        <v>46284.4887268519</v>
      </c>
      <c r="H242" s="17" t="n">
        <v>46284.6338657407</v>
      </c>
      <c r="I242" s="18" t="n">
        <f aca="false">IF(H242="",ROUND((تنظیمات!$B$7-G242)*1440,0),ROUND((H242-G242)*1440,0))</f>
        <v>209</v>
      </c>
      <c r="J242" s="16" t="s">
        <v>334</v>
      </c>
      <c r="K242" s="16" t="s">
        <v>410</v>
      </c>
      <c r="L242" s="19" t="n">
        <v>0.969</v>
      </c>
      <c r="M242" s="19" t="n">
        <v>0.92</v>
      </c>
      <c r="N242" s="16" t="s">
        <v>335</v>
      </c>
      <c r="O242" s="16" t="s">
        <v>401</v>
      </c>
      <c r="P242" s="16" t="s">
        <v>420</v>
      </c>
      <c r="Q242" s="20" t="n">
        <v>46284</v>
      </c>
      <c r="R242" s="16" t="s">
        <v>1204</v>
      </c>
      <c r="S242" s="16" t="s">
        <v>404</v>
      </c>
      <c r="T242" s="17"/>
      <c r="U242" s="21" t="n">
        <v>1</v>
      </c>
      <c r="V242" s="21" t="n">
        <v>1</v>
      </c>
      <c r="W242" s="22" t="n">
        <v>6.6</v>
      </c>
      <c r="X242" s="16" t="s">
        <v>335</v>
      </c>
      <c r="Y242" s="16" t="s">
        <v>338</v>
      </c>
      <c r="Z242" s="16" t="s">
        <v>405</v>
      </c>
      <c r="AA242" s="16"/>
      <c r="AB242" s="23"/>
      <c r="AC242" s="17"/>
      <c r="AD242" s="16" t="s">
        <v>338</v>
      </c>
      <c r="AE242" s="16"/>
      <c r="AF242" s="16" t="str">
        <f aca="false">IF(COUNTIF(لیست_سفید!$A$2:$A$21,B242)&gt;0,"بله","خیر")</f>
        <v>خیر</v>
      </c>
      <c r="AG242" s="24" t="n">
        <f aca="false">IF(H242="","",IF(AD242="فیش مفقودی",تنظیمات!$B$6,(INT(I242/1440)*تنظیمات!$B$5+IF(MOD(I242,1440)&lt;=تنظیمات!$B$2,0,MIN(تنظیمات!$B$5,تنظیمات!$B$3+MAX(0,ROUNDUP((MOD(I242,1440)-60)/60,0))*تنظیمات!$B$4)))*INDEX(تعرفه!$B$2:$B$7,MATCH(AD242,تعرفه!$A$2:$A$7,0))))</f>
        <v>62000</v>
      </c>
      <c r="AH242" s="24" t="n">
        <v>62000</v>
      </c>
      <c r="AI242" s="24" t="n">
        <f aca="false">IF(AG242="","",AH242-AG242)</f>
        <v>0</v>
      </c>
      <c r="AJ242" s="21" t="n">
        <v>3</v>
      </c>
      <c r="AK242" s="21" t="n">
        <v>0</v>
      </c>
      <c r="AL242" s="16" t="s">
        <v>335</v>
      </c>
      <c r="AM242" s="16"/>
      <c r="AN242" s="16" t="s">
        <v>340</v>
      </c>
      <c r="AO242" s="16" t="s">
        <v>340</v>
      </c>
      <c r="AP242" s="16" t="s">
        <v>335</v>
      </c>
      <c r="AQ242" s="16"/>
      <c r="AR242" s="21" t="n">
        <f aca="false">IF(AND(T242&lt;&gt;"",H242&lt;&gt;""),IF(AND((T242-H242)*86400&gt;=0,(T242-H242)*86400&lt;تنظیمات!$B$13),1,0),0)</f>
        <v>0</v>
      </c>
      <c r="AS242" s="21" t="n">
        <f aca="false">IF(Z242="پوز",IF(OR(AB242="",COUNTIF(پوزها!$A$2:$A$5,AA242)=0),1,0),0)</f>
        <v>0</v>
      </c>
      <c r="AT242" s="21" t="n">
        <f aca="false">IF(AI242="",0,IF(AI242&gt;0,1,0))</f>
        <v>0</v>
      </c>
      <c r="AU242" s="21" t="n">
        <f aca="false">IF(AI242="",0,IF(AI242&lt;0,1,0))</f>
        <v>0</v>
      </c>
      <c r="AV242" s="21" t="n">
        <f aca="false">IF(U242&gt;V242,1,0)</f>
        <v>0</v>
      </c>
      <c r="AW242" s="21" t="n">
        <f aca="false">IF(OR(W242&gt;تنظیمات!$B$8,X242="بله"),1,0)</f>
        <v>0</v>
      </c>
      <c r="AX242" s="21" t="n">
        <f aca="false">IF(AND(N242="بله",L242&gt;تنظیمات!$B$9),1,0)</f>
        <v>0</v>
      </c>
      <c r="AY242" s="21" t="n">
        <f aca="false">IF(Y242="معکوس",1,0)</f>
        <v>0</v>
      </c>
      <c r="AZ242" s="21" t="n">
        <f aca="false">IF(ABS(AJ242)&gt;تنظیمات!$B$10,1,0)</f>
        <v>0</v>
      </c>
      <c r="BA242" s="21" t="n">
        <f aca="false">IF(AND(OR(AD242="رایگان/VIP",AD242="جانباز"),AF242="خیر"),1,0)</f>
        <v>0</v>
      </c>
      <c r="BB242" s="21" t="n">
        <f aca="false">IF(AE242="",0,IF(COUNTIF($AE$2:$AE$1001,AE242)&gt;1,1,0))</f>
        <v>0</v>
      </c>
      <c r="BC242" s="21" t="n">
        <f aca="false">IF(AND(H242="",I242&gt;تنظیمات!$B$12*60,AM242="خالی"),1,0)</f>
        <v>0</v>
      </c>
      <c r="BD242" s="21" t="n">
        <f aca="false">IF(AND(AP242="بله",I242&lt;تنظیمات!$B$14,AO242="خیر"),1,0)</f>
        <v>0</v>
      </c>
      <c r="BE242" s="21" t="n">
        <f aca="false">IF(AN242="خیر",1,0)</f>
        <v>0</v>
      </c>
      <c r="BF242" s="21" t="n">
        <f aca="false">IF(AND(AD242="فیش مفقودی",AQ242="بله",I242&gt;تنظیمات!$B$12*60),1,0)</f>
        <v>0</v>
      </c>
      <c r="BG242" s="21" t="n">
        <f aca="false">IF(AND(AK242&gt;تنظیمات!$B$11,AL242="بله"),1,0)</f>
        <v>0</v>
      </c>
      <c r="BH242" s="21" t="n">
        <f aca="false">MIN(100,AR242*تنظیمات!$B$21+AS242*تنظیمات!$B$22+AT242*تنظیمات!$B$23+AU242*تنظیمات!$B$24+AV242*تنظیمات!$B$25+AW242*تنظیمات!$B$26+AX242*تنظیمات!$B$27+AY242*تنظیمات!$B$28+AZ242*تنظیمات!$B$29+BA242*تنظیمات!$B$30+BB242*تنظیمات!$B$31+BC242*تنظیمات!$B$32+BD242*تنظیمات!$B$33+BE242*تنظیمات!$B$34+BF242*تنظیمات!$B$35+BG242*تنظیمات!$B$36)</f>
        <v>0</v>
      </c>
      <c r="BI242" s="16" t="str">
        <f aca="false">IF(BH242&gt;=60,"بحرانی",IF(BH242&gt;=30,"مشکوک",IF(BH242&gt;0,"هشدار","عادی")))</f>
        <v>عادی</v>
      </c>
      <c r="BJ242" s="16" t="s">
        <v>338</v>
      </c>
    </row>
    <row r="243" customFormat="false" ht="15" hidden="false" customHeight="false" outlineLevel="0" collapsed="false">
      <c r="A243" s="16" t="s">
        <v>1205</v>
      </c>
      <c r="B243" s="16" t="s">
        <v>1206</v>
      </c>
      <c r="C243" s="16"/>
      <c r="D243" s="16" t="s">
        <v>450</v>
      </c>
      <c r="E243" s="16" t="s">
        <v>351</v>
      </c>
      <c r="F243" s="16" t="s">
        <v>333</v>
      </c>
      <c r="G243" s="17" t="n">
        <v>46284.4892013889</v>
      </c>
      <c r="H243" s="17" t="n">
        <v>46284.6551736111</v>
      </c>
      <c r="I243" s="18" t="n">
        <f aca="false">IF(H243="",ROUND((تنظیمات!$B$7-G243)*1440,0),ROUND((H243-G243)*1440,0))</f>
        <v>239</v>
      </c>
      <c r="J243" s="16" t="s">
        <v>346</v>
      </c>
      <c r="K243" s="16" t="s">
        <v>400</v>
      </c>
      <c r="L243" s="19" t="n">
        <v>0.968</v>
      </c>
      <c r="M243" s="19" t="n">
        <v>0.901</v>
      </c>
      <c r="N243" s="16" t="s">
        <v>335</v>
      </c>
      <c r="O243" s="16" t="s">
        <v>411</v>
      </c>
      <c r="P243" s="16" t="s">
        <v>420</v>
      </c>
      <c r="Q243" s="20" t="n">
        <v>46284</v>
      </c>
      <c r="R243" s="16" t="s">
        <v>1207</v>
      </c>
      <c r="S243" s="16" t="s">
        <v>404</v>
      </c>
      <c r="T243" s="17"/>
      <c r="U243" s="21" t="n">
        <v>1</v>
      </c>
      <c r="V243" s="21" t="n">
        <v>1</v>
      </c>
      <c r="W243" s="22" t="n">
        <v>6.4</v>
      </c>
      <c r="X243" s="16" t="s">
        <v>335</v>
      </c>
      <c r="Y243" s="16" t="s">
        <v>338</v>
      </c>
      <c r="Z243" s="16" t="s">
        <v>413</v>
      </c>
      <c r="AA243" s="16" t="s">
        <v>427</v>
      </c>
      <c r="AB243" s="23" t="s">
        <v>1208</v>
      </c>
      <c r="AC243" s="17" t="n">
        <v>46284.6549074074</v>
      </c>
      <c r="AD243" s="16" t="s">
        <v>338</v>
      </c>
      <c r="AE243" s="16"/>
      <c r="AF243" s="16" t="str">
        <f aca="false">IF(COUNTIF(لیست_سفید!$A$2:$A$21,B243)&gt;0,"بله","خیر")</f>
        <v>خیر</v>
      </c>
      <c r="AG243" s="24" t="n">
        <f aca="false">IF(H243="","",IF(AD243="فیش مفقودی",تنظیمات!$B$6,(INT(I243/1440)*تنظیمات!$B$5+IF(MOD(I243,1440)&lt;=تنظیمات!$B$2,0,MIN(تنظیمات!$B$5,تنظیمات!$B$3+MAX(0,ROUNDUP((MOD(I243,1440)-60)/60,0))*تنظیمات!$B$4)))*INDEX(تعرفه!$B$2:$B$7,MATCH(AD243,تعرفه!$A$2:$A$7,0))))</f>
        <v>62000</v>
      </c>
      <c r="AH243" s="24" t="n">
        <v>62000</v>
      </c>
      <c r="AI243" s="24" t="n">
        <f aca="false">IF(AG243="","",AH243-AG243)</f>
        <v>0</v>
      </c>
      <c r="AJ243" s="21" t="n">
        <v>-1</v>
      </c>
      <c r="AK243" s="21" t="n">
        <v>0</v>
      </c>
      <c r="AL243" s="16" t="s">
        <v>335</v>
      </c>
      <c r="AM243" s="16"/>
      <c r="AN243" s="16" t="s">
        <v>340</v>
      </c>
      <c r="AO243" s="16" t="s">
        <v>340</v>
      </c>
      <c r="AP243" s="16" t="s">
        <v>335</v>
      </c>
      <c r="AQ243" s="16"/>
      <c r="AR243" s="21" t="n">
        <f aca="false">IF(AND(T243&lt;&gt;"",H243&lt;&gt;""),IF(AND((T243-H243)*86400&gt;=0,(T243-H243)*86400&lt;تنظیمات!$B$13),1,0),0)</f>
        <v>0</v>
      </c>
      <c r="AS243" s="21" t="n">
        <f aca="false">IF(Z243="پوز",IF(OR(AB243="",COUNTIF(پوزها!$A$2:$A$5,AA243)=0),1,0),0)</f>
        <v>0</v>
      </c>
      <c r="AT243" s="21" t="n">
        <f aca="false">IF(AI243="",0,IF(AI243&gt;0,1,0))</f>
        <v>0</v>
      </c>
      <c r="AU243" s="21" t="n">
        <f aca="false">IF(AI243="",0,IF(AI243&lt;0,1,0))</f>
        <v>0</v>
      </c>
      <c r="AV243" s="21" t="n">
        <f aca="false">IF(U243&gt;V243,1,0)</f>
        <v>0</v>
      </c>
      <c r="AW243" s="21" t="n">
        <f aca="false">IF(OR(W243&gt;تنظیمات!$B$8,X243="بله"),1,0)</f>
        <v>0</v>
      </c>
      <c r="AX243" s="21" t="n">
        <f aca="false">IF(AND(N243="بله",L243&gt;تنظیمات!$B$9),1,0)</f>
        <v>0</v>
      </c>
      <c r="AY243" s="21" t="n">
        <f aca="false">IF(Y243="معکوس",1,0)</f>
        <v>0</v>
      </c>
      <c r="AZ243" s="21" t="n">
        <f aca="false">IF(ABS(AJ243)&gt;تنظیمات!$B$10,1,0)</f>
        <v>0</v>
      </c>
      <c r="BA243" s="21" t="n">
        <f aca="false">IF(AND(OR(AD243="رایگان/VIP",AD243="جانباز"),AF243="خیر"),1,0)</f>
        <v>0</v>
      </c>
      <c r="BB243" s="21" t="n">
        <f aca="false">IF(AE243="",0,IF(COUNTIF($AE$2:$AE$1001,AE243)&gt;1,1,0))</f>
        <v>0</v>
      </c>
      <c r="BC243" s="21" t="n">
        <f aca="false">IF(AND(H243="",I243&gt;تنظیمات!$B$12*60,AM243="خالی"),1,0)</f>
        <v>0</v>
      </c>
      <c r="BD243" s="21" t="n">
        <f aca="false">IF(AND(AP243="بله",I243&lt;تنظیمات!$B$14,AO243="خیر"),1,0)</f>
        <v>0</v>
      </c>
      <c r="BE243" s="21" t="n">
        <f aca="false">IF(AN243="خیر",1,0)</f>
        <v>0</v>
      </c>
      <c r="BF243" s="21" t="n">
        <f aca="false">IF(AND(AD243="فیش مفقودی",AQ243="بله",I243&gt;تنظیمات!$B$12*60),1,0)</f>
        <v>0</v>
      </c>
      <c r="BG243" s="21" t="n">
        <f aca="false">IF(AND(AK243&gt;تنظیمات!$B$11,AL243="بله"),1,0)</f>
        <v>0</v>
      </c>
      <c r="BH243" s="21" t="n">
        <f aca="false">MIN(100,AR243*تنظیمات!$B$21+AS243*تنظیمات!$B$22+AT243*تنظیمات!$B$23+AU243*تنظیمات!$B$24+AV243*تنظیمات!$B$25+AW243*تنظیمات!$B$26+AX243*تنظیمات!$B$27+AY243*تنظیمات!$B$28+AZ243*تنظیمات!$B$29+BA243*تنظیمات!$B$30+BB243*تنظیمات!$B$31+BC243*تنظیمات!$B$32+BD243*تنظیمات!$B$33+BE243*تنظیمات!$B$34+BF243*تنظیمات!$B$35+BG243*تنظیمات!$B$36)</f>
        <v>0</v>
      </c>
      <c r="BI243" s="16" t="str">
        <f aca="false">IF(BH243&gt;=60,"بحرانی",IF(BH243&gt;=30,"مشکوک",IF(BH243&gt;0,"هشدار","عادی")))</f>
        <v>عادی</v>
      </c>
      <c r="BJ243" s="16" t="s">
        <v>338</v>
      </c>
    </row>
    <row r="244" customFormat="false" ht="15" hidden="false" customHeight="false" outlineLevel="0" collapsed="false">
      <c r="A244" s="16" t="s">
        <v>1209</v>
      </c>
      <c r="B244" s="16" t="s">
        <v>1210</v>
      </c>
      <c r="C244" s="16"/>
      <c r="D244" s="16" t="s">
        <v>523</v>
      </c>
      <c r="E244" s="16" t="s">
        <v>351</v>
      </c>
      <c r="F244" s="16" t="s">
        <v>333</v>
      </c>
      <c r="G244" s="17" t="n">
        <v>46284.4904861111</v>
      </c>
      <c r="H244" s="17" t="n">
        <v>46284.5175694445</v>
      </c>
      <c r="I244" s="18" t="n">
        <f aca="false">IF(H244="",ROUND((تنظیمات!$B$7-G244)*1440,0),ROUND((H244-G244)*1440,0))</f>
        <v>39</v>
      </c>
      <c r="J244" s="16" t="s">
        <v>334</v>
      </c>
      <c r="K244" s="16" t="s">
        <v>410</v>
      </c>
      <c r="L244" s="19" t="n">
        <v>0.995</v>
      </c>
      <c r="M244" s="19" t="n">
        <v>0.981</v>
      </c>
      <c r="N244" s="16" t="s">
        <v>335</v>
      </c>
      <c r="O244" s="16" t="s">
        <v>441</v>
      </c>
      <c r="P244" s="16" t="s">
        <v>402</v>
      </c>
      <c r="Q244" s="20" t="n">
        <v>46284</v>
      </c>
      <c r="R244" s="16" t="s">
        <v>1211</v>
      </c>
      <c r="S244" s="16" t="s">
        <v>404</v>
      </c>
      <c r="T244" s="17"/>
      <c r="U244" s="21" t="n">
        <v>1</v>
      </c>
      <c r="V244" s="21" t="n">
        <v>1</v>
      </c>
      <c r="W244" s="22" t="n">
        <v>6.1</v>
      </c>
      <c r="X244" s="16" t="s">
        <v>335</v>
      </c>
      <c r="Y244" s="16" t="s">
        <v>338</v>
      </c>
      <c r="Z244" s="16" t="s">
        <v>413</v>
      </c>
      <c r="AA244" s="16" t="s">
        <v>414</v>
      </c>
      <c r="AB244" s="23" t="s">
        <v>1212</v>
      </c>
      <c r="AC244" s="17" t="n">
        <v>46284.5166435185</v>
      </c>
      <c r="AD244" s="16" t="s">
        <v>338</v>
      </c>
      <c r="AE244" s="16"/>
      <c r="AF244" s="16" t="str">
        <f aca="false">IF(COUNTIF(لیست_سفید!$A$2:$A$21,B244)&gt;0,"بله","خیر")</f>
        <v>خیر</v>
      </c>
      <c r="AG244" s="24" t="n">
        <f aca="false">IF(H244="","",IF(AD244="فیش مفقودی",تنظیمات!$B$6,(INT(I244/1440)*تنظیمات!$B$5+IF(MOD(I244,1440)&lt;=تنظیمات!$B$2,0,MIN(تنظیمات!$B$5,تنظیمات!$B$3+MAX(0,ROUNDUP((MOD(I244,1440)-60)/60,0))*تنظیمات!$B$4)))*INDEX(تعرفه!$B$2:$B$7,MATCH(AD244,تعرفه!$A$2:$A$7,0))))</f>
        <v>20000</v>
      </c>
      <c r="AH244" s="24" t="n">
        <v>20000</v>
      </c>
      <c r="AI244" s="24" t="n">
        <f aca="false">IF(AG244="","",AH244-AG244)</f>
        <v>0</v>
      </c>
      <c r="AJ244" s="21" t="n">
        <v>0</v>
      </c>
      <c r="AK244" s="21" t="n">
        <v>0</v>
      </c>
      <c r="AL244" s="16" t="s">
        <v>335</v>
      </c>
      <c r="AM244" s="16"/>
      <c r="AN244" s="16" t="s">
        <v>340</v>
      </c>
      <c r="AO244" s="16" t="s">
        <v>340</v>
      </c>
      <c r="AP244" s="16" t="s">
        <v>335</v>
      </c>
      <c r="AQ244" s="16"/>
      <c r="AR244" s="21" t="n">
        <f aca="false">IF(AND(T244&lt;&gt;"",H244&lt;&gt;""),IF(AND((T244-H244)*86400&gt;=0,(T244-H244)*86400&lt;تنظیمات!$B$13),1,0),0)</f>
        <v>0</v>
      </c>
      <c r="AS244" s="21" t="n">
        <f aca="false">IF(Z244="پوز",IF(OR(AB244="",COUNTIF(پوزها!$A$2:$A$5,AA244)=0),1,0),0)</f>
        <v>0</v>
      </c>
      <c r="AT244" s="21" t="n">
        <f aca="false">IF(AI244="",0,IF(AI244&gt;0,1,0))</f>
        <v>0</v>
      </c>
      <c r="AU244" s="21" t="n">
        <f aca="false">IF(AI244="",0,IF(AI244&lt;0,1,0))</f>
        <v>0</v>
      </c>
      <c r="AV244" s="21" t="n">
        <f aca="false">IF(U244&gt;V244,1,0)</f>
        <v>0</v>
      </c>
      <c r="AW244" s="21" t="n">
        <f aca="false">IF(OR(W244&gt;تنظیمات!$B$8,X244="بله"),1,0)</f>
        <v>0</v>
      </c>
      <c r="AX244" s="21" t="n">
        <f aca="false">IF(AND(N244="بله",L244&gt;تنظیمات!$B$9),1,0)</f>
        <v>0</v>
      </c>
      <c r="AY244" s="21" t="n">
        <f aca="false">IF(Y244="معکوس",1,0)</f>
        <v>0</v>
      </c>
      <c r="AZ244" s="21" t="n">
        <f aca="false">IF(ABS(AJ244)&gt;تنظیمات!$B$10,1,0)</f>
        <v>0</v>
      </c>
      <c r="BA244" s="21" t="n">
        <f aca="false">IF(AND(OR(AD244="رایگان/VIP",AD244="جانباز"),AF244="خیر"),1,0)</f>
        <v>0</v>
      </c>
      <c r="BB244" s="21" t="n">
        <f aca="false">IF(AE244="",0,IF(COUNTIF($AE$2:$AE$1001,AE244)&gt;1,1,0))</f>
        <v>0</v>
      </c>
      <c r="BC244" s="21" t="n">
        <f aca="false">IF(AND(H244="",I244&gt;تنظیمات!$B$12*60,AM244="خالی"),1,0)</f>
        <v>0</v>
      </c>
      <c r="BD244" s="21" t="n">
        <f aca="false">IF(AND(AP244="بله",I244&lt;تنظیمات!$B$14,AO244="خیر"),1,0)</f>
        <v>0</v>
      </c>
      <c r="BE244" s="21" t="n">
        <f aca="false">IF(AN244="خیر",1,0)</f>
        <v>0</v>
      </c>
      <c r="BF244" s="21" t="n">
        <f aca="false">IF(AND(AD244="فیش مفقودی",AQ244="بله",I244&gt;تنظیمات!$B$12*60),1,0)</f>
        <v>0</v>
      </c>
      <c r="BG244" s="21" t="n">
        <f aca="false">IF(AND(AK244&gt;تنظیمات!$B$11,AL244="بله"),1,0)</f>
        <v>0</v>
      </c>
      <c r="BH244" s="21" t="n">
        <f aca="false">MIN(100,AR244*تنظیمات!$B$21+AS244*تنظیمات!$B$22+AT244*تنظیمات!$B$23+AU244*تنظیمات!$B$24+AV244*تنظیمات!$B$25+AW244*تنظیمات!$B$26+AX244*تنظیمات!$B$27+AY244*تنظیمات!$B$28+AZ244*تنظیمات!$B$29+BA244*تنظیمات!$B$30+BB244*تنظیمات!$B$31+BC244*تنظیمات!$B$32+BD244*تنظیمات!$B$33+BE244*تنظیمات!$B$34+BF244*تنظیمات!$B$35+BG244*تنظیمات!$B$36)</f>
        <v>0</v>
      </c>
      <c r="BI244" s="16" t="str">
        <f aca="false">IF(BH244&gt;=60,"بحرانی",IF(BH244&gt;=30,"مشکوک",IF(BH244&gt;0,"هشدار","عادی")))</f>
        <v>عادی</v>
      </c>
      <c r="BJ244" s="16" t="s">
        <v>338</v>
      </c>
    </row>
    <row r="245" customFormat="false" ht="15" hidden="false" customHeight="false" outlineLevel="0" collapsed="false">
      <c r="A245" s="16" t="s">
        <v>1213</v>
      </c>
      <c r="B245" s="16" t="s">
        <v>1161</v>
      </c>
      <c r="C245" s="16" t="s">
        <v>1214</v>
      </c>
      <c r="D245" s="16" t="s">
        <v>386</v>
      </c>
      <c r="E245" s="16" t="s">
        <v>375</v>
      </c>
      <c r="F245" s="16" t="s">
        <v>333</v>
      </c>
      <c r="G245" s="17" t="n">
        <v>46284.505787037</v>
      </c>
      <c r="H245" s="17" t="n">
        <v>46284.5085648148</v>
      </c>
      <c r="I245" s="18" t="n">
        <f aca="false">IF(H245="",ROUND((تنظیمات!$B$7-G245)*1440,0),ROUND((H245-G245)*1440,0))</f>
        <v>4</v>
      </c>
      <c r="J245" s="16" t="s">
        <v>334</v>
      </c>
      <c r="K245" s="16" t="s">
        <v>400</v>
      </c>
      <c r="L245" s="19" t="n">
        <v>0.526</v>
      </c>
      <c r="M245" s="19" t="n">
        <v>0.927</v>
      </c>
      <c r="N245" s="16" t="s">
        <v>340</v>
      </c>
      <c r="O245" s="16" t="s">
        <v>425</v>
      </c>
      <c r="P245" s="16" t="s">
        <v>402</v>
      </c>
      <c r="Q245" s="20" t="n">
        <v>46284</v>
      </c>
      <c r="R245" s="16" t="s">
        <v>1215</v>
      </c>
      <c r="S245" s="16" t="s">
        <v>404</v>
      </c>
      <c r="T245" s="17"/>
      <c r="U245" s="21" t="n">
        <v>1</v>
      </c>
      <c r="V245" s="21" t="n">
        <v>1</v>
      </c>
      <c r="W245" s="22" t="n">
        <v>7</v>
      </c>
      <c r="X245" s="16" t="s">
        <v>335</v>
      </c>
      <c r="Y245" s="16" t="s">
        <v>338</v>
      </c>
      <c r="Z245" s="16" t="s">
        <v>628</v>
      </c>
      <c r="AA245" s="16"/>
      <c r="AB245" s="23"/>
      <c r="AC245" s="17"/>
      <c r="AD245" s="16" t="s">
        <v>338</v>
      </c>
      <c r="AE245" s="16"/>
      <c r="AF245" s="16" t="str">
        <f aca="false">IF(COUNTIF(لیست_سفید!$A$2:$A$21,B245)&gt;0,"بله","خیر")</f>
        <v>خیر</v>
      </c>
      <c r="AG245" s="24" t="n">
        <f aca="false">IF(H245="","",IF(AD245="فیش مفقودی",تنظیمات!$B$6,(INT(I245/1440)*تنظیمات!$B$5+IF(MOD(I245,1440)&lt;=تنظیمات!$B$2,0,MIN(تنظیمات!$B$5,تنظیمات!$B$3+MAX(0,ROUNDUP((MOD(I245,1440)-60)/60,0))*تنظیمات!$B$4)))*INDEX(تعرفه!$B$2:$B$7,MATCH(AD245,تعرفه!$A$2:$A$7,0))))</f>
        <v>0</v>
      </c>
      <c r="AH245" s="24" t="n">
        <v>0</v>
      </c>
      <c r="AI245" s="24" t="n">
        <f aca="false">IF(AG245="","",AH245-AG245)</f>
        <v>0</v>
      </c>
      <c r="AJ245" s="21" t="n">
        <v>1</v>
      </c>
      <c r="AK245" s="21" t="n">
        <v>24</v>
      </c>
      <c r="AL245" s="16" t="s">
        <v>335</v>
      </c>
      <c r="AM245" s="16"/>
      <c r="AN245" s="16" t="s">
        <v>340</v>
      </c>
      <c r="AO245" s="16" t="s">
        <v>340</v>
      </c>
      <c r="AP245" s="16" t="s">
        <v>335</v>
      </c>
      <c r="AQ245" s="16"/>
      <c r="AR245" s="21" t="n">
        <f aca="false">IF(AND(T245&lt;&gt;"",H245&lt;&gt;""),IF(AND((T245-H245)*86400&gt;=0,(T245-H245)*86400&lt;تنظیمات!$B$13),1,0),0)</f>
        <v>0</v>
      </c>
      <c r="AS245" s="21" t="n">
        <f aca="false">IF(Z245="پوز",IF(OR(AB245="",COUNTIF(پوزها!$A$2:$A$5,AA245)=0),1,0),0)</f>
        <v>0</v>
      </c>
      <c r="AT245" s="21" t="n">
        <f aca="false">IF(AI245="",0,IF(AI245&gt;0,1,0))</f>
        <v>0</v>
      </c>
      <c r="AU245" s="21" t="n">
        <f aca="false">IF(AI245="",0,IF(AI245&lt;0,1,0))</f>
        <v>0</v>
      </c>
      <c r="AV245" s="21" t="n">
        <f aca="false">IF(U245&gt;V245,1,0)</f>
        <v>0</v>
      </c>
      <c r="AW245" s="21" t="n">
        <f aca="false">IF(OR(W245&gt;تنظیمات!$B$8,X245="بله"),1,0)</f>
        <v>0</v>
      </c>
      <c r="AX245" s="21" t="n">
        <f aca="false">IF(AND(N245="بله",L245&gt;تنظیمات!$B$9),1,0)</f>
        <v>0</v>
      </c>
      <c r="AY245" s="21" t="n">
        <f aca="false">IF(Y245="معکوس",1,0)</f>
        <v>0</v>
      </c>
      <c r="AZ245" s="21" t="n">
        <f aca="false">IF(ABS(AJ245)&gt;تنظیمات!$B$10,1,0)</f>
        <v>0</v>
      </c>
      <c r="BA245" s="21" t="n">
        <f aca="false">IF(AND(OR(AD245="رایگان/VIP",AD245="جانباز"),AF245="خیر"),1,0)</f>
        <v>0</v>
      </c>
      <c r="BB245" s="21" t="n">
        <f aca="false">IF(AE245="",0,IF(COUNTIF($AE$2:$AE$1001,AE245)&gt;1,1,0))</f>
        <v>0</v>
      </c>
      <c r="BC245" s="21" t="n">
        <f aca="false">IF(AND(H245="",I245&gt;تنظیمات!$B$12*60,AM245="خالی"),1,0)</f>
        <v>0</v>
      </c>
      <c r="BD245" s="21" t="n">
        <f aca="false">IF(AND(AP245="بله",I245&lt;تنظیمات!$B$14,AO245="خیر"),1,0)</f>
        <v>0</v>
      </c>
      <c r="BE245" s="21" t="n">
        <f aca="false">IF(AN245="خیر",1,0)</f>
        <v>0</v>
      </c>
      <c r="BF245" s="21" t="n">
        <f aca="false">IF(AND(AD245="فیش مفقودی",AQ245="بله",I245&gt;تنظیمات!$B$12*60),1,0)</f>
        <v>0</v>
      </c>
      <c r="BG245" s="21" t="n">
        <f aca="false">IF(AND(AK245&gt;تنظیمات!$B$11,AL245="بله"),1,0)</f>
        <v>0</v>
      </c>
      <c r="BH245" s="21" t="n">
        <f aca="false">MIN(100,AR245*تنظیمات!$B$21+AS245*تنظیمات!$B$22+AT245*تنظیمات!$B$23+AU245*تنظیمات!$B$24+AV245*تنظیمات!$B$25+AW245*تنظیمات!$B$26+AX245*تنظیمات!$B$27+AY245*تنظیمات!$B$28+AZ245*تنظیمات!$B$29+BA245*تنظیمات!$B$30+BB245*تنظیمات!$B$31+BC245*تنظیمات!$B$32+BD245*تنظیمات!$B$33+BE245*تنظیمات!$B$34+BF245*تنظیمات!$B$35+BG245*تنظیمات!$B$36)</f>
        <v>0</v>
      </c>
      <c r="BI245" s="16" t="str">
        <f aca="false">IF(BH245&gt;=60,"بحرانی",IF(BH245&gt;=30,"مشکوک",IF(BH245&gt;0,"هشدار","عادی")))</f>
        <v>عادی</v>
      </c>
      <c r="BJ245" s="16" t="s">
        <v>338</v>
      </c>
    </row>
    <row r="246" customFormat="false" ht="15" hidden="false" customHeight="false" outlineLevel="0" collapsed="false">
      <c r="A246" s="16" t="s">
        <v>1216</v>
      </c>
      <c r="B246" s="16" t="s">
        <v>676</v>
      </c>
      <c r="C246" s="16"/>
      <c r="D246" s="16" t="s">
        <v>331</v>
      </c>
      <c r="E246" s="16" t="s">
        <v>345</v>
      </c>
      <c r="F246" s="16" t="s">
        <v>333</v>
      </c>
      <c r="G246" s="17" t="n">
        <v>46284.5079166667</v>
      </c>
      <c r="H246" s="17" t="n">
        <v>46284.7377777778</v>
      </c>
      <c r="I246" s="18" t="n">
        <f aca="false">IF(H246="",ROUND((تنظیمات!$B$7-G246)*1440,0),ROUND((H246-G246)*1440,0))</f>
        <v>331</v>
      </c>
      <c r="J246" s="16" t="s">
        <v>334</v>
      </c>
      <c r="K246" s="16" t="s">
        <v>400</v>
      </c>
      <c r="L246" s="19" t="n">
        <v>0.938</v>
      </c>
      <c r="M246" s="19" t="n">
        <v>0.946</v>
      </c>
      <c r="N246" s="16" t="s">
        <v>335</v>
      </c>
      <c r="O246" s="16" t="s">
        <v>411</v>
      </c>
      <c r="P246" s="16" t="s">
        <v>420</v>
      </c>
      <c r="Q246" s="20" t="n">
        <v>46284</v>
      </c>
      <c r="R246" s="16" t="s">
        <v>1217</v>
      </c>
      <c r="S246" s="16" t="s">
        <v>404</v>
      </c>
      <c r="T246" s="17"/>
      <c r="U246" s="21" t="n">
        <v>1</v>
      </c>
      <c r="V246" s="21" t="n">
        <v>1</v>
      </c>
      <c r="W246" s="22" t="n">
        <v>5</v>
      </c>
      <c r="X246" s="16" t="s">
        <v>335</v>
      </c>
      <c r="Y246" s="16" t="s">
        <v>338</v>
      </c>
      <c r="Z246" s="16" t="s">
        <v>443</v>
      </c>
      <c r="AA246" s="16"/>
      <c r="AB246" s="23"/>
      <c r="AC246" s="17"/>
      <c r="AD246" s="16" t="s">
        <v>444</v>
      </c>
      <c r="AE246" s="16"/>
      <c r="AF246" s="16" t="str">
        <f aca="false">IF(COUNTIF(لیست_سفید!$A$2:$A$21,B246)&gt;0,"بله","خیر")</f>
        <v>خیر</v>
      </c>
      <c r="AG246" s="24" t="n">
        <f aca="false">IF(H246="","",IF(AD246="فیش مفقودی",تنظیمات!$B$6,(INT(I246/1440)*تنظیمات!$B$5+IF(MOD(I246,1440)&lt;=تنظیمات!$B$2,0,MIN(تنظیمات!$B$5,تنظیمات!$B$3+MAX(0,ROUNDUP((MOD(I246,1440)-60)/60,0))*تنظیمات!$B$4)))*INDEX(تعرفه!$B$2:$B$7,MATCH(AD246,تعرفه!$A$2:$A$7,0))))</f>
        <v>0</v>
      </c>
      <c r="AH246" s="24" t="n">
        <v>0</v>
      </c>
      <c r="AI246" s="24" t="n">
        <f aca="false">IF(AG246="","",AH246-AG246)</f>
        <v>0</v>
      </c>
      <c r="AJ246" s="21" t="n">
        <v>0</v>
      </c>
      <c r="AK246" s="21" t="n">
        <v>0</v>
      </c>
      <c r="AL246" s="16" t="s">
        <v>335</v>
      </c>
      <c r="AM246" s="16"/>
      <c r="AN246" s="16" t="s">
        <v>340</v>
      </c>
      <c r="AO246" s="16" t="s">
        <v>340</v>
      </c>
      <c r="AP246" s="16" t="s">
        <v>335</v>
      </c>
      <c r="AQ246" s="16"/>
      <c r="AR246" s="21" t="n">
        <f aca="false">IF(AND(T246&lt;&gt;"",H246&lt;&gt;""),IF(AND((T246-H246)*86400&gt;=0,(T246-H246)*86400&lt;تنظیمات!$B$13),1,0),0)</f>
        <v>0</v>
      </c>
      <c r="AS246" s="21" t="n">
        <f aca="false">IF(Z246="پوز",IF(OR(AB246="",COUNTIF(پوزها!$A$2:$A$5,AA246)=0),1,0),0)</f>
        <v>0</v>
      </c>
      <c r="AT246" s="21" t="n">
        <f aca="false">IF(AI246="",0,IF(AI246&gt;0,1,0))</f>
        <v>0</v>
      </c>
      <c r="AU246" s="21" t="n">
        <f aca="false">IF(AI246="",0,IF(AI246&lt;0,1,0))</f>
        <v>0</v>
      </c>
      <c r="AV246" s="21" t="n">
        <f aca="false">IF(U246&gt;V246,1,0)</f>
        <v>0</v>
      </c>
      <c r="AW246" s="21" t="n">
        <f aca="false">IF(OR(W246&gt;تنظیمات!$B$8,X246="بله"),1,0)</f>
        <v>0</v>
      </c>
      <c r="AX246" s="21" t="n">
        <f aca="false">IF(AND(N246="بله",L246&gt;تنظیمات!$B$9),1,0)</f>
        <v>0</v>
      </c>
      <c r="AY246" s="21" t="n">
        <f aca="false">IF(Y246="معکوس",1,0)</f>
        <v>0</v>
      </c>
      <c r="AZ246" s="21" t="n">
        <f aca="false">IF(ABS(AJ246)&gt;تنظیمات!$B$10,1,0)</f>
        <v>0</v>
      </c>
      <c r="BA246" s="21" t="n">
        <f aca="false">IF(AND(OR(AD246="رایگان/VIP",AD246="جانباز"),AF246="خیر"),1,0)</f>
        <v>0</v>
      </c>
      <c r="BB246" s="21" t="n">
        <f aca="false">IF(AE246="",0,IF(COUNTIF($AE$2:$AE$1001,AE246)&gt;1,1,0))</f>
        <v>0</v>
      </c>
      <c r="BC246" s="21" t="n">
        <f aca="false">IF(AND(H246="",I246&gt;تنظیمات!$B$12*60,AM246="خالی"),1,0)</f>
        <v>0</v>
      </c>
      <c r="BD246" s="21" t="n">
        <f aca="false">IF(AND(AP246="بله",I246&lt;تنظیمات!$B$14,AO246="خیر"),1,0)</f>
        <v>0</v>
      </c>
      <c r="BE246" s="21" t="n">
        <f aca="false">IF(AN246="خیر",1,0)</f>
        <v>0</v>
      </c>
      <c r="BF246" s="21" t="n">
        <f aca="false">IF(AND(AD246="فیش مفقودی",AQ246="بله",I246&gt;تنظیمات!$B$12*60),1,0)</f>
        <v>0</v>
      </c>
      <c r="BG246" s="21" t="n">
        <f aca="false">IF(AND(AK246&gt;تنظیمات!$B$11,AL246="بله"),1,0)</f>
        <v>0</v>
      </c>
      <c r="BH246" s="21" t="n">
        <f aca="false">MIN(100,AR246*تنظیمات!$B$21+AS246*تنظیمات!$B$22+AT246*تنظیمات!$B$23+AU246*تنظیمات!$B$24+AV246*تنظیمات!$B$25+AW246*تنظیمات!$B$26+AX246*تنظیمات!$B$27+AY246*تنظیمات!$B$28+AZ246*تنظیمات!$B$29+BA246*تنظیمات!$B$30+BB246*تنظیمات!$B$31+BC246*تنظیمات!$B$32+BD246*تنظیمات!$B$33+BE246*تنظیمات!$B$34+BF246*تنظیمات!$B$35+BG246*تنظیمات!$B$36)</f>
        <v>0</v>
      </c>
      <c r="BI246" s="16" t="str">
        <f aca="false">IF(BH246&gt;=60,"بحرانی",IF(BH246&gt;=30,"مشکوک",IF(BH246&gt;0,"هشدار","عادی")))</f>
        <v>عادی</v>
      </c>
      <c r="BJ246" s="16" t="s">
        <v>338</v>
      </c>
    </row>
    <row r="247" customFormat="false" ht="15" hidden="false" customHeight="false" outlineLevel="0" collapsed="false">
      <c r="A247" s="16" t="s">
        <v>1218</v>
      </c>
      <c r="B247" s="16" t="s">
        <v>1005</v>
      </c>
      <c r="C247" s="16"/>
      <c r="D247" s="16" t="s">
        <v>450</v>
      </c>
      <c r="E247" s="16" t="s">
        <v>332</v>
      </c>
      <c r="F247" s="16" t="s">
        <v>333</v>
      </c>
      <c r="G247" s="17" t="n">
        <v>46284.5102662037</v>
      </c>
      <c r="H247" s="17" t="n">
        <v>46284.5540162037</v>
      </c>
      <c r="I247" s="18" t="n">
        <f aca="false">IF(H247="",ROUND((تنظیمات!$B$7-G247)*1440,0),ROUND((H247-G247)*1440,0))</f>
        <v>63</v>
      </c>
      <c r="J247" s="16" t="s">
        <v>346</v>
      </c>
      <c r="K247" s="16" t="s">
        <v>400</v>
      </c>
      <c r="L247" s="19" t="n">
        <v>0.943</v>
      </c>
      <c r="M247" s="19" t="n">
        <v>0.943</v>
      </c>
      <c r="N247" s="16" t="s">
        <v>335</v>
      </c>
      <c r="O247" s="16" t="s">
        <v>425</v>
      </c>
      <c r="P247" s="16" t="s">
        <v>402</v>
      </c>
      <c r="Q247" s="20" t="n">
        <v>46284</v>
      </c>
      <c r="R247" s="16" t="s">
        <v>1219</v>
      </c>
      <c r="S247" s="16" t="s">
        <v>404</v>
      </c>
      <c r="T247" s="17"/>
      <c r="U247" s="21" t="n">
        <v>1</v>
      </c>
      <c r="V247" s="21" t="n">
        <v>1</v>
      </c>
      <c r="W247" s="22" t="n">
        <v>6.1</v>
      </c>
      <c r="X247" s="16" t="s">
        <v>335</v>
      </c>
      <c r="Y247" s="16" t="s">
        <v>338</v>
      </c>
      <c r="Z247" s="16" t="s">
        <v>413</v>
      </c>
      <c r="AA247" s="16" t="s">
        <v>427</v>
      </c>
      <c r="AB247" s="23" t="s">
        <v>1220</v>
      </c>
      <c r="AC247" s="17" t="n">
        <v>46284.5530208333</v>
      </c>
      <c r="AD247" s="16" t="s">
        <v>338</v>
      </c>
      <c r="AE247" s="16"/>
      <c r="AF247" s="16" t="str">
        <f aca="false">IF(COUNTIF(لیست_سفید!$A$2:$A$21,B247)&gt;0,"بله","خیر")</f>
        <v>خیر</v>
      </c>
      <c r="AG247" s="24" t="n">
        <f aca="false">IF(H247="","",IF(AD247="فیش مفقودی",تنظیمات!$B$6,(INT(I247/1440)*تنظیمات!$B$5+IF(MOD(I247,1440)&lt;=تنظیمات!$B$2,0,MIN(تنظیمات!$B$5,تنظیمات!$B$3+MAX(0,ROUNDUP((MOD(I247,1440)-60)/60,0))*تنظیمات!$B$4)))*INDEX(تعرفه!$B$2:$B$7,MATCH(AD247,تعرفه!$A$2:$A$7,0))))</f>
        <v>34000</v>
      </c>
      <c r="AH247" s="24" t="n">
        <v>34000</v>
      </c>
      <c r="AI247" s="24" t="n">
        <f aca="false">IF(AG247="","",AH247-AG247)</f>
        <v>0</v>
      </c>
      <c r="AJ247" s="21" t="n">
        <v>0</v>
      </c>
      <c r="AK247" s="21" t="n">
        <v>0</v>
      </c>
      <c r="AL247" s="16" t="s">
        <v>335</v>
      </c>
      <c r="AM247" s="16"/>
      <c r="AN247" s="16" t="s">
        <v>340</v>
      </c>
      <c r="AO247" s="16" t="s">
        <v>340</v>
      </c>
      <c r="AP247" s="16" t="s">
        <v>335</v>
      </c>
      <c r="AQ247" s="16"/>
      <c r="AR247" s="21" t="n">
        <f aca="false">IF(AND(T247&lt;&gt;"",H247&lt;&gt;""),IF(AND((T247-H247)*86400&gt;=0,(T247-H247)*86400&lt;تنظیمات!$B$13),1,0),0)</f>
        <v>0</v>
      </c>
      <c r="AS247" s="21" t="n">
        <f aca="false">IF(Z247="پوز",IF(OR(AB247="",COUNTIF(پوزها!$A$2:$A$5,AA247)=0),1,0),0)</f>
        <v>0</v>
      </c>
      <c r="AT247" s="21" t="n">
        <f aca="false">IF(AI247="",0,IF(AI247&gt;0,1,0))</f>
        <v>0</v>
      </c>
      <c r="AU247" s="21" t="n">
        <f aca="false">IF(AI247="",0,IF(AI247&lt;0,1,0))</f>
        <v>0</v>
      </c>
      <c r="AV247" s="21" t="n">
        <f aca="false">IF(U247&gt;V247,1,0)</f>
        <v>0</v>
      </c>
      <c r="AW247" s="21" t="n">
        <f aca="false">IF(OR(W247&gt;تنظیمات!$B$8,X247="بله"),1,0)</f>
        <v>0</v>
      </c>
      <c r="AX247" s="21" t="n">
        <f aca="false">IF(AND(N247="بله",L247&gt;تنظیمات!$B$9),1,0)</f>
        <v>0</v>
      </c>
      <c r="AY247" s="21" t="n">
        <f aca="false">IF(Y247="معکوس",1,0)</f>
        <v>0</v>
      </c>
      <c r="AZ247" s="21" t="n">
        <f aca="false">IF(ABS(AJ247)&gt;تنظیمات!$B$10,1,0)</f>
        <v>0</v>
      </c>
      <c r="BA247" s="21" t="n">
        <f aca="false">IF(AND(OR(AD247="رایگان/VIP",AD247="جانباز"),AF247="خیر"),1,0)</f>
        <v>0</v>
      </c>
      <c r="BB247" s="21" t="n">
        <f aca="false">IF(AE247="",0,IF(COUNTIF($AE$2:$AE$1001,AE247)&gt;1,1,0))</f>
        <v>0</v>
      </c>
      <c r="BC247" s="21" t="n">
        <f aca="false">IF(AND(H247="",I247&gt;تنظیمات!$B$12*60,AM247="خالی"),1,0)</f>
        <v>0</v>
      </c>
      <c r="BD247" s="21" t="n">
        <f aca="false">IF(AND(AP247="بله",I247&lt;تنظیمات!$B$14,AO247="خیر"),1,0)</f>
        <v>0</v>
      </c>
      <c r="BE247" s="21" t="n">
        <f aca="false">IF(AN247="خیر",1,0)</f>
        <v>0</v>
      </c>
      <c r="BF247" s="21" t="n">
        <f aca="false">IF(AND(AD247="فیش مفقودی",AQ247="بله",I247&gt;تنظیمات!$B$12*60),1,0)</f>
        <v>0</v>
      </c>
      <c r="BG247" s="21" t="n">
        <f aca="false">IF(AND(AK247&gt;تنظیمات!$B$11,AL247="بله"),1,0)</f>
        <v>0</v>
      </c>
      <c r="BH247" s="21" t="n">
        <f aca="false">MIN(100,AR247*تنظیمات!$B$21+AS247*تنظیمات!$B$22+AT247*تنظیمات!$B$23+AU247*تنظیمات!$B$24+AV247*تنظیمات!$B$25+AW247*تنظیمات!$B$26+AX247*تنظیمات!$B$27+AY247*تنظیمات!$B$28+AZ247*تنظیمات!$B$29+BA247*تنظیمات!$B$30+BB247*تنظیمات!$B$31+BC247*تنظیمات!$B$32+BD247*تنظیمات!$B$33+BE247*تنظیمات!$B$34+BF247*تنظیمات!$B$35+BG247*تنظیمات!$B$36)</f>
        <v>0</v>
      </c>
      <c r="BI247" s="16" t="str">
        <f aca="false">IF(BH247&gt;=60,"بحرانی",IF(BH247&gt;=30,"مشکوک",IF(BH247&gt;0,"هشدار","عادی")))</f>
        <v>عادی</v>
      </c>
      <c r="BJ247" s="16" t="s">
        <v>338</v>
      </c>
    </row>
    <row r="248" customFormat="false" ht="15" hidden="false" customHeight="false" outlineLevel="0" collapsed="false">
      <c r="A248" s="16" t="s">
        <v>1221</v>
      </c>
      <c r="B248" s="16" t="s">
        <v>996</v>
      </c>
      <c r="C248" s="16"/>
      <c r="D248" s="16" t="s">
        <v>370</v>
      </c>
      <c r="E248" s="16" t="s">
        <v>345</v>
      </c>
      <c r="F248" s="16" t="s">
        <v>333</v>
      </c>
      <c r="G248" s="17" t="n">
        <v>46284.5287615741</v>
      </c>
      <c r="H248" s="17" t="n">
        <v>46284.5870949074</v>
      </c>
      <c r="I248" s="18" t="n">
        <f aca="false">IF(H248="",ROUND((تنظیمات!$B$7-G248)*1440,0),ROUND((H248-G248)*1440,0))</f>
        <v>84</v>
      </c>
      <c r="J248" s="16" t="s">
        <v>334</v>
      </c>
      <c r="K248" s="16" t="s">
        <v>410</v>
      </c>
      <c r="L248" s="19" t="n">
        <v>0.933</v>
      </c>
      <c r="M248" s="19" t="n">
        <v>0.979</v>
      </c>
      <c r="N248" s="16" t="s">
        <v>335</v>
      </c>
      <c r="O248" s="16" t="s">
        <v>401</v>
      </c>
      <c r="P248" s="16" t="s">
        <v>420</v>
      </c>
      <c r="Q248" s="20" t="n">
        <v>46284</v>
      </c>
      <c r="R248" s="16" t="s">
        <v>1222</v>
      </c>
      <c r="S248" s="16" t="s">
        <v>404</v>
      </c>
      <c r="T248" s="17"/>
      <c r="U248" s="21" t="n">
        <v>1</v>
      </c>
      <c r="V248" s="21" t="n">
        <v>1</v>
      </c>
      <c r="W248" s="22" t="n">
        <v>4.9</v>
      </c>
      <c r="X248" s="16" t="s">
        <v>335</v>
      </c>
      <c r="Y248" s="16" t="s">
        <v>338</v>
      </c>
      <c r="Z248" s="16" t="s">
        <v>413</v>
      </c>
      <c r="AA248" s="16" t="s">
        <v>414</v>
      </c>
      <c r="AB248" s="23" t="s">
        <v>1223</v>
      </c>
      <c r="AC248" s="17" t="n">
        <v>46284.5862384259</v>
      </c>
      <c r="AD248" s="16" t="s">
        <v>338</v>
      </c>
      <c r="AE248" s="16"/>
      <c r="AF248" s="16" t="str">
        <f aca="false">IF(COUNTIF(لیست_سفید!$A$2:$A$21,B248)&gt;0,"بله","خیر")</f>
        <v>خیر</v>
      </c>
      <c r="AG248" s="24" t="n">
        <f aca="false">IF(H248="","",IF(AD248="فیش مفقودی",تنظیمات!$B$6,(INT(I248/1440)*تنظیمات!$B$5+IF(MOD(I248,1440)&lt;=تنظیمات!$B$2,0,MIN(تنظیمات!$B$5,تنظیمات!$B$3+MAX(0,ROUNDUP((MOD(I248,1440)-60)/60,0))*تنظیمات!$B$4)))*INDEX(تعرفه!$B$2:$B$7,MATCH(AD248,تعرفه!$A$2:$A$7,0))))</f>
        <v>34000</v>
      </c>
      <c r="AH248" s="24" t="n">
        <v>34000</v>
      </c>
      <c r="AI248" s="24" t="n">
        <f aca="false">IF(AG248="","",AH248-AG248)</f>
        <v>0</v>
      </c>
      <c r="AJ248" s="21" t="n">
        <v>0</v>
      </c>
      <c r="AK248" s="21" t="n">
        <v>0</v>
      </c>
      <c r="AL248" s="16" t="s">
        <v>335</v>
      </c>
      <c r="AM248" s="16"/>
      <c r="AN248" s="16" t="s">
        <v>340</v>
      </c>
      <c r="AO248" s="16" t="s">
        <v>340</v>
      </c>
      <c r="AP248" s="16" t="s">
        <v>335</v>
      </c>
      <c r="AQ248" s="16"/>
      <c r="AR248" s="21" t="n">
        <f aca="false">IF(AND(T248&lt;&gt;"",H248&lt;&gt;""),IF(AND((T248-H248)*86400&gt;=0,(T248-H248)*86400&lt;تنظیمات!$B$13),1,0),0)</f>
        <v>0</v>
      </c>
      <c r="AS248" s="21" t="n">
        <f aca="false">IF(Z248="پوز",IF(OR(AB248="",COUNTIF(پوزها!$A$2:$A$5,AA248)=0),1,0),0)</f>
        <v>0</v>
      </c>
      <c r="AT248" s="21" t="n">
        <f aca="false">IF(AI248="",0,IF(AI248&gt;0,1,0))</f>
        <v>0</v>
      </c>
      <c r="AU248" s="21" t="n">
        <f aca="false">IF(AI248="",0,IF(AI248&lt;0,1,0))</f>
        <v>0</v>
      </c>
      <c r="AV248" s="21" t="n">
        <f aca="false">IF(U248&gt;V248,1,0)</f>
        <v>0</v>
      </c>
      <c r="AW248" s="21" t="n">
        <f aca="false">IF(OR(W248&gt;تنظیمات!$B$8,X248="بله"),1,0)</f>
        <v>0</v>
      </c>
      <c r="AX248" s="21" t="n">
        <f aca="false">IF(AND(N248="بله",L248&gt;تنظیمات!$B$9),1,0)</f>
        <v>0</v>
      </c>
      <c r="AY248" s="21" t="n">
        <f aca="false">IF(Y248="معکوس",1,0)</f>
        <v>0</v>
      </c>
      <c r="AZ248" s="21" t="n">
        <f aca="false">IF(ABS(AJ248)&gt;تنظیمات!$B$10,1,0)</f>
        <v>0</v>
      </c>
      <c r="BA248" s="21" t="n">
        <f aca="false">IF(AND(OR(AD248="رایگان/VIP",AD248="جانباز"),AF248="خیر"),1,0)</f>
        <v>0</v>
      </c>
      <c r="BB248" s="21" t="n">
        <f aca="false">IF(AE248="",0,IF(COUNTIF($AE$2:$AE$1001,AE248)&gt;1,1,0))</f>
        <v>0</v>
      </c>
      <c r="BC248" s="21" t="n">
        <f aca="false">IF(AND(H248="",I248&gt;تنظیمات!$B$12*60,AM248="خالی"),1,0)</f>
        <v>0</v>
      </c>
      <c r="BD248" s="21" t="n">
        <f aca="false">IF(AND(AP248="بله",I248&lt;تنظیمات!$B$14,AO248="خیر"),1,0)</f>
        <v>0</v>
      </c>
      <c r="BE248" s="21" t="n">
        <f aca="false">IF(AN248="خیر",1,0)</f>
        <v>0</v>
      </c>
      <c r="BF248" s="21" t="n">
        <f aca="false">IF(AND(AD248="فیش مفقودی",AQ248="بله",I248&gt;تنظیمات!$B$12*60),1,0)</f>
        <v>0</v>
      </c>
      <c r="BG248" s="21" t="n">
        <f aca="false">IF(AND(AK248&gt;تنظیمات!$B$11,AL248="بله"),1,0)</f>
        <v>0</v>
      </c>
      <c r="BH248" s="21" t="n">
        <f aca="false">MIN(100,AR248*تنظیمات!$B$21+AS248*تنظیمات!$B$22+AT248*تنظیمات!$B$23+AU248*تنظیمات!$B$24+AV248*تنظیمات!$B$25+AW248*تنظیمات!$B$26+AX248*تنظیمات!$B$27+AY248*تنظیمات!$B$28+AZ248*تنظیمات!$B$29+BA248*تنظیمات!$B$30+BB248*تنظیمات!$B$31+BC248*تنظیمات!$B$32+BD248*تنظیمات!$B$33+BE248*تنظیمات!$B$34+BF248*تنظیمات!$B$35+BG248*تنظیمات!$B$36)</f>
        <v>0</v>
      </c>
      <c r="BI248" s="16" t="str">
        <f aca="false">IF(BH248&gt;=60,"بحرانی",IF(BH248&gt;=30,"مشکوک",IF(BH248&gt;0,"هشدار","عادی")))</f>
        <v>عادی</v>
      </c>
      <c r="BJ248" s="16" t="s">
        <v>338</v>
      </c>
    </row>
    <row r="249" customFormat="false" ht="15" hidden="false" customHeight="false" outlineLevel="0" collapsed="false">
      <c r="A249" s="16" t="s">
        <v>1224</v>
      </c>
      <c r="B249" s="16" t="s">
        <v>756</v>
      </c>
      <c r="C249" s="16"/>
      <c r="D249" s="16" t="s">
        <v>418</v>
      </c>
      <c r="E249" s="16" t="s">
        <v>390</v>
      </c>
      <c r="F249" s="16" t="s">
        <v>333</v>
      </c>
      <c r="G249" s="17" t="n">
        <v>46284.5351851852</v>
      </c>
      <c r="H249" s="17" t="n">
        <v>46284.6476851852</v>
      </c>
      <c r="I249" s="18" t="n">
        <f aca="false">IF(H249="",ROUND((تنظیمات!$B$7-G249)*1440,0),ROUND((H249-G249)*1440,0))</f>
        <v>162</v>
      </c>
      <c r="J249" s="16" t="s">
        <v>346</v>
      </c>
      <c r="K249" s="16" t="s">
        <v>400</v>
      </c>
      <c r="L249" s="19" t="n">
        <v>0.922</v>
      </c>
      <c r="M249" s="19" t="n">
        <v>0.944</v>
      </c>
      <c r="N249" s="16" t="s">
        <v>335</v>
      </c>
      <c r="O249" s="16" t="s">
        <v>411</v>
      </c>
      <c r="P249" s="16" t="s">
        <v>420</v>
      </c>
      <c r="Q249" s="20" t="n">
        <v>46284</v>
      </c>
      <c r="R249" s="16" t="s">
        <v>1225</v>
      </c>
      <c r="S249" s="16" t="s">
        <v>404</v>
      </c>
      <c r="T249" s="17"/>
      <c r="U249" s="21" t="n">
        <v>1</v>
      </c>
      <c r="V249" s="21" t="n">
        <v>1</v>
      </c>
      <c r="W249" s="22" t="n">
        <v>7.4</v>
      </c>
      <c r="X249" s="16" t="s">
        <v>335</v>
      </c>
      <c r="Y249" s="16" t="s">
        <v>338</v>
      </c>
      <c r="Z249" s="16" t="s">
        <v>405</v>
      </c>
      <c r="AA249" s="16"/>
      <c r="AB249" s="23"/>
      <c r="AC249" s="17"/>
      <c r="AD249" s="16" t="s">
        <v>338</v>
      </c>
      <c r="AE249" s="16"/>
      <c r="AF249" s="16" t="str">
        <f aca="false">IF(COUNTIF(لیست_سفید!$A$2:$A$21,B249)&gt;0,"بله","خیر")</f>
        <v>خیر</v>
      </c>
      <c r="AG249" s="24" t="n">
        <f aca="false">IF(H249="","",IF(AD249="فیش مفقودی",تنظیمات!$B$6,(INT(I249/1440)*تنظیمات!$B$5+IF(MOD(I249,1440)&lt;=تنظیمات!$B$2,0,MIN(تنظیمات!$B$5,تنظیمات!$B$3+MAX(0,ROUNDUP((MOD(I249,1440)-60)/60,0))*تنظیمات!$B$4)))*INDEX(تعرفه!$B$2:$B$7,MATCH(AD249,تعرفه!$A$2:$A$7,0))))</f>
        <v>48000</v>
      </c>
      <c r="AH249" s="24" t="n">
        <v>48000</v>
      </c>
      <c r="AI249" s="24" t="n">
        <f aca="false">IF(AG249="","",AH249-AG249)</f>
        <v>0</v>
      </c>
      <c r="AJ249" s="21" t="n">
        <v>0</v>
      </c>
      <c r="AK249" s="21" t="n">
        <v>0</v>
      </c>
      <c r="AL249" s="16" t="s">
        <v>335</v>
      </c>
      <c r="AM249" s="16"/>
      <c r="AN249" s="16" t="s">
        <v>340</v>
      </c>
      <c r="AO249" s="16" t="s">
        <v>340</v>
      </c>
      <c r="AP249" s="16" t="s">
        <v>335</v>
      </c>
      <c r="AQ249" s="16"/>
      <c r="AR249" s="21" t="n">
        <f aca="false">IF(AND(T249&lt;&gt;"",H249&lt;&gt;""),IF(AND((T249-H249)*86400&gt;=0,(T249-H249)*86400&lt;تنظیمات!$B$13),1,0),0)</f>
        <v>0</v>
      </c>
      <c r="AS249" s="21" t="n">
        <f aca="false">IF(Z249="پوز",IF(OR(AB249="",COUNTIF(پوزها!$A$2:$A$5,AA249)=0),1,0),0)</f>
        <v>0</v>
      </c>
      <c r="AT249" s="21" t="n">
        <f aca="false">IF(AI249="",0,IF(AI249&gt;0,1,0))</f>
        <v>0</v>
      </c>
      <c r="AU249" s="21" t="n">
        <f aca="false">IF(AI249="",0,IF(AI249&lt;0,1,0))</f>
        <v>0</v>
      </c>
      <c r="AV249" s="21" t="n">
        <f aca="false">IF(U249&gt;V249,1,0)</f>
        <v>0</v>
      </c>
      <c r="AW249" s="21" t="n">
        <f aca="false">IF(OR(W249&gt;تنظیمات!$B$8,X249="بله"),1,0)</f>
        <v>0</v>
      </c>
      <c r="AX249" s="21" t="n">
        <f aca="false">IF(AND(N249="بله",L249&gt;تنظیمات!$B$9),1,0)</f>
        <v>0</v>
      </c>
      <c r="AY249" s="21" t="n">
        <f aca="false">IF(Y249="معکوس",1,0)</f>
        <v>0</v>
      </c>
      <c r="AZ249" s="21" t="n">
        <f aca="false">IF(ABS(AJ249)&gt;تنظیمات!$B$10,1,0)</f>
        <v>0</v>
      </c>
      <c r="BA249" s="21" t="n">
        <f aca="false">IF(AND(OR(AD249="رایگان/VIP",AD249="جانباز"),AF249="خیر"),1,0)</f>
        <v>0</v>
      </c>
      <c r="BB249" s="21" t="n">
        <f aca="false">IF(AE249="",0,IF(COUNTIF($AE$2:$AE$1001,AE249)&gt;1,1,0))</f>
        <v>0</v>
      </c>
      <c r="BC249" s="21" t="n">
        <f aca="false">IF(AND(H249="",I249&gt;تنظیمات!$B$12*60,AM249="خالی"),1,0)</f>
        <v>0</v>
      </c>
      <c r="BD249" s="21" t="n">
        <f aca="false">IF(AND(AP249="بله",I249&lt;تنظیمات!$B$14,AO249="خیر"),1,0)</f>
        <v>0</v>
      </c>
      <c r="BE249" s="21" t="n">
        <f aca="false">IF(AN249="خیر",1,0)</f>
        <v>0</v>
      </c>
      <c r="BF249" s="21" t="n">
        <f aca="false">IF(AND(AD249="فیش مفقودی",AQ249="بله",I249&gt;تنظیمات!$B$12*60),1,0)</f>
        <v>0</v>
      </c>
      <c r="BG249" s="21" t="n">
        <f aca="false">IF(AND(AK249&gt;تنظیمات!$B$11,AL249="بله"),1,0)</f>
        <v>0</v>
      </c>
      <c r="BH249" s="21" t="n">
        <f aca="false">MIN(100,AR249*تنظیمات!$B$21+AS249*تنظیمات!$B$22+AT249*تنظیمات!$B$23+AU249*تنظیمات!$B$24+AV249*تنظیمات!$B$25+AW249*تنظیمات!$B$26+AX249*تنظیمات!$B$27+AY249*تنظیمات!$B$28+AZ249*تنظیمات!$B$29+BA249*تنظیمات!$B$30+BB249*تنظیمات!$B$31+BC249*تنظیمات!$B$32+BD249*تنظیمات!$B$33+BE249*تنظیمات!$B$34+BF249*تنظیمات!$B$35+BG249*تنظیمات!$B$36)</f>
        <v>0</v>
      </c>
      <c r="BI249" s="16" t="str">
        <f aca="false">IF(BH249&gt;=60,"بحرانی",IF(BH249&gt;=30,"مشکوک",IF(BH249&gt;0,"هشدار","عادی")))</f>
        <v>عادی</v>
      </c>
      <c r="BJ249" s="16" t="s">
        <v>338</v>
      </c>
    </row>
    <row r="250" customFormat="false" ht="15" hidden="false" customHeight="false" outlineLevel="0" collapsed="false">
      <c r="A250" s="16" t="s">
        <v>1226</v>
      </c>
      <c r="B250" s="16" t="s">
        <v>1227</v>
      </c>
      <c r="C250" s="16"/>
      <c r="D250" s="16" t="s">
        <v>386</v>
      </c>
      <c r="E250" s="16" t="s">
        <v>363</v>
      </c>
      <c r="F250" s="16" t="s">
        <v>333</v>
      </c>
      <c r="G250" s="17" t="n">
        <v>46284.5438078704</v>
      </c>
      <c r="H250" s="17" t="n">
        <v>46284.7320023148</v>
      </c>
      <c r="I250" s="18" t="n">
        <f aca="false">IF(H250="",ROUND((تنظیمات!$B$7-G250)*1440,0),ROUND((H250-G250)*1440,0))</f>
        <v>271</v>
      </c>
      <c r="J250" s="16" t="s">
        <v>334</v>
      </c>
      <c r="K250" s="16" t="s">
        <v>410</v>
      </c>
      <c r="L250" s="19" t="n">
        <v>0.943</v>
      </c>
      <c r="M250" s="19" t="n">
        <v>0.989</v>
      </c>
      <c r="N250" s="16" t="s">
        <v>335</v>
      </c>
      <c r="O250" s="16" t="s">
        <v>401</v>
      </c>
      <c r="P250" s="16" t="s">
        <v>420</v>
      </c>
      <c r="Q250" s="20" t="n">
        <v>46284</v>
      </c>
      <c r="R250" s="16" t="s">
        <v>1228</v>
      </c>
      <c r="S250" s="16" t="s">
        <v>404</v>
      </c>
      <c r="T250" s="17"/>
      <c r="U250" s="21" t="n">
        <v>1</v>
      </c>
      <c r="V250" s="21" t="n">
        <v>1</v>
      </c>
      <c r="W250" s="22" t="n">
        <v>6.6</v>
      </c>
      <c r="X250" s="16" t="s">
        <v>335</v>
      </c>
      <c r="Y250" s="16" t="s">
        <v>338</v>
      </c>
      <c r="Z250" s="16" t="s">
        <v>465</v>
      </c>
      <c r="AA250" s="16"/>
      <c r="AB250" s="23"/>
      <c r="AC250" s="17"/>
      <c r="AD250" s="16" t="s">
        <v>602</v>
      </c>
      <c r="AE250" s="16"/>
      <c r="AF250" s="16" t="str">
        <f aca="false">IF(COUNTIF(لیست_سفید!$A$2:$A$21,B250)&gt;0,"بله","خیر")</f>
        <v>خیر</v>
      </c>
      <c r="AG250" s="24" t="n">
        <f aca="false">IF(H250="","",IF(AD250="فیش مفقودی",تنظیمات!$B$6,(INT(I250/1440)*تنظیمات!$B$5+IF(MOD(I250,1440)&lt;=تنظیمات!$B$2,0,MIN(تنظیمات!$B$5,تنظیمات!$B$3+MAX(0,ROUNDUP((MOD(I250,1440)-60)/60,0))*تنظیمات!$B$4)))*INDEX(تعرفه!$B$2:$B$7,MATCH(AD250,تعرفه!$A$2:$A$7,0))))</f>
        <v>0</v>
      </c>
      <c r="AH250" s="24" t="n">
        <v>0</v>
      </c>
      <c r="AI250" s="24" t="n">
        <f aca="false">IF(AG250="","",AH250-AG250)</f>
        <v>0</v>
      </c>
      <c r="AJ250" s="21" t="n">
        <v>0</v>
      </c>
      <c r="AK250" s="21" t="n">
        <v>0</v>
      </c>
      <c r="AL250" s="16" t="s">
        <v>335</v>
      </c>
      <c r="AM250" s="16"/>
      <c r="AN250" s="16" t="s">
        <v>340</v>
      </c>
      <c r="AO250" s="16" t="s">
        <v>340</v>
      </c>
      <c r="AP250" s="16" t="s">
        <v>335</v>
      </c>
      <c r="AQ250" s="16"/>
      <c r="AR250" s="21" t="n">
        <f aca="false">IF(AND(T250&lt;&gt;"",H250&lt;&gt;""),IF(AND((T250-H250)*86400&gt;=0,(T250-H250)*86400&lt;تنظیمات!$B$13),1,0),0)</f>
        <v>0</v>
      </c>
      <c r="AS250" s="21" t="n">
        <f aca="false">IF(Z250="پوز",IF(OR(AB250="",COUNTIF(پوزها!$A$2:$A$5,AA250)=0),1,0),0)</f>
        <v>0</v>
      </c>
      <c r="AT250" s="21" t="n">
        <f aca="false">IF(AI250="",0,IF(AI250&gt;0,1,0))</f>
        <v>0</v>
      </c>
      <c r="AU250" s="21" t="n">
        <f aca="false">IF(AI250="",0,IF(AI250&lt;0,1,0))</f>
        <v>0</v>
      </c>
      <c r="AV250" s="21" t="n">
        <f aca="false">IF(U250&gt;V250,1,0)</f>
        <v>0</v>
      </c>
      <c r="AW250" s="21" t="n">
        <f aca="false">IF(OR(W250&gt;تنظیمات!$B$8,X250="بله"),1,0)</f>
        <v>0</v>
      </c>
      <c r="AX250" s="21" t="n">
        <f aca="false">IF(AND(N250="بله",L250&gt;تنظیمات!$B$9),1,0)</f>
        <v>0</v>
      </c>
      <c r="AY250" s="21" t="n">
        <f aca="false">IF(Y250="معکوس",1,0)</f>
        <v>0</v>
      </c>
      <c r="AZ250" s="21" t="n">
        <f aca="false">IF(ABS(AJ250)&gt;تنظیمات!$B$10,1,0)</f>
        <v>0</v>
      </c>
      <c r="BA250" s="21" t="n">
        <f aca="false">IF(AND(OR(AD250="رایگان/VIP",AD250="جانباز"),AF250="خیر"),1,0)</f>
        <v>1</v>
      </c>
      <c r="BB250" s="21" t="n">
        <f aca="false">IF(AE250="",0,IF(COUNTIF($AE$2:$AE$1001,AE250)&gt;1,1,0))</f>
        <v>0</v>
      </c>
      <c r="BC250" s="21" t="n">
        <f aca="false">IF(AND(H250="",I250&gt;تنظیمات!$B$12*60,AM250="خالی"),1,0)</f>
        <v>0</v>
      </c>
      <c r="BD250" s="21" t="n">
        <f aca="false">IF(AND(AP250="بله",I250&lt;تنظیمات!$B$14,AO250="خیر"),1,0)</f>
        <v>0</v>
      </c>
      <c r="BE250" s="21" t="n">
        <f aca="false">IF(AN250="خیر",1,0)</f>
        <v>0</v>
      </c>
      <c r="BF250" s="21" t="n">
        <f aca="false">IF(AND(AD250="فیش مفقودی",AQ250="بله",I250&gt;تنظیمات!$B$12*60),1,0)</f>
        <v>0</v>
      </c>
      <c r="BG250" s="21" t="n">
        <f aca="false">IF(AND(AK250&gt;تنظیمات!$B$11,AL250="بله"),1,0)</f>
        <v>0</v>
      </c>
      <c r="BH250" s="21" t="n">
        <f aca="false">MIN(100,AR250*تنظیمات!$B$21+AS250*تنظیمات!$B$22+AT250*تنظیمات!$B$23+AU250*تنظیمات!$B$24+AV250*تنظیمات!$B$25+AW250*تنظیمات!$B$26+AX250*تنظیمات!$B$27+AY250*تنظیمات!$B$28+AZ250*تنظیمات!$B$29+BA250*تنظیمات!$B$30+BB250*تنظیمات!$B$31+BC250*تنظیمات!$B$32+BD250*تنظیمات!$B$33+BE250*تنظیمات!$B$34+BF250*تنظیمات!$B$35+BG250*تنظیمات!$B$36)</f>
        <v>35</v>
      </c>
      <c r="BI250" s="16" t="str">
        <f aca="false">IF(BH250&gt;=60,"بحرانی",IF(BH250&gt;=30,"مشکوک",IF(BH250&gt;0,"هشدار","عادی")))</f>
        <v>مشکوک</v>
      </c>
      <c r="BJ250" s="16" t="s">
        <v>745</v>
      </c>
    </row>
    <row r="251" customFormat="false" ht="15" hidden="false" customHeight="false" outlineLevel="0" collapsed="false">
      <c r="A251" s="16" t="s">
        <v>1229</v>
      </c>
      <c r="B251" s="16" t="s">
        <v>734</v>
      </c>
      <c r="C251" s="16"/>
      <c r="D251" s="16" t="s">
        <v>374</v>
      </c>
      <c r="E251" s="16" t="s">
        <v>345</v>
      </c>
      <c r="F251" s="16" t="s">
        <v>359</v>
      </c>
      <c r="G251" s="17" t="n">
        <v>46284.5556365741</v>
      </c>
      <c r="H251" s="17" t="n">
        <v>46284.6931365741</v>
      </c>
      <c r="I251" s="18" t="n">
        <f aca="false">IF(H251="",ROUND((تنظیمات!$B$7-G251)*1440,0),ROUND((H251-G251)*1440,0))</f>
        <v>198</v>
      </c>
      <c r="J251" s="16" t="s">
        <v>346</v>
      </c>
      <c r="K251" s="16" t="s">
        <v>410</v>
      </c>
      <c r="L251" s="19" t="n">
        <v>0.868</v>
      </c>
      <c r="M251" s="19" t="n">
        <v>0.973</v>
      </c>
      <c r="N251" s="16" t="s">
        <v>335</v>
      </c>
      <c r="O251" s="16" t="s">
        <v>401</v>
      </c>
      <c r="P251" s="16" t="s">
        <v>420</v>
      </c>
      <c r="Q251" s="20" t="n">
        <v>46284</v>
      </c>
      <c r="R251" s="16" t="s">
        <v>1230</v>
      </c>
      <c r="S251" s="16" t="s">
        <v>606</v>
      </c>
      <c r="T251" s="17" t="n">
        <v>46284.6938773148</v>
      </c>
      <c r="U251" s="21" t="n">
        <v>1</v>
      </c>
      <c r="V251" s="21" t="n">
        <v>1</v>
      </c>
      <c r="W251" s="22" t="n">
        <v>7.1</v>
      </c>
      <c r="X251" s="16" t="s">
        <v>335</v>
      </c>
      <c r="Y251" s="16" t="s">
        <v>338</v>
      </c>
      <c r="Z251" s="16" t="s">
        <v>405</v>
      </c>
      <c r="AA251" s="16"/>
      <c r="AB251" s="23"/>
      <c r="AC251" s="17"/>
      <c r="AD251" s="16" t="s">
        <v>338</v>
      </c>
      <c r="AE251" s="16"/>
      <c r="AF251" s="16" t="str">
        <f aca="false">IF(COUNTIF(لیست_سفید!$A$2:$A$21,B251)&gt;0,"بله","خیر")</f>
        <v>خیر</v>
      </c>
      <c r="AG251" s="24" t="n">
        <f aca="false">IF(H251="","",IF(AD251="فیش مفقودی",تنظیمات!$B$6,(INT(I251/1440)*تنظیمات!$B$5+IF(MOD(I251,1440)&lt;=تنظیمات!$B$2,0,MIN(تنظیمات!$B$5,تنظیمات!$B$3+MAX(0,ROUNDUP((MOD(I251,1440)-60)/60,0))*تنظیمات!$B$4)))*INDEX(تعرفه!$B$2:$B$7,MATCH(AD251,تعرفه!$A$2:$A$7,0))))</f>
        <v>62000</v>
      </c>
      <c r="AH251" s="24" t="n">
        <v>0</v>
      </c>
      <c r="AI251" s="24" t="n">
        <f aca="false">IF(AG251="","",AH251-AG251)</f>
        <v>-62000</v>
      </c>
      <c r="AJ251" s="21" t="n">
        <v>0</v>
      </c>
      <c r="AK251" s="21" t="n">
        <v>0</v>
      </c>
      <c r="AL251" s="16" t="s">
        <v>335</v>
      </c>
      <c r="AM251" s="16"/>
      <c r="AN251" s="16" t="s">
        <v>340</v>
      </c>
      <c r="AO251" s="16" t="s">
        <v>340</v>
      </c>
      <c r="AP251" s="16" t="s">
        <v>335</v>
      </c>
      <c r="AQ251" s="16"/>
      <c r="AR251" s="21" t="n">
        <f aca="false">IF(AND(T251&lt;&gt;"",H251&lt;&gt;""),IF(AND((T251-H251)*86400&gt;=0,(T251-H251)*86400&lt;تنظیمات!$B$13),1,0),0)</f>
        <v>1</v>
      </c>
      <c r="AS251" s="21" t="n">
        <f aca="false">IF(Z251="پوز",IF(OR(AB251="",COUNTIF(پوزها!$A$2:$A$5,AA251)=0),1,0),0)</f>
        <v>0</v>
      </c>
      <c r="AT251" s="21" t="n">
        <f aca="false">IF(AI251="",0,IF(AI251&gt;0,1,0))</f>
        <v>0</v>
      </c>
      <c r="AU251" s="21" t="n">
        <f aca="false">IF(AI251="",0,IF(AI251&lt;0,1,0))</f>
        <v>1</v>
      </c>
      <c r="AV251" s="21" t="n">
        <f aca="false">IF(U251&gt;V251,1,0)</f>
        <v>0</v>
      </c>
      <c r="AW251" s="21" t="n">
        <f aca="false">IF(OR(W251&gt;تنظیمات!$B$8,X251="بله"),1,0)</f>
        <v>0</v>
      </c>
      <c r="AX251" s="21" t="n">
        <f aca="false">IF(AND(N251="بله",L251&gt;تنظیمات!$B$9),1,0)</f>
        <v>0</v>
      </c>
      <c r="AY251" s="21" t="n">
        <f aca="false">IF(Y251="معکوس",1,0)</f>
        <v>0</v>
      </c>
      <c r="AZ251" s="21" t="n">
        <f aca="false">IF(ABS(AJ251)&gt;تنظیمات!$B$10,1,0)</f>
        <v>0</v>
      </c>
      <c r="BA251" s="21" t="n">
        <f aca="false">IF(AND(OR(AD251="رایگان/VIP",AD251="جانباز"),AF251="خیر"),1,0)</f>
        <v>0</v>
      </c>
      <c r="BB251" s="21" t="n">
        <f aca="false">IF(AE251="",0,IF(COUNTIF($AE$2:$AE$1001,AE251)&gt;1,1,0))</f>
        <v>0</v>
      </c>
      <c r="BC251" s="21" t="n">
        <f aca="false">IF(AND(H251="",I251&gt;تنظیمات!$B$12*60,AM251="خالی"),1,0)</f>
        <v>0</v>
      </c>
      <c r="BD251" s="21" t="n">
        <f aca="false">IF(AND(AP251="بله",I251&lt;تنظیمات!$B$14,AO251="خیر"),1,0)</f>
        <v>0</v>
      </c>
      <c r="BE251" s="21" t="n">
        <f aca="false">IF(AN251="خیر",1,0)</f>
        <v>0</v>
      </c>
      <c r="BF251" s="21" t="n">
        <f aca="false">IF(AND(AD251="فیش مفقودی",AQ251="بله",I251&gt;تنظیمات!$B$12*60),1,0)</f>
        <v>0</v>
      </c>
      <c r="BG251" s="21" t="n">
        <f aca="false">IF(AND(AK251&gt;تنظیمات!$B$11,AL251="بله"),1,0)</f>
        <v>0</v>
      </c>
      <c r="BH251" s="21" t="n">
        <f aca="false">MIN(100,AR251*تنظیمات!$B$21+AS251*تنظیمات!$B$22+AT251*تنظیمات!$B$23+AU251*تنظیمات!$B$24+AV251*تنظیمات!$B$25+AW251*تنظیمات!$B$26+AX251*تنظیمات!$B$27+AY251*تنظیمات!$B$28+AZ251*تنظیمات!$B$29+BA251*تنظیمات!$B$30+BB251*تنظیمات!$B$31+BC251*تنظیمات!$B$32+BD251*تنظیمات!$B$33+BE251*تنظیمات!$B$34+BF251*تنظیمات!$B$35+BG251*تنظیمات!$B$36)</f>
        <v>65</v>
      </c>
      <c r="BI251" s="16" t="str">
        <f aca="false">IF(BH251&gt;=60,"بحرانی",IF(BH251&gt;=30,"مشکوک",IF(BH251&gt;0,"هشدار","عادی")))</f>
        <v>بحرانی</v>
      </c>
      <c r="BJ251" s="16" t="s">
        <v>607</v>
      </c>
    </row>
    <row r="252" customFormat="false" ht="15" hidden="false" customHeight="false" outlineLevel="0" collapsed="false">
      <c r="A252" s="16" t="s">
        <v>1231</v>
      </c>
      <c r="B252" s="16" t="s">
        <v>740</v>
      </c>
      <c r="C252" s="16"/>
      <c r="D252" s="16" t="s">
        <v>431</v>
      </c>
      <c r="E252" s="16" t="s">
        <v>351</v>
      </c>
      <c r="F252" s="16" t="s">
        <v>333</v>
      </c>
      <c r="G252" s="17" t="n">
        <v>46284.5685648148</v>
      </c>
      <c r="H252" s="17" t="n">
        <v>46284.6581481482</v>
      </c>
      <c r="I252" s="18" t="n">
        <f aca="false">IF(H252="",ROUND((تنظیمات!$B$7-G252)*1440,0),ROUND((H252-G252)*1440,0))</f>
        <v>129</v>
      </c>
      <c r="J252" s="16" t="s">
        <v>334</v>
      </c>
      <c r="K252" s="16" t="s">
        <v>410</v>
      </c>
      <c r="L252" s="19" t="n">
        <v>0.94</v>
      </c>
      <c r="M252" s="19" t="n">
        <v>0.941</v>
      </c>
      <c r="N252" s="16" t="s">
        <v>335</v>
      </c>
      <c r="O252" s="16" t="s">
        <v>401</v>
      </c>
      <c r="P252" s="16" t="s">
        <v>420</v>
      </c>
      <c r="Q252" s="20" t="n">
        <v>46284</v>
      </c>
      <c r="R252" s="16" t="s">
        <v>1232</v>
      </c>
      <c r="S252" s="16" t="s">
        <v>404</v>
      </c>
      <c r="T252" s="17"/>
      <c r="U252" s="21" t="n">
        <v>1</v>
      </c>
      <c r="V252" s="21" t="n">
        <v>1</v>
      </c>
      <c r="W252" s="22" t="n">
        <v>5.7</v>
      </c>
      <c r="X252" s="16" t="s">
        <v>335</v>
      </c>
      <c r="Y252" s="16" t="s">
        <v>338</v>
      </c>
      <c r="Z252" s="16" t="s">
        <v>413</v>
      </c>
      <c r="AA252" s="16" t="s">
        <v>414</v>
      </c>
      <c r="AB252" s="23" t="s">
        <v>1233</v>
      </c>
      <c r="AC252" s="17" t="n">
        <v>46284.6574189815</v>
      </c>
      <c r="AD252" s="16" t="s">
        <v>338</v>
      </c>
      <c r="AE252" s="16"/>
      <c r="AF252" s="16" t="str">
        <f aca="false">IF(COUNTIF(لیست_سفید!$A$2:$A$21,B252)&gt;0,"بله","خیر")</f>
        <v>خیر</v>
      </c>
      <c r="AG252" s="24" t="n">
        <f aca="false">IF(H252="","",IF(AD252="فیش مفقودی",تنظیمات!$B$6,(INT(I252/1440)*تنظیمات!$B$5+IF(MOD(I252,1440)&lt;=تنظیمات!$B$2,0,MIN(تنظیمات!$B$5,تنظیمات!$B$3+MAX(0,ROUNDUP((MOD(I252,1440)-60)/60,0))*تنظیمات!$B$4)))*INDEX(تعرفه!$B$2:$B$7,MATCH(AD252,تعرفه!$A$2:$A$7,0))))</f>
        <v>48000</v>
      </c>
      <c r="AH252" s="24" t="n">
        <v>48000</v>
      </c>
      <c r="AI252" s="24" t="n">
        <f aca="false">IF(AG252="","",AH252-AG252)</f>
        <v>0</v>
      </c>
      <c r="AJ252" s="21" t="n">
        <v>1</v>
      </c>
      <c r="AK252" s="21" t="n">
        <v>0</v>
      </c>
      <c r="AL252" s="16" t="s">
        <v>335</v>
      </c>
      <c r="AM252" s="16"/>
      <c r="AN252" s="16" t="s">
        <v>340</v>
      </c>
      <c r="AO252" s="16" t="s">
        <v>340</v>
      </c>
      <c r="AP252" s="16" t="s">
        <v>335</v>
      </c>
      <c r="AQ252" s="16"/>
      <c r="AR252" s="21" t="n">
        <f aca="false">IF(AND(T252&lt;&gt;"",H252&lt;&gt;""),IF(AND((T252-H252)*86400&gt;=0,(T252-H252)*86400&lt;تنظیمات!$B$13),1,0),0)</f>
        <v>0</v>
      </c>
      <c r="AS252" s="21" t="n">
        <f aca="false">IF(Z252="پوز",IF(OR(AB252="",COUNTIF(پوزها!$A$2:$A$5,AA252)=0),1,0),0)</f>
        <v>0</v>
      </c>
      <c r="AT252" s="21" t="n">
        <f aca="false">IF(AI252="",0,IF(AI252&gt;0,1,0))</f>
        <v>0</v>
      </c>
      <c r="AU252" s="21" t="n">
        <f aca="false">IF(AI252="",0,IF(AI252&lt;0,1,0))</f>
        <v>0</v>
      </c>
      <c r="AV252" s="21" t="n">
        <f aca="false">IF(U252&gt;V252,1,0)</f>
        <v>0</v>
      </c>
      <c r="AW252" s="21" t="n">
        <f aca="false">IF(OR(W252&gt;تنظیمات!$B$8,X252="بله"),1,0)</f>
        <v>0</v>
      </c>
      <c r="AX252" s="21" t="n">
        <f aca="false">IF(AND(N252="بله",L252&gt;تنظیمات!$B$9),1,0)</f>
        <v>0</v>
      </c>
      <c r="AY252" s="21" t="n">
        <f aca="false">IF(Y252="معکوس",1,0)</f>
        <v>0</v>
      </c>
      <c r="AZ252" s="21" t="n">
        <f aca="false">IF(ABS(AJ252)&gt;تنظیمات!$B$10,1,0)</f>
        <v>0</v>
      </c>
      <c r="BA252" s="21" t="n">
        <f aca="false">IF(AND(OR(AD252="رایگان/VIP",AD252="جانباز"),AF252="خیر"),1,0)</f>
        <v>0</v>
      </c>
      <c r="BB252" s="21" t="n">
        <f aca="false">IF(AE252="",0,IF(COUNTIF($AE$2:$AE$1001,AE252)&gt;1,1,0))</f>
        <v>0</v>
      </c>
      <c r="BC252" s="21" t="n">
        <f aca="false">IF(AND(H252="",I252&gt;تنظیمات!$B$12*60,AM252="خالی"),1,0)</f>
        <v>0</v>
      </c>
      <c r="BD252" s="21" t="n">
        <f aca="false">IF(AND(AP252="بله",I252&lt;تنظیمات!$B$14,AO252="خیر"),1,0)</f>
        <v>0</v>
      </c>
      <c r="BE252" s="21" t="n">
        <f aca="false">IF(AN252="خیر",1,0)</f>
        <v>0</v>
      </c>
      <c r="BF252" s="21" t="n">
        <f aca="false">IF(AND(AD252="فیش مفقودی",AQ252="بله",I252&gt;تنظیمات!$B$12*60),1,0)</f>
        <v>0</v>
      </c>
      <c r="BG252" s="21" t="n">
        <f aca="false">IF(AND(AK252&gt;تنظیمات!$B$11,AL252="بله"),1,0)</f>
        <v>0</v>
      </c>
      <c r="BH252" s="21" t="n">
        <f aca="false">MIN(100,AR252*تنظیمات!$B$21+AS252*تنظیمات!$B$22+AT252*تنظیمات!$B$23+AU252*تنظیمات!$B$24+AV252*تنظیمات!$B$25+AW252*تنظیمات!$B$26+AX252*تنظیمات!$B$27+AY252*تنظیمات!$B$28+AZ252*تنظیمات!$B$29+BA252*تنظیمات!$B$30+BB252*تنظیمات!$B$31+BC252*تنظیمات!$B$32+BD252*تنظیمات!$B$33+BE252*تنظیمات!$B$34+BF252*تنظیمات!$B$35+BG252*تنظیمات!$B$36)</f>
        <v>0</v>
      </c>
      <c r="BI252" s="16" t="str">
        <f aca="false">IF(BH252&gt;=60,"بحرانی",IF(BH252&gt;=30,"مشکوک",IF(BH252&gt;0,"هشدار","عادی")))</f>
        <v>عادی</v>
      </c>
      <c r="BJ252" s="16" t="s">
        <v>338</v>
      </c>
    </row>
    <row r="253" customFormat="false" ht="15" hidden="false" customHeight="false" outlineLevel="0" collapsed="false">
      <c r="A253" s="16" t="s">
        <v>1234</v>
      </c>
      <c r="B253" s="16" t="s">
        <v>583</v>
      </c>
      <c r="C253" s="16"/>
      <c r="D253" s="16" t="s">
        <v>331</v>
      </c>
      <c r="E253" s="16" t="s">
        <v>363</v>
      </c>
      <c r="F253" s="16" t="s">
        <v>333</v>
      </c>
      <c r="G253" s="17" t="n">
        <v>46284.5929513889</v>
      </c>
      <c r="H253" s="17" t="n">
        <v>46284.9123958333</v>
      </c>
      <c r="I253" s="18" t="n">
        <f aca="false">IF(H253="",ROUND((تنظیمات!$B$7-G253)*1440,0),ROUND((H253-G253)*1440,0))</f>
        <v>460</v>
      </c>
      <c r="J253" s="16" t="s">
        <v>334</v>
      </c>
      <c r="K253" s="16" t="s">
        <v>410</v>
      </c>
      <c r="L253" s="19" t="n">
        <v>0.903</v>
      </c>
      <c r="M253" s="19" t="n">
        <v>0.992</v>
      </c>
      <c r="N253" s="16" t="s">
        <v>335</v>
      </c>
      <c r="O253" s="16" t="s">
        <v>401</v>
      </c>
      <c r="P253" s="16" t="s">
        <v>420</v>
      </c>
      <c r="Q253" s="20" t="n">
        <v>46284</v>
      </c>
      <c r="R253" s="16" t="s">
        <v>1235</v>
      </c>
      <c r="S253" s="16" t="s">
        <v>404</v>
      </c>
      <c r="T253" s="17"/>
      <c r="U253" s="21" t="n">
        <v>1</v>
      </c>
      <c r="V253" s="21" t="n">
        <v>1</v>
      </c>
      <c r="W253" s="22" t="n">
        <v>5.6</v>
      </c>
      <c r="X253" s="16" t="s">
        <v>335</v>
      </c>
      <c r="Y253" s="16" t="s">
        <v>338</v>
      </c>
      <c r="Z253" s="16" t="s">
        <v>443</v>
      </c>
      <c r="AA253" s="16"/>
      <c r="AB253" s="23"/>
      <c r="AC253" s="17"/>
      <c r="AD253" s="16" t="s">
        <v>444</v>
      </c>
      <c r="AE253" s="16"/>
      <c r="AF253" s="16" t="str">
        <f aca="false">IF(COUNTIF(لیست_سفید!$A$2:$A$21,B253)&gt;0,"بله","خیر")</f>
        <v>خیر</v>
      </c>
      <c r="AG253" s="24" t="n">
        <f aca="false">IF(H253="","",IF(AD253="فیش مفقودی",تنظیمات!$B$6,(INT(I253/1440)*تنظیمات!$B$5+IF(MOD(I253,1440)&lt;=تنظیمات!$B$2,0,MIN(تنظیمات!$B$5,تنظیمات!$B$3+MAX(0,ROUNDUP((MOD(I253,1440)-60)/60,0))*تنظیمات!$B$4)))*INDEX(تعرفه!$B$2:$B$7,MATCH(AD253,تعرفه!$A$2:$A$7,0))))</f>
        <v>0</v>
      </c>
      <c r="AH253" s="24" t="n">
        <v>0</v>
      </c>
      <c r="AI253" s="24" t="n">
        <f aca="false">IF(AG253="","",AH253-AG253)</f>
        <v>0</v>
      </c>
      <c r="AJ253" s="21" t="n">
        <v>3</v>
      </c>
      <c r="AK253" s="21" t="n">
        <v>0</v>
      </c>
      <c r="AL253" s="16" t="s">
        <v>335</v>
      </c>
      <c r="AM253" s="16"/>
      <c r="AN253" s="16" t="s">
        <v>340</v>
      </c>
      <c r="AO253" s="16" t="s">
        <v>340</v>
      </c>
      <c r="AP253" s="16" t="s">
        <v>335</v>
      </c>
      <c r="AQ253" s="16"/>
      <c r="AR253" s="21" t="n">
        <f aca="false">IF(AND(T253&lt;&gt;"",H253&lt;&gt;""),IF(AND((T253-H253)*86400&gt;=0,(T253-H253)*86400&lt;تنظیمات!$B$13),1,0),0)</f>
        <v>0</v>
      </c>
      <c r="AS253" s="21" t="n">
        <f aca="false">IF(Z253="پوز",IF(OR(AB253="",COUNTIF(پوزها!$A$2:$A$5,AA253)=0),1,0),0)</f>
        <v>0</v>
      </c>
      <c r="AT253" s="21" t="n">
        <f aca="false">IF(AI253="",0,IF(AI253&gt;0,1,0))</f>
        <v>0</v>
      </c>
      <c r="AU253" s="21" t="n">
        <f aca="false">IF(AI253="",0,IF(AI253&lt;0,1,0))</f>
        <v>0</v>
      </c>
      <c r="AV253" s="21" t="n">
        <f aca="false">IF(U253&gt;V253,1,0)</f>
        <v>0</v>
      </c>
      <c r="AW253" s="21" t="n">
        <f aca="false">IF(OR(W253&gt;تنظیمات!$B$8,X253="بله"),1,0)</f>
        <v>0</v>
      </c>
      <c r="AX253" s="21" t="n">
        <f aca="false">IF(AND(N253="بله",L253&gt;تنظیمات!$B$9),1,0)</f>
        <v>0</v>
      </c>
      <c r="AY253" s="21" t="n">
        <f aca="false">IF(Y253="معکوس",1,0)</f>
        <v>0</v>
      </c>
      <c r="AZ253" s="21" t="n">
        <f aca="false">IF(ABS(AJ253)&gt;تنظیمات!$B$10,1,0)</f>
        <v>0</v>
      </c>
      <c r="BA253" s="21" t="n">
        <f aca="false">IF(AND(OR(AD253="رایگان/VIP",AD253="جانباز"),AF253="خیر"),1,0)</f>
        <v>0</v>
      </c>
      <c r="BB253" s="21" t="n">
        <f aca="false">IF(AE253="",0,IF(COUNTIF($AE$2:$AE$1001,AE253)&gt;1,1,0))</f>
        <v>0</v>
      </c>
      <c r="BC253" s="21" t="n">
        <f aca="false">IF(AND(H253="",I253&gt;تنظیمات!$B$12*60,AM253="خالی"),1,0)</f>
        <v>0</v>
      </c>
      <c r="BD253" s="21" t="n">
        <f aca="false">IF(AND(AP253="بله",I253&lt;تنظیمات!$B$14,AO253="خیر"),1,0)</f>
        <v>0</v>
      </c>
      <c r="BE253" s="21" t="n">
        <f aca="false">IF(AN253="خیر",1,0)</f>
        <v>0</v>
      </c>
      <c r="BF253" s="21" t="n">
        <f aca="false">IF(AND(AD253="فیش مفقودی",AQ253="بله",I253&gt;تنظیمات!$B$12*60),1,0)</f>
        <v>0</v>
      </c>
      <c r="BG253" s="21" t="n">
        <f aca="false">IF(AND(AK253&gt;تنظیمات!$B$11,AL253="بله"),1,0)</f>
        <v>0</v>
      </c>
      <c r="BH253" s="21" t="n">
        <f aca="false">MIN(100,AR253*تنظیمات!$B$21+AS253*تنظیمات!$B$22+AT253*تنظیمات!$B$23+AU253*تنظیمات!$B$24+AV253*تنظیمات!$B$25+AW253*تنظیمات!$B$26+AX253*تنظیمات!$B$27+AY253*تنظیمات!$B$28+AZ253*تنظیمات!$B$29+BA253*تنظیمات!$B$30+BB253*تنظیمات!$B$31+BC253*تنظیمات!$B$32+BD253*تنظیمات!$B$33+BE253*تنظیمات!$B$34+BF253*تنظیمات!$B$35+BG253*تنظیمات!$B$36)</f>
        <v>0</v>
      </c>
      <c r="BI253" s="16" t="str">
        <f aca="false">IF(BH253&gt;=60,"بحرانی",IF(BH253&gt;=30,"مشکوک",IF(BH253&gt;0,"هشدار","عادی")))</f>
        <v>عادی</v>
      </c>
      <c r="BJ253" s="16" t="s">
        <v>338</v>
      </c>
    </row>
    <row r="254" customFormat="false" ht="15" hidden="false" customHeight="false" outlineLevel="0" collapsed="false">
      <c r="A254" s="16" t="s">
        <v>1236</v>
      </c>
      <c r="B254" s="16" t="s">
        <v>839</v>
      </c>
      <c r="C254" s="16"/>
      <c r="D254" s="16" t="s">
        <v>431</v>
      </c>
      <c r="E254" s="16" t="s">
        <v>375</v>
      </c>
      <c r="F254" s="16" t="s">
        <v>333</v>
      </c>
      <c r="G254" s="17" t="n">
        <v>46284.5970138889</v>
      </c>
      <c r="H254" s="17" t="n">
        <v>46284.7282638889</v>
      </c>
      <c r="I254" s="18" t="n">
        <f aca="false">IF(H254="",ROUND((تنظیمات!$B$7-G254)*1440,0),ROUND((H254-G254)*1440,0))</f>
        <v>189</v>
      </c>
      <c r="J254" s="16" t="s">
        <v>334</v>
      </c>
      <c r="K254" s="16" t="s">
        <v>400</v>
      </c>
      <c r="L254" s="19" t="n">
        <v>0.882</v>
      </c>
      <c r="M254" s="19" t="n">
        <v>0.995</v>
      </c>
      <c r="N254" s="16" t="s">
        <v>335</v>
      </c>
      <c r="O254" s="16" t="s">
        <v>411</v>
      </c>
      <c r="P254" s="16" t="s">
        <v>420</v>
      </c>
      <c r="Q254" s="20" t="n">
        <v>46284</v>
      </c>
      <c r="R254" s="16" t="s">
        <v>1237</v>
      </c>
      <c r="S254" s="16" t="s">
        <v>404</v>
      </c>
      <c r="T254" s="17"/>
      <c r="U254" s="21" t="n">
        <v>1</v>
      </c>
      <c r="V254" s="21" t="n">
        <v>1</v>
      </c>
      <c r="W254" s="22" t="n">
        <v>5.5</v>
      </c>
      <c r="X254" s="16" t="s">
        <v>335</v>
      </c>
      <c r="Y254" s="16" t="s">
        <v>338</v>
      </c>
      <c r="Z254" s="16" t="s">
        <v>405</v>
      </c>
      <c r="AA254" s="16"/>
      <c r="AB254" s="23"/>
      <c r="AC254" s="17"/>
      <c r="AD254" s="16" t="s">
        <v>338</v>
      </c>
      <c r="AE254" s="16"/>
      <c r="AF254" s="16" t="str">
        <f aca="false">IF(COUNTIF(لیست_سفید!$A$2:$A$21,B254)&gt;0,"بله","خیر")</f>
        <v>خیر</v>
      </c>
      <c r="AG254" s="24" t="n">
        <f aca="false">IF(H254="","",IF(AD254="فیش مفقودی",تنظیمات!$B$6,(INT(I254/1440)*تنظیمات!$B$5+IF(MOD(I254,1440)&lt;=تنظیمات!$B$2,0,MIN(تنظیمات!$B$5,تنظیمات!$B$3+MAX(0,ROUNDUP((MOD(I254,1440)-60)/60,0))*تنظیمات!$B$4)))*INDEX(تعرفه!$B$2:$B$7,MATCH(AD254,تعرفه!$A$2:$A$7,0))))</f>
        <v>62000</v>
      </c>
      <c r="AH254" s="24" t="n">
        <v>62000</v>
      </c>
      <c r="AI254" s="24" t="n">
        <f aca="false">IF(AG254="","",AH254-AG254)</f>
        <v>0</v>
      </c>
      <c r="AJ254" s="21" t="n">
        <v>-2</v>
      </c>
      <c r="AK254" s="21" t="n">
        <v>0</v>
      </c>
      <c r="AL254" s="16" t="s">
        <v>335</v>
      </c>
      <c r="AM254" s="16"/>
      <c r="AN254" s="16" t="s">
        <v>340</v>
      </c>
      <c r="AO254" s="16" t="s">
        <v>340</v>
      </c>
      <c r="AP254" s="16" t="s">
        <v>335</v>
      </c>
      <c r="AQ254" s="16"/>
      <c r="AR254" s="21" t="n">
        <f aca="false">IF(AND(T254&lt;&gt;"",H254&lt;&gt;""),IF(AND((T254-H254)*86400&gt;=0,(T254-H254)*86400&lt;تنظیمات!$B$13),1,0),0)</f>
        <v>0</v>
      </c>
      <c r="AS254" s="21" t="n">
        <f aca="false">IF(Z254="پوز",IF(OR(AB254="",COUNTIF(پوزها!$A$2:$A$5,AA254)=0),1,0),0)</f>
        <v>0</v>
      </c>
      <c r="AT254" s="21" t="n">
        <f aca="false">IF(AI254="",0,IF(AI254&gt;0,1,0))</f>
        <v>0</v>
      </c>
      <c r="AU254" s="21" t="n">
        <f aca="false">IF(AI254="",0,IF(AI254&lt;0,1,0))</f>
        <v>0</v>
      </c>
      <c r="AV254" s="21" t="n">
        <f aca="false">IF(U254&gt;V254,1,0)</f>
        <v>0</v>
      </c>
      <c r="AW254" s="21" t="n">
        <f aca="false">IF(OR(W254&gt;تنظیمات!$B$8,X254="بله"),1,0)</f>
        <v>0</v>
      </c>
      <c r="AX254" s="21" t="n">
        <f aca="false">IF(AND(N254="بله",L254&gt;تنظیمات!$B$9),1,0)</f>
        <v>0</v>
      </c>
      <c r="AY254" s="21" t="n">
        <f aca="false">IF(Y254="معکوس",1,0)</f>
        <v>0</v>
      </c>
      <c r="AZ254" s="21" t="n">
        <f aca="false">IF(ABS(AJ254)&gt;تنظیمات!$B$10,1,0)</f>
        <v>0</v>
      </c>
      <c r="BA254" s="21" t="n">
        <f aca="false">IF(AND(OR(AD254="رایگان/VIP",AD254="جانباز"),AF254="خیر"),1,0)</f>
        <v>0</v>
      </c>
      <c r="BB254" s="21" t="n">
        <f aca="false">IF(AE254="",0,IF(COUNTIF($AE$2:$AE$1001,AE254)&gt;1,1,0))</f>
        <v>0</v>
      </c>
      <c r="BC254" s="21" t="n">
        <f aca="false">IF(AND(H254="",I254&gt;تنظیمات!$B$12*60,AM254="خالی"),1,0)</f>
        <v>0</v>
      </c>
      <c r="BD254" s="21" t="n">
        <f aca="false">IF(AND(AP254="بله",I254&lt;تنظیمات!$B$14,AO254="خیر"),1,0)</f>
        <v>0</v>
      </c>
      <c r="BE254" s="21" t="n">
        <f aca="false">IF(AN254="خیر",1,0)</f>
        <v>0</v>
      </c>
      <c r="BF254" s="21" t="n">
        <f aca="false">IF(AND(AD254="فیش مفقودی",AQ254="بله",I254&gt;تنظیمات!$B$12*60),1,0)</f>
        <v>0</v>
      </c>
      <c r="BG254" s="21" t="n">
        <f aca="false">IF(AND(AK254&gt;تنظیمات!$B$11,AL254="بله"),1,0)</f>
        <v>0</v>
      </c>
      <c r="BH254" s="21" t="n">
        <f aca="false">MIN(100,AR254*تنظیمات!$B$21+AS254*تنظیمات!$B$22+AT254*تنظیمات!$B$23+AU254*تنظیمات!$B$24+AV254*تنظیمات!$B$25+AW254*تنظیمات!$B$26+AX254*تنظیمات!$B$27+AY254*تنظیمات!$B$28+AZ254*تنظیمات!$B$29+BA254*تنظیمات!$B$30+BB254*تنظیمات!$B$31+BC254*تنظیمات!$B$32+BD254*تنظیمات!$B$33+BE254*تنظیمات!$B$34+BF254*تنظیمات!$B$35+BG254*تنظیمات!$B$36)</f>
        <v>0</v>
      </c>
      <c r="BI254" s="16" t="str">
        <f aca="false">IF(BH254&gt;=60,"بحرانی",IF(BH254&gt;=30,"مشکوک",IF(BH254&gt;0,"هشدار","عادی")))</f>
        <v>عادی</v>
      </c>
      <c r="BJ254" s="16" t="s">
        <v>338</v>
      </c>
    </row>
    <row r="255" customFormat="false" ht="15" hidden="false" customHeight="false" outlineLevel="0" collapsed="false">
      <c r="A255" s="16" t="s">
        <v>1238</v>
      </c>
      <c r="B255" s="16" t="s">
        <v>1239</v>
      </c>
      <c r="C255" s="16"/>
      <c r="D255" s="16" t="s">
        <v>382</v>
      </c>
      <c r="E255" s="16" t="s">
        <v>345</v>
      </c>
      <c r="F255" s="16" t="s">
        <v>333</v>
      </c>
      <c r="G255" s="17" t="n">
        <v>46284.6061458333</v>
      </c>
      <c r="H255" s="17" t="n">
        <v>46284.6422569445</v>
      </c>
      <c r="I255" s="18" t="n">
        <f aca="false">IF(H255="",ROUND((تنظیمات!$B$7-G255)*1440,0),ROUND((H255-G255)*1440,0))</f>
        <v>52</v>
      </c>
      <c r="J255" s="16" t="s">
        <v>334</v>
      </c>
      <c r="K255" s="16" t="s">
        <v>410</v>
      </c>
      <c r="L255" s="19" t="n">
        <v>0.873</v>
      </c>
      <c r="M255" s="19" t="n">
        <v>0.902</v>
      </c>
      <c r="N255" s="16" t="s">
        <v>335</v>
      </c>
      <c r="O255" s="16" t="s">
        <v>401</v>
      </c>
      <c r="P255" s="16" t="s">
        <v>420</v>
      </c>
      <c r="Q255" s="20" t="n">
        <v>46284</v>
      </c>
      <c r="R255" s="16" t="s">
        <v>1240</v>
      </c>
      <c r="S255" s="16" t="s">
        <v>404</v>
      </c>
      <c r="T255" s="17"/>
      <c r="U255" s="21" t="n">
        <v>1</v>
      </c>
      <c r="V255" s="21" t="n">
        <v>1</v>
      </c>
      <c r="W255" s="22" t="n">
        <v>6.9</v>
      </c>
      <c r="X255" s="16" t="s">
        <v>335</v>
      </c>
      <c r="Y255" s="16" t="s">
        <v>338</v>
      </c>
      <c r="Z255" s="16" t="s">
        <v>413</v>
      </c>
      <c r="AA255" s="16" t="s">
        <v>414</v>
      </c>
      <c r="AB255" s="23"/>
      <c r="AC255" s="17" t="n">
        <v>46284.6415625</v>
      </c>
      <c r="AD255" s="16" t="s">
        <v>338</v>
      </c>
      <c r="AE255" s="16"/>
      <c r="AF255" s="16" t="str">
        <f aca="false">IF(COUNTIF(لیست_سفید!$A$2:$A$21,B255)&gt;0,"بله","خیر")</f>
        <v>خیر</v>
      </c>
      <c r="AG255" s="24" t="n">
        <f aca="false">IF(H255="","",IF(AD255="فیش مفقودی",تنظیمات!$B$6,(INT(I255/1440)*تنظیمات!$B$5+IF(MOD(I255,1440)&lt;=تنظیمات!$B$2,0,MIN(تنظیمات!$B$5,تنظیمات!$B$3+MAX(0,ROUNDUP((MOD(I255,1440)-60)/60,0))*تنظیمات!$B$4)))*INDEX(تعرفه!$B$2:$B$7,MATCH(AD255,تعرفه!$A$2:$A$7,0))))</f>
        <v>20000</v>
      </c>
      <c r="AH255" s="24" t="n">
        <v>20000</v>
      </c>
      <c r="AI255" s="24" t="n">
        <f aca="false">IF(AG255="","",AH255-AG255)</f>
        <v>0</v>
      </c>
      <c r="AJ255" s="21" t="n">
        <v>2</v>
      </c>
      <c r="AK255" s="21" t="n">
        <v>0</v>
      </c>
      <c r="AL255" s="16" t="s">
        <v>335</v>
      </c>
      <c r="AM255" s="16"/>
      <c r="AN255" s="16" t="s">
        <v>340</v>
      </c>
      <c r="AO255" s="16" t="s">
        <v>340</v>
      </c>
      <c r="AP255" s="16" t="s">
        <v>335</v>
      </c>
      <c r="AQ255" s="16"/>
      <c r="AR255" s="21" t="n">
        <f aca="false">IF(AND(T255&lt;&gt;"",H255&lt;&gt;""),IF(AND((T255-H255)*86400&gt;=0,(T255-H255)*86400&lt;تنظیمات!$B$13),1,0),0)</f>
        <v>0</v>
      </c>
      <c r="AS255" s="21" t="n">
        <f aca="false">IF(Z255="پوز",IF(OR(AB255="",COUNTIF(پوزها!$A$2:$A$5,AA255)=0),1,0),0)</f>
        <v>1</v>
      </c>
      <c r="AT255" s="21" t="n">
        <f aca="false">IF(AI255="",0,IF(AI255&gt;0,1,0))</f>
        <v>0</v>
      </c>
      <c r="AU255" s="21" t="n">
        <f aca="false">IF(AI255="",0,IF(AI255&lt;0,1,0))</f>
        <v>0</v>
      </c>
      <c r="AV255" s="21" t="n">
        <f aca="false">IF(U255&gt;V255,1,0)</f>
        <v>0</v>
      </c>
      <c r="AW255" s="21" t="n">
        <f aca="false">IF(OR(W255&gt;تنظیمات!$B$8,X255="بله"),1,0)</f>
        <v>0</v>
      </c>
      <c r="AX255" s="21" t="n">
        <f aca="false">IF(AND(N255="بله",L255&gt;تنظیمات!$B$9),1,0)</f>
        <v>0</v>
      </c>
      <c r="AY255" s="21" t="n">
        <f aca="false">IF(Y255="معکوس",1,0)</f>
        <v>0</v>
      </c>
      <c r="AZ255" s="21" t="n">
        <f aca="false">IF(ABS(AJ255)&gt;تنظیمات!$B$10,1,0)</f>
        <v>0</v>
      </c>
      <c r="BA255" s="21" t="n">
        <f aca="false">IF(AND(OR(AD255="رایگان/VIP",AD255="جانباز"),AF255="خیر"),1,0)</f>
        <v>0</v>
      </c>
      <c r="BB255" s="21" t="n">
        <f aca="false">IF(AE255="",0,IF(COUNTIF($AE$2:$AE$1001,AE255)&gt;1,1,0))</f>
        <v>0</v>
      </c>
      <c r="BC255" s="21" t="n">
        <f aca="false">IF(AND(H255="",I255&gt;تنظیمات!$B$12*60,AM255="خالی"),1,0)</f>
        <v>0</v>
      </c>
      <c r="BD255" s="21" t="n">
        <f aca="false">IF(AND(AP255="بله",I255&lt;تنظیمات!$B$14,AO255="خیر"),1,0)</f>
        <v>0</v>
      </c>
      <c r="BE255" s="21" t="n">
        <f aca="false">IF(AN255="خیر",1,0)</f>
        <v>0</v>
      </c>
      <c r="BF255" s="21" t="n">
        <f aca="false">IF(AND(AD255="فیش مفقودی",AQ255="بله",I255&gt;تنظیمات!$B$12*60),1,0)</f>
        <v>0</v>
      </c>
      <c r="BG255" s="21" t="n">
        <f aca="false">IF(AND(AK255&gt;تنظیمات!$B$11,AL255="بله"),1,0)</f>
        <v>0</v>
      </c>
      <c r="BH255" s="21" t="n">
        <f aca="false">MIN(100,AR255*تنظیمات!$B$21+AS255*تنظیمات!$B$22+AT255*تنظیمات!$B$23+AU255*تنظیمات!$B$24+AV255*تنظیمات!$B$25+AW255*تنظیمات!$B$26+AX255*تنظیمات!$B$27+AY255*تنظیمات!$B$28+AZ255*تنظیمات!$B$29+BA255*تنظیمات!$B$30+BB255*تنظیمات!$B$31+BC255*تنظیمات!$B$32+BD255*تنظیمات!$B$33+BE255*تنظیمات!$B$34+BF255*تنظیمات!$B$35+BG255*تنظیمات!$B$36)</f>
        <v>35</v>
      </c>
      <c r="BI255" s="16" t="str">
        <f aca="false">IF(BH255&gt;=60,"بحرانی",IF(BH255&gt;=30,"مشکوک",IF(BH255&gt;0,"هشدار","عادی")))</f>
        <v>مشکوک</v>
      </c>
      <c r="BJ255" s="16" t="s">
        <v>722</v>
      </c>
    </row>
    <row r="256" customFormat="false" ht="15" hidden="false" customHeight="false" outlineLevel="0" collapsed="false">
      <c r="A256" s="16" t="s">
        <v>1241</v>
      </c>
      <c r="B256" s="16" t="s">
        <v>484</v>
      </c>
      <c r="C256" s="16"/>
      <c r="D256" s="16" t="s">
        <v>431</v>
      </c>
      <c r="E256" s="16" t="s">
        <v>332</v>
      </c>
      <c r="F256" s="16" t="s">
        <v>333</v>
      </c>
      <c r="G256" s="17" t="n">
        <v>46284.6170023148</v>
      </c>
      <c r="H256" s="17" t="n">
        <v>46284.7086689815</v>
      </c>
      <c r="I256" s="18" t="n">
        <f aca="false">IF(H256="",ROUND((تنظیمات!$B$7-G256)*1440,0),ROUND((H256-G256)*1440,0))</f>
        <v>132</v>
      </c>
      <c r="J256" s="16" t="s">
        <v>334</v>
      </c>
      <c r="K256" s="16" t="s">
        <v>400</v>
      </c>
      <c r="L256" s="19" t="n">
        <v>0.995</v>
      </c>
      <c r="M256" s="19" t="n">
        <v>0.903</v>
      </c>
      <c r="N256" s="16" t="s">
        <v>335</v>
      </c>
      <c r="O256" s="16" t="s">
        <v>411</v>
      </c>
      <c r="P256" s="16" t="s">
        <v>420</v>
      </c>
      <c r="Q256" s="20" t="n">
        <v>46284</v>
      </c>
      <c r="R256" s="16" t="s">
        <v>1242</v>
      </c>
      <c r="S256" s="16" t="s">
        <v>404</v>
      </c>
      <c r="T256" s="17"/>
      <c r="U256" s="21" t="n">
        <v>1</v>
      </c>
      <c r="V256" s="21" t="n">
        <v>1</v>
      </c>
      <c r="W256" s="22" t="n">
        <v>6.7</v>
      </c>
      <c r="X256" s="16" t="s">
        <v>335</v>
      </c>
      <c r="Y256" s="16" t="s">
        <v>338</v>
      </c>
      <c r="Z256" s="16" t="s">
        <v>413</v>
      </c>
      <c r="AA256" s="16" t="s">
        <v>427</v>
      </c>
      <c r="AB256" s="23" t="s">
        <v>1243</v>
      </c>
      <c r="AC256" s="17" t="n">
        <v>46284.7082638889</v>
      </c>
      <c r="AD256" s="16" t="s">
        <v>338</v>
      </c>
      <c r="AE256" s="16"/>
      <c r="AF256" s="16" t="str">
        <f aca="false">IF(COUNTIF(لیست_سفید!$A$2:$A$21,B256)&gt;0,"بله","خیر")</f>
        <v>خیر</v>
      </c>
      <c r="AG256" s="24" t="n">
        <f aca="false">IF(H256="","",IF(AD256="فیش مفقودی",تنظیمات!$B$6,(INT(I256/1440)*تنظیمات!$B$5+IF(MOD(I256,1440)&lt;=تنظیمات!$B$2,0,MIN(تنظیمات!$B$5,تنظیمات!$B$3+MAX(0,ROUNDUP((MOD(I256,1440)-60)/60,0))*تنظیمات!$B$4)))*INDEX(تعرفه!$B$2:$B$7,MATCH(AD256,تعرفه!$A$2:$A$7,0))))</f>
        <v>48000</v>
      </c>
      <c r="AH256" s="24" t="n">
        <v>48000</v>
      </c>
      <c r="AI256" s="24" t="n">
        <f aca="false">IF(AG256="","",AH256-AG256)</f>
        <v>0</v>
      </c>
      <c r="AJ256" s="21" t="n">
        <v>-1</v>
      </c>
      <c r="AK256" s="21" t="n">
        <v>0</v>
      </c>
      <c r="AL256" s="16" t="s">
        <v>335</v>
      </c>
      <c r="AM256" s="16"/>
      <c r="AN256" s="16" t="s">
        <v>340</v>
      </c>
      <c r="AO256" s="16" t="s">
        <v>340</v>
      </c>
      <c r="AP256" s="16" t="s">
        <v>335</v>
      </c>
      <c r="AQ256" s="16"/>
      <c r="AR256" s="21" t="n">
        <f aca="false">IF(AND(T256&lt;&gt;"",H256&lt;&gt;""),IF(AND((T256-H256)*86400&gt;=0,(T256-H256)*86400&lt;تنظیمات!$B$13),1,0),0)</f>
        <v>0</v>
      </c>
      <c r="AS256" s="21" t="n">
        <f aca="false">IF(Z256="پوز",IF(OR(AB256="",COUNTIF(پوزها!$A$2:$A$5,AA256)=0),1,0),0)</f>
        <v>0</v>
      </c>
      <c r="AT256" s="21" t="n">
        <f aca="false">IF(AI256="",0,IF(AI256&gt;0,1,0))</f>
        <v>0</v>
      </c>
      <c r="AU256" s="21" t="n">
        <f aca="false">IF(AI256="",0,IF(AI256&lt;0,1,0))</f>
        <v>0</v>
      </c>
      <c r="AV256" s="21" t="n">
        <f aca="false">IF(U256&gt;V256,1,0)</f>
        <v>0</v>
      </c>
      <c r="AW256" s="21" t="n">
        <f aca="false">IF(OR(W256&gt;تنظیمات!$B$8,X256="بله"),1,0)</f>
        <v>0</v>
      </c>
      <c r="AX256" s="21" t="n">
        <f aca="false">IF(AND(N256="بله",L256&gt;تنظیمات!$B$9),1,0)</f>
        <v>0</v>
      </c>
      <c r="AY256" s="21" t="n">
        <f aca="false">IF(Y256="معکوس",1,0)</f>
        <v>0</v>
      </c>
      <c r="AZ256" s="21" t="n">
        <f aca="false">IF(ABS(AJ256)&gt;تنظیمات!$B$10,1,0)</f>
        <v>0</v>
      </c>
      <c r="BA256" s="21" t="n">
        <f aca="false">IF(AND(OR(AD256="رایگان/VIP",AD256="جانباز"),AF256="خیر"),1,0)</f>
        <v>0</v>
      </c>
      <c r="BB256" s="21" t="n">
        <f aca="false">IF(AE256="",0,IF(COUNTIF($AE$2:$AE$1001,AE256)&gt;1,1,0))</f>
        <v>0</v>
      </c>
      <c r="BC256" s="21" t="n">
        <f aca="false">IF(AND(H256="",I256&gt;تنظیمات!$B$12*60,AM256="خالی"),1,0)</f>
        <v>0</v>
      </c>
      <c r="BD256" s="21" t="n">
        <f aca="false">IF(AND(AP256="بله",I256&lt;تنظیمات!$B$14,AO256="خیر"),1,0)</f>
        <v>0</v>
      </c>
      <c r="BE256" s="21" t="n">
        <f aca="false">IF(AN256="خیر",1,0)</f>
        <v>0</v>
      </c>
      <c r="BF256" s="21" t="n">
        <f aca="false">IF(AND(AD256="فیش مفقودی",AQ256="بله",I256&gt;تنظیمات!$B$12*60),1,0)</f>
        <v>0</v>
      </c>
      <c r="BG256" s="21" t="n">
        <f aca="false">IF(AND(AK256&gt;تنظیمات!$B$11,AL256="بله"),1,0)</f>
        <v>0</v>
      </c>
      <c r="BH256" s="21" t="n">
        <f aca="false">MIN(100,AR256*تنظیمات!$B$21+AS256*تنظیمات!$B$22+AT256*تنظیمات!$B$23+AU256*تنظیمات!$B$24+AV256*تنظیمات!$B$25+AW256*تنظیمات!$B$26+AX256*تنظیمات!$B$27+AY256*تنظیمات!$B$28+AZ256*تنظیمات!$B$29+BA256*تنظیمات!$B$30+BB256*تنظیمات!$B$31+BC256*تنظیمات!$B$32+BD256*تنظیمات!$B$33+BE256*تنظیمات!$B$34+BF256*تنظیمات!$B$35+BG256*تنظیمات!$B$36)</f>
        <v>0</v>
      </c>
      <c r="BI256" s="16" t="str">
        <f aca="false">IF(BH256&gt;=60,"بحرانی",IF(BH256&gt;=30,"مشکوک",IF(BH256&gt;0,"هشدار","عادی")))</f>
        <v>عادی</v>
      </c>
      <c r="BJ256" s="16" t="s">
        <v>338</v>
      </c>
    </row>
    <row r="257" customFormat="false" ht="15" hidden="false" customHeight="false" outlineLevel="0" collapsed="false">
      <c r="A257" s="16" t="s">
        <v>1244</v>
      </c>
      <c r="B257" s="16" t="s">
        <v>1245</v>
      </c>
      <c r="C257" s="16"/>
      <c r="D257" s="16" t="s">
        <v>386</v>
      </c>
      <c r="E257" s="16" t="s">
        <v>345</v>
      </c>
      <c r="F257" s="16" t="s">
        <v>333</v>
      </c>
      <c r="G257" s="17" t="n">
        <v>46284.6224305556</v>
      </c>
      <c r="H257" s="17" t="n">
        <v>46284.6522916667</v>
      </c>
      <c r="I257" s="18" t="n">
        <f aca="false">IF(H257="",ROUND((تنظیمات!$B$7-G257)*1440,0),ROUND((H257-G257)*1440,0))</f>
        <v>43</v>
      </c>
      <c r="J257" s="16" t="s">
        <v>334</v>
      </c>
      <c r="K257" s="16" t="s">
        <v>410</v>
      </c>
      <c r="L257" s="19" t="n">
        <v>0.916</v>
      </c>
      <c r="M257" s="19" t="n">
        <v>0.919</v>
      </c>
      <c r="N257" s="16" t="s">
        <v>335</v>
      </c>
      <c r="O257" s="16" t="s">
        <v>401</v>
      </c>
      <c r="P257" s="16" t="s">
        <v>420</v>
      </c>
      <c r="Q257" s="20" t="n">
        <v>46284</v>
      </c>
      <c r="R257" s="16" t="s">
        <v>1246</v>
      </c>
      <c r="S257" s="16" t="s">
        <v>404</v>
      </c>
      <c r="T257" s="17"/>
      <c r="U257" s="21" t="n">
        <v>1</v>
      </c>
      <c r="V257" s="21" t="n">
        <v>1</v>
      </c>
      <c r="W257" s="22" t="n">
        <v>4.4</v>
      </c>
      <c r="X257" s="16" t="s">
        <v>335</v>
      </c>
      <c r="Y257" s="16" t="s">
        <v>338</v>
      </c>
      <c r="Z257" s="16" t="s">
        <v>405</v>
      </c>
      <c r="AA257" s="16"/>
      <c r="AB257" s="23"/>
      <c r="AC257" s="17"/>
      <c r="AD257" s="16" t="s">
        <v>338</v>
      </c>
      <c r="AE257" s="16"/>
      <c r="AF257" s="16" t="str">
        <f aca="false">IF(COUNTIF(لیست_سفید!$A$2:$A$21,B257)&gt;0,"بله","خیر")</f>
        <v>خیر</v>
      </c>
      <c r="AG257" s="24" t="n">
        <f aca="false">IF(H257="","",IF(AD257="فیش مفقودی",تنظیمات!$B$6,(INT(I257/1440)*تنظیمات!$B$5+IF(MOD(I257,1440)&lt;=تنظیمات!$B$2,0,MIN(تنظیمات!$B$5,تنظیمات!$B$3+MAX(0,ROUNDUP((MOD(I257,1440)-60)/60,0))*تنظیمات!$B$4)))*INDEX(تعرفه!$B$2:$B$7,MATCH(AD257,تعرفه!$A$2:$A$7,0))))</f>
        <v>20000</v>
      </c>
      <c r="AH257" s="24" t="n">
        <v>13000</v>
      </c>
      <c r="AI257" s="24" t="n">
        <f aca="false">IF(AG257="","",AH257-AG257)</f>
        <v>-7000</v>
      </c>
      <c r="AJ257" s="21" t="n">
        <v>1</v>
      </c>
      <c r="AK257" s="21" t="n">
        <v>0</v>
      </c>
      <c r="AL257" s="16" t="s">
        <v>335</v>
      </c>
      <c r="AM257" s="16"/>
      <c r="AN257" s="16" t="s">
        <v>340</v>
      </c>
      <c r="AO257" s="16" t="s">
        <v>340</v>
      </c>
      <c r="AP257" s="16" t="s">
        <v>335</v>
      </c>
      <c r="AQ257" s="16"/>
      <c r="AR257" s="21" t="n">
        <f aca="false">IF(AND(T257&lt;&gt;"",H257&lt;&gt;""),IF(AND((T257-H257)*86400&gt;=0,(T257-H257)*86400&lt;تنظیمات!$B$13),1,0),0)</f>
        <v>0</v>
      </c>
      <c r="AS257" s="21" t="n">
        <f aca="false">IF(Z257="پوز",IF(OR(AB257="",COUNTIF(پوزها!$A$2:$A$5,AA257)=0),1,0),0)</f>
        <v>0</v>
      </c>
      <c r="AT257" s="21" t="n">
        <f aca="false">IF(AI257="",0,IF(AI257&gt;0,1,0))</f>
        <v>0</v>
      </c>
      <c r="AU257" s="21" t="n">
        <f aca="false">IF(AI257="",0,IF(AI257&lt;0,1,0))</f>
        <v>1</v>
      </c>
      <c r="AV257" s="21" t="n">
        <f aca="false">IF(U257&gt;V257,1,0)</f>
        <v>0</v>
      </c>
      <c r="AW257" s="21" t="n">
        <f aca="false">IF(OR(W257&gt;تنظیمات!$B$8,X257="بله"),1,0)</f>
        <v>0</v>
      </c>
      <c r="AX257" s="21" t="n">
        <f aca="false">IF(AND(N257="بله",L257&gt;تنظیمات!$B$9),1,0)</f>
        <v>0</v>
      </c>
      <c r="AY257" s="21" t="n">
        <f aca="false">IF(Y257="معکوس",1,0)</f>
        <v>0</v>
      </c>
      <c r="AZ257" s="21" t="n">
        <f aca="false">IF(ABS(AJ257)&gt;تنظیمات!$B$10,1,0)</f>
        <v>0</v>
      </c>
      <c r="BA257" s="21" t="n">
        <f aca="false">IF(AND(OR(AD257="رایگان/VIP",AD257="جانباز"),AF257="خیر"),1,0)</f>
        <v>0</v>
      </c>
      <c r="BB257" s="21" t="n">
        <f aca="false">IF(AE257="",0,IF(COUNTIF($AE$2:$AE$1001,AE257)&gt;1,1,0))</f>
        <v>0</v>
      </c>
      <c r="BC257" s="21" t="n">
        <f aca="false">IF(AND(H257="",I257&gt;تنظیمات!$B$12*60,AM257="خالی"),1,0)</f>
        <v>0</v>
      </c>
      <c r="BD257" s="21" t="n">
        <f aca="false">IF(AND(AP257="بله",I257&lt;تنظیمات!$B$14,AO257="خیر"),1,0)</f>
        <v>0</v>
      </c>
      <c r="BE257" s="21" t="n">
        <f aca="false">IF(AN257="خیر",1,0)</f>
        <v>0</v>
      </c>
      <c r="BF257" s="21" t="n">
        <f aca="false">IF(AND(AD257="فیش مفقودی",AQ257="بله",I257&gt;تنظیمات!$B$12*60),1,0)</f>
        <v>0</v>
      </c>
      <c r="BG257" s="21" t="n">
        <f aca="false">IF(AND(AK257&gt;تنظیمات!$B$11,AL257="بله"),1,0)</f>
        <v>0</v>
      </c>
      <c r="BH257" s="21" t="n">
        <f aca="false">MIN(100,AR257*تنظیمات!$B$21+AS257*تنظیمات!$B$22+AT257*تنظیمات!$B$23+AU257*تنظیمات!$B$24+AV257*تنظیمات!$B$25+AW257*تنظیمات!$B$26+AX257*تنظیمات!$B$27+AY257*تنظیمات!$B$28+AZ257*تنظیمات!$B$29+BA257*تنظیمات!$B$30+BB257*تنظیمات!$B$31+BC257*تنظیمات!$B$32+BD257*تنظیمات!$B$33+BE257*تنظیمات!$B$34+BF257*تنظیمات!$B$35+BG257*تنظیمات!$B$36)</f>
        <v>25</v>
      </c>
      <c r="BI257" s="16" t="str">
        <f aca="false">IF(BH257&gt;=60,"بحرانی",IF(BH257&gt;=30,"مشکوک",IF(BH257&gt;0,"هشدار","عادی")))</f>
        <v>هشدار</v>
      </c>
      <c r="BJ257" s="16" t="s">
        <v>610</v>
      </c>
    </row>
    <row r="258" customFormat="false" ht="15" hidden="false" customHeight="false" outlineLevel="0" collapsed="false">
      <c r="A258" s="16" t="s">
        <v>1247</v>
      </c>
      <c r="B258" s="16" t="s">
        <v>1248</v>
      </c>
      <c r="C258" s="16"/>
      <c r="D258" s="16" t="s">
        <v>350</v>
      </c>
      <c r="E258" s="16" t="s">
        <v>363</v>
      </c>
      <c r="F258" s="16" t="s">
        <v>333</v>
      </c>
      <c r="G258" s="17" t="n">
        <v>46284.6306365741</v>
      </c>
      <c r="H258" s="17" t="n">
        <v>46284.6348032407</v>
      </c>
      <c r="I258" s="18" t="n">
        <f aca="false">IF(H258="",ROUND((تنظیمات!$B$7-G258)*1440,0),ROUND((H258-G258)*1440,0))</f>
        <v>6</v>
      </c>
      <c r="J258" s="16" t="s">
        <v>334</v>
      </c>
      <c r="K258" s="16" t="s">
        <v>410</v>
      </c>
      <c r="L258" s="19" t="n">
        <v>0.969</v>
      </c>
      <c r="M258" s="19" t="n">
        <v>0.97</v>
      </c>
      <c r="N258" s="16" t="s">
        <v>335</v>
      </c>
      <c r="O258" s="16" t="s">
        <v>401</v>
      </c>
      <c r="P258" s="16" t="s">
        <v>420</v>
      </c>
      <c r="Q258" s="20" t="n">
        <v>46284</v>
      </c>
      <c r="R258" s="16" t="s">
        <v>1249</v>
      </c>
      <c r="S258" s="16" t="s">
        <v>404</v>
      </c>
      <c r="T258" s="17"/>
      <c r="U258" s="21" t="n">
        <v>1</v>
      </c>
      <c r="V258" s="21" t="n">
        <v>1</v>
      </c>
      <c r="W258" s="22" t="n">
        <v>3.4</v>
      </c>
      <c r="X258" s="16" t="s">
        <v>335</v>
      </c>
      <c r="Y258" s="16" t="s">
        <v>338</v>
      </c>
      <c r="Z258" s="16" t="s">
        <v>628</v>
      </c>
      <c r="AA258" s="16"/>
      <c r="AB258" s="23"/>
      <c r="AC258" s="17"/>
      <c r="AD258" s="16" t="s">
        <v>338</v>
      </c>
      <c r="AE258" s="16"/>
      <c r="AF258" s="16" t="str">
        <f aca="false">IF(COUNTIF(لیست_سفید!$A$2:$A$21,B258)&gt;0,"بله","خیر")</f>
        <v>خیر</v>
      </c>
      <c r="AG258" s="24" t="n">
        <f aca="false">IF(H258="","",IF(AD258="فیش مفقودی",تنظیمات!$B$6,(INT(I258/1440)*تنظیمات!$B$5+IF(MOD(I258,1440)&lt;=تنظیمات!$B$2,0,MIN(تنظیمات!$B$5,تنظیمات!$B$3+MAX(0,ROUNDUP((MOD(I258,1440)-60)/60,0))*تنظیمات!$B$4)))*INDEX(تعرفه!$B$2:$B$7,MATCH(AD258,تعرفه!$A$2:$A$7,0))))</f>
        <v>0</v>
      </c>
      <c r="AH258" s="24" t="n">
        <v>0</v>
      </c>
      <c r="AI258" s="24" t="n">
        <f aca="false">IF(AG258="","",AH258-AG258)</f>
        <v>0</v>
      </c>
      <c r="AJ258" s="21" t="n">
        <v>-1</v>
      </c>
      <c r="AK258" s="21" t="n">
        <v>0</v>
      </c>
      <c r="AL258" s="16" t="s">
        <v>335</v>
      </c>
      <c r="AM258" s="16"/>
      <c r="AN258" s="16" t="s">
        <v>340</v>
      </c>
      <c r="AO258" s="16" t="s">
        <v>340</v>
      </c>
      <c r="AP258" s="16" t="s">
        <v>335</v>
      </c>
      <c r="AQ258" s="16"/>
      <c r="AR258" s="21" t="n">
        <f aca="false">IF(AND(T258&lt;&gt;"",H258&lt;&gt;""),IF(AND((T258-H258)*86400&gt;=0,(T258-H258)*86400&lt;تنظیمات!$B$13),1,0),0)</f>
        <v>0</v>
      </c>
      <c r="AS258" s="21" t="n">
        <f aca="false">IF(Z258="پوز",IF(OR(AB258="",COUNTIF(پوزها!$A$2:$A$5,AA258)=0),1,0),0)</f>
        <v>0</v>
      </c>
      <c r="AT258" s="21" t="n">
        <f aca="false">IF(AI258="",0,IF(AI258&gt;0,1,0))</f>
        <v>0</v>
      </c>
      <c r="AU258" s="21" t="n">
        <f aca="false">IF(AI258="",0,IF(AI258&lt;0,1,0))</f>
        <v>0</v>
      </c>
      <c r="AV258" s="21" t="n">
        <f aca="false">IF(U258&gt;V258,1,0)</f>
        <v>0</v>
      </c>
      <c r="AW258" s="21" t="n">
        <f aca="false">IF(OR(W258&gt;تنظیمات!$B$8,X258="بله"),1,0)</f>
        <v>0</v>
      </c>
      <c r="AX258" s="21" t="n">
        <f aca="false">IF(AND(N258="بله",L258&gt;تنظیمات!$B$9),1,0)</f>
        <v>0</v>
      </c>
      <c r="AY258" s="21" t="n">
        <f aca="false">IF(Y258="معکوس",1,0)</f>
        <v>0</v>
      </c>
      <c r="AZ258" s="21" t="n">
        <f aca="false">IF(ABS(AJ258)&gt;تنظیمات!$B$10,1,0)</f>
        <v>0</v>
      </c>
      <c r="BA258" s="21" t="n">
        <f aca="false">IF(AND(OR(AD258="رایگان/VIP",AD258="جانباز"),AF258="خیر"),1,0)</f>
        <v>0</v>
      </c>
      <c r="BB258" s="21" t="n">
        <f aca="false">IF(AE258="",0,IF(COUNTIF($AE$2:$AE$1001,AE258)&gt;1,1,0))</f>
        <v>0</v>
      </c>
      <c r="BC258" s="21" t="n">
        <f aca="false">IF(AND(H258="",I258&gt;تنظیمات!$B$12*60,AM258="خالی"),1,0)</f>
        <v>0</v>
      </c>
      <c r="BD258" s="21" t="n">
        <f aca="false">IF(AND(AP258="بله",I258&lt;تنظیمات!$B$14,AO258="خیر"),1,0)</f>
        <v>0</v>
      </c>
      <c r="BE258" s="21" t="n">
        <f aca="false">IF(AN258="خیر",1,0)</f>
        <v>0</v>
      </c>
      <c r="BF258" s="21" t="n">
        <f aca="false">IF(AND(AD258="فیش مفقودی",AQ258="بله",I258&gt;تنظیمات!$B$12*60),1,0)</f>
        <v>0</v>
      </c>
      <c r="BG258" s="21" t="n">
        <f aca="false">IF(AND(AK258&gt;تنظیمات!$B$11,AL258="بله"),1,0)</f>
        <v>0</v>
      </c>
      <c r="BH258" s="21" t="n">
        <f aca="false">MIN(100,AR258*تنظیمات!$B$21+AS258*تنظیمات!$B$22+AT258*تنظیمات!$B$23+AU258*تنظیمات!$B$24+AV258*تنظیمات!$B$25+AW258*تنظیمات!$B$26+AX258*تنظیمات!$B$27+AY258*تنظیمات!$B$28+AZ258*تنظیمات!$B$29+BA258*تنظیمات!$B$30+BB258*تنظیمات!$B$31+BC258*تنظیمات!$B$32+BD258*تنظیمات!$B$33+BE258*تنظیمات!$B$34+BF258*تنظیمات!$B$35+BG258*تنظیمات!$B$36)</f>
        <v>0</v>
      </c>
      <c r="BI258" s="16" t="str">
        <f aca="false">IF(BH258&gt;=60,"بحرانی",IF(BH258&gt;=30,"مشکوک",IF(BH258&gt;0,"هشدار","عادی")))</f>
        <v>عادی</v>
      </c>
      <c r="BJ258" s="16" t="s">
        <v>338</v>
      </c>
    </row>
    <row r="259" customFormat="false" ht="15" hidden="false" customHeight="false" outlineLevel="0" collapsed="false">
      <c r="A259" s="16" t="s">
        <v>1250</v>
      </c>
      <c r="B259" s="16" t="s">
        <v>831</v>
      </c>
      <c r="C259" s="16" t="s">
        <v>1251</v>
      </c>
      <c r="D259" s="16" t="s">
        <v>450</v>
      </c>
      <c r="E259" s="16" t="s">
        <v>345</v>
      </c>
      <c r="F259" s="16" t="s">
        <v>333</v>
      </c>
      <c r="G259" s="17" t="n">
        <v>46284.6312847222</v>
      </c>
      <c r="H259" s="17" t="n">
        <v>46284.6451736111</v>
      </c>
      <c r="I259" s="18" t="n">
        <f aca="false">IF(H259="",ROUND((تنظیمات!$B$7-G259)*1440,0),ROUND((H259-G259)*1440,0))</f>
        <v>20</v>
      </c>
      <c r="J259" s="16" t="s">
        <v>346</v>
      </c>
      <c r="K259" s="16" t="s">
        <v>410</v>
      </c>
      <c r="L259" s="19" t="n">
        <v>0.92</v>
      </c>
      <c r="M259" s="19" t="n">
        <v>0.995</v>
      </c>
      <c r="N259" s="16" t="s">
        <v>340</v>
      </c>
      <c r="O259" s="16" t="s">
        <v>401</v>
      </c>
      <c r="P259" s="16" t="s">
        <v>420</v>
      </c>
      <c r="Q259" s="20" t="n">
        <v>46284</v>
      </c>
      <c r="R259" s="16" t="s">
        <v>1252</v>
      </c>
      <c r="S259" s="16" t="s">
        <v>404</v>
      </c>
      <c r="T259" s="17"/>
      <c r="U259" s="21" t="n">
        <v>1</v>
      </c>
      <c r="V259" s="21" t="n">
        <v>1</v>
      </c>
      <c r="W259" s="22" t="n">
        <v>3.2</v>
      </c>
      <c r="X259" s="16" t="s">
        <v>335</v>
      </c>
      <c r="Y259" s="16" t="s">
        <v>338</v>
      </c>
      <c r="Z259" s="16" t="s">
        <v>413</v>
      </c>
      <c r="AA259" s="16" t="s">
        <v>414</v>
      </c>
      <c r="AB259" s="23" t="s">
        <v>1253</v>
      </c>
      <c r="AC259" s="17" t="n">
        <v>46284.6445601852</v>
      </c>
      <c r="AD259" s="16" t="s">
        <v>338</v>
      </c>
      <c r="AE259" s="16"/>
      <c r="AF259" s="16" t="str">
        <f aca="false">IF(COUNTIF(لیست_سفید!$A$2:$A$21,B259)&gt;0,"بله","خیر")</f>
        <v>خیر</v>
      </c>
      <c r="AG259" s="24" t="n">
        <f aca="false">IF(H259="","",IF(AD259="فیش مفقودی",تنظیمات!$B$6,(INT(I259/1440)*تنظیمات!$B$5+IF(MOD(I259,1440)&lt;=تنظیمات!$B$2,0,MIN(تنظیمات!$B$5,تنظیمات!$B$3+MAX(0,ROUNDUP((MOD(I259,1440)-60)/60,0))*تنظیمات!$B$4)))*INDEX(تعرفه!$B$2:$B$7,MATCH(AD259,تعرفه!$A$2:$A$7,0))))</f>
        <v>20000</v>
      </c>
      <c r="AH259" s="24" t="n">
        <v>20000</v>
      </c>
      <c r="AI259" s="24" t="n">
        <f aca="false">IF(AG259="","",AH259-AG259)</f>
        <v>0</v>
      </c>
      <c r="AJ259" s="21" t="n">
        <v>3</v>
      </c>
      <c r="AK259" s="21" t="n">
        <v>0</v>
      </c>
      <c r="AL259" s="16" t="s">
        <v>335</v>
      </c>
      <c r="AM259" s="16"/>
      <c r="AN259" s="16" t="s">
        <v>340</v>
      </c>
      <c r="AO259" s="16" t="s">
        <v>340</v>
      </c>
      <c r="AP259" s="16" t="s">
        <v>335</v>
      </c>
      <c r="AQ259" s="16"/>
      <c r="AR259" s="21" t="n">
        <f aca="false">IF(AND(T259&lt;&gt;"",H259&lt;&gt;""),IF(AND((T259-H259)*86400&gt;=0,(T259-H259)*86400&lt;تنظیمات!$B$13),1,0),0)</f>
        <v>0</v>
      </c>
      <c r="AS259" s="21" t="n">
        <f aca="false">IF(Z259="پوز",IF(OR(AB259="",COUNTIF(پوزها!$A$2:$A$5,AA259)=0),1,0),0)</f>
        <v>0</v>
      </c>
      <c r="AT259" s="21" t="n">
        <f aca="false">IF(AI259="",0,IF(AI259&gt;0,1,0))</f>
        <v>0</v>
      </c>
      <c r="AU259" s="21" t="n">
        <f aca="false">IF(AI259="",0,IF(AI259&lt;0,1,0))</f>
        <v>0</v>
      </c>
      <c r="AV259" s="21" t="n">
        <f aca="false">IF(U259&gt;V259,1,0)</f>
        <v>0</v>
      </c>
      <c r="AW259" s="21" t="n">
        <f aca="false">IF(OR(W259&gt;تنظیمات!$B$8,X259="بله"),1,0)</f>
        <v>0</v>
      </c>
      <c r="AX259" s="21" t="n">
        <f aca="false">IF(AND(N259="بله",L259&gt;تنظیمات!$B$9),1,0)</f>
        <v>1</v>
      </c>
      <c r="AY259" s="21" t="n">
        <f aca="false">IF(Y259="معکوس",1,0)</f>
        <v>0</v>
      </c>
      <c r="AZ259" s="21" t="n">
        <f aca="false">IF(ABS(AJ259)&gt;تنظیمات!$B$10,1,0)</f>
        <v>0</v>
      </c>
      <c r="BA259" s="21" t="n">
        <f aca="false">IF(AND(OR(AD259="رایگان/VIP",AD259="جانباز"),AF259="خیر"),1,0)</f>
        <v>0</v>
      </c>
      <c r="BB259" s="21" t="n">
        <f aca="false">IF(AE259="",0,IF(COUNTIF($AE$2:$AE$1001,AE259)&gt;1,1,0))</f>
        <v>0</v>
      </c>
      <c r="BC259" s="21" t="n">
        <f aca="false">IF(AND(H259="",I259&gt;تنظیمات!$B$12*60,AM259="خالی"),1,0)</f>
        <v>0</v>
      </c>
      <c r="BD259" s="21" t="n">
        <f aca="false">IF(AND(AP259="بله",I259&lt;تنظیمات!$B$14,AO259="خیر"),1,0)</f>
        <v>0</v>
      </c>
      <c r="BE259" s="21" t="n">
        <f aca="false">IF(AN259="خیر",1,0)</f>
        <v>0</v>
      </c>
      <c r="BF259" s="21" t="n">
        <f aca="false">IF(AND(AD259="فیش مفقودی",AQ259="بله",I259&gt;تنظیمات!$B$12*60),1,0)</f>
        <v>0</v>
      </c>
      <c r="BG259" s="21" t="n">
        <f aca="false">IF(AND(AK259&gt;تنظیمات!$B$11,AL259="بله"),1,0)</f>
        <v>0</v>
      </c>
      <c r="BH259" s="21" t="n">
        <f aca="false">MIN(100,AR259*تنظیمات!$B$21+AS259*تنظیمات!$B$22+AT259*تنظیمات!$B$23+AU259*تنظیمات!$B$24+AV259*تنظیمات!$B$25+AW259*تنظیمات!$B$26+AX259*تنظیمات!$B$27+AY259*تنظیمات!$B$28+AZ259*تنظیمات!$B$29+BA259*تنظیمات!$B$30+BB259*تنظیمات!$B$31+BC259*تنظیمات!$B$32+BD259*تنظیمات!$B$33+BE259*تنظیمات!$B$34+BF259*تنظیمات!$B$35+BG259*تنظیمات!$B$36)</f>
        <v>30</v>
      </c>
      <c r="BI259" s="16" t="str">
        <f aca="false">IF(BH259&gt;=60,"بحرانی",IF(BH259&gt;=30,"مشکوک",IF(BH259&gt;0,"هشدار","عادی")))</f>
        <v>مشکوک</v>
      </c>
      <c r="BJ259" s="16" t="s">
        <v>622</v>
      </c>
    </row>
    <row r="260" customFormat="false" ht="15" hidden="false" customHeight="false" outlineLevel="0" collapsed="false">
      <c r="A260" s="16" t="s">
        <v>1254</v>
      </c>
      <c r="B260" s="16" t="s">
        <v>1255</v>
      </c>
      <c r="C260" s="16"/>
      <c r="D260" s="16" t="s">
        <v>523</v>
      </c>
      <c r="E260" s="16" t="s">
        <v>390</v>
      </c>
      <c r="F260" s="16" t="s">
        <v>333</v>
      </c>
      <c r="G260" s="17" t="n">
        <v>46284.6324537037</v>
      </c>
      <c r="H260" s="17" t="n">
        <v>46284.6817592593</v>
      </c>
      <c r="I260" s="18" t="n">
        <f aca="false">IF(H260="",ROUND((تنظیمات!$B$7-G260)*1440,0),ROUND((H260-G260)*1440,0))</f>
        <v>71</v>
      </c>
      <c r="J260" s="16" t="s">
        <v>346</v>
      </c>
      <c r="K260" s="16" t="s">
        <v>410</v>
      </c>
      <c r="L260" s="19" t="n">
        <v>0.939</v>
      </c>
      <c r="M260" s="19" t="n">
        <v>0.928</v>
      </c>
      <c r="N260" s="16" t="s">
        <v>335</v>
      </c>
      <c r="O260" s="16" t="s">
        <v>401</v>
      </c>
      <c r="P260" s="16" t="s">
        <v>420</v>
      </c>
      <c r="Q260" s="20" t="n">
        <v>46284</v>
      </c>
      <c r="R260" s="16" t="s">
        <v>1256</v>
      </c>
      <c r="S260" s="16" t="s">
        <v>404</v>
      </c>
      <c r="T260" s="17"/>
      <c r="U260" s="21" t="n">
        <v>1</v>
      </c>
      <c r="V260" s="21" t="n">
        <v>1</v>
      </c>
      <c r="W260" s="22" t="n">
        <v>4.2</v>
      </c>
      <c r="X260" s="16" t="s">
        <v>335</v>
      </c>
      <c r="Y260" s="16" t="s">
        <v>338</v>
      </c>
      <c r="Z260" s="16" t="s">
        <v>405</v>
      </c>
      <c r="AA260" s="16"/>
      <c r="AB260" s="23"/>
      <c r="AC260" s="17"/>
      <c r="AD260" s="16" t="s">
        <v>338</v>
      </c>
      <c r="AE260" s="16"/>
      <c r="AF260" s="16" t="str">
        <f aca="false">IF(COUNTIF(لیست_سفید!$A$2:$A$21,B260)&gt;0,"بله","خیر")</f>
        <v>خیر</v>
      </c>
      <c r="AG260" s="24" t="n">
        <f aca="false">IF(H260="","",IF(AD260="فیش مفقودی",تنظیمات!$B$6,(INT(I260/1440)*تنظیمات!$B$5+IF(MOD(I260,1440)&lt;=تنظیمات!$B$2,0,MIN(تنظیمات!$B$5,تنظیمات!$B$3+MAX(0,ROUNDUP((MOD(I260,1440)-60)/60,0))*تنظیمات!$B$4)))*INDEX(تعرفه!$B$2:$B$7,MATCH(AD260,تعرفه!$A$2:$A$7,0))))</f>
        <v>34000</v>
      </c>
      <c r="AH260" s="24" t="n">
        <v>34000</v>
      </c>
      <c r="AI260" s="24" t="n">
        <f aca="false">IF(AG260="","",AH260-AG260)</f>
        <v>0</v>
      </c>
      <c r="AJ260" s="21" t="n">
        <v>-2</v>
      </c>
      <c r="AK260" s="21" t="n">
        <v>0</v>
      </c>
      <c r="AL260" s="16" t="s">
        <v>335</v>
      </c>
      <c r="AM260" s="16"/>
      <c r="AN260" s="16" t="s">
        <v>340</v>
      </c>
      <c r="AO260" s="16" t="s">
        <v>340</v>
      </c>
      <c r="AP260" s="16" t="s">
        <v>335</v>
      </c>
      <c r="AQ260" s="16"/>
      <c r="AR260" s="21" t="n">
        <f aca="false">IF(AND(T260&lt;&gt;"",H260&lt;&gt;""),IF(AND((T260-H260)*86400&gt;=0,(T260-H260)*86400&lt;تنظیمات!$B$13),1,0),0)</f>
        <v>0</v>
      </c>
      <c r="AS260" s="21" t="n">
        <f aca="false">IF(Z260="پوز",IF(OR(AB260="",COUNTIF(پوزها!$A$2:$A$5,AA260)=0),1,0),0)</f>
        <v>0</v>
      </c>
      <c r="AT260" s="21" t="n">
        <f aca="false">IF(AI260="",0,IF(AI260&gt;0,1,0))</f>
        <v>0</v>
      </c>
      <c r="AU260" s="21" t="n">
        <f aca="false">IF(AI260="",0,IF(AI260&lt;0,1,0))</f>
        <v>0</v>
      </c>
      <c r="AV260" s="21" t="n">
        <f aca="false">IF(U260&gt;V260,1,0)</f>
        <v>0</v>
      </c>
      <c r="AW260" s="21" t="n">
        <f aca="false">IF(OR(W260&gt;تنظیمات!$B$8,X260="بله"),1,0)</f>
        <v>0</v>
      </c>
      <c r="AX260" s="21" t="n">
        <f aca="false">IF(AND(N260="بله",L260&gt;تنظیمات!$B$9),1,0)</f>
        <v>0</v>
      </c>
      <c r="AY260" s="21" t="n">
        <f aca="false">IF(Y260="معکوس",1,0)</f>
        <v>0</v>
      </c>
      <c r="AZ260" s="21" t="n">
        <f aca="false">IF(ABS(AJ260)&gt;تنظیمات!$B$10,1,0)</f>
        <v>0</v>
      </c>
      <c r="BA260" s="21" t="n">
        <f aca="false">IF(AND(OR(AD260="رایگان/VIP",AD260="جانباز"),AF260="خیر"),1,0)</f>
        <v>0</v>
      </c>
      <c r="BB260" s="21" t="n">
        <f aca="false">IF(AE260="",0,IF(COUNTIF($AE$2:$AE$1001,AE260)&gt;1,1,0))</f>
        <v>0</v>
      </c>
      <c r="BC260" s="21" t="n">
        <f aca="false">IF(AND(H260="",I260&gt;تنظیمات!$B$12*60,AM260="خالی"),1,0)</f>
        <v>0</v>
      </c>
      <c r="BD260" s="21" t="n">
        <f aca="false">IF(AND(AP260="بله",I260&lt;تنظیمات!$B$14,AO260="خیر"),1,0)</f>
        <v>0</v>
      </c>
      <c r="BE260" s="21" t="n">
        <f aca="false">IF(AN260="خیر",1,0)</f>
        <v>0</v>
      </c>
      <c r="BF260" s="21" t="n">
        <f aca="false">IF(AND(AD260="فیش مفقودی",AQ260="بله",I260&gt;تنظیمات!$B$12*60),1,0)</f>
        <v>0</v>
      </c>
      <c r="BG260" s="21" t="n">
        <f aca="false">IF(AND(AK260&gt;تنظیمات!$B$11,AL260="بله"),1,0)</f>
        <v>0</v>
      </c>
      <c r="BH260" s="21" t="n">
        <f aca="false">MIN(100,AR260*تنظیمات!$B$21+AS260*تنظیمات!$B$22+AT260*تنظیمات!$B$23+AU260*تنظیمات!$B$24+AV260*تنظیمات!$B$25+AW260*تنظیمات!$B$26+AX260*تنظیمات!$B$27+AY260*تنظیمات!$B$28+AZ260*تنظیمات!$B$29+BA260*تنظیمات!$B$30+BB260*تنظیمات!$B$31+BC260*تنظیمات!$B$32+BD260*تنظیمات!$B$33+BE260*تنظیمات!$B$34+BF260*تنظیمات!$B$35+BG260*تنظیمات!$B$36)</f>
        <v>0</v>
      </c>
      <c r="BI260" s="16" t="str">
        <f aca="false">IF(BH260&gt;=60,"بحرانی",IF(BH260&gt;=30,"مشکوک",IF(BH260&gt;0,"هشدار","عادی")))</f>
        <v>عادی</v>
      </c>
      <c r="BJ260" s="16" t="s">
        <v>338</v>
      </c>
    </row>
    <row r="261" customFormat="false" ht="15" hidden="false" customHeight="false" outlineLevel="0" collapsed="false">
      <c r="A261" s="16" t="s">
        <v>1257</v>
      </c>
      <c r="B261" s="16" t="s">
        <v>567</v>
      </c>
      <c r="C261" s="16"/>
      <c r="D261" s="16" t="s">
        <v>331</v>
      </c>
      <c r="E261" s="16" t="s">
        <v>390</v>
      </c>
      <c r="F261" s="16" t="s">
        <v>333</v>
      </c>
      <c r="G261" s="17" t="n">
        <v>46284.6327662037</v>
      </c>
      <c r="H261" s="17" t="n">
        <v>46284.7445717593</v>
      </c>
      <c r="I261" s="18" t="n">
        <f aca="false">IF(H261="",ROUND((تنظیمات!$B$7-G261)*1440,0),ROUND((H261-G261)*1440,0))</f>
        <v>161</v>
      </c>
      <c r="J261" s="16" t="s">
        <v>346</v>
      </c>
      <c r="K261" s="16" t="s">
        <v>410</v>
      </c>
      <c r="L261" s="19" t="n">
        <v>0.938</v>
      </c>
      <c r="M261" s="19" t="n">
        <v>0.921</v>
      </c>
      <c r="N261" s="16" t="s">
        <v>335</v>
      </c>
      <c r="O261" s="16" t="s">
        <v>401</v>
      </c>
      <c r="P261" s="16" t="s">
        <v>420</v>
      </c>
      <c r="Q261" s="20" t="n">
        <v>46284</v>
      </c>
      <c r="R261" s="16" t="s">
        <v>1258</v>
      </c>
      <c r="S261" s="16" t="s">
        <v>404</v>
      </c>
      <c r="T261" s="17"/>
      <c r="U261" s="21" t="n">
        <v>1</v>
      </c>
      <c r="V261" s="21" t="n">
        <v>1</v>
      </c>
      <c r="W261" s="22" t="n">
        <v>5.7</v>
      </c>
      <c r="X261" s="16" t="s">
        <v>335</v>
      </c>
      <c r="Y261" s="16" t="s">
        <v>338</v>
      </c>
      <c r="Z261" s="16" t="s">
        <v>465</v>
      </c>
      <c r="AA261" s="16"/>
      <c r="AB261" s="23"/>
      <c r="AC261" s="17"/>
      <c r="AD261" s="16" t="s">
        <v>466</v>
      </c>
      <c r="AE261" s="16"/>
      <c r="AF261" s="16" t="str">
        <f aca="false">IF(COUNTIF(لیست_سفید!$A$2:$A$21,B261)&gt;0,"بله","خیر")</f>
        <v>بله</v>
      </c>
      <c r="AG261" s="24" t="n">
        <f aca="false">IF(H261="","",IF(AD261="فیش مفقودی",تنظیمات!$B$6,(INT(I261/1440)*تنظیمات!$B$5+IF(MOD(I261,1440)&lt;=تنظیمات!$B$2,0,MIN(تنظیمات!$B$5,تنظیمات!$B$3+MAX(0,ROUNDUP((MOD(I261,1440)-60)/60,0))*تنظیمات!$B$4)))*INDEX(تعرفه!$B$2:$B$7,MATCH(AD261,تعرفه!$A$2:$A$7,0))))</f>
        <v>0</v>
      </c>
      <c r="AH261" s="24" t="n">
        <v>0</v>
      </c>
      <c r="AI261" s="24" t="n">
        <f aca="false">IF(AG261="","",AH261-AG261)</f>
        <v>0</v>
      </c>
      <c r="AJ261" s="21" t="n">
        <v>1</v>
      </c>
      <c r="AK261" s="21" t="n">
        <v>0</v>
      </c>
      <c r="AL261" s="16" t="s">
        <v>335</v>
      </c>
      <c r="AM261" s="16"/>
      <c r="AN261" s="16" t="s">
        <v>340</v>
      </c>
      <c r="AO261" s="16" t="s">
        <v>340</v>
      </c>
      <c r="AP261" s="16" t="s">
        <v>335</v>
      </c>
      <c r="AQ261" s="16"/>
      <c r="AR261" s="21" t="n">
        <f aca="false">IF(AND(T261&lt;&gt;"",H261&lt;&gt;""),IF(AND((T261-H261)*86400&gt;=0,(T261-H261)*86400&lt;تنظیمات!$B$13),1,0),0)</f>
        <v>0</v>
      </c>
      <c r="AS261" s="21" t="n">
        <f aca="false">IF(Z261="پوز",IF(OR(AB261="",COUNTIF(پوزها!$A$2:$A$5,AA261)=0),1,0),0)</f>
        <v>0</v>
      </c>
      <c r="AT261" s="21" t="n">
        <f aca="false">IF(AI261="",0,IF(AI261&gt;0,1,0))</f>
        <v>0</v>
      </c>
      <c r="AU261" s="21" t="n">
        <f aca="false">IF(AI261="",0,IF(AI261&lt;0,1,0))</f>
        <v>0</v>
      </c>
      <c r="AV261" s="21" t="n">
        <f aca="false">IF(U261&gt;V261,1,0)</f>
        <v>0</v>
      </c>
      <c r="AW261" s="21" t="n">
        <f aca="false">IF(OR(W261&gt;تنظیمات!$B$8,X261="بله"),1,0)</f>
        <v>0</v>
      </c>
      <c r="AX261" s="21" t="n">
        <f aca="false">IF(AND(N261="بله",L261&gt;تنظیمات!$B$9),1,0)</f>
        <v>0</v>
      </c>
      <c r="AY261" s="21" t="n">
        <f aca="false">IF(Y261="معکوس",1,0)</f>
        <v>0</v>
      </c>
      <c r="AZ261" s="21" t="n">
        <f aca="false">IF(ABS(AJ261)&gt;تنظیمات!$B$10,1,0)</f>
        <v>0</v>
      </c>
      <c r="BA261" s="21" t="n">
        <f aca="false">IF(AND(OR(AD261="رایگان/VIP",AD261="جانباز"),AF261="خیر"),1,0)</f>
        <v>0</v>
      </c>
      <c r="BB261" s="21" t="n">
        <f aca="false">IF(AE261="",0,IF(COUNTIF($AE$2:$AE$1001,AE261)&gt;1,1,0))</f>
        <v>0</v>
      </c>
      <c r="BC261" s="21" t="n">
        <f aca="false">IF(AND(H261="",I261&gt;تنظیمات!$B$12*60,AM261="خالی"),1,0)</f>
        <v>0</v>
      </c>
      <c r="BD261" s="21" t="n">
        <f aca="false">IF(AND(AP261="بله",I261&lt;تنظیمات!$B$14,AO261="خیر"),1,0)</f>
        <v>0</v>
      </c>
      <c r="BE261" s="21" t="n">
        <f aca="false">IF(AN261="خیر",1,0)</f>
        <v>0</v>
      </c>
      <c r="BF261" s="21" t="n">
        <f aca="false">IF(AND(AD261="فیش مفقودی",AQ261="بله",I261&gt;تنظیمات!$B$12*60),1,0)</f>
        <v>0</v>
      </c>
      <c r="BG261" s="21" t="n">
        <f aca="false">IF(AND(AK261&gt;تنظیمات!$B$11,AL261="بله"),1,0)</f>
        <v>0</v>
      </c>
      <c r="BH261" s="21" t="n">
        <f aca="false">MIN(100,AR261*تنظیمات!$B$21+AS261*تنظیمات!$B$22+AT261*تنظیمات!$B$23+AU261*تنظیمات!$B$24+AV261*تنظیمات!$B$25+AW261*تنظیمات!$B$26+AX261*تنظیمات!$B$27+AY261*تنظیمات!$B$28+AZ261*تنظیمات!$B$29+BA261*تنظیمات!$B$30+BB261*تنظیمات!$B$31+BC261*تنظیمات!$B$32+BD261*تنظیمات!$B$33+BE261*تنظیمات!$B$34+BF261*تنظیمات!$B$35+BG261*تنظیمات!$B$36)</f>
        <v>0</v>
      </c>
      <c r="BI261" s="16" t="str">
        <f aca="false">IF(BH261&gt;=60,"بحرانی",IF(BH261&gt;=30,"مشکوک",IF(BH261&gt;0,"هشدار","عادی")))</f>
        <v>عادی</v>
      </c>
      <c r="BJ261" s="16" t="s">
        <v>338</v>
      </c>
    </row>
    <row r="262" customFormat="false" ht="15" hidden="false" customHeight="false" outlineLevel="0" collapsed="false">
      <c r="A262" s="16" t="s">
        <v>1259</v>
      </c>
      <c r="B262" s="16" t="s">
        <v>669</v>
      </c>
      <c r="C262" s="16"/>
      <c r="D262" s="16" t="s">
        <v>508</v>
      </c>
      <c r="E262" s="16" t="s">
        <v>390</v>
      </c>
      <c r="F262" s="16" t="s">
        <v>333</v>
      </c>
      <c r="G262" s="17" t="n">
        <v>46284.6355092593</v>
      </c>
      <c r="H262" s="17" t="n">
        <v>46284.700787037</v>
      </c>
      <c r="I262" s="18" t="n">
        <f aca="false">IF(H262="",ROUND((تنظیمات!$B$7-G262)*1440,0),ROUND((H262-G262)*1440,0))</f>
        <v>94</v>
      </c>
      <c r="J262" s="16" t="s">
        <v>334</v>
      </c>
      <c r="K262" s="16" t="s">
        <v>400</v>
      </c>
      <c r="L262" s="19" t="n">
        <v>0.979</v>
      </c>
      <c r="M262" s="19" t="n">
        <v>0.88</v>
      </c>
      <c r="N262" s="16" t="s">
        <v>335</v>
      </c>
      <c r="O262" s="16" t="s">
        <v>411</v>
      </c>
      <c r="P262" s="16" t="s">
        <v>420</v>
      </c>
      <c r="Q262" s="20" t="n">
        <v>46284</v>
      </c>
      <c r="R262" s="16" t="s">
        <v>1260</v>
      </c>
      <c r="S262" s="16" t="s">
        <v>404</v>
      </c>
      <c r="T262" s="17"/>
      <c r="U262" s="21" t="n">
        <v>1</v>
      </c>
      <c r="V262" s="21" t="n">
        <v>1</v>
      </c>
      <c r="W262" s="22" t="n">
        <v>4.4</v>
      </c>
      <c r="X262" s="16" t="s">
        <v>335</v>
      </c>
      <c r="Y262" s="16" t="s">
        <v>338</v>
      </c>
      <c r="Z262" s="16" t="s">
        <v>413</v>
      </c>
      <c r="AA262" s="16" t="s">
        <v>427</v>
      </c>
      <c r="AB262" s="23" t="s">
        <v>1261</v>
      </c>
      <c r="AC262" s="17" t="n">
        <v>46284.7003472222</v>
      </c>
      <c r="AD262" s="16" t="s">
        <v>338</v>
      </c>
      <c r="AE262" s="16"/>
      <c r="AF262" s="16" t="str">
        <f aca="false">IF(COUNTIF(لیست_سفید!$A$2:$A$21,B262)&gt;0,"بله","خیر")</f>
        <v>خیر</v>
      </c>
      <c r="AG262" s="24" t="n">
        <f aca="false">IF(H262="","",IF(AD262="فیش مفقودی",تنظیمات!$B$6,(INT(I262/1440)*تنظیمات!$B$5+IF(MOD(I262,1440)&lt;=تنظیمات!$B$2,0,MIN(تنظیمات!$B$5,تنظیمات!$B$3+MAX(0,ROUNDUP((MOD(I262,1440)-60)/60,0))*تنظیمات!$B$4)))*INDEX(تعرفه!$B$2:$B$7,MATCH(AD262,تعرفه!$A$2:$A$7,0))))</f>
        <v>34000</v>
      </c>
      <c r="AH262" s="24" t="n">
        <v>34000</v>
      </c>
      <c r="AI262" s="24" t="n">
        <f aca="false">IF(AG262="","",AH262-AG262)</f>
        <v>0</v>
      </c>
      <c r="AJ262" s="21" t="n">
        <v>0</v>
      </c>
      <c r="AK262" s="21" t="n">
        <v>0</v>
      </c>
      <c r="AL262" s="16" t="s">
        <v>335</v>
      </c>
      <c r="AM262" s="16"/>
      <c r="AN262" s="16" t="s">
        <v>340</v>
      </c>
      <c r="AO262" s="16" t="s">
        <v>340</v>
      </c>
      <c r="AP262" s="16" t="s">
        <v>335</v>
      </c>
      <c r="AQ262" s="16"/>
      <c r="AR262" s="21" t="n">
        <f aca="false">IF(AND(T262&lt;&gt;"",H262&lt;&gt;""),IF(AND((T262-H262)*86400&gt;=0,(T262-H262)*86400&lt;تنظیمات!$B$13),1,0),0)</f>
        <v>0</v>
      </c>
      <c r="AS262" s="21" t="n">
        <f aca="false">IF(Z262="پوز",IF(OR(AB262="",COUNTIF(پوزها!$A$2:$A$5,AA262)=0),1,0),0)</f>
        <v>0</v>
      </c>
      <c r="AT262" s="21" t="n">
        <f aca="false">IF(AI262="",0,IF(AI262&gt;0,1,0))</f>
        <v>0</v>
      </c>
      <c r="AU262" s="21" t="n">
        <f aca="false">IF(AI262="",0,IF(AI262&lt;0,1,0))</f>
        <v>0</v>
      </c>
      <c r="AV262" s="21" t="n">
        <f aca="false">IF(U262&gt;V262,1,0)</f>
        <v>0</v>
      </c>
      <c r="AW262" s="21" t="n">
        <f aca="false">IF(OR(W262&gt;تنظیمات!$B$8,X262="بله"),1,0)</f>
        <v>0</v>
      </c>
      <c r="AX262" s="21" t="n">
        <f aca="false">IF(AND(N262="بله",L262&gt;تنظیمات!$B$9),1,0)</f>
        <v>0</v>
      </c>
      <c r="AY262" s="21" t="n">
        <f aca="false">IF(Y262="معکوس",1,0)</f>
        <v>0</v>
      </c>
      <c r="AZ262" s="21" t="n">
        <f aca="false">IF(ABS(AJ262)&gt;تنظیمات!$B$10,1,0)</f>
        <v>0</v>
      </c>
      <c r="BA262" s="21" t="n">
        <f aca="false">IF(AND(OR(AD262="رایگان/VIP",AD262="جانباز"),AF262="خیر"),1,0)</f>
        <v>0</v>
      </c>
      <c r="BB262" s="21" t="n">
        <f aca="false">IF(AE262="",0,IF(COUNTIF($AE$2:$AE$1001,AE262)&gt;1,1,0))</f>
        <v>0</v>
      </c>
      <c r="BC262" s="21" t="n">
        <f aca="false">IF(AND(H262="",I262&gt;تنظیمات!$B$12*60,AM262="خالی"),1,0)</f>
        <v>0</v>
      </c>
      <c r="BD262" s="21" t="n">
        <f aca="false">IF(AND(AP262="بله",I262&lt;تنظیمات!$B$14,AO262="خیر"),1,0)</f>
        <v>0</v>
      </c>
      <c r="BE262" s="21" t="n">
        <f aca="false">IF(AN262="خیر",1,0)</f>
        <v>0</v>
      </c>
      <c r="BF262" s="21" t="n">
        <f aca="false">IF(AND(AD262="فیش مفقودی",AQ262="بله",I262&gt;تنظیمات!$B$12*60),1,0)</f>
        <v>0</v>
      </c>
      <c r="BG262" s="21" t="n">
        <f aca="false">IF(AND(AK262&gt;تنظیمات!$B$11,AL262="بله"),1,0)</f>
        <v>0</v>
      </c>
      <c r="BH262" s="21" t="n">
        <f aca="false">MIN(100,AR262*تنظیمات!$B$21+AS262*تنظیمات!$B$22+AT262*تنظیمات!$B$23+AU262*تنظیمات!$B$24+AV262*تنظیمات!$B$25+AW262*تنظیمات!$B$26+AX262*تنظیمات!$B$27+AY262*تنظیمات!$B$28+AZ262*تنظیمات!$B$29+BA262*تنظیمات!$B$30+BB262*تنظیمات!$B$31+BC262*تنظیمات!$B$32+BD262*تنظیمات!$B$33+BE262*تنظیمات!$B$34+BF262*تنظیمات!$B$35+BG262*تنظیمات!$B$36)</f>
        <v>0</v>
      </c>
      <c r="BI262" s="16" t="str">
        <f aca="false">IF(BH262&gt;=60,"بحرانی",IF(BH262&gt;=30,"مشکوک",IF(BH262&gt;0,"هشدار","عادی")))</f>
        <v>عادی</v>
      </c>
      <c r="BJ262" s="16" t="s">
        <v>338</v>
      </c>
    </row>
    <row r="263" customFormat="false" ht="15" hidden="false" customHeight="false" outlineLevel="0" collapsed="false">
      <c r="A263" s="16" t="s">
        <v>1262</v>
      </c>
      <c r="B263" s="16" t="s">
        <v>1263</v>
      </c>
      <c r="C263" s="16"/>
      <c r="D263" s="16" t="s">
        <v>382</v>
      </c>
      <c r="E263" s="16" t="s">
        <v>351</v>
      </c>
      <c r="F263" s="16" t="s">
        <v>333</v>
      </c>
      <c r="G263" s="17" t="n">
        <v>46284.6376851852</v>
      </c>
      <c r="H263" s="17" t="n">
        <v>46284.7418518519</v>
      </c>
      <c r="I263" s="18" t="n">
        <f aca="false">IF(H263="",ROUND((تنظیمات!$B$7-G263)*1440,0),ROUND((H263-G263)*1440,0))</f>
        <v>150</v>
      </c>
      <c r="J263" s="16" t="s">
        <v>346</v>
      </c>
      <c r="K263" s="16" t="s">
        <v>400</v>
      </c>
      <c r="L263" s="19" t="n">
        <v>0.955</v>
      </c>
      <c r="M263" s="19" t="n">
        <v>0.913</v>
      </c>
      <c r="N263" s="16" t="s">
        <v>335</v>
      </c>
      <c r="O263" s="16" t="s">
        <v>411</v>
      </c>
      <c r="P263" s="16" t="s">
        <v>420</v>
      </c>
      <c r="Q263" s="20" t="n">
        <v>46284</v>
      </c>
      <c r="R263" s="16" t="s">
        <v>1264</v>
      </c>
      <c r="S263" s="16" t="s">
        <v>404</v>
      </c>
      <c r="T263" s="17"/>
      <c r="U263" s="21" t="n">
        <v>1</v>
      </c>
      <c r="V263" s="21" t="n">
        <v>1</v>
      </c>
      <c r="W263" s="22" t="n">
        <v>4.4</v>
      </c>
      <c r="X263" s="16" t="s">
        <v>335</v>
      </c>
      <c r="Y263" s="16" t="s">
        <v>338</v>
      </c>
      <c r="Z263" s="16" t="s">
        <v>413</v>
      </c>
      <c r="AA263" s="16" t="s">
        <v>427</v>
      </c>
      <c r="AB263" s="23" t="s">
        <v>1265</v>
      </c>
      <c r="AC263" s="17" t="n">
        <v>46284.7410300926</v>
      </c>
      <c r="AD263" s="16" t="s">
        <v>338</v>
      </c>
      <c r="AE263" s="16"/>
      <c r="AF263" s="16" t="str">
        <f aca="false">IF(COUNTIF(لیست_سفید!$A$2:$A$21,B263)&gt;0,"بله","خیر")</f>
        <v>خیر</v>
      </c>
      <c r="AG263" s="24" t="n">
        <f aca="false">IF(H263="","",IF(AD263="فیش مفقودی",تنظیمات!$B$6,(INT(I263/1440)*تنظیمات!$B$5+IF(MOD(I263,1440)&lt;=تنظیمات!$B$2,0,MIN(تنظیمات!$B$5,تنظیمات!$B$3+MAX(0,ROUNDUP((MOD(I263,1440)-60)/60,0))*تنظیمات!$B$4)))*INDEX(تعرفه!$B$2:$B$7,MATCH(AD263,تعرفه!$A$2:$A$7,0))))</f>
        <v>48000</v>
      </c>
      <c r="AH263" s="24" t="n">
        <v>48000</v>
      </c>
      <c r="AI263" s="24" t="n">
        <f aca="false">IF(AG263="","",AH263-AG263)</f>
        <v>0</v>
      </c>
      <c r="AJ263" s="21" t="n">
        <v>-2</v>
      </c>
      <c r="AK263" s="21" t="n">
        <v>0</v>
      </c>
      <c r="AL263" s="16" t="s">
        <v>335</v>
      </c>
      <c r="AM263" s="16"/>
      <c r="AN263" s="16" t="s">
        <v>340</v>
      </c>
      <c r="AO263" s="16" t="s">
        <v>340</v>
      </c>
      <c r="AP263" s="16" t="s">
        <v>335</v>
      </c>
      <c r="AQ263" s="16"/>
      <c r="AR263" s="21" t="n">
        <f aca="false">IF(AND(T263&lt;&gt;"",H263&lt;&gt;""),IF(AND((T263-H263)*86400&gt;=0,(T263-H263)*86400&lt;تنظیمات!$B$13),1,0),0)</f>
        <v>0</v>
      </c>
      <c r="AS263" s="21" t="n">
        <f aca="false">IF(Z263="پوز",IF(OR(AB263="",COUNTIF(پوزها!$A$2:$A$5,AA263)=0),1,0),0)</f>
        <v>0</v>
      </c>
      <c r="AT263" s="21" t="n">
        <f aca="false">IF(AI263="",0,IF(AI263&gt;0,1,0))</f>
        <v>0</v>
      </c>
      <c r="AU263" s="21" t="n">
        <f aca="false">IF(AI263="",0,IF(AI263&lt;0,1,0))</f>
        <v>0</v>
      </c>
      <c r="AV263" s="21" t="n">
        <f aca="false">IF(U263&gt;V263,1,0)</f>
        <v>0</v>
      </c>
      <c r="AW263" s="21" t="n">
        <f aca="false">IF(OR(W263&gt;تنظیمات!$B$8,X263="بله"),1,0)</f>
        <v>0</v>
      </c>
      <c r="AX263" s="21" t="n">
        <f aca="false">IF(AND(N263="بله",L263&gt;تنظیمات!$B$9),1,0)</f>
        <v>0</v>
      </c>
      <c r="AY263" s="21" t="n">
        <f aca="false">IF(Y263="معکوس",1,0)</f>
        <v>0</v>
      </c>
      <c r="AZ263" s="21" t="n">
        <f aca="false">IF(ABS(AJ263)&gt;تنظیمات!$B$10,1,0)</f>
        <v>0</v>
      </c>
      <c r="BA263" s="21" t="n">
        <f aca="false">IF(AND(OR(AD263="رایگان/VIP",AD263="جانباز"),AF263="خیر"),1,0)</f>
        <v>0</v>
      </c>
      <c r="BB263" s="21" t="n">
        <f aca="false">IF(AE263="",0,IF(COUNTIF($AE$2:$AE$1001,AE263)&gt;1,1,0))</f>
        <v>0</v>
      </c>
      <c r="BC263" s="21" t="n">
        <f aca="false">IF(AND(H263="",I263&gt;تنظیمات!$B$12*60,AM263="خالی"),1,0)</f>
        <v>0</v>
      </c>
      <c r="BD263" s="21" t="n">
        <f aca="false">IF(AND(AP263="بله",I263&lt;تنظیمات!$B$14,AO263="خیر"),1,0)</f>
        <v>0</v>
      </c>
      <c r="BE263" s="21" t="n">
        <f aca="false">IF(AN263="خیر",1,0)</f>
        <v>0</v>
      </c>
      <c r="BF263" s="21" t="n">
        <f aca="false">IF(AND(AD263="فیش مفقودی",AQ263="بله",I263&gt;تنظیمات!$B$12*60),1,0)</f>
        <v>0</v>
      </c>
      <c r="BG263" s="21" t="n">
        <f aca="false">IF(AND(AK263&gt;تنظیمات!$B$11,AL263="بله"),1,0)</f>
        <v>0</v>
      </c>
      <c r="BH263" s="21" t="n">
        <f aca="false">MIN(100,AR263*تنظیمات!$B$21+AS263*تنظیمات!$B$22+AT263*تنظیمات!$B$23+AU263*تنظیمات!$B$24+AV263*تنظیمات!$B$25+AW263*تنظیمات!$B$26+AX263*تنظیمات!$B$27+AY263*تنظیمات!$B$28+AZ263*تنظیمات!$B$29+BA263*تنظیمات!$B$30+BB263*تنظیمات!$B$31+BC263*تنظیمات!$B$32+BD263*تنظیمات!$B$33+BE263*تنظیمات!$B$34+BF263*تنظیمات!$B$35+BG263*تنظیمات!$B$36)</f>
        <v>0</v>
      </c>
      <c r="BI263" s="16" t="str">
        <f aca="false">IF(BH263&gt;=60,"بحرانی",IF(BH263&gt;=30,"مشکوک",IF(BH263&gt;0,"هشدار","عادی")))</f>
        <v>عادی</v>
      </c>
      <c r="BJ263" s="16" t="s">
        <v>338</v>
      </c>
    </row>
    <row r="264" customFormat="false" ht="15" hidden="false" customHeight="false" outlineLevel="0" collapsed="false">
      <c r="A264" s="16" t="s">
        <v>1266</v>
      </c>
      <c r="B264" s="16" t="s">
        <v>1267</v>
      </c>
      <c r="C264" s="16"/>
      <c r="D264" s="16" t="s">
        <v>531</v>
      </c>
      <c r="E264" s="16" t="s">
        <v>390</v>
      </c>
      <c r="F264" s="16" t="s">
        <v>333</v>
      </c>
      <c r="G264" s="17" t="n">
        <v>46284.6392708333</v>
      </c>
      <c r="H264" s="17" t="n">
        <v>46284.6864930556</v>
      </c>
      <c r="I264" s="18" t="n">
        <f aca="false">IF(H264="",ROUND((تنظیمات!$B$7-G264)*1440,0),ROUND((H264-G264)*1440,0))</f>
        <v>68</v>
      </c>
      <c r="J264" s="16" t="s">
        <v>334</v>
      </c>
      <c r="K264" s="16" t="s">
        <v>400</v>
      </c>
      <c r="L264" s="19" t="n">
        <v>0.954</v>
      </c>
      <c r="M264" s="19" t="n">
        <v>0.92</v>
      </c>
      <c r="N264" s="16" t="s">
        <v>335</v>
      </c>
      <c r="O264" s="16" t="s">
        <v>411</v>
      </c>
      <c r="P264" s="16" t="s">
        <v>420</v>
      </c>
      <c r="Q264" s="20" t="n">
        <v>46284</v>
      </c>
      <c r="R264" s="16" t="s">
        <v>1268</v>
      </c>
      <c r="S264" s="16" t="s">
        <v>404</v>
      </c>
      <c r="T264" s="17"/>
      <c r="U264" s="21" t="n">
        <v>1</v>
      </c>
      <c r="V264" s="21" t="n">
        <v>1</v>
      </c>
      <c r="W264" s="22" t="n">
        <v>6.2</v>
      </c>
      <c r="X264" s="16" t="s">
        <v>335</v>
      </c>
      <c r="Y264" s="16" t="s">
        <v>338</v>
      </c>
      <c r="Z264" s="16" t="s">
        <v>465</v>
      </c>
      <c r="AA264" s="16"/>
      <c r="AB264" s="23"/>
      <c r="AC264" s="17"/>
      <c r="AD264" s="16" t="s">
        <v>602</v>
      </c>
      <c r="AE264" s="16"/>
      <c r="AF264" s="16" t="str">
        <f aca="false">IF(COUNTIF(لیست_سفید!$A$2:$A$21,B264)&gt;0,"بله","خیر")</f>
        <v>بله</v>
      </c>
      <c r="AG264" s="24" t="n">
        <f aca="false">IF(H264="","",IF(AD264="فیش مفقودی",تنظیمات!$B$6,(INT(I264/1440)*تنظیمات!$B$5+IF(MOD(I264,1440)&lt;=تنظیمات!$B$2,0,MIN(تنظیمات!$B$5,تنظیمات!$B$3+MAX(0,ROUNDUP((MOD(I264,1440)-60)/60,0))*تنظیمات!$B$4)))*INDEX(تعرفه!$B$2:$B$7,MATCH(AD264,تعرفه!$A$2:$A$7,0))))</f>
        <v>0</v>
      </c>
      <c r="AH264" s="24" t="n">
        <v>0</v>
      </c>
      <c r="AI264" s="24" t="n">
        <f aca="false">IF(AG264="","",AH264-AG264)</f>
        <v>0</v>
      </c>
      <c r="AJ264" s="21" t="n">
        <v>-7</v>
      </c>
      <c r="AK264" s="21" t="n">
        <v>0</v>
      </c>
      <c r="AL264" s="16" t="s">
        <v>335</v>
      </c>
      <c r="AM264" s="16"/>
      <c r="AN264" s="16" t="s">
        <v>340</v>
      </c>
      <c r="AO264" s="16" t="s">
        <v>340</v>
      </c>
      <c r="AP264" s="16" t="s">
        <v>335</v>
      </c>
      <c r="AQ264" s="16"/>
      <c r="AR264" s="21" t="n">
        <f aca="false">IF(AND(T264&lt;&gt;"",H264&lt;&gt;""),IF(AND((T264-H264)*86400&gt;=0,(T264-H264)*86400&lt;تنظیمات!$B$13),1,0),0)</f>
        <v>0</v>
      </c>
      <c r="AS264" s="21" t="n">
        <f aca="false">IF(Z264="پوز",IF(OR(AB264="",COUNTIF(پوزها!$A$2:$A$5,AA264)=0),1,0),0)</f>
        <v>0</v>
      </c>
      <c r="AT264" s="21" t="n">
        <f aca="false">IF(AI264="",0,IF(AI264&gt;0,1,0))</f>
        <v>0</v>
      </c>
      <c r="AU264" s="21" t="n">
        <f aca="false">IF(AI264="",0,IF(AI264&lt;0,1,0))</f>
        <v>0</v>
      </c>
      <c r="AV264" s="21" t="n">
        <f aca="false">IF(U264&gt;V264,1,0)</f>
        <v>0</v>
      </c>
      <c r="AW264" s="21" t="n">
        <f aca="false">IF(OR(W264&gt;تنظیمات!$B$8,X264="بله"),1,0)</f>
        <v>0</v>
      </c>
      <c r="AX264" s="21" t="n">
        <f aca="false">IF(AND(N264="بله",L264&gt;تنظیمات!$B$9),1,0)</f>
        <v>0</v>
      </c>
      <c r="AY264" s="21" t="n">
        <f aca="false">IF(Y264="معکوس",1,0)</f>
        <v>0</v>
      </c>
      <c r="AZ264" s="21" t="n">
        <f aca="false">IF(ABS(AJ264)&gt;تنظیمات!$B$10,1,0)</f>
        <v>0</v>
      </c>
      <c r="BA264" s="21" t="n">
        <f aca="false">IF(AND(OR(AD264="رایگان/VIP",AD264="جانباز"),AF264="خیر"),1,0)</f>
        <v>0</v>
      </c>
      <c r="BB264" s="21" t="n">
        <f aca="false">IF(AE264="",0,IF(COUNTIF($AE$2:$AE$1001,AE264)&gt;1,1,0))</f>
        <v>0</v>
      </c>
      <c r="BC264" s="21" t="n">
        <f aca="false">IF(AND(H264="",I264&gt;تنظیمات!$B$12*60,AM264="خالی"),1,0)</f>
        <v>0</v>
      </c>
      <c r="BD264" s="21" t="n">
        <f aca="false">IF(AND(AP264="بله",I264&lt;تنظیمات!$B$14,AO264="خیر"),1,0)</f>
        <v>0</v>
      </c>
      <c r="BE264" s="21" t="n">
        <f aca="false">IF(AN264="خیر",1,0)</f>
        <v>0</v>
      </c>
      <c r="BF264" s="21" t="n">
        <f aca="false">IF(AND(AD264="فیش مفقودی",AQ264="بله",I264&gt;تنظیمات!$B$12*60),1,0)</f>
        <v>0</v>
      </c>
      <c r="BG264" s="21" t="n">
        <f aca="false">IF(AND(AK264&gt;تنظیمات!$B$11,AL264="بله"),1,0)</f>
        <v>0</v>
      </c>
      <c r="BH264" s="21" t="n">
        <f aca="false">MIN(100,AR264*تنظیمات!$B$21+AS264*تنظیمات!$B$22+AT264*تنظیمات!$B$23+AU264*تنظیمات!$B$24+AV264*تنظیمات!$B$25+AW264*تنظیمات!$B$26+AX264*تنظیمات!$B$27+AY264*تنظیمات!$B$28+AZ264*تنظیمات!$B$29+BA264*تنظیمات!$B$30+BB264*تنظیمات!$B$31+BC264*تنظیمات!$B$32+BD264*تنظیمات!$B$33+BE264*تنظیمات!$B$34+BF264*تنظیمات!$B$35+BG264*تنظیمات!$B$36)</f>
        <v>0</v>
      </c>
      <c r="BI264" s="16" t="str">
        <f aca="false">IF(BH264&gt;=60,"بحرانی",IF(BH264&gt;=30,"مشکوک",IF(BH264&gt;0,"هشدار","عادی")))</f>
        <v>عادی</v>
      </c>
      <c r="BJ264" s="16" t="s">
        <v>338</v>
      </c>
    </row>
    <row r="265" customFormat="false" ht="15" hidden="false" customHeight="false" outlineLevel="0" collapsed="false">
      <c r="A265" s="16" t="s">
        <v>1269</v>
      </c>
      <c r="B265" s="16" t="s">
        <v>1200</v>
      </c>
      <c r="C265" s="16"/>
      <c r="D265" s="16" t="s">
        <v>358</v>
      </c>
      <c r="E265" s="16" t="s">
        <v>363</v>
      </c>
      <c r="F265" s="16" t="s">
        <v>359</v>
      </c>
      <c r="G265" s="17" t="n">
        <v>46284.6503587963</v>
      </c>
      <c r="H265" s="17" t="n">
        <v>46284.7204976852</v>
      </c>
      <c r="I265" s="18" t="n">
        <f aca="false">IF(H265="",ROUND((تنظیمات!$B$7-G265)*1440,0),ROUND((H265-G265)*1440,0))</f>
        <v>101</v>
      </c>
      <c r="J265" s="16" t="s">
        <v>334</v>
      </c>
      <c r="K265" s="16" t="s">
        <v>410</v>
      </c>
      <c r="L265" s="19" t="n">
        <v>0.995</v>
      </c>
      <c r="M265" s="19" t="n">
        <v>0.995</v>
      </c>
      <c r="N265" s="16" t="s">
        <v>335</v>
      </c>
      <c r="O265" s="16" t="s">
        <v>401</v>
      </c>
      <c r="P265" s="16" t="s">
        <v>420</v>
      </c>
      <c r="Q265" s="20" t="n">
        <v>46284</v>
      </c>
      <c r="R265" s="16" t="s">
        <v>1270</v>
      </c>
      <c r="S265" s="16" t="s">
        <v>404</v>
      </c>
      <c r="T265" s="17"/>
      <c r="U265" s="21" t="n">
        <v>1</v>
      </c>
      <c r="V265" s="21" t="n">
        <v>1</v>
      </c>
      <c r="W265" s="22" t="n">
        <v>6.1</v>
      </c>
      <c r="X265" s="16" t="s">
        <v>335</v>
      </c>
      <c r="Y265" s="16" t="s">
        <v>338</v>
      </c>
      <c r="Z265" s="16" t="s">
        <v>413</v>
      </c>
      <c r="AA265" s="16" t="s">
        <v>414</v>
      </c>
      <c r="AB265" s="23" t="s">
        <v>1271</v>
      </c>
      <c r="AC265" s="17" t="n">
        <v>46284.7196527778</v>
      </c>
      <c r="AD265" s="16" t="s">
        <v>338</v>
      </c>
      <c r="AE265" s="16"/>
      <c r="AF265" s="16" t="str">
        <f aca="false">IF(COUNTIF(لیست_سفید!$A$2:$A$21,B265)&gt;0,"بله","خیر")</f>
        <v>خیر</v>
      </c>
      <c r="AG265" s="24" t="n">
        <f aca="false">IF(H265="","",IF(AD265="فیش مفقودی",تنظیمات!$B$6,(INT(I265/1440)*تنظیمات!$B$5+IF(MOD(I265,1440)&lt;=تنظیمات!$B$2,0,MIN(تنظیمات!$B$5,تنظیمات!$B$3+MAX(0,ROUNDUP((MOD(I265,1440)-60)/60,0))*تنظیمات!$B$4)))*INDEX(تعرفه!$B$2:$B$7,MATCH(AD265,تعرفه!$A$2:$A$7,0))))</f>
        <v>34000</v>
      </c>
      <c r="AH265" s="24" t="n">
        <v>52000</v>
      </c>
      <c r="AI265" s="24" t="n">
        <f aca="false">IF(AG265="","",AH265-AG265)</f>
        <v>18000</v>
      </c>
      <c r="AJ265" s="21" t="n">
        <v>-3</v>
      </c>
      <c r="AK265" s="21" t="n">
        <v>0</v>
      </c>
      <c r="AL265" s="16" t="s">
        <v>335</v>
      </c>
      <c r="AM265" s="16"/>
      <c r="AN265" s="16" t="s">
        <v>340</v>
      </c>
      <c r="AO265" s="16" t="s">
        <v>340</v>
      </c>
      <c r="AP265" s="16" t="s">
        <v>335</v>
      </c>
      <c r="AQ265" s="16"/>
      <c r="AR265" s="21" t="n">
        <f aca="false">IF(AND(T265&lt;&gt;"",H265&lt;&gt;""),IF(AND((T265-H265)*86400&gt;=0,(T265-H265)*86400&lt;تنظیمات!$B$13),1,0),0)</f>
        <v>0</v>
      </c>
      <c r="AS265" s="21" t="n">
        <f aca="false">IF(Z265="پوز",IF(OR(AB265="",COUNTIF(پوزها!$A$2:$A$5,AA265)=0),1,0),0)</f>
        <v>0</v>
      </c>
      <c r="AT265" s="21" t="n">
        <f aca="false">IF(AI265="",0,IF(AI265&gt;0,1,0))</f>
        <v>1</v>
      </c>
      <c r="AU265" s="21" t="n">
        <f aca="false">IF(AI265="",0,IF(AI265&lt;0,1,0))</f>
        <v>0</v>
      </c>
      <c r="AV265" s="21" t="n">
        <f aca="false">IF(U265&gt;V265,1,0)</f>
        <v>0</v>
      </c>
      <c r="AW265" s="21" t="n">
        <f aca="false">IF(OR(W265&gt;تنظیمات!$B$8,X265="بله"),1,0)</f>
        <v>0</v>
      </c>
      <c r="AX265" s="21" t="n">
        <f aca="false">IF(AND(N265="بله",L265&gt;تنظیمات!$B$9),1,0)</f>
        <v>0</v>
      </c>
      <c r="AY265" s="21" t="n">
        <f aca="false">IF(Y265="معکوس",1,0)</f>
        <v>0</v>
      </c>
      <c r="AZ265" s="21" t="n">
        <f aca="false">IF(ABS(AJ265)&gt;تنظیمات!$B$10,1,0)</f>
        <v>0</v>
      </c>
      <c r="BA265" s="21" t="n">
        <f aca="false">IF(AND(OR(AD265="رایگان/VIP",AD265="جانباز"),AF265="خیر"),1,0)</f>
        <v>0</v>
      </c>
      <c r="BB265" s="21" t="n">
        <f aca="false">IF(AE265="",0,IF(COUNTIF($AE$2:$AE$1001,AE265)&gt;1,1,0))</f>
        <v>0</v>
      </c>
      <c r="BC265" s="21" t="n">
        <f aca="false">IF(AND(H265="",I265&gt;تنظیمات!$B$12*60,AM265="خالی"),1,0)</f>
        <v>0</v>
      </c>
      <c r="BD265" s="21" t="n">
        <f aca="false">IF(AND(AP265="بله",I265&lt;تنظیمات!$B$14,AO265="خیر"),1,0)</f>
        <v>0</v>
      </c>
      <c r="BE265" s="21" t="n">
        <f aca="false">IF(AN265="خیر",1,0)</f>
        <v>0</v>
      </c>
      <c r="BF265" s="21" t="n">
        <f aca="false">IF(AND(AD265="فیش مفقودی",AQ265="بله",I265&gt;تنظیمات!$B$12*60),1,0)</f>
        <v>0</v>
      </c>
      <c r="BG265" s="21" t="n">
        <f aca="false">IF(AND(AK265&gt;تنظیمات!$B$11,AL265="بله"),1,0)</f>
        <v>0</v>
      </c>
      <c r="BH265" s="21" t="n">
        <f aca="false">MIN(100,AR265*تنظیمات!$B$21+AS265*تنظیمات!$B$22+AT265*تنظیمات!$B$23+AU265*تنظیمات!$B$24+AV265*تنظیمات!$B$25+AW265*تنظیمات!$B$26+AX265*تنظیمات!$B$27+AY265*تنظیمات!$B$28+AZ265*تنظیمات!$B$29+BA265*تنظیمات!$B$30+BB265*تنظیمات!$B$31+BC265*تنظیمات!$B$32+BD265*تنظیمات!$B$33+BE265*تنظیمات!$B$34+BF265*تنظیمات!$B$35+BG265*تنظیمات!$B$36)</f>
        <v>25</v>
      </c>
      <c r="BI265" s="16" t="str">
        <f aca="false">IF(BH265&gt;=60,"بحرانی",IF(BH265&gt;=30,"مشکوک",IF(BH265&gt;0,"هشدار","عادی")))</f>
        <v>هشدار</v>
      </c>
      <c r="BJ265" s="16" t="s">
        <v>922</v>
      </c>
    </row>
    <row r="266" customFormat="false" ht="15" hidden="false" customHeight="false" outlineLevel="0" collapsed="false">
      <c r="A266" s="16" t="s">
        <v>1272</v>
      </c>
      <c r="B266" s="16" t="s">
        <v>1000</v>
      </c>
      <c r="C266" s="16"/>
      <c r="D266" s="16" t="s">
        <v>440</v>
      </c>
      <c r="E266" s="16" t="s">
        <v>390</v>
      </c>
      <c r="F266" s="16" t="s">
        <v>359</v>
      </c>
      <c r="G266" s="17" t="n">
        <v>46284.6508449074</v>
      </c>
      <c r="H266" s="17" t="n">
        <v>46284.6695949074</v>
      </c>
      <c r="I266" s="18" t="n">
        <f aca="false">IF(H266="",ROUND((تنظیمات!$B$7-G266)*1440,0),ROUND((H266-G266)*1440,0))</f>
        <v>27</v>
      </c>
      <c r="J266" s="16" t="s">
        <v>334</v>
      </c>
      <c r="K266" s="16" t="s">
        <v>400</v>
      </c>
      <c r="L266" s="19" t="n">
        <v>0.992</v>
      </c>
      <c r="M266" s="19" t="n">
        <v>0.909</v>
      </c>
      <c r="N266" s="16" t="s">
        <v>335</v>
      </c>
      <c r="O266" s="16" t="s">
        <v>411</v>
      </c>
      <c r="P266" s="16" t="s">
        <v>420</v>
      </c>
      <c r="Q266" s="20" t="n">
        <v>46284</v>
      </c>
      <c r="R266" s="16" t="s">
        <v>1273</v>
      </c>
      <c r="S266" s="16" t="s">
        <v>404</v>
      </c>
      <c r="T266" s="17"/>
      <c r="U266" s="21" t="n">
        <v>1</v>
      </c>
      <c r="V266" s="21" t="n">
        <v>1</v>
      </c>
      <c r="W266" s="22" t="n">
        <v>4.3</v>
      </c>
      <c r="X266" s="16" t="s">
        <v>335</v>
      </c>
      <c r="Y266" s="16" t="s">
        <v>338</v>
      </c>
      <c r="Z266" s="16" t="s">
        <v>405</v>
      </c>
      <c r="AA266" s="16"/>
      <c r="AB266" s="23"/>
      <c r="AC266" s="17"/>
      <c r="AD266" s="16" t="s">
        <v>338</v>
      </c>
      <c r="AE266" s="16"/>
      <c r="AF266" s="16" t="str">
        <f aca="false">IF(COUNTIF(لیست_سفید!$A$2:$A$21,B266)&gt;0,"بله","خیر")</f>
        <v>خیر</v>
      </c>
      <c r="AG266" s="24" t="n">
        <f aca="false">IF(H266="","",IF(AD266="فیش مفقودی",تنظیمات!$B$6,(INT(I266/1440)*تنظیمات!$B$5+IF(MOD(I266,1440)&lt;=تنظیمات!$B$2,0,MIN(تنظیمات!$B$5,تنظیمات!$B$3+MAX(0,ROUNDUP((MOD(I266,1440)-60)/60,0))*تنظیمات!$B$4)))*INDEX(تعرفه!$B$2:$B$7,MATCH(AD266,تعرفه!$A$2:$A$7,0))))</f>
        <v>20000</v>
      </c>
      <c r="AH266" s="24" t="n">
        <v>20000</v>
      </c>
      <c r="AI266" s="24" t="n">
        <f aca="false">IF(AG266="","",AH266-AG266)</f>
        <v>0</v>
      </c>
      <c r="AJ266" s="21" t="n">
        <v>1</v>
      </c>
      <c r="AK266" s="21" t="n">
        <v>0</v>
      </c>
      <c r="AL266" s="16" t="s">
        <v>335</v>
      </c>
      <c r="AM266" s="16"/>
      <c r="AN266" s="16" t="s">
        <v>340</v>
      </c>
      <c r="AO266" s="16" t="s">
        <v>340</v>
      </c>
      <c r="AP266" s="16" t="s">
        <v>335</v>
      </c>
      <c r="AQ266" s="16"/>
      <c r="AR266" s="21" t="n">
        <f aca="false">IF(AND(T266&lt;&gt;"",H266&lt;&gt;""),IF(AND((T266-H266)*86400&gt;=0,(T266-H266)*86400&lt;تنظیمات!$B$13),1,0),0)</f>
        <v>0</v>
      </c>
      <c r="AS266" s="21" t="n">
        <f aca="false">IF(Z266="پوز",IF(OR(AB266="",COUNTIF(پوزها!$A$2:$A$5,AA266)=0),1,0),0)</f>
        <v>0</v>
      </c>
      <c r="AT266" s="21" t="n">
        <f aca="false">IF(AI266="",0,IF(AI266&gt;0,1,0))</f>
        <v>0</v>
      </c>
      <c r="AU266" s="21" t="n">
        <f aca="false">IF(AI266="",0,IF(AI266&lt;0,1,0))</f>
        <v>0</v>
      </c>
      <c r="AV266" s="21" t="n">
        <f aca="false">IF(U266&gt;V266,1,0)</f>
        <v>0</v>
      </c>
      <c r="AW266" s="21" t="n">
        <f aca="false">IF(OR(W266&gt;تنظیمات!$B$8,X266="بله"),1,0)</f>
        <v>0</v>
      </c>
      <c r="AX266" s="21" t="n">
        <f aca="false">IF(AND(N266="بله",L266&gt;تنظیمات!$B$9),1,0)</f>
        <v>0</v>
      </c>
      <c r="AY266" s="21" t="n">
        <f aca="false">IF(Y266="معکوس",1,0)</f>
        <v>0</v>
      </c>
      <c r="AZ266" s="21" t="n">
        <f aca="false">IF(ABS(AJ266)&gt;تنظیمات!$B$10,1,0)</f>
        <v>0</v>
      </c>
      <c r="BA266" s="21" t="n">
        <f aca="false">IF(AND(OR(AD266="رایگان/VIP",AD266="جانباز"),AF266="خیر"),1,0)</f>
        <v>0</v>
      </c>
      <c r="BB266" s="21" t="n">
        <f aca="false">IF(AE266="",0,IF(COUNTIF($AE$2:$AE$1001,AE266)&gt;1,1,0))</f>
        <v>0</v>
      </c>
      <c r="BC266" s="21" t="n">
        <f aca="false">IF(AND(H266="",I266&gt;تنظیمات!$B$12*60,AM266="خالی"),1,0)</f>
        <v>0</v>
      </c>
      <c r="BD266" s="21" t="n">
        <f aca="false">IF(AND(AP266="بله",I266&lt;تنظیمات!$B$14,AO266="خیر"),1,0)</f>
        <v>0</v>
      </c>
      <c r="BE266" s="21" t="n">
        <f aca="false">IF(AN266="خیر",1,0)</f>
        <v>0</v>
      </c>
      <c r="BF266" s="21" t="n">
        <f aca="false">IF(AND(AD266="فیش مفقودی",AQ266="بله",I266&gt;تنظیمات!$B$12*60),1,0)</f>
        <v>0</v>
      </c>
      <c r="BG266" s="21" t="n">
        <f aca="false">IF(AND(AK266&gt;تنظیمات!$B$11,AL266="بله"),1,0)</f>
        <v>0</v>
      </c>
      <c r="BH266" s="21" t="n">
        <f aca="false">MIN(100,AR266*تنظیمات!$B$21+AS266*تنظیمات!$B$22+AT266*تنظیمات!$B$23+AU266*تنظیمات!$B$24+AV266*تنظیمات!$B$25+AW266*تنظیمات!$B$26+AX266*تنظیمات!$B$27+AY266*تنظیمات!$B$28+AZ266*تنظیمات!$B$29+BA266*تنظیمات!$B$30+BB266*تنظیمات!$B$31+BC266*تنظیمات!$B$32+BD266*تنظیمات!$B$33+BE266*تنظیمات!$B$34+BF266*تنظیمات!$B$35+BG266*تنظیمات!$B$36)</f>
        <v>0</v>
      </c>
      <c r="BI266" s="16" t="str">
        <f aca="false">IF(BH266&gt;=60,"بحرانی",IF(BH266&gt;=30,"مشکوک",IF(BH266&gt;0,"هشدار","عادی")))</f>
        <v>عادی</v>
      </c>
      <c r="BJ266" s="16" t="s">
        <v>338</v>
      </c>
    </row>
    <row r="267" customFormat="false" ht="15" hidden="false" customHeight="false" outlineLevel="0" collapsed="false">
      <c r="A267" s="16" t="s">
        <v>1274</v>
      </c>
      <c r="B267" s="16" t="s">
        <v>697</v>
      </c>
      <c r="C267" s="16"/>
      <c r="D267" s="16" t="s">
        <v>531</v>
      </c>
      <c r="E267" s="16" t="s">
        <v>345</v>
      </c>
      <c r="F267" s="16" t="s">
        <v>333</v>
      </c>
      <c r="G267" s="17" t="n">
        <v>46284.7067476852</v>
      </c>
      <c r="H267" s="17" t="n">
        <v>46284.753275463</v>
      </c>
      <c r="I267" s="18" t="n">
        <f aca="false">IF(H267="",ROUND((تنظیمات!$B$7-G267)*1440,0),ROUND((H267-G267)*1440,0))</f>
        <v>67</v>
      </c>
      <c r="J267" s="16" t="s">
        <v>346</v>
      </c>
      <c r="K267" s="16" t="s">
        <v>410</v>
      </c>
      <c r="L267" s="19" t="n">
        <v>0.899</v>
      </c>
      <c r="M267" s="19" t="n">
        <v>0.995</v>
      </c>
      <c r="N267" s="16" t="s">
        <v>335</v>
      </c>
      <c r="O267" s="16" t="s">
        <v>401</v>
      </c>
      <c r="P267" s="16" t="s">
        <v>420</v>
      </c>
      <c r="Q267" s="20" t="n">
        <v>46284</v>
      </c>
      <c r="R267" s="16" t="s">
        <v>1275</v>
      </c>
      <c r="S267" s="16" t="s">
        <v>404</v>
      </c>
      <c r="T267" s="17"/>
      <c r="U267" s="21" t="n">
        <v>1</v>
      </c>
      <c r="V267" s="21" t="n">
        <v>1</v>
      </c>
      <c r="W267" s="22" t="n">
        <v>7.6</v>
      </c>
      <c r="X267" s="16" t="s">
        <v>335</v>
      </c>
      <c r="Y267" s="16" t="s">
        <v>338</v>
      </c>
      <c r="Z267" s="16" t="s">
        <v>405</v>
      </c>
      <c r="AA267" s="16"/>
      <c r="AB267" s="23"/>
      <c r="AC267" s="17"/>
      <c r="AD267" s="16" t="s">
        <v>338</v>
      </c>
      <c r="AE267" s="16"/>
      <c r="AF267" s="16" t="str">
        <f aca="false">IF(COUNTIF(لیست_سفید!$A$2:$A$21,B267)&gt;0,"بله","خیر")</f>
        <v>خیر</v>
      </c>
      <c r="AG267" s="24" t="n">
        <f aca="false">IF(H267="","",IF(AD267="فیش مفقودی",تنظیمات!$B$6,(INT(I267/1440)*تنظیمات!$B$5+IF(MOD(I267,1440)&lt;=تنظیمات!$B$2,0,MIN(تنظیمات!$B$5,تنظیمات!$B$3+MAX(0,ROUNDUP((MOD(I267,1440)-60)/60,0))*تنظیمات!$B$4)))*INDEX(تعرفه!$B$2:$B$7,MATCH(AD267,تعرفه!$A$2:$A$7,0))))</f>
        <v>34000</v>
      </c>
      <c r="AH267" s="24" t="n">
        <v>34000</v>
      </c>
      <c r="AI267" s="24" t="n">
        <f aca="false">IF(AG267="","",AH267-AG267)</f>
        <v>0</v>
      </c>
      <c r="AJ267" s="21" t="n">
        <v>0</v>
      </c>
      <c r="AK267" s="21" t="n">
        <v>0</v>
      </c>
      <c r="AL267" s="16" t="s">
        <v>335</v>
      </c>
      <c r="AM267" s="16"/>
      <c r="AN267" s="16" t="s">
        <v>340</v>
      </c>
      <c r="AO267" s="16" t="s">
        <v>340</v>
      </c>
      <c r="AP267" s="16" t="s">
        <v>335</v>
      </c>
      <c r="AQ267" s="16"/>
      <c r="AR267" s="21" t="n">
        <f aca="false">IF(AND(T267&lt;&gt;"",H267&lt;&gt;""),IF(AND((T267-H267)*86400&gt;=0,(T267-H267)*86400&lt;تنظیمات!$B$13),1,0),0)</f>
        <v>0</v>
      </c>
      <c r="AS267" s="21" t="n">
        <f aca="false">IF(Z267="پوز",IF(OR(AB267="",COUNTIF(پوزها!$A$2:$A$5,AA267)=0),1,0),0)</f>
        <v>0</v>
      </c>
      <c r="AT267" s="21" t="n">
        <f aca="false">IF(AI267="",0,IF(AI267&gt;0,1,0))</f>
        <v>0</v>
      </c>
      <c r="AU267" s="21" t="n">
        <f aca="false">IF(AI267="",0,IF(AI267&lt;0,1,0))</f>
        <v>0</v>
      </c>
      <c r="AV267" s="21" t="n">
        <f aca="false">IF(U267&gt;V267,1,0)</f>
        <v>0</v>
      </c>
      <c r="AW267" s="21" t="n">
        <f aca="false">IF(OR(W267&gt;تنظیمات!$B$8,X267="بله"),1,0)</f>
        <v>0</v>
      </c>
      <c r="AX267" s="21" t="n">
        <f aca="false">IF(AND(N267="بله",L267&gt;تنظیمات!$B$9),1,0)</f>
        <v>0</v>
      </c>
      <c r="AY267" s="21" t="n">
        <f aca="false">IF(Y267="معکوس",1,0)</f>
        <v>0</v>
      </c>
      <c r="AZ267" s="21" t="n">
        <f aca="false">IF(ABS(AJ267)&gt;تنظیمات!$B$10,1,0)</f>
        <v>0</v>
      </c>
      <c r="BA267" s="21" t="n">
        <f aca="false">IF(AND(OR(AD267="رایگان/VIP",AD267="جانباز"),AF267="خیر"),1,0)</f>
        <v>0</v>
      </c>
      <c r="BB267" s="21" t="n">
        <f aca="false">IF(AE267="",0,IF(COUNTIF($AE$2:$AE$1001,AE267)&gt;1,1,0))</f>
        <v>0</v>
      </c>
      <c r="BC267" s="21" t="n">
        <f aca="false">IF(AND(H267="",I267&gt;تنظیمات!$B$12*60,AM267="خالی"),1,0)</f>
        <v>0</v>
      </c>
      <c r="BD267" s="21" t="n">
        <f aca="false">IF(AND(AP267="بله",I267&lt;تنظیمات!$B$14,AO267="خیر"),1,0)</f>
        <v>0</v>
      </c>
      <c r="BE267" s="21" t="n">
        <f aca="false">IF(AN267="خیر",1,0)</f>
        <v>0</v>
      </c>
      <c r="BF267" s="21" t="n">
        <f aca="false">IF(AND(AD267="فیش مفقودی",AQ267="بله",I267&gt;تنظیمات!$B$12*60),1,0)</f>
        <v>0</v>
      </c>
      <c r="BG267" s="21" t="n">
        <f aca="false">IF(AND(AK267&gt;تنظیمات!$B$11,AL267="بله"),1,0)</f>
        <v>0</v>
      </c>
      <c r="BH267" s="21" t="n">
        <f aca="false">MIN(100,AR267*تنظیمات!$B$21+AS267*تنظیمات!$B$22+AT267*تنظیمات!$B$23+AU267*تنظیمات!$B$24+AV267*تنظیمات!$B$25+AW267*تنظیمات!$B$26+AX267*تنظیمات!$B$27+AY267*تنظیمات!$B$28+AZ267*تنظیمات!$B$29+BA267*تنظیمات!$B$30+BB267*تنظیمات!$B$31+BC267*تنظیمات!$B$32+BD267*تنظیمات!$B$33+BE267*تنظیمات!$B$34+BF267*تنظیمات!$B$35+BG267*تنظیمات!$B$36)</f>
        <v>0</v>
      </c>
      <c r="BI267" s="16" t="str">
        <f aca="false">IF(BH267&gt;=60,"بحرانی",IF(BH267&gt;=30,"مشکوک",IF(BH267&gt;0,"هشدار","عادی")))</f>
        <v>عادی</v>
      </c>
      <c r="BJ267" s="16" t="s">
        <v>338</v>
      </c>
    </row>
    <row r="268" customFormat="false" ht="15" hidden="false" customHeight="false" outlineLevel="0" collapsed="false">
      <c r="A268" s="16" t="s">
        <v>1276</v>
      </c>
      <c r="B268" s="16" t="s">
        <v>928</v>
      </c>
      <c r="C268" s="16"/>
      <c r="D268" s="16" t="s">
        <v>331</v>
      </c>
      <c r="E268" s="16" t="s">
        <v>351</v>
      </c>
      <c r="F268" s="16" t="s">
        <v>333</v>
      </c>
      <c r="G268" s="17" t="n">
        <v>46284.7209837963</v>
      </c>
      <c r="H268" s="17" t="n">
        <v>46284.7480671296</v>
      </c>
      <c r="I268" s="18" t="n">
        <f aca="false">IF(H268="",ROUND((تنظیمات!$B$7-G268)*1440,0),ROUND((H268-G268)*1440,0))</f>
        <v>39</v>
      </c>
      <c r="J268" s="16" t="s">
        <v>346</v>
      </c>
      <c r="K268" s="16" t="s">
        <v>410</v>
      </c>
      <c r="L268" s="19" t="n">
        <v>0.976</v>
      </c>
      <c r="M268" s="19"/>
      <c r="N268" s="16" t="s">
        <v>335</v>
      </c>
      <c r="O268" s="16" t="s">
        <v>401</v>
      </c>
      <c r="P268" s="16" t="s">
        <v>420</v>
      </c>
      <c r="Q268" s="20" t="n">
        <v>46284</v>
      </c>
      <c r="R268" s="16" t="s">
        <v>1277</v>
      </c>
      <c r="S268" s="16" t="s">
        <v>404</v>
      </c>
      <c r="T268" s="17"/>
      <c r="U268" s="21" t="n">
        <v>1</v>
      </c>
      <c r="V268" s="21" t="n">
        <v>1</v>
      </c>
      <c r="W268" s="22" t="n">
        <v>5.8</v>
      </c>
      <c r="X268" s="16" t="s">
        <v>335</v>
      </c>
      <c r="Y268" s="16" t="s">
        <v>338</v>
      </c>
      <c r="Z268" s="16" t="s">
        <v>405</v>
      </c>
      <c r="AA268" s="16"/>
      <c r="AB268" s="23"/>
      <c r="AC268" s="17"/>
      <c r="AD268" s="16" t="s">
        <v>338</v>
      </c>
      <c r="AE268" s="16"/>
      <c r="AF268" s="16" t="str">
        <f aca="false">IF(COUNTIF(لیست_سفید!$A$2:$A$21,B268)&gt;0,"بله","خیر")</f>
        <v>خیر</v>
      </c>
      <c r="AG268" s="24" t="n">
        <f aca="false">IF(H268="","",IF(AD268="فیش مفقودی",تنظیمات!$B$6,(INT(I268/1440)*تنظیمات!$B$5+IF(MOD(I268,1440)&lt;=تنظیمات!$B$2,0,MIN(تنظیمات!$B$5,تنظیمات!$B$3+MAX(0,ROUNDUP((MOD(I268,1440)-60)/60,0))*تنظیمات!$B$4)))*INDEX(تعرفه!$B$2:$B$7,MATCH(AD268,تعرفه!$A$2:$A$7,0))))</f>
        <v>20000</v>
      </c>
      <c r="AH268" s="24" t="n">
        <v>20000</v>
      </c>
      <c r="AI268" s="24" t="n">
        <f aca="false">IF(AG268="","",AH268-AG268)</f>
        <v>0</v>
      </c>
      <c r="AJ268" s="21" t="n">
        <v>2</v>
      </c>
      <c r="AK268" s="21" t="n">
        <v>343</v>
      </c>
      <c r="AL268" s="16" t="s">
        <v>340</v>
      </c>
      <c r="AM268" s="16"/>
      <c r="AN268" s="16" t="s">
        <v>340</v>
      </c>
      <c r="AO268" s="16" t="s">
        <v>340</v>
      </c>
      <c r="AP268" s="16" t="s">
        <v>335</v>
      </c>
      <c r="AQ268" s="16"/>
      <c r="AR268" s="21" t="n">
        <f aca="false">IF(AND(T268&lt;&gt;"",H268&lt;&gt;""),IF(AND((T268-H268)*86400&gt;=0,(T268-H268)*86400&lt;تنظیمات!$B$13),1,0),0)</f>
        <v>0</v>
      </c>
      <c r="AS268" s="21" t="n">
        <f aca="false">IF(Z268="پوز",IF(OR(AB268="",COUNTIF(پوزها!$A$2:$A$5,AA268)=0),1,0),0)</f>
        <v>0</v>
      </c>
      <c r="AT268" s="21" t="n">
        <f aca="false">IF(AI268="",0,IF(AI268&gt;0,1,0))</f>
        <v>0</v>
      </c>
      <c r="AU268" s="21" t="n">
        <f aca="false">IF(AI268="",0,IF(AI268&lt;0,1,0))</f>
        <v>0</v>
      </c>
      <c r="AV268" s="21" t="n">
        <f aca="false">IF(U268&gt;V268,1,0)</f>
        <v>0</v>
      </c>
      <c r="AW268" s="21" t="n">
        <f aca="false">IF(OR(W268&gt;تنظیمات!$B$8,X268="بله"),1,0)</f>
        <v>0</v>
      </c>
      <c r="AX268" s="21" t="n">
        <f aca="false">IF(AND(N268="بله",L268&gt;تنظیمات!$B$9),1,0)</f>
        <v>0</v>
      </c>
      <c r="AY268" s="21" t="n">
        <f aca="false">IF(Y268="معکوس",1,0)</f>
        <v>0</v>
      </c>
      <c r="AZ268" s="21" t="n">
        <f aca="false">IF(ABS(AJ268)&gt;تنظیمات!$B$10,1,0)</f>
        <v>0</v>
      </c>
      <c r="BA268" s="21" t="n">
        <f aca="false">IF(AND(OR(AD268="رایگان/VIP",AD268="جانباز"),AF268="خیر"),1,0)</f>
        <v>0</v>
      </c>
      <c r="BB268" s="21" t="n">
        <f aca="false">IF(AE268="",0,IF(COUNTIF($AE$2:$AE$1001,AE268)&gt;1,1,0))</f>
        <v>0</v>
      </c>
      <c r="BC268" s="21" t="n">
        <f aca="false">IF(AND(H268="",I268&gt;تنظیمات!$B$12*60,AM268="خالی"),1,0)</f>
        <v>0</v>
      </c>
      <c r="BD268" s="21" t="n">
        <f aca="false">IF(AND(AP268="بله",I268&lt;تنظیمات!$B$14,AO268="خیر"),1,0)</f>
        <v>0</v>
      </c>
      <c r="BE268" s="21" t="n">
        <f aca="false">IF(AN268="خیر",1,0)</f>
        <v>0</v>
      </c>
      <c r="BF268" s="21" t="n">
        <f aca="false">IF(AND(AD268="فیش مفقودی",AQ268="بله",I268&gt;تنظیمات!$B$12*60),1,0)</f>
        <v>0</v>
      </c>
      <c r="BG268" s="21" t="n">
        <f aca="false">IF(AND(AK268&gt;تنظیمات!$B$11,AL268="بله"),1,0)</f>
        <v>1</v>
      </c>
      <c r="BH268" s="21" t="n">
        <f aca="false">MIN(100,AR268*تنظیمات!$B$21+AS268*تنظیمات!$B$22+AT268*تنظیمات!$B$23+AU268*تنظیمات!$B$24+AV268*تنظیمات!$B$25+AW268*تنظیمات!$B$26+AX268*تنظیمات!$B$27+AY268*تنظیمات!$B$28+AZ268*تنظیمات!$B$29+BA268*تنظیمات!$B$30+BB268*تنظیمات!$B$31+BC268*تنظیمات!$B$32+BD268*تنظیمات!$B$33+BE268*تنظیمات!$B$34+BF268*تنظیمات!$B$35+BG268*تنظیمات!$B$36)</f>
        <v>15</v>
      </c>
      <c r="BI268" s="16" t="str">
        <f aca="false">IF(BH268&gt;=60,"بحرانی",IF(BH268&gt;=30,"مشکوک",IF(BH268&gt;0,"هشدار","عادی")))</f>
        <v>هشدار</v>
      </c>
      <c r="BJ268" s="16" t="s">
        <v>918</v>
      </c>
    </row>
    <row r="269" customFormat="false" ht="15" hidden="false" customHeight="false" outlineLevel="0" collapsed="false">
      <c r="A269" s="16" t="s">
        <v>1278</v>
      </c>
      <c r="B269" s="16" t="s">
        <v>871</v>
      </c>
      <c r="C269" s="16"/>
      <c r="D269" s="16" t="s">
        <v>370</v>
      </c>
      <c r="E269" s="16" t="s">
        <v>351</v>
      </c>
      <c r="F269" s="16" t="s">
        <v>333</v>
      </c>
      <c r="G269" s="17" t="n">
        <v>46284.724537037</v>
      </c>
      <c r="H269" s="17" t="n">
        <v>46284.7613425926</v>
      </c>
      <c r="I269" s="18" t="n">
        <f aca="false">IF(H269="",ROUND((تنظیمات!$B$7-G269)*1440,0),ROUND((H269-G269)*1440,0))</f>
        <v>53</v>
      </c>
      <c r="J269" s="16" t="s">
        <v>346</v>
      </c>
      <c r="K269" s="16" t="s">
        <v>410</v>
      </c>
      <c r="L269" s="19" t="n">
        <v>0.925</v>
      </c>
      <c r="M269" s="19"/>
      <c r="N269" s="16" t="s">
        <v>335</v>
      </c>
      <c r="O269" s="16" t="s">
        <v>401</v>
      </c>
      <c r="P269" s="16" t="s">
        <v>420</v>
      </c>
      <c r="Q269" s="20" t="n">
        <v>46284</v>
      </c>
      <c r="R269" s="16" t="s">
        <v>1279</v>
      </c>
      <c r="S269" s="16" t="s">
        <v>404</v>
      </c>
      <c r="T269" s="17"/>
      <c r="U269" s="21" t="n">
        <v>1</v>
      </c>
      <c r="V269" s="21" t="n">
        <v>1</v>
      </c>
      <c r="W269" s="22" t="n">
        <v>3.8</v>
      </c>
      <c r="X269" s="16" t="s">
        <v>335</v>
      </c>
      <c r="Y269" s="16" t="s">
        <v>338</v>
      </c>
      <c r="Z269" s="16" t="s">
        <v>405</v>
      </c>
      <c r="AA269" s="16"/>
      <c r="AB269" s="23"/>
      <c r="AC269" s="17"/>
      <c r="AD269" s="16" t="s">
        <v>338</v>
      </c>
      <c r="AE269" s="16"/>
      <c r="AF269" s="16" t="str">
        <f aca="false">IF(COUNTIF(لیست_سفید!$A$2:$A$21,B269)&gt;0,"بله","خیر")</f>
        <v>خیر</v>
      </c>
      <c r="AG269" s="24" t="n">
        <f aca="false">IF(H269="","",IF(AD269="فیش مفقودی",تنظیمات!$B$6,(INT(I269/1440)*تنظیمات!$B$5+IF(MOD(I269,1440)&lt;=تنظیمات!$B$2,0,MIN(تنظیمات!$B$5,تنظیمات!$B$3+MAX(0,ROUNDUP((MOD(I269,1440)-60)/60,0))*تنظیمات!$B$4)))*INDEX(تعرفه!$B$2:$B$7,MATCH(AD269,تعرفه!$A$2:$A$7,0))))</f>
        <v>20000</v>
      </c>
      <c r="AH269" s="24" t="n">
        <v>20000</v>
      </c>
      <c r="AI269" s="24" t="n">
        <f aca="false">IF(AG269="","",AH269-AG269)</f>
        <v>0</v>
      </c>
      <c r="AJ269" s="21" t="n">
        <v>0</v>
      </c>
      <c r="AK269" s="21" t="n">
        <v>130</v>
      </c>
      <c r="AL269" s="16" t="s">
        <v>340</v>
      </c>
      <c r="AM269" s="16"/>
      <c r="AN269" s="16" t="s">
        <v>340</v>
      </c>
      <c r="AO269" s="16" t="s">
        <v>340</v>
      </c>
      <c r="AP269" s="16" t="s">
        <v>335</v>
      </c>
      <c r="AQ269" s="16"/>
      <c r="AR269" s="21" t="n">
        <f aca="false">IF(AND(T269&lt;&gt;"",H269&lt;&gt;""),IF(AND((T269-H269)*86400&gt;=0,(T269-H269)*86400&lt;تنظیمات!$B$13),1,0),0)</f>
        <v>0</v>
      </c>
      <c r="AS269" s="21" t="n">
        <f aca="false">IF(Z269="پوز",IF(OR(AB269="",COUNTIF(پوزها!$A$2:$A$5,AA269)=0),1,0),0)</f>
        <v>0</v>
      </c>
      <c r="AT269" s="21" t="n">
        <f aca="false">IF(AI269="",0,IF(AI269&gt;0,1,0))</f>
        <v>0</v>
      </c>
      <c r="AU269" s="21" t="n">
        <f aca="false">IF(AI269="",0,IF(AI269&lt;0,1,0))</f>
        <v>0</v>
      </c>
      <c r="AV269" s="21" t="n">
        <f aca="false">IF(U269&gt;V269,1,0)</f>
        <v>0</v>
      </c>
      <c r="AW269" s="21" t="n">
        <f aca="false">IF(OR(W269&gt;تنظیمات!$B$8,X269="بله"),1,0)</f>
        <v>0</v>
      </c>
      <c r="AX269" s="21" t="n">
        <f aca="false">IF(AND(N269="بله",L269&gt;تنظیمات!$B$9),1,0)</f>
        <v>0</v>
      </c>
      <c r="AY269" s="21" t="n">
        <f aca="false">IF(Y269="معکوس",1,0)</f>
        <v>0</v>
      </c>
      <c r="AZ269" s="21" t="n">
        <f aca="false">IF(ABS(AJ269)&gt;تنظیمات!$B$10,1,0)</f>
        <v>0</v>
      </c>
      <c r="BA269" s="21" t="n">
        <f aca="false">IF(AND(OR(AD269="رایگان/VIP",AD269="جانباز"),AF269="خیر"),1,0)</f>
        <v>0</v>
      </c>
      <c r="BB269" s="21" t="n">
        <f aca="false">IF(AE269="",0,IF(COUNTIF($AE$2:$AE$1001,AE269)&gt;1,1,0))</f>
        <v>0</v>
      </c>
      <c r="BC269" s="21" t="n">
        <f aca="false">IF(AND(H269="",I269&gt;تنظیمات!$B$12*60,AM269="خالی"),1,0)</f>
        <v>0</v>
      </c>
      <c r="BD269" s="21" t="n">
        <f aca="false">IF(AND(AP269="بله",I269&lt;تنظیمات!$B$14,AO269="خیر"),1,0)</f>
        <v>0</v>
      </c>
      <c r="BE269" s="21" t="n">
        <f aca="false">IF(AN269="خیر",1,0)</f>
        <v>0</v>
      </c>
      <c r="BF269" s="21" t="n">
        <f aca="false">IF(AND(AD269="فیش مفقودی",AQ269="بله",I269&gt;تنظیمات!$B$12*60),1,0)</f>
        <v>0</v>
      </c>
      <c r="BG269" s="21" t="n">
        <f aca="false">IF(AND(AK269&gt;تنظیمات!$B$11,AL269="بله"),1,0)</f>
        <v>1</v>
      </c>
      <c r="BH269" s="21" t="n">
        <f aca="false">MIN(100,AR269*تنظیمات!$B$21+AS269*تنظیمات!$B$22+AT269*تنظیمات!$B$23+AU269*تنظیمات!$B$24+AV269*تنظیمات!$B$25+AW269*تنظیمات!$B$26+AX269*تنظیمات!$B$27+AY269*تنظیمات!$B$28+AZ269*تنظیمات!$B$29+BA269*تنظیمات!$B$30+BB269*تنظیمات!$B$31+BC269*تنظیمات!$B$32+BD269*تنظیمات!$B$33+BE269*تنظیمات!$B$34+BF269*تنظیمات!$B$35+BG269*تنظیمات!$B$36)</f>
        <v>15</v>
      </c>
      <c r="BI269" s="16" t="str">
        <f aca="false">IF(BH269&gt;=60,"بحرانی",IF(BH269&gt;=30,"مشکوک",IF(BH269&gt;0,"هشدار","عادی")))</f>
        <v>هشدار</v>
      </c>
      <c r="BJ269" s="16" t="s">
        <v>918</v>
      </c>
    </row>
    <row r="270" customFormat="false" ht="15" hidden="false" customHeight="false" outlineLevel="0" collapsed="false">
      <c r="A270" s="16" t="s">
        <v>1280</v>
      </c>
      <c r="B270" s="16" t="s">
        <v>823</v>
      </c>
      <c r="C270" s="16"/>
      <c r="D270" s="16" t="s">
        <v>331</v>
      </c>
      <c r="E270" s="16" t="s">
        <v>345</v>
      </c>
      <c r="F270" s="16" t="s">
        <v>333</v>
      </c>
      <c r="G270" s="17" t="n">
        <v>46284.727349537</v>
      </c>
      <c r="H270" s="17" t="n">
        <v>46284.8551273148</v>
      </c>
      <c r="I270" s="18" t="n">
        <f aca="false">IF(H270="",ROUND((تنظیمات!$B$7-G270)*1440,0),ROUND((H270-G270)*1440,0))</f>
        <v>184</v>
      </c>
      <c r="J270" s="16" t="s">
        <v>346</v>
      </c>
      <c r="K270" s="16" t="s">
        <v>400</v>
      </c>
      <c r="L270" s="19" t="n">
        <v>0.939</v>
      </c>
      <c r="M270" s="19" t="n">
        <v>0.963</v>
      </c>
      <c r="N270" s="16" t="s">
        <v>335</v>
      </c>
      <c r="O270" s="16" t="s">
        <v>411</v>
      </c>
      <c r="P270" s="16" t="s">
        <v>420</v>
      </c>
      <c r="Q270" s="20" t="n">
        <v>46284</v>
      </c>
      <c r="R270" s="16" t="s">
        <v>1281</v>
      </c>
      <c r="S270" s="16" t="s">
        <v>404</v>
      </c>
      <c r="T270" s="17"/>
      <c r="U270" s="21" t="n">
        <v>1</v>
      </c>
      <c r="V270" s="21" t="n">
        <v>1</v>
      </c>
      <c r="W270" s="22" t="n">
        <v>2.8</v>
      </c>
      <c r="X270" s="16" t="s">
        <v>335</v>
      </c>
      <c r="Y270" s="16" t="s">
        <v>338</v>
      </c>
      <c r="Z270" s="16" t="s">
        <v>413</v>
      </c>
      <c r="AA270" s="16" t="s">
        <v>427</v>
      </c>
      <c r="AB270" s="23" t="s">
        <v>1282</v>
      </c>
      <c r="AC270" s="17" t="n">
        <v>46284.854375</v>
      </c>
      <c r="AD270" s="16" t="s">
        <v>481</v>
      </c>
      <c r="AE270" s="16" t="s">
        <v>1283</v>
      </c>
      <c r="AF270" s="16" t="str">
        <f aca="false">IF(COUNTIF(لیست_سفید!$A$2:$A$21,B270)&gt;0,"بله","خیر")</f>
        <v>خیر</v>
      </c>
      <c r="AG270" s="24" t="n">
        <f aca="false">IF(H270="","",IF(AD270="فیش مفقودی",تنظیمات!$B$6,(INT(I270/1440)*تنظیمات!$B$5+IF(MOD(I270,1440)&lt;=تنظیمات!$B$2,0,MIN(تنظیمات!$B$5,تنظیمات!$B$3+MAX(0,ROUNDUP((MOD(I270,1440)-60)/60,0))*تنظیمات!$B$4)))*INDEX(تعرفه!$B$2:$B$7,MATCH(AD270,تعرفه!$A$2:$A$7,0))))</f>
        <v>31000</v>
      </c>
      <c r="AH270" s="24" t="n">
        <v>31000</v>
      </c>
      <c r="AI270" s="24" t="n">
        <f aca="false">IF(AG270="","",AH270-AG270)</f>
        <v>0</v>
      </c>
      <c r="AJ270" s="21" t="n">
        <v>-1</v>
      </c>
      <c r="AK270" s="21" t="n">
        <v>0</v>
      </c>
      <c r="AL270" s="16" t="s">
        <v>335</v>
      </c>
      <c r="AM270" s="16"/>
      <c r="AN270" s="16" t="s">
        <v>340</v>
      </c>
      <c r="AO270" s="16" t="s">
        <v>340</v>
      </c>
      <c r="AP270" s="16" t="s">
        <v>335</v>
      </c>
      <c r="AQ270" s="16"/>
      <c r="AR270" s="21" t="n">
        <f aca="false">IF(AND(T270&lt;&gt;"",H270&lt;&gt;""),IF(AND((T270-H270)*86400&gt;=0,(T270-H270)*86400&lt;تنظیمات!$B$13),1,0),0)</f>
        <v>0</v>
      </c>
      <c r="AS270" s="21" t="n">
        <f aca="false">IF(Z270="پوز",IF(OR(AB270="",COUNTIF(پوزها!$A$2:$A$5,AA270)=0),1,0),0)</f>
        <v>0</v>
      </c>
      <c r="AT270" s="21" t="n">
        <f aca="false">IF(AI270="",0,IF(AI270&gt;0,1,0))</f>
        <v>0</v>
      </c>
      <c r="AU270" s="21" t="n">
        <f aca="false">IF(AI270="",0,IF(AI270&lt;0,1,0))</f>
        <v>0</v>
      </c>
      <c r="AV270" s="21" t="n">
        <f aca="false">IF(U270&gt;V270,1,0)</f>
        <v>0</v>
      </c>
      <c r="AW270" s="21" t="n">
        <f aca="false">IF(OR(W270&gt;تنظیمات!$B$8,X270="بله"),1,0)</f>
        <v>0</v>
      </c>
      <c r="AX270" s="21" t="n">
        <f aca="false">IF(AND(N270="بله",L270&gt;تنظیمات!$B$9),1,0)</f>
        <v>0</v>
      </c>
      <c r="AY270" s="21" t="n">
        <f aca="false">IF(Y270="معکوس",1,0)</f>
        <v>0</v>
      </c>
      <c r="AZ270" s="21" t="n">
        <f aca="false">IF(ABS(AJ270)&gt;تنظیمات!$B$10,1,0)</f>
        <v>0</v>
      </c>
      <c r="BA270" s="21" t="n">
        <f aca="false">IF(AND(OR(AD270="رایگان/VIP",AD270="جانباز"),AF270="خیر"),1,0)</f>
        <v>0</v>
      </c>
      <c r="BB270" s="21" t="n">
        <f aca="false">IF(AE270="",0,IF(COUNTIF($AE$2:$AE$1001,AE270)&gt;1,1,0))</f>
        <v>0</v>
      </c>
      <c r="BC270" s="21" t="n">
        <f aca="false">IF(AND(H270="",I270&gt;تنظیمات!$B$12*60,AM270="خالی"),1,0)</f>
        <v>0</v>
      </c>
      <c r="BD270" s="21" t="n">
        <f aca="false">IF(AND(AP270="بله",I270&lt;تنظیمات!$B$14,AO270="خیر"),1,0)</f>
        <v>0</v>
      </c>
      <c r="BE270" s="21" t="n">
        <f aca="false">IF(AN270="خیر",1,0)</f>
        <v>0</v>
      </c>
      <c r="BF270" s="21" t="n">
        <f aca="false">IF(AND(AD270="فیش مفقودی",AQ270="بله",I270&gt;تنظیمات!$B$12*60),1,0)</f>
        <v>0</v>
      </c>
      <c r="BG270" s="21" t="n">
        <f aca="false">IF(AND(AK270&gt;تنظیمات!$B$11,AL270="بله"),1,0)</f>
        <v>0</v>
      </c>
      <c r="BH270" s="21" t="n">
        <f aca="false">MIN(100,AR270*تنظیمات!$B$21+AS270*تنظیمات!$B$22+AT270*تنظیمات!$B$23+AU270*تنظیمات!$B$24+AV270*تنظیمات!$B$25+AW270*تنظیمات!$B$26+AX270*تنظیمات!$B$27+AY270*تنظیمات!$B$28+AZ270*تنظیمات!$B$29+BA270*تنظیمات!$B$30+BB270*تنظیمات!$B$31+BC270*تنظیمات!$B$32+BD270*تنظیمات!$B$33+BE270*تنظیمات!$B$34+BF270*تنظیمات!$B$35+BG270*تنظیمات!$B$36)</f>
        <v>0</v>
      </c>
      <c r="BI270" s="16" t="str">
        <f aca="false">IF(BH270&gt;=60,"بحرانی",IF(BH270&gt;=30,"مشکوک",IF(BH270&gt;0,"هشدار","عادی")))</f>
        <v>عادی</v>
      </c>
      <c r="BJ270" s="16" t="s">
        <v>338</v>
      </c>
    </row>
    <row r="271" customFormat="false" ht="15" hidden="false" customHeight="false" outlineLevel="0" collapsed="false">
      <c r="A271" s="16" t="s">
        <v>1284</v>
      </c>
      <c r="B271" s="16" t="s">
        <v>396</v>
      </c>
      <c r="C271" s="16"/>
      <c r="D271" s="16" t="s">
        <v>344</v>
      </c>
      <c r="E271" s="16" t="s">
        <v>345</v>
      </c>
      <c r="F271" s="16" t="s">
        <v>333</v>
      </c>
      <c r="G271" s="17" t="n">
        <v>46284.7346412037</v>
      </c>
      <c r="H271" s="17" t="n">
        <v>46284.8797800926</v>
      </c>
      <c r="I271" s="18" t="n">
        <f aca="false">IF(H271="",ROUND((تنظیمات!$B$7-G271)*1440,0),ROUND((H271-G271)*1440,0))</f>
        <v>209</v>
      </c>
      <c r="J271" s="16" t="s">
        <v>334</v>
      </c>
      <c r="K271" s="16" t="s">
        <v>410</v>
      </c>
      <c r="L271" s="19" t="n">
        <v>0.973</v>
      </c>
      <c r="M271" s="19" t="n">
        <v>0.905</v>
      </c>
      <c r="N271" s="16" t="s">
        <v>335</v>
      </c>
      <c r="O271" s="16" t="s">
        <v>401</v>
      </c>
      <c r="P271" s="16" t="s">
        <v>420</v>
      </c>
      <c r="Q271" s="20" t="n">
        <v>46284</v>
      </c>
      <c r="R271" s="16" t="s">
        <v>1285</v>
      </c>
      <c r="S271" s="16" t="s">
        <v>606</v>
      </c>
      <c r="T271" s="17" t="n">
        <v>46284.8812384259</v>
      </c>
      <c r="U271" s="21" t="n">
        <v>1</v>
      </c>
      <c r="V271" s="21" t="n">
        <v>1</v>
      </c>
      <c r="W271" s="22" t="n">
        <v>4.5</v>
      </c>
      <c r="X271" s="16" t="s">
        <v>335</v>
      </c>
      <c r="Y271" s="16" t="s">
        <v>338</v>
      </c>
      <c r="Z271" s="16" t="s">
        <v>405</v>
      </c>
      <c r="AA271" s="16"/>
      <c r="AB271" s="23"/>
      <c r="AC271" s="17"/>
      <c r="AD271" s="16" t="s">
        <v>338</v>
      </c>
      <c r="AE271" s="16"/>
      <c r="AF271" s="16" t="str">
        <f aca="false">IF(COUNTIF(لیست_سفید!$A$2:$A$21,B271)&gt;0,"بله","خیر")</f>
        <v>خیر</v>
      </c>
      <c r="AG271" s="24" t="n">
        <f aca="false">IF(H271="","",IF(AD271="فیش مفقودی",تنظیمات!$B$6,(INT(I271/1440)*تنظیمات!$B$5+IF(MOD(I271,1440)&lt;=تنظیمات!$B$2,0,MIN(تنظیمات!$B$5,تنظیمات!$B$3+MAX(0,ROUNDUP((MOD(I271,1440)-60)/60,0))*تنظیمات!$B$4)))*INDEX(تعرفه!$B$2:$B$7,MATCH(AD271,تعرفه!$A$2:$A$7,0))))</f>
        <v>62000</v>
      </c>
      <c r="AH271" s="24" t="n">
        <v>0</v>
      </c>
      <c r="AI271" s="24" t="n">
        <f aca="false">IF(AG271="","",AH271-AG271)</f>
        <v>-62000</v>
      </c>
      <c r="AJ271" s="21" t="n">
        <v>-2</v>
      </c>
      <c r="AK271" s="21" t="n">
        <v>0</v>
      </c>
      <c r="AL271" s="16" t="s">
        <v>335</v>
      </c>
      <c r="AM271" s="16"/>
      <c r="AN271" s="16" t="s">
        <v>340</v>
      </c>
      <c r="AO271" s="16" t="s">
        <v>340</v>
      </c>
      <c r="AP271" s="16" t="s">
        <v>335</v>
      </c>
      <c r="AQ271" s="16"/>
      <c r="AR271" s="21" t="n">
        <f aca="false">IF(AND(T271&lt;&gt;"",H271&lt;&gt;""),IF(AND((T271-H271)*86400&gt;=0,(T271-H271)*86400&lt;تنظیمات!$B$13),1,0),0)</f>
        <v>1</v>
      </c>
      <c r="AS271" s="21" t="n">
        <f aca="false">IF(Z271="پوز",IF(OR(AB271="",COUNTIF(پوزها!$A$2:$A$5,AA271)=0),1,0),0)</f>
        <v>0</v>
      </c>
      <c r="AT271" s="21" t="n">
        <f aca="false">IF(AI271="",0,IF(AI271&gt;0,1,0))</f>
        <v>0</v>
      </c>
      <c r="AU271" s="21" t="n">
        <f aca="false">IF(AI271="",0,IF(AI271&lt;0,1,0))</f>
        <v>1</v>
      </c>
      <c r="AV271" s="21" t="n">
        <f aca="false">IF(U271&gt;V271,1,0)</f>
        <v>0</v>
      </c>
      <c r="AW271" s="21" t="n">
        <f aca="false">IF(OR(W271&gt;تنظیمات!$B$8,X271="بله"),1,0)</f>
        <v>0</v>
      </c>
      <c r="AX271" s="21" t="n">
        <f aca="false">IF(AND(N271="بله",L271&gt;تنظیمات!$B$9),1,0)</f>
        <v>0</v>
      </c>
      <c r="AY271" s="21" t="n">
        <f aca="false">IF(Y271="معکوس",1,0)</f>
        <v>0</v>
      </c>
      <c r="AZ271" s="21" t="n">
        <f aca="false">IF(ABS(AJ271)&gt;تنظیمات!$B$10,1,0)</f>
        <v>0</v>
      </c>
      <c r="BA271" s="21" t="n">
        <f aca="false">IF(AND(OR(AD271="رایگان/VIP",AD271="جانباز"),AF271="خیر"),1,0)</f>
        <v>0</v>
      </c>
      <c r="BB271" s="21" t="n">
        <f aca="false">IF(AE271="",0,IF(COUNTIF($AE$2:$AE$1001,AE271)&gt;1,1,0))</f>
        <v>0</v>
      </c>
      <c r="BC271" s="21" t="n">
        <f aca="false">IF(AND(H271="",I271&gt;تنظیمات!$B$12*60,AM271="خالی"),1,0)</f>
        <v>0</v>
      </c>
      <c r="BD271" s="21" t="n">
        <f aca="false">IF(AND(AP271="بله",I271&lt;تنظیمات!$B$14,AO271="خیر"),1,0)</f>
        <v>0</v>
      </c>
      <c r="BE271" s="21" t="n">
        <f aca="false">IF(AN271="خیر",1,0)</f>
        <v>0</v>
      </c>
      <c r="BF271" s="21" t="n">
        <f aca="false">IF(AND(AD271="فیش مفقودی",AQ271="بله",I271&gt;تنظیمات!$B$12*60),1,0)</f>
        <v>0</v>
      </c>
      <c r="BG271" s="21" t="n">
        <f aca="false">IF(AND(AK271&gt;تنظیمات!$B$11,AL271="بله"),1,0)</f>
        <v>0</v>
      </c>
      <c r="BH271" s="21" t="n">
        <f aca="false">MIN(100,AR271*تنظیمات!$B$21+AS271*تنظیمات!$B$22+AT271*تنظیمات!$B$23+AU271*تنظیمات!$B$24+AV271*تنظیمات!$B$25+AW271*تنظیمات!$B$26+AX271*تنظیمات!$B$27+AY271*تنظیمات!$B$28+AZ271*تنظیمات!$B$29+BA271*تنظیمات!$B$30+BB271*تنظیمات!$B$31+BC271*تنظیمات!$B$32+BD271*تنظیمات!$B$33+BE271*تنظیمات!$B$34+BF271*تنظیمات!$B$35+BG271*تنظیمات!$B$36)</f>
        <v>65</v>
      </c>
      <c r="BI271" s="16" t="str">
        <f aca="false">IF(BH271&gt;=60,"بحرانی",IF(BH271&gt;=30,"مشکوک",IF(BH271&gt;0,"هشدار","عادی")))</f>
        <v>بحرانی</v>
      </c>
      <c r="BJ271" s="16" t="s">
        <v>607</v>
      </c>
    </row>
    <row r="272" customFormat="false" ht="15" hidden="false" customHeight="false" outlineLevel="0" collapsed="false">
      <c r="A272" s="16" t="s">
        <v>1286</v>
      </c>
      <c r="B272" s="16" t="s">
        <v>1287</v>
      </c>
      <c r="C272" s="16"/>
      <c r="D272" s="16" t="s">
        <v>370</v>
      </c>
      <c r="E272" s="16" t="s">
        <v>345</v>
      </c>
      <c r="F272" s="16" t="s">
        <v>333</v>
      </c>
      <c r="G272" s="17" t="n">
        <v>46284.7422106482</v>
      </c>
      <c r="H272" s="17" t="n">
        <v>46284.774849537</v>
      </c>
      <c r="I272" s="18" t="n">
        <f aca="false">IF(H272="",ROUND((تنظیمات!$B$7-G272)*1440,0),ROUND((H272-G272)*1440,0))</f>
        <v>47</v>
      </c>
      <c r="J272" s="16" t="s">
        <v>334</v>
      </c>
      <c r="K272" s="16" t="s">
        <v>410</v>
      </c>
      <c r="L272" s="19" t="n">
        <v>0.995</v>
      </c>
      <c r="M272" s="19" t="n">
        <v>0.923</v>
      </c>
      <c r="N272" s="16" t="s">
        <v>335</v>
      </c>
      <c r="O272" s="16" t="s">
        <v>401</v>
      </c>
      <c r="P272" s="16" t="s">
        <v>420</v>
      </c>
      <c r="Q272" s="20" t="n">
        <v>46284</v>
      </c>
      <c r="R272" s="16" t="s">
        <v>1288</v>
      </c>
      <c r="S272" s="16" t="s">
        <v>606</v>
      </c>
      <c r="T272" s="17" t="n">
        <v>46284.7763888889</v>
      </c>
      <c r="U272" s="21" t="n">
        <v>1</v>
      </c>
      <c r="V272" s="21" t="n">
        <v>1</v>
      </c>
      <c r="W272" s="22" t="n">
        <v>5.3</v>
      </c>
      <c r="X272" s="16" t="s">
        <v>335</v>
      </c>
      <c r="Y272" s="16" t="s">
        <v>338</v>
      </c>
      <c r="Z272" s="16" t="s">
        <v>405</v>
      </c>
      <c r="AA272" s="16"/>
      <c r="AB272" s="23"/>
      <c r="AC272" s="17"/>
      <c r="AD272" s="16" t="s">
        <v>338</v>
      </c>
      <c r="AE272" s="16"/>
      <c r="AF272" s="16" t="str">
        <f aca="false">IF(COUNTIF(لیست_سفید!$A$2:$A$21,B272)&gt;0,"بله","خیر")</f>
        <v>خیر</v>
      </c>
      <c r="AG272" s="24" t="n">
        <f aca="false">IF(H272="","",IF(AD272="فیش مفقودی",تنظیمات!$B$6,(INT(I272/1440)*تنظیمات!$B$5+IF(MOD(I272,1440)&lt;=تنظیمات!$B$2,0,MIN(تنظیمات!$B$5,تنظیمات!$B$3+MAX(0,ROUNDUP((MOD(I272,1440)-60)/60,0))*تنظیمات!$B$4)))*INDEX(تعرفه!$B$2:$B$7,MATCH(AD272,تعرفه!$A$2:$A$7,0))))</f>
        <v>20000</v>
      </c>
      <c r="AH272" s="24" t="n">
        <v>0</v>
      </c>
      <c r="AI272" s="24" t="n">
        <f aca="false">IF(AG272="","",AH272-AG272)</f>
        <v>-20000</v>
      </c>
      <c r="AJ272" s="21" t="n">
        <v>0</v>
      </c>
      <c r="AK272" s="21" t="n">
        <v>0</v>
      </c>
      <c r="AL272" s="16" t="s">
        <v>335</v>
      </c>
      <c r="AM272" s="16"/>
      <c r="AN272" s="16" t="s">
        <v>340</v>
      </c>
      <c r="AO272" s="16" t="s">
        <v>340</v>
      </c>
      <c r="AP272" s="16" t="s">
        <v>335</v>
      </c>
      <c r="AQ272" s="16"/>
      <c r="AR272" s="21" t="n">
        <f aca="false">IF(AND(T272&lt;&gt;"",H272&lt;&gt;""),IF(AND((T272-H272)*86400&gt;=0,(T272-H272)*86400&lt;تنظیمات!$B$13),1,0),0)</f>
        <v>1</v>
      </c>
      <c r="AS272" s="21" t="n">
        <f aca="false">IF(Z272="پوز",IF(OR(AB272="",COUNTIF(پوزها!$A$2:$A$5,AA272)=0),1,0),0)</f>
        <v>0</v>
      </c>
      <c r="AT272" s="21" t="n">
        <f aca="false">IF(AI272="",0,IF(AI272&gt;0,1,0))</f>
        <v>0</v>
      </c>
      <c r="AU272" s="21" t="n">
        <f aca="false">IF(AI272="",0,IF(AI272&lt;0,1,0))</f>
        <v>1</v>
      </c>
      <c r="AV272" s="21" t="n">
        <f aca="false">IF(U272&gt;V272,1,0)</f>
        <v>0</v>
      </c>
      <c r="AW272" s="21" t="n">
        <f aca="false">IF(OR(W272&gt;تنظیمات!$B$8,X272="بله"),1,0)</f>
        <v>0</v>
      </c>
      <c r="AX272" s="21" t="n">
        <f aca="false">IF(AND(N272="بله",L272&gt;تنظیمات!$B$9),1,0)</f>
        <v>0</v>
      </c>
      <c r="AY272" s="21" t="n">
        <f aca="false">IF(Y272="معکوس",1,0)</f>
        <v>0</v>
      </c>
      <c r="AZ272" s="21" t="n">
        <f aca="false">IF(ABS(AJ272)&gt;تنظیمات!$B$10,1,0)</f>
        <v>0</v>
      </c>
      <c r="BA272" s="21" t="n">
        <f aca="false">IF(AND(OR(AD272="رایگان/VIP",AD272="جانباز"),AF272="خیر"),1,0)</f>
        <v>0</v>
      </c>
      <c r="BB272" s="21" t="n">
        <f aca="false">IF(AE272="",0,IF(COUNTIF($AE$2:$AE$1001,AE272)&gt;1,1,0))</f>
        <v>0</v>
      </c>
      <c r="BC272" s="21" t="n">
        <f aca="false">IF(AND(H272="",I272&gt;تنظیمات!$B$12*60,AM272="خالی"),1,0)</f>
        <v>0</v>
      </c>
      <c r="BD272" s="21" t="n">
        <f aca="false">IF(AND(AP272="بله",I272&lt;تنظیمات!$B$14,AO272="خیر"),1,0)</f>
        <v>0</v>
      </c>
      <c r="BE272" s="21" t="n">
        <f aca="false">IF(AN272="خیر",1,0)</f>
        <v>0</v>
      </c>
      <c r="BF272" s="21" t="n">
        <f aca="false">IF(AND(AD272="فیش مفقودی",AQ272="بله",I272&gt;تنظیمات!$B$12*60),1,0)</f>
        <v>0</v>
      </c>
      <c r="BG272" s="21" t="n">
        <f aca="false">IF(AND(AK272&gt;تنظیمات!$B$11,AL272="بله"),1,0)</f>
        <v>0</v>
      </c>
      <c r="BH272" s="21" t="n">
        <f aca="false">MIN(100,AR272*تنظیمات!$B$21+AS272*تنظیمات!$B$22+AT272*تنظیمات!$B$23+AU272*تنظیمات!$B$24+AV272*تنظیمات!$B$25+AW272*تنظیمات!$B$26+AX272*تنظیمات!$B$27+AY272*تنظیمات!$B$28+AZ272*تنظیمات!$B$29+BA272*تنظیمات!$B$30+BB272*تنظیمات!$B$31+BC272*تنظیمات!$B$32+BD272*تنظیمات!$B$33+BE272*تنظیمات!$B$34+BF272*تنظیمات!$B$35+BG272*تنظیمات!$B$36)</f>
        <v>65</v>
      </c>
      <c r="BI272" s="16" t="str">
        <f aca="false">IF(BH272&gt;=60,"بحرانی",IF(BH272&gt;=30,"مشکوک",IF(BH272&gt;0,"هشدار","عادی")))</f>
        <v>بحرانی</v>
      </c>
      <c r="BJ272" s="16" t="s">
        <v>607</v>
      </c>
    </row>
    <row r="273" customFormat="false" ht="15" hidden="false" customHeight="false" outlineLevel="0" collapsed="false">
      <c r="A273" s="16" t="s">
        <v>1289</v>
      </c>
      <c r="B273" s="16" t="s">
        <v>743</v>
      </c>
      <c r="C273" s="16"/>
      <c r="D273" s="16" t="s">
        <v>386</v>
      </c>
      <c r="E273" s="16" t="s">
        <v>332</v>
      </c>
      <c r="F273" s="16" t="s">
        <v>333</v>
      </c>
      <c r="G273" s="17" t="n">
        <v>46284.7502662037</v>
      </c>
      <c r="H273" s="17" t="n">
        <v>46285.7030439815</v>
      </c>
      <c r="I273" s="18" t="n">
        <f aca="false">IF(H273="",ROUND((تنظیمات!$B$7-G273)*1440,0),ROUND((H273-G273)*1440,0))</f>
        <v>1372</v>
      </c>
      <c r="J273" s="16" t="s">
        <v>334</v>
      </c>
      <c r="K273" s="16" t="s">
        <v>400</v>
      </c>
      <c r="L273" s="19" t="n">
        <v>0.994</v>
      </c>
      <c r="M273" s="19" t="n">
        <v>0.938</v>
      </c>
      <c r="N273" s="16" t="s">
        <v>335</v>
      </c>
      <c r="O273" s="16" t="s">
        <v>677</v>
      </c>
      <c r="P273" s="16" t="s">
        <v>420</v>
      </c>
      <c r="Q273" s="20" t="n">
        <v>46285</v>
      </c>
      <c r="R273" s="16" t="s">
        <v>1290</v>
      </c>
      <c r="S273" s="16" t="s">
        <v>404</v>
      </c>
      <c r="T273" s="17"/>
      <c r="U273" s="21" t="n">
        <v>1</v>
      </c>
      <c r="V273" s="21" t="n">
        <v>1</v>
      </c>
      <c r="W273" s="22" t="n">
        <v>4.5</v>
      </c>
      <c r="X273" s="16" t="s">
        <v>335</v>
      </c>
      <c r="Y273" s="16" t="s">
        <v>338</v>
      </c>
      <c r="Z273" s="16" t="s">
        <v>405</v>
      </c>
      <c r="AA273" s="16"/>
      <c r="AB273" s="23"/>
      <c r="AC273" s="17"/>
      <c r="AD273" s="16" t="s">
        <v>406</v>
      </c>
      <c r="AE273" s="16"/>
      <c r="AF273" s="16" t="str">
        <f aca="false">IF(COUNTIF(لیست_سفید!$A$2:$A$21,B273)&gt;0,"بله","خیر")</f>
        <v>خیر</v>
      </c>
      <c r="AG273" s="24" t="n">
        <f aca="false">IF(H273="","",IF(AD273="فیش مفقودی",تنظیمات!$B$6,(INT(I273/1440)*تنظیمات!$B$5+IF(MOD(I273,1440)&lt;=تنظیمات!$B$2,0,MIN(تنظیمات!$B$5,تنظیمات!$B$3+MAX(0,ROUNDUP((MOD(I273,1440)-60)/60,0))*تنظیمات!$B$4)))*INDEX(تعرفه!$B$2:$B$7,MATCH(AD273,تعرفه!$A$2:$A$7,0))))</f>
        <v>300000</v>
      </c>
      <c r="AH273" s="24" t="n">
        <v>300000</v>
      </c>
      <c r="AI273" s="24" t="n">
        <f aca="false">IF(AG273="","",AH273-AG273)</f>
        <v>0</v>
      </c>
      <c r="AJ273" s="21" t="n">
        <v>-1</v>
      </c>
      <c r="AK273" s="21" t="n">
        <v>0</v>
      </c>
      <c r="AL273" s="16" t="s">
        <v>335</v>
      </c>
      <c r="AM273" s="16"/>
      <c r="AN273" s="16" t="s">
        <v>340</v>
      </c>
      <c r="AO273" s="16" t="s">
        <v>340</v>
      </c>
      <c r="AP273" s="16" t="s">
        <v>335</v>
      </c>
      <c r="AQ273" s="16" t="s">
        <v>335</v>
      </c>
      <c r="AR273" s="21" t="n">
        <f aca="false">IF(AND(T273&lt;&gt;"",H273&lt;&gt;""),IF(AND((T273-H273)*86400&gt;=0,(T273-H273)*86400&lt;تنظیمات!$B$13),1,0),0)</f>
        <v>0</v>
      </c>
      <c r="AS273" s="21" t="n">
        <f aca="false">IF(Z273="پوز",IF(OR(AB273="",COUNTIF(پوزها!$A$2:$A$5,AA273)=0),1,0),0)</f>
        <v>0</v>
      </c>
      <c r="AT273" s="21" t="n">
        <f aca="false">IF(AI273="",0,IF(AI273&gt;0,1,0))</f>
        <v>0</v>
      </c>
      <c r="AU273" s="21" t="n">
        <f aca="false">IF(AI273="",0,IF(AI273&lt;0,1,0))</f>
        <v>0</v>
      </c>
      <c r="AV273" s="21" t="n">
        <f aca="false">IF(U273&gt;V273,1,0)</f>
        <v>0</v>
      </c>
      <c r="AW273" s="21" t="n">
        <f aca="false">IF(OR(W273&gt;تنظیمات!$B$8,X273="بله"),1,0)</f>
        <v>0</v>
      </c>
      <c r="AX273" s="21" t="n">
        <f aca="false">IF(AND(N273="بله",L273&gt;تنظیمات!$B$9),1,0)</f>
        <v>0</v>
      </c>
      <c r="AY273" s="21" t="n">
        <f aca="false">IF(Y273="معکوس",1,0)</f>
        <v>0</v>
      </c>
      <c r="AZ273" s="21" t="n">
        <f aca="false">IF(ABS(AJ273)&gt;تنظیمات!$B$10,1,0)</f>
        <v>0</v>
      </c>
      <c r="BA273" s="21" t="n">
        <f aca="false">IF(AND(OR(AD273="رایگان/VIP",AD273="جانباز"),AF273="خیر"),1,0)</f>
        <v>0</v>
      </c>
      <c r="BB273" s="21" t="n">
        <f aca="false">IF(AE273="",0,IF(COUNTIF($AE$2:$AE$1001,AE273)&gt;1,1,0))</f>
        <v>0</v>
      </c>
      <c r="BC273" s="21" t="n">
        <f aca="false">IF(AND(H273="",I273&gt;تنظیمات!$B$12*60,AM273="خالی"),1,0)</f>
        <v>0</v>
      </c>
      <c r="BD273" s="21" t="n">
        <f aca="false">IF(AND(AP273="بله",I273&lt;تنظیمات!$B$14,AO273="خیر"),1,0)</f>
        <v>0</v>
      </c>
      <c r="BE273" s="21" t="n">
        <f aca="false">IF(AN273="خیر",1,0)</f>
        <v>0</v>
      </c>
      <c r="BF273" s="21" t="n">
        <f aca="false">IF(AND(AD273="فیش مفقودی",AQ273="بله",I273&gt;تنظیمات!$B$12*60),1,0)</f>
        <v>0</v>
      </c>
      <c r="BG273" s="21" t="n">
        <f aca="false">IF(AND(AK273&gt;تنظیمات!$B$11,AL273="بله"),1,0)</f>
        <v>0</v>
      </c>
      <c r="BH273" s="21" t="n">
        <f aca="false">MIN(100,AR273*تنظیمات!$B$21+AS273*تنظیمات!$B$22+AT273*تنظیمات!$B$23+AU273*تنظیمات!$B$24+AV273*تنظیمات!$B$25+AW273*تنظیمات!$B$26+AX273*تنظیمات!$B$27+AY273*تنظیمات!$B$28+AZ273*تنظیمات!$B$29+BA273*تنظیمات!$B$30+BB273*تنظیمات!$B$31+BC273*تنظیمات!$B$32+BD273*تنظیمات!$B$33+BE273*تنظیمات!$B$34+BF273*تنظیمات!$B$35+BG273*تنظیمات!$B$36)</f>
        <v>0</v>
      </c>
      <c r="BI273" s="16" t="str">
        <f aca="false">IF(BH273&gt;=60,"بحرانی",IF(BH273&gt;=30,"مشکوک",IF(BH273&gt;0,"هشدار","عادی")))</f>
        <v>عادی</v>
      </c>
      <c r="BJ273" s="16" t="s">
        <v>338</v>
      </c>
    </row>
    <row r="274" customFormat="false" ht="15" hidden="false" customHeight="false" outlineLevel="0" collapsed="false">
      <c r="A274" s="16" t="s">
        <v>1291</v>
      </c>
      <c r="B274" s="16" t="s">
        <v>1245</v>
      </c>
      <c r="C274" s="16"/>
      <c r="D274" s="16" t="s">
        <v>386</v>
      </c>
      <c r="E274" s="16" t="s">
        <v>345</v>
      </c>
      <c r="F274" s="16" t="s">
        <v>333</v>
      </c>
      <c r="G274" s="17" t="n">
        <v>46284.7541550926</v>
      </c>
      <c r="H274" s="17" t="n">
        <v>46284.761099537</v>
      </c>
      <c r="I274" s="18" t="n">
        <f aca="false">IF(H274="",ROUND((تنظیمات!$B$7-G274)*1440,0),ROUND((H274-G274)*1440,0))</f>
        <v>10</v>
      </c>
      <c r="J274" s="16" t="s">
        <v>334</v>
      </c>
      <c r="K274" s="16" t="s">
        <v>400</v>
      </c>
      <c r="L274" s="19" t="n">
        <v>0.991</v>
      </c>
      <c r="M274" s="19" t="n">
        <v>0.922</v>
      </c>
      <c r="N274" s="16" t="s">
        <v>335</v>
      </c>
      <c r="O274" s="16" t="s">
        <v>411</v>
      </c>
      <c r="P274" s="16" t="s">
        <v>420</v>
      </c>
      <c r="Q274" s="20" t="n">
        <v>46284</v>
      </c>
      <c r="R274" s="16" t="s">
        <v>1292</v>
      </c>
      <c r="S274" s="16" t="s">
        <v>404</v>
      </c>
      <c r="T274" s="17"/>
      <c r="U274" s="21" t="n">
        <v>1</v>
      </c>
      <c r="V274" s="21" t="n">
        <v>1</v>
      </c>
      <c r="W274" s="22" t="n">
        <v>3.5</v>
      </c>
      <c r="X274" s="16" t="s">
        <v>335</v>
      </c>
      <c r="Y274" s="16" t="s">
        <v>338</v>
      </c>
      <c r="Z274" s="16" t="s">
        <v>628</v>
      </c>
      <c r="AA274" s="16"/>
      <c r="AB274" s="23"/>
      <c r="AC274" s="17"/>
      <c r="AD274" s="16" t="s">
        <v>338</v>
      </c>
      <c r="AE274" s="16"/>
      <c r="AF274" s="16" t="str">
        <f aca="false">IF(COUNTIF(لیست_سفید!$A$2:$A$21,B274)&gt;0,"بله","خیر")</f>
        <v>خیر</v>
      </c>
      <c r="AG274" s="24" t="n">
        <f aca="false">IF(H274="","",IF(AD274="فیش مفقودی",تنظیمات!$B$6,(INT(I274/1440)*تنظیمات!$B$5+IF(MOD(I274,1440)&lt;=تنظیمات!$B$2,0,MIN(تنظیمات!$B$5,تنظیمات!$B$3+MAX(0,ROUNDUP((MOD(I274,1440)-60)/60,0))*تنظیمات!$B$4)))*INDEX(تعرفه!$B$2:$B$7,MATCH(AD274,تعرفه!$A$2:$A$7,0))))</f>
        <v>0</v>
      </c>
      <c r="AH274" s="24" t="n">
        <v>0</v>
      </c>
      <c r="AI274" s="24" t="n">
        <f aca="false">IF(AG274="","",AH274-AG274)</f>
        <v>0</v>
      </c>
      <c r="AJ274" s="21" t="n">
        <v>0</v>
      </c>
      <c r="AK274" s="21" t="n">
        <v>0</v>
      </c>
      <c r="AL274" s="16" t="s">
        <v>335</v>
      </c>
      <c r="AM274" s="16"/>
      <c r="AN274" s="16" t="s">
        <v>340</v>
      </c>
      <c r="AO274" s="16" t="s">
        <v>340</v>
      </c>
      <c r="AP274" s="16" t="s">
        <v>335</v>
      </c>
      <c r="AQ274" s="16"/>
      <c r="AR274" s="21" t="n">
        <f aca="false">IF(AND(T274&lt;&gt;"",H274&lt;&gt;""),IF(AND((T274-H274)*86400&gt;=0,(T274-H274)*86400&lt;تنظیمات!$B$13),1,0),0)</f>
        <v>0</v>
      </c>
      <c r="AS274" s="21" t="n">
        <f aca="false">IF(Z274="پوز",IF(OR(AB274="",COUNTIF(پوزها!$A$2:$A$5,AA274)=0),1,0),0)</f>
        <v>0</v>
      </c>
      <c r="AT274" s="21" t="n">
        <f aca="false">IF(AI274="",0,IF(AI274&gt;0,1,0))</f>
        <v>0</v>
      </c>
      <c r="AU274" s="21" t="n">
        <f aca="false">IF(AI274="",0,IF(AI274&lt;0,1,0))</f>
        <v>0</v>
      </c>
      <c r="AV274" s="21" t="n">
        <f aca="false">IF(U274&gt;V274,1,0)</f>
        <v>0</v>
      </c>
      <c r="AW274" s="21" t="n">
        <f aca="false">IF(OR(W274&gt;تنظیمات!$B$8,X274="بله"),1,0)</f>
        <v>0</v>
      </c>
      <c r="AX274" s="21" t="n">
        <f aca="false">IF(AND(N274="بله",L274&gt;تنظیمات!$B$9),1,0)</f>
        <v>0</v>
      </c>
      <c r="AY274" s="21" t="n">
        <f aca="false">IF(Y274="معکوس",1,0)</f>
        <v>0</v>
      </c>
      <c r="AZ274" s="21" t="n">
        <f aca="false">IF(ABS(AJ274)&gt;تنظیمات!$B$10,1,0)</f>
        <v>0</v>
      </c>
      <c r="BA274" s="21" t="n">
        <f aca="false">IF(AND(OR(AD274="رایگان/VIP",AD274="جانباز"),AF274="خیر"),1,0)</f>
        <v>0</v>
      </c>
      <c r="BB274" s="21" t="n">
        <f aca="false">IF(AE274="",0,IF(COUNTIF($AE$2:$AE$1001,AE274)&gt;1,1,0))</f>
        <v>0</v>
      </c>
      <c r="BC274" s="21" t="n">
        <f aca="false">IF(AND(H274="",I274&gt;تنظیمات!$B$12*60,AM274="خالی"),1,0)</f>
        <v>0</v>
      </c>
      <c r="BD274" s="21" t="n">
        <f aca="false">IF(AND(AP274="بله",I274&lt;تنظیمات!$B$14,AO274="خیر"),1,0)</f>
        <v>0</v>
      </c>
      <c r="BE274" s="21" t="n">
        <f aca="false">IF(AN274="خیر",1,0)</f>
        <v>0</v>
      </c>
      <c r="BF274" s="21" t="n">
        <f aca="false">IF(AND(AD274="فیش مفقودی",AQ274="بله",I274&gt;تنظیمات!$B$12*60),1,0)</f>
        <v>0</v>
      </c>
      <c r="BG274" s="21" t="n">
        <f aca="false">IF(AND(AK274&gt;تنظیمات!$B$11,AL274="بله"),1,0)</f>
        <v>0</v>
      </c>
      <c r="BH274" s="21" t="n">
        <f aca="false">MIN(100,AR274*تنظیمات!$B$21+AS274*تنظیمات!$B$22+AT274*تنظیمات!$B$23+AU274*تنظیمات!$B$24+AV274*تنظیمات!$B$25+AW274*تنظیمات!$B$26+AX274*تنظیمات!$B$27+AY274*تنظیمات!$B$28+AZ274*تنظیمات!$B$29+BA274*تنظیمات!$B$30+BB274*تنظیمات!$B$31+BC274*تنظیمات!$B$32+BD274*تنظیمات!$B$33+BE274*تنظیمات!$B$34+BF274*تنظیمات!$B$35+BG274*تنظیمات!$B$36)</f>
        <v>0</v>
      </c>
      <c r="BI274" s="16" t="str">
        <f aca="false">IF(BH274&gt;=60,"بحرانی",IF(BH274&gt;=30,"مشکوک",IF(BH274&gt;0,"هشدار","عادی")))</f>
        <v>عادی</v>
      </c>
      <c r="BJ274" s="16" t="s">
        <v>338</v>
      </c>
    </row>
    <row r="275" customFormat="false" ht="15" hidden="false" customHeight="false" outlineLevel="0" collapsed="false">
      <c r="A275" s="16" t="s">
        <v>1293</v>
      </c>
      <c r="B275" s="16" t="s">
        <v>1294</v>
      </c>
      <c r="C275" s="16" t="s">
        <v>1295</v>
      </c>
      <c r="D275" s="16" t="s">
        <v>508</v>
      </c>
      <c r="E275" s="16" t="s">
        <v>363</v>
      </c>
      <c r="F275" s="16" t="s">
        <v>333</v>
      </c>
      <c r="G275" s="17" t="n">
        <v>46284.7976851852</v>
      </c>
      <c r="H275" s="17" t="n">
        <v>46284.8150462963</v>
      </c>
      <c r="I275" s="18" t="n">
        <f aca="false">IF(H275="",ROUND((تنظیمات!$B$7-G275)*1440,0),ROUND((H275-G275)*1440,0))</f>
        <v>25</v>
      </c>
      <c r="J275" s="16" t="s">
        <v>346</v>
      </c>
      <c r="K275" s="16" t="s">
        <v>410</v>
      </c>
      <c r="L275" s="19" t="n">
        <v>0.921</v>
      </c>
      <c r="M275" s="19" t="n">
        <v>0.883</v>
      </c>
      <c r="N275" s="16" t="s">
        <v>340</v>
      </c>
      <c r="O275" s="16" t="s">
        <v>401</v>
      </c>
      <c r="P275" s="16" t="s">
        <v>420</v>
      </c>
      <c r="Q275" s="20" t="n">
        <v>46284</v>
      </c>
      <c r="R275" s="16" t="s">
        <v>1296</v>
      </c>
      <c r="S275" s="16" t="s">
        <v>404</v>
      </c>
      <c r="T275" s="17"/>
      <c r="U275" s="21" t="n">
        <v>1</v>
      </c>
      <c r="V275" s="21" t="n">
        <v>1</v>
      </c>
      <c r="W275" s="22" t="n">
        <v>4.7</v>
      </c>
      <c r="X275" s="16" t="s">
        <v>335</v>
      </c>
      <c r="Y275" s="16" t="s">
        <v>338</v>
      </c>
      <c r="Z275" s="16" t="s">
        <v>405</v>
      </c>
      <c r="AA275" s="16"/>
      <c r="AB275" s="23"/>
      <c r="AC275" s="17"/>
      <c r="AD275" s="16" t="s">
        <v>338</v>
      </c>
      <c r="AE275" s="16"/>
      <c r="AF275" s="16" t="str">
        <f aca="false">IF(COUNTIF(لیست_سفید!$A$2:$A$21,B275)&gt;0,"بله","خیر")</f>
        <v>خیر</v>
      </c>
      <c r="AG275" s="24" t="n">
        <f aca="false">IF(H275="","",IF(AD275="فیش مفقودی",تنظیمات!$B$6,(INT(I275/1440)*تنظیمات!$B$5+IF(MOD(I275,1440)&lt;=تنظیمات!$B$2,0,MIN(تنظیمات!$B$5,تنظیمات!$B$3+MAX(0,ROUNDUP((MOD(I275,1440)-60)/60,0))*تنظیمات!$B$4)))*INDEX(تعرفه!$B$2:$B$7,MATCH(AD275,تعرفه!$A$2:$A$7,0))))</f>
        <v>20000</v>
      </c>
      <c r="AH275" s="24" t="n">
        <v>20000</v>
      </c>
      <c r="AI275" s="24" t="n">
        <f aca="false">IF(AG275="","",AH275-AG275)</f>
        <v>0</v>
      </c>
      <c r="AJ275" s="21" t="n">
        <v>0</v>
      </c>
      <c r="AK275" s="21" t="n">
        <v>0</v>
      </c>
      <c r="AL275" s="16" t="s">
        <v>335</v>
      </c>
      <c r="AM275" s="16"/>
      <c r="AN275" s="16" t="s">
        <v>340</v>
      </c>
      <c r="AO275" s="16" t="s">
        <v>340</v>
      </c>
      <c r="AP275" s="16" t="s">
        <v>335</v>
      </c>
      <c r="AQ275" s="16"/>
      <c r="AR275" s="21" t="n">
        <f aca="false">IF(AND(T275&lt;&gt;"",H275&lt;&gt;""),IF(AND((T275-H275)*86400&gt;=0,(T275-H275)*86400&lt;تنظیمات!$B$13),1,0),0)</f>
        <v>0</v>
      </c>
      <c r="AS275" s="21" t="n">
        <f aca="false">IF(Z275="پوز",IF(OR(AB275="",COUNTIF(پوزها!$A$2:$A$5,AA275)=0),1,0),0)</f>
        <v>0</v>
      </c>
      <c r="AT275" s="21" t="n">
        <f aca="false">IF(AI275="",0,IF(AI275&gt;0,1,0))</f>
        <v>0</v>
      </c>
      <c r="AU275" s="21" t="n">
        <f aca="false">IF(AI275="",0,IF(AI275&lt;0,1,0))</f>
        <v>0</v>
      </c>
      <c r="AV275" s="21" t="n">
        <f aca="false">IF(U275&gt;V275,1,0)</f>
        <v>0</v>
      </c>
      <c r="AW275" s="21" t="n">
        <f aca="false">IF(OR(W275&gt;تنظیمات!$B$8,X275="بله"),1,0)</f>
        <v>0</v>
      </c>
      <c r="AX275" s="21" t="n">
        <f aca="false">IF(AND(N275="بله",L275&gt;تنظیمات!$B$9),1,0)</f>
        <v>1</v>
      </c>
      <c r="AY275" s="21" t="n">
        <f aca="false">IF(Y275="معکوس",1,0)</f>
        <v>0</v>
      </c>
      <c r="AZ275" s="21" t="n">
        <f aca="false">IF(ABS(AJ275)&gt;تنظیمات!$B$10,1,0)</f>
        <v>0</v>
      </c>
      <c r="BA275" s="21" t="n">
        <f aca="false">IF(AND(OR(AD275="رایگان/VIP",AD275="جانباز"),AF275="خیر"),1,0)</f>
        <v>0</v>
      </c>
      <c r="BB275" s="21" t="n">
        <f aca="false">IF(AE275="",0,IF(COUNTIF($AE$2:$AE$1001,AE275)&gt;1,1,0))</f>
        <v>0</v>
      </c>
      <c r="BC275" s="21" t="n">
        <f aca="false">IF(AND(H275="",I275&gt;تنظیمات!$B$12*60,AM275="خالی"),1,0)</f>
        <v>0</v>
      </c>
      <c r="BD275" s="21" t="n">
        <f aca="false">IF(AND(AP275="بله",I275&lt;تنظیمات!$B$14,AO275="خیر"),1,0)</f>
        <v>0</v>
      </c>
      <c r="BE275" s="21" t="n">
        <f aca="false">IF(AN275="خیر",1,0)</f>
        <v>0</v>
      </c>
      <c r="BF275" s="21" t="n">
        <f aca="false">IF(AND(AD275="فیش مفقودی",AQ275="بله",I275&gt;تنظیمات!$B$12*60),1,0)</f>
        <v>0</v>
      </c>
      <c r="BG275" s="21" t="n">
        <f aca="false">IF(AND(AK275&gt;تنظیمات!$B$11,AL275="بله"),1,0)</f>
        <v>0</v>
      </c>
      <c r="BH275" s="21" t="n">
        <f aca="false">MIN(100,AR275*تنظیمات!$B$21+AS275*تنظیمات!$B$22+AT275*تنظیمات!$B$23+AU275*تنظیمات!$B$24+AV275*تنظیمات!$B$25+AW275*تنظیمات!$B$26+AX275*تنظیمات!$B$27+AY275*تنظیمات!$B$28+AZ275*تنظیمات!$B$29+BA275*تنظیمات!$B$30+BB275*تنظیمات!$B$31+BC275*تنظیمات!$B$32+BD275*تنظیمات!$B$33+BE275*تنظیمات!$B$34+BF275*تنظیمات!$B$35+BG275*تنظیمات!$B$36)</f>
        <v>30</v>
      </c>
      <c r="BI275" s="16" t="str">
        <f aca="false">IF(BH275&gt;=60,"بحرانی",IF(BH275&gt;=30,"مشکوک",IF(BH275&gt;0,"هشدار","عادی")))</f>
        <v>مشکوک</v>
      </c>
      <c r="BJ275" s="16" t="s">
        <v>622</v>
      </c>
    </row>
    <row r="276" customFormat="false" ht="15" hidden="false" customHeight="false" outlineLevel="0" collapsed="false">
      <c r="A276" s="16" t="s">
        <v>1297</v>
      </c>
      <c r="B276" s="16" t="s">
        <v>1298</v>
      </c>
      <c r="C276" s="16"/>
      <c r="D276" s="16" t="s">
        <v>531</v>
      </c>
      <c r="E276" s="16" t="s">
        <v>345</v>
      </c>
      <c r="F276" s="16" t="s">
        <v>333</v>
      </c>
      <c r="G276" s="17" t="n">
        <v>46284.8026967593</v>
      </c>
      <c r="H276" s="17" t="n">
        <v>46284.8165856482</v>
      </c>
      <c r="I276" s="18" t="n">
        <f aca="false">IF(H276="",ROUND((تنظیمات!$B$7-G276)*1440,0),ROUND((H276-G276)*1440,0))</f>
        <v>20</v>
      </c>
      <c r="J276" s="16" t="s">
        <v>334</v>
      </c>
      <c r="K276" s="16" t="s">
        <v>400</v>
      </c>
      <c r="L276" s="19" t="n">
        <v>0.955</v>
      </c>
      <c r="M276" s="19" t="n">
        <v>0.928</v>
      </c>
      <c r="N276" s="16" t="s">
        <v>335</v>
      </c>
      <c r="O276" s="16" t="s">
        <v>411</v>
      </c>
      <c r="P276" s="16" t="s">
        <v>420</v>
      </c>
      <c r="Q276" s="20" t="n">
        <v>46284</v>
      </c>
      <c r="R276" s="16" t="s">
        <v>1299</v>
      </c>
      <c r="S276" s="16" t="s">
        <v>404</v>
      </c>
      <c r="T276" s="17"/>
      <c r="U276" s="21" t="n">
        <v>1</v>
      </c>
      <c r="V276" s="21" t="n">
        <v>1</v>
      </c>
      <c r="W276" s="22" t="n">
        <v>6.5</v>
      </c>
      <c r="X276" s="16" t="s">
        <v>335</v>
      </c>
      <c r="Y276" s="16" t="s">
        <v>338</v>
      </c>
      <c r="Z276" s="16" t="s">
        <v>413</v>
      </c>
      <c r="AA276" s="16" t="s">
        <v>427</v>
      </c>
      <c r="AB276" s="23" t="s">
        <v>1300</v>
      </c>
      <c r="AC276" s="17" t="n">
        <v>46284.8155439815</v>
      </c>
      <c r="AD276" s="16" t="s">
        <v>338</v>
      </c>
      <c r="AE276" s="16"/>
      <c r="AF276" s="16" t="str">
        <f aca="false">IF(COUNTIF(لیست_سفید!$A$2:$A$21,B276)&gt;0,"بله","خیر")</f>
        <v>خیر</v>
      </c>
      <c r="AG276" s="24" t="n">
        <f aca="false">IF(H276="","",IF(AD276="فیش مفقودی",تنظیمات!$B$6,(INT(I276/1440)*تنظیمات!$B$5+IF(MOD(I276,1440)&lt;=تنظیمات!$B$2,0,MIN(تنظیمات!$B$5,تنظیمات!$B$3+MAX(0,ROUNDUP((MOD(I276,1440)-60)/60,0))*تنظیمات!$B$4)))*INDEX(تعرفه!$B$2:$B$7,MATCH(AD276,تعرفه!$A$2:$A$7,0))))</f>
        <v>20000</v>
      </c>
      <c r="AH276" s="24" t="n">
        <v>20000</v>
      </c>
      <c r="AI276" s="24" t="n">
        <f aca="false">IF(AG276="","",AH276-AG276)</f>
        <v>0</v>
      </c>
      <c r="AJ276" s="21" t="n">
        <v>0</v>
      </c>
      <c r="AK276" s="21" t="n">
        <v>0</v>
      </c>
      <c r="AL276" s="16" t="s">
        <v>335</v>
      </c>
      <c r="AM276" s="16"/>
      <c r="AN276" s="16" t="s">
        <v>340</v>
      </c>
      <c r="AO276" s="16" t="s">
        <v>340</v>
      </c>
      <c r="AP276" s="16" t="s">
        <v>335</v>
      </c>
      <c r="AQ276" s="16"/>
      <c r="AR276" s="21" t="n">
        <f aca="false">IF(AND(T276&lt;&gt;"",H276&lt;&gt;""),IF(AND((T276-H276)*86400&gt;=0,(T276-H276)*86400&lt;تنظیمات!$B$13),1,0),0)</f>
        <v>0</v>
      </c>
      <c r="AS276" s="21" t="n">
        <f aca="false">IF(Z276="پوز",IF(OR(AB276="",COUNTIF(پوزها!$A$2:$A$5,AA276)=0),1,0),0)</f>
        <v>0</v>
      </c>
      <c r="AT276" s="21" t="n">
        <f aca="false">IF(AI276="",0,IF(AI276&gt;0,1,0))</f>
        <v>0</v>
      </c>
      <c r="AU276" s="21" t="n">
        <f aca="false">IF(AI276="",0,IF(AI276&lt;0,1,0))</f>
        <v>0</v>
      </c>
      <c r="AV276" s="21" t="n">
        <f aca="false">IF(U276&gt;V276,1,0)</f>
        <v>0</v>
      </c>
      <c r="AW276" s="21" t="n">
        <f aca="false">IF(OR(W276&gt;تنظیمات!$B$8,X276="بله"),1,0)</f>
        <v>0</v>
      </c>
      <c r="AX276" s="21" t="n">
        <f aca="false">IF(AND(N276="بله",L276&gt;تنظیمات!$B$9),1,0)</f>
        <v>0</v>
      </c>
      <c r="AY276" s="21" t="n">
        <f aca="false">IF(Y276="معکوس",1,0)</f>
        <v>0</v>
      </c>
      <c r="AZ276" s="21" t="n">
        <f aca="false">IF(ABS(AJ276)&gt;تنظیمات!$B$10,1,0)</f>
        <v>0</v>
      </c>
      <c r="BA276" s="21" t="n">
        <f aca="false">IF(AND(OR(AD276="رایگان/VIP",AD276="جانباز"),AF276="خیر"),1,0)</f>
        <v>0</v>
      </c>
      <c r="BB276" s="21" t="n">
        <f aca="false">IF(AE276="",0,IF(COUNTIF($AE$2:$AE$1001,AE276)&gt;1,1,0))</f>
        <v>0</v>
      </c>
      <c r="BC276" s="21" t="n">
        <f aca="false">IF(AND(H276="",I276&gt;تنظیمات!$B$12*60,AM276="خالی"),1,0)</f>
        <v>0</v>
      </c>
      <c r="BD276" s="21" t="n">
        <f aca="false">IF(AND(AP276="بله",I276&lt;تنظیمات!$B$14,AO276="خیر"),1,0)</f>
        <v>0</v>
      </c>
      <c r="BE276" s="21" t="n">
        <f aca="false">IF(AN276="خیر",1,0)</f>
        <v>0</v>
      </c>
      <c r="BF276" s="21" t="n">
        <f aca="false">IF(AND(AD276="فیش مفقودی",AQ276="بله",I276&gt;تنظیمات!$B$12*60),1,0)</f>
        <v>0</v>
      </c>
      <c r="BG276" s="21" t="n">
        <f aca="false">IF(AND(AK276&gt;تنظیمات!$B$11,AL276="بله"),1,0)</f>
        <v>0</v>
      </c>
      <c r="BH276" s="21" t="n">
        <f aca="false">MIN(100,AR276*تنظیمات!$B$21+AS276*تنظیمات!$B$22+AT276*تنظیمات!$B$23+AU276*تنظیمات!$B$24+AV276*تنظیمات!$B$25+AW276*تنظیمات!$B$26+AX276*تنظیمات!$B$27+AY276*تنظیمات!$B$28+AZ276*تنظیمات!$B$29+BA276*تنظیمات!$B$30+BB276*تنظیمات!$B$31+BC276*تنظیمات!$B$32+BD276*تنظیمات!$B$33+BE276*تنظیمات!$B$34+BF276*تنظیمات!$B$35+BG276*تنظیمات!$B$36)</f>
        <v>0</v>
      </c>
      <c r="BI276" s="16" t="str">
        <f aca="false">IF(BH276&gt;=60,"بحرانی",IF(BH276&gt;=30,"مشکوک",IF(BH276&gt;0,"هشدار","عادی")))</f>
        <v>عادی</v>
      </c>
      <c r="BJ276" s="16" t="s">
        <v>338</v>
      </c>
    </row>
    <row r="277" customFormat="false" ht="15" hidden="false" customHeight="false" outlineLevel="0" collapsed="false">
      <c r="A277" s="16" t="s">
        <v>1301</v>
      </c>
      <c r="B277" s="16" t="s">
        <v>983</v>
      </c>
      <c r="C277" s="16"/>
      <c r="D277" s="16" t="s">
        <v>450</v>
      </c>
      <c r="E277" s="16" t="s">
        <v>351</v>
      </c>
      <c r="F277" s="16" t="s">
        <v>333</v>
      </c>
      <c r="G277" s="17" t="n">
        <v>46284.8051967593</v>
      </c>
      <c r="H277" s="17" t="n">
        <v>46284.8100578704</v>
      </c>
      <c r="I277" s="18" t="n">
        <f aca="false">IF(H277="",ROUND((تنظیمات!$B$7-G277)*1440,0),ROUND((H277-G277)*1440,0))</f>
        <v>7</v>
      </c>
      <c r="J277" s="16" t="s">
        <v>346</v>
      </c>
      <c r="K277" s="16" t="s">
        <v>410</v>
      </c>
      <c r="L277" s="19" t="n">
        <v>0.949</v>
      </c>
      <c r="M277" s="19" t="n">
        <v>0.886</v>
      </c>
      <c r="N277" s="16" t="s">
        <v>335</v>
      </c>
      <c r="O277" s="16" t="s">
        <v>401</v>
      </c>
      <c r="P277" s="16" t="s">
        <v>420</v>
      </c>
      <c r="Q277" s="20" t="n">
        <v>46284</v>
      </c>
      <c r="R277" s="16" t="s">
        <v>1302</v>
      </c>
      <c r="S277" s="16" t="s">
        <v>404</v>
      </c>
      <c r="T277" s="17"/>
      <c r="U277" s="21" t="n">
        <v>1</v>
      </c>
      <c r="V277" s="21" t="n">
        <v>1</v>
      </c>
      <c r="W277" s="22" t="n">
        <v>4.2</v>
      </c>
      <c r="X277" s="16" t="s">
        <v>335</v>
      </c>
      <c r="Y277" s="16" t="s">
        <v>338</v>
      </c>
      <c r="Z277" s="16" t="s">
        <v>628</v>
      </c>
      <c r="AA277" s="16"/>
      <c r="AB277" s="23"/>
      <c r="AC277" s="17"/>
      <c r="AD277" s="16" t="s">
        <v>338</v>
      </c>
      <c r="AE277" s="16"/>
      <c r="AF277" s="16" t="str">
        <f aca="false">IF(COUNTIF(لیست_سفید!$A$2:$A$21,B277)&gt;0,"بله","خیر")</f>
        <v>خیر</v>
      </c>
      <c r="AG277" s="24" t="n">
        <f aca="false">IF(H277="","",IF(AD277="فیش مفقودی",تنظیمات!$B$6,(INT(I277/1440)*تنظیمات!$B$5+IF(MOD(I277,1440)&lt;=تنظیمات!$B$2,0,MIN(تنظیمات!$B$5,تنظیمات!$B$3+MAX(0,ROUNDUP((MOD(I277,1440)-60)/60,0))*تنظیمات!$B$4)))*INDEX(تعرفه!$B$2:$B$7,MATCH(AD277,تعرفه!$A$2:$A$7,0))))</f>
        <v>0</v>
      </c>
      <c r="AH277" s="24" t="n">
        <v>0</v>
      </c>
      <c r="AI277" s="24" t="n">
        <f aca="false">IF(AG277="","",AH277-AG277)</f>
        <v>0</v>
      </c>
      <c r="AJ277" s="21" t="n">
        <v>0</v>
      </c>
      <c r="AK277" s="21" t="n">
        <v>0</v>
      </c>
      <c r="AL277" s="16" t="s">
        <v>335</v>
      </c>
      <c r="AM277" s="16"/>
      <c r="AN277" s="16" t="s">
        <v>340</v>
      </c>
      <c r="AO277" s="16" t="s">
        <v>340</v>
      </c>
      <c r="AP277" s="16" t="s">
        <v>335</v>
      </c>
      <c r="AQ277" s="16"/>
      <c r="AR277" s="21" t="n">
        <f aca="false">IF(AND(T277&lt;&gt;"",H277&lt;&gt;""),IF(AND((T277-H277)*86400&gt;=0,(T277-H277)*86400&lt;تنظیمات!$B$13),1,0),0)</f>
        <v>0</v>
      </c>
      <c r="AS277" s="21" t="n">
        <f aca="false">IF(Z277="پوز",IF(OR(AB277="",COUNTIF(پوزها!$A$2:$A$5,AA277)=0),1,0),0)</f>
        <v>0</v>
      </c>
      <c r="AT277" s="21" t="n">
        <f aca="false">IF(AI277="",0,IF(AI277&gt;0,1,0))</f>
        <v>0</v>
      </c>
      <c r="AU277" s="21" t="n">
        <f aca="false">IF(AI277="",0,IF(AI277&lt;0,1,0))</f>
        <v>0</v>
      </c>
      <c r="AV277" s="21" t="n">
        <f aca="false">IF(U277&gt;V277,1,0)</f>
        <v>0</v>
      </c>
      <c r="AW277" s="21" t="n">
        <f aca="false">IF(OR(W277&gt;تنظیمات!$B$8,X277="بله"),1,0)</f>
        <v>0</v>
      </c>
      <c r="AX277" s="21" t="n">
        <f aca="false">IF(AND(N277="بله",L277&gt;تنظیمات!$B$9),1,0)</f>
        <v>0</v>
      </c>
      <c r="AY277" s="21" t="n">
        <f aca="false">IF(Y277="معکوس",1,0)</f>
        <v>0</v>
      </c>
      <c r="AZ277" s="21" t="n">
        <f aca="false">IF(ABS(AJ277)&gt;تنظیمات!$B$10,1,0)</f>
        <v>0</v>
      </c>
      <c r="BA277" s="21" t="n">
        <f aca="false">IF(AND(OR(AD277="رایگان/VIP",AD277="جانباز"),AF277="خیر"),1,0)</f>
        <v>0</v>
      </c>
      <c r="BB277" s="21" t="n">
        <f aca="false">IF(AE277="",0,IF(COUNTIF($AE$2:$AE$1001,AE277)&gt;1,1,0))</f>
        <v>0</v>
      </c>
      <c r="BC277" s="21" t="n">
        <f aca="false">IF(AND(H277="",I277&gt;تنظیمات!$B$12*60,AM277="خالی"),1,0)</f>
        <v>0</v>
      </c>
      <c r="BD277" s="21" t="n">
        <f aca="false">IF(AND(AP277="بله",I277&lt;تنظیمات!$B$14,AO277="خیر"),1,0)</f>
        <v>0</v>
      </c>
      <c r="BE277" s="21" t="n">
        <f aca="false">IF(AN277="خیر",1,0)</f>
        <v>0</v>
      </c>
      <c r="BF277" s="21" t="n">
        <f aca="false">IF(AND(AD277="فیش مفقودی",AQ277="بله",I277&gt;تنظیمات!$B$12*60),1,0)</f>
        <v>0</v>
      </c>
      <c r="BG277" s="21" t="n">
        <f aca="false">IF(AND(AK277&gt;تنظیمات!$B$11,AL277="بله"),1,0)</f>
        <v>0</v>
      </c>
      <c r="BH277" s="21" t="n">
        <f aca="false">MIN(100,AR277*تنظیمات!$B$21+AS277*تنظیمات!$B$22+AT277*تنظیمات!$B$23+AU277*تنظیمات!$B$24+AV277*تنظیمات!$B$25+AW277*تنظیمات!$B$26+AX277*تنظیمات!$B$27+AY277*تنظیمات!$B$28+AZ277*تنظیمات!$B$29+BA277*تنظیمات!$B$30+BB277*تنظیمات!$B$31+BC277*تنظیمات!$B$32+BD277*تنظیمات!$B$33+BE277*تنظیمات!$B$34+BF277*تنظیمات!$B$35+BG277*تنظیمات!$B$36)</f>
        <v>0</v>
      </c>
      <c r="BI277" s="16" t="str">
        <f aca="false">IF(BH277&gt;=60,"بحرانی",IF(BH277&gt;=30,"مشکوک",IF(BH277&gt;0,"هشدار","عادی")))</f>
        <v>عادی</v>
      </c>
      <c r="BJ277" s="16" t="s">
        <v>629</v>
      </c>
    </row>
    <row r="278" customFormat="false" ht="15" hidden="false" customHeight="false" outlineLevel="0" collapsed="false">
      <c r="A278" s="16" t="s">
        <v>1303</v>
      </c>
      <c r="B278" s="16" t="s">
        <v>1304</v>
      </c>
      <c r="C278" s="16"/>
      <c r="D278" s="16" t="s">
        <v>344</v>
      </c>
      <c r="E278" s="16" t="s">
        <v>375</v>
      </c>
      <c r="F278" s="16" t="s">
        <v>333</v>
      </c>
      <c r="G278" s="17" t="n">
        <v>46284.8094444444</v>
      </c>
      <c r="H278" s="17" t="n">
        <v>46284.8531944445</v>
      </c>
      <c r="I278" s="18" t="n">
        <f aca="false">IF(H278="",ROUND((تنظیمات!$B$7-G278)*1440,0),ROUND((H278-G278)*1440,0))</f>
        <v>63</v>
      </c>
      <c r="J278" s="16" t="s">
        <v>334</v>
      </c>
      <c r="K278" s="16" t="s">
        <v>400</v>
      </c>
      <c r="L278" s="19" t="n">
        <v>0.922</v>
      </c>
      <c r="M278" s="19" t="n">
        <v>0.958</v>
      </c>
      <c r="N278" s="16" t="s">
        <v>335</v>
      </c>
      <c r="O278" s="16" t="s">
        <v>411</v>
      </c>
      <c r="P278" s="16" t="s">
        <v>420</v>
      </c>
      <c r="Q278" s="20" t="n">
        <v>46284</v>
      </c>
      <c r="R278" s="16" t="s">
        <v>1305</v>
      </c>
      <c r="S278" s="16" t="s">
        <v>404</v>
      </c>
      <c r="T278" s="17"/>
      <c r="U278" s="21" t="n">
        <v>1</v>
      </c>
      <c r="V278" s="21" t="n">
        <v>1</v>
      </c>
      <c r="W278" s="22" t="n">
        <v>7.3</v>
      </c>
      <c r="X278" s="16" t="s">
        <v>335</v>
      </c>
      <c r="Y278" s="16" t="s">
        <v>338</v>
      </c>
      <c r="Z278" s="16" t="s">
        <v>413</v>
      </c>
      <c r="AA278" s="16" t="s">
        <v>427</v>
      </c>
      <c r="AB278" s="23" t="s">
        <v>1306</v>
      </c>
      <c r="AC278" s="17" t="n">
        <v>46284.8528356482</v>
      </c>
      <c r="AD278" s="16" t="s">
        <v>338</v>
      </c>
      <c r="AE278" s="16"/>
      <c r="AF278" s="16" t="str">
        <f aca="false">IF(COUNTIF(لیست_سفید!$A$2:$A$21,B278)&gt;0,"بله","خیر")</f>
        <v>خیر</v>
      </c>
      <c r="AG278" s="24" t="n">
        <f aca="false">IF(H278="","",IF(AD278="فیش مفقودی",تنظیمات!$B$6,(INT(I278/1440)*تنظیمات!$B$5+IF(MOD(I278,1440)&lt;=تنظیمات!$B$2,0,MIN(تنظیمات!$B$5,تنظیمات!$B$3+MAX(0,ROUNDUP((MOD(I278,1440)-60)/60,0))*تنظیمات!$B$4)))*INDEX(تعرفه!$B$2:$B$7,MATCH(AD278,تعرفه!$A$2:$A$7,0))))</f>
        <v>34000</v>
      </c>
      <c r="AH278" s="24" t="n">
        <v>34000</v>
      </c>
      <c r="AI278" s="24" t="n">
        <f aca="false">IF(AG278="","",AH278-AG278)</f>
        <v>0</v>
      </c>
      <c r="AJ278" s="21" t="n">
        <v>-1</v>
      </c>
      <c r="AK278" s="21" t="n">
        <v>0</v>
      </c>
      <c r="AL278" s="16" t="s">
        <v>335</v>
      </c>
      <c r="AM278" s="16"/>
      <c r="AN278" s="16" t="s">
        <v>340</v>
      </c>
      <c r="AO278" s="16" t="s">
        <v>340</v>
      </c>
      <c r="AP278" s="16" t="s">
        <v>335</v>
      </c>
      <c r="AQ278" s="16"/>
      <c r="AR278" s="21" t="n">
        <f aca="false">IF(AND(T278&lt;&gt;"",H278&lt;&gt;""),IF(AND((T278-H278)*86400&gt;=0,(T278-H278)*86400&lt;تنظیمات!$B$13),1,0),0)</f>
        <v>0</v>
      </c>
      <c r="AS278" s="21" t="n">
        <f aca="false">IF(Z278="پوز",IF(OR(AB278="",COUNTIF(پوزها!$A$2:$A$5,AA278)=0),1,0),0)</f>
        <v>0</v>
      </c>
      <c r="AT278" s="21" t="n">
        <f aca="false">IF(AI278="",0,IF(AI278&gt;0,1,0))</f>
        <v>0</v>
      </c>
      <c r="AU278" s="21" t="n">
        <f aca="false">IF(AI278="",0,IF(AI278&lt;0,1,0))</f>
        <v>0</v>
      </c>
      <c r="AV278" s="21" t="n">
        <f aca="false">IF(U278&gt;V278,1,0)</f>
        <v>0</v>
      </c>
      <c r="AW278" s="21" t="n">
        <f aca="false">IF(OR(W278&gt;تنظیمات!$B$8,X278="بله"),1,0)</f>
        <v>0</v>
      </c>
      <c r="AX278" s="21" t="n">
        <f aca="false">IF(AND(N278="بله",L278&gt;تنظیمات!$B$9),1,0)</f>
        <v>0</v>
      </c>
      <c r="AY278" s="21" t="n">
        <f aca="false">IF(Y278="معکوس",1,0)</f>
        <v>0</v>
      </c>
      <c r="AZ278" s="21" t="n">
        <f aca="false">IF(ABS(AJ278)&gt;تنظیمات!$B$10,1,0)</f>
        <v>0</v>
      </c>
      <c r="BA278" s="21" t="n">
        <f aca="false">IF(AND(OR(AD278="رایگان/VIP",AD278="جانباز"),AF278="خیر"),1,0)</f>
        <v>0</v>
      </c>
      <c r="BB278" s="21" t="n">
        <f aca="false">IF(AE278="",0,IF(COUNTIF($AE$2:$AE$1001,AE278)&gt;1,1,0))</f>
        <v>0</v>
      </c>
      <c r="BC278" s="21" t="n">
        <f aca="false">IF(AND(H278="",I278&gt;تنظیمات!$B$12*60,AM278="خالی"),1,0)</f>
        <v>0</v>
      </c>
      <c r="BD278" s="21" t="n">
        <f aca="false">IF(AND(AP278="بله",I278&lt;تنظیمات!$B$14,AO278="خیر"),1,0)</f>
        <v>0</v>
      </c>
      <c r="BE278" s="21" t="n">
        <f aca="false">IF(AN278="خیر",1,0)</f>
        <v>0</v>
      </c>
      <c r="BF278" s="21" t="n">
        <f aca="false">IF(AND(AD278="فیش مفقودی",AQ278="بله",I278&gt;تنظیمات!$B$12*60),1,0)</f>
        <v>0</v>
      </c>
      <c r="BG278" s="21" t="n">
        <f aca="false">IF(AND(AK278&gt;تنظیمات!$B$11,AL278="بله"),1,0)</f>
        <v>0</v>
      </c>
      <c r="BH278" s="21" t="n">
        <f aca="false">MIN(100,AR278*تنظیمات!$B$21+AS278*تنظیمات!$B$22+AT278*تنظیمات!$B$23+AU278*تنظیمات!$B$24+AV278*تنظیمات!$B$25+AW278*تنظیمات!$B$26+AX278*تنظیمات!$B$27+AY278*تنظیمات!$B$28+AZ278*تنظیمات!$B$29+BA278*تنظیمات!$B$30+BB278*تنظیمات!$B$31+BC278*تنظیمات!$B$32+BD278*تنظیمات!$B$33+BE278*تنظیمات!$B$34+BF278*تنظیمات!$B$35+BG278*تنظیمات!$B$36)</f>
        <v>0</v>
      </c>
      <c r="BI278" s="16" t="str">
        <f aca="false">IF(BH278&gt;=60,"بحرانی",IF(BH278&gt;=30,"مشکوک",IF(BH278&gt;0,"هشدار","عادی")))</f>
        <v>عادی</v>
      </c>
      <c r="BJ278" s="16" t="s">
        <v>338</v>
      </c>
    </row>
    <row r="279" customFormat="false" ht="15" hidden="false" customHeight="false" outlineLevel="0" collapsed="false">
      <c r="A279" s="16" t="s">
        <v>1307</v>
      </c>
      <c r="B279" s="16" t="s">
        <v>947</v>
      </c>
      <c r="C279" s="16"/>
      <c r="D279" s="16" t="s">
        <v>370</v>
      </c>
      <c r="E279" s="16" t="s">
        <v>351</v>
      </c>
      <c r="F279" s="16" t="s">
        <v>333</v>
      </c>
      <c r="G279" s="17" t="n">
        <v>46284.8139467593</v>
      </c>
      <c r="H279" s="17" t="n">
        <v>46284.8528356482</v>
      </c>
      <c r="I279" s="18" t="n">
        <f aca="false">IF(H279="",ROUND((تنظیمات!$B$7-G279)*1440,0),ROUND((H279-G279)*1440,0))</f>
        <v>56</v>
      </c>
      <c r="J279" s="16" t="s">
        <v>346</v>
      </c>
      <c r="K279" s="16" t="s">
        <v>400</v>
      </c>
      <c r="L279" s="19" t="n">
        <v>0.931</v>
      </c>
      <c r="M279" s="19" t="n">
        <v>0.995</v>
      </c>
      <c r="N279" s="16" t="s">
        <v>335</v>
      </c>
      <c r="O279" s="16" t="s">
        <v>411</v>
      </c>
      <c r="P279" s="16" t="s">
        <v>420</v>
      </c>
      <c r="Q279" s="20" t="n">
        <v>46284</v>
      </c>
      <c r="R279" s="16" t="s">
        <v>1308</v>
      </c>
      <c r="S279" s="16" t="s">
        <v>404</v>
      </c>
      <c r="T279" s="17"/>
      <c r="U279" s="21" t="n">
        <v>1</v>
      </c>
      <c r="V279" s="21" t="n">
        <v>1</v>
      </c>
      <c r="W279" s="22" t="n">
        <v>3.8</v>
      </c>
      <c r="X279" s="16" t="s">
        <v>335</v>
      </c>
      <c r="Y279" s="16" t="s">
        <v>338</v>
      </c>
      <c r="Z279" s="16" t="s">
        <v>405</v>
      </c>
      <c r="AA279" s="16"/>
      <c r="AB279" s="23"/>
      <c r="AC279" s="17"/>
      <c r="AD279" s="16" t="s">
        <v>338</v>
      </c>
      <c r="AE279" s="16"/>
      <c r="AF279" s="16" t="str">
        <f aca="false">IF(COUNTIF(لیست_سفید!$A$2:$A$21,B279)&gt;0,"بله","خیر")</f>
        <v>خیر</v>
      </c>
      <c r="AG279" s="24" t="n">
        <f aca="false">IF(H279="","",IF(AD279="فیش مفقودی",تنظیمات!$B$6,(INT(I279/1440)*تنظیمات!$B$5+IF(MOD(I279,1440)&lt;=تنظیمات!$B$2,0,MIN(تنظیمات!$B$5,تنظیمات!$B$3+MAX(0,ROUNDUP((MOD(I279,1440)-60)/60,0))*تنظیمات!$B$4)))*INDEX(تعرفه!$B$2:$B$7,MATCH(AD279,تعرفه!$A$2:$A$7,0))))</f>
        <v>20000</v>
      </c>
      <c r="AH279" s="24" t="n">
        <v>20000</v>
      </c>
      <c r="AI279" s="24" t="n">
        <f aca="false">IF(AG279="","",AH279-AG279)</f>
        <v>0</v>
      </c>
      <c r="AJ279" s="21" t="n">
        <v>0</v>
      </c>
      <c r="AK279" s="21" t="n">
        <v>0</v>
      </c>
      <c r="AL279" s="16" t="s">
        <v>335</v>
      </c>
      <c r="AM279" s="16"/>
      <c r="AN279" s="16" t="s">
        <v>340</v>
      </c>
      <c r="AO279" s="16" t="s">
        <v>340</v>
      </c>
      <c r="AP279" s="16" t="s">
        <v>335</v>
      </c>
      <c r="AQ279" s="16"/>
      <c r="AR279" s="21" t="n">
        <f aca="false">IF(AND(T279&lt;&gt;"",H279&lt;&gt;""),IF(AND((T279-H279)*86400&gt;=0,(T279-H279)*86400&lt;تنظیمات!$B$13),1,0),0)</f>
        <v>0</v>
      </c>
      <c r="AS279" s="21" t="n">
        <f aca="false">IF(Z279="پوز",IF(OR(AB279="",COUNTIF(پوزها!$A$2:$A$5,AA279)=0),1,0),0)</f>
        <v>0</v>
      </c>
      <c r="AT279" s="21" t="n">
        <f aca="false">IF(AI279="",0,IF(AI279&gt;0,1,0))</f>
        <v>0</v>
      </c>
      <c r="AU279" s="21" t="n">
        <f aca="false">IF(AI279="",0,IF(AI279&lt;0,1,0))</f>
        <v>0</v>
      </c>
      <c r="AV279" s="21" t="n">
        <f aca="false">IF(U279&gt;V279,1,0)</f>
        <v>0</v>
      </c>
      <c r="AW279" s="21" t="n">
        <f aca="false">IF(OR(W279&gt;تنظیمات!$B$8,X279="بله"),1,0)</f>
        <v>0</v>
      </c>
      <c r="AX279" s="21" t="n">
        <f aca="false">IF(AND(N279="بله",L279&gt;تنظیمات!$B$9),1,0)</f>
        <v>0</v>
      </c>
      <c r="AY279" s="21" t="n">
        <f aca="false">IF(Y279="معکوس",1,0)</f>
        <v>0</v>
      </c>
      <c r="AZ279" s="21" t="n">
        <f aca="false">IF(ABS(AJ279)&gt;تنظیمات!$B$10,1,0)</f>
        <v>0</v>
      </c>
      <c r="BA279" s="21" t="n">
        <f aca="false">IF(AND(OR(AD279="رایگان/VIP",AD279="جانباز"),AF279="خیر"),1,0)</f>
        <v>0</v>
      </c>
      <c r="BB279" s="21" t="n">
        <f aca="false">IF(AE279="",0,IF(COUNTIF($AE$2:$AE$1001,AE279)&gt;1,1,0))</f>
        <v>0</v>
      </c>
      <c r="BC279" s="21" t="n">
        <f aca="false">IF(AND(H279="",I279&gt;تنظیمات!$B$12*60,AM279="خالی"),1,0)</f>
        <v>0</v>
      </c>
      <c r="BD279" s="21" t="n">
        <f aca="false">IF(AND(AP279="بله",I279&lt;تنظیمات!$B$14,AO279="خیر"),1,0)</f>
        <v>0</v>
      </c>
      <c r="BE279" s="21" t="n">
        <f aca="false">IF(AN279="خیر",1,0)</f>
        <v>0</v>
      </c>
      <c r="BF279" s="21" t="n">
        <f aca="false">IF(AND(AD279="فیش مفقودی",AQ279="بله",I279&gt;تنظیمات!$B$12*60),1,0)</f>
        <v>0</v>
      </c>
      <c r="BG279" s="21" t="n">
        <f aca="false">IF(AND(AK279&gt;تنظیمات!$B$11,AL279="بله"),1,0)</f>
        <v>0</v>
      </c>
      <c r="BH279" s="21" t="n">
        <f aca="false">MIN(100,AR279*تنظیمات!$B$21+AS279*تنظیمات!$B$22+AT279*تنظیمات!$B$23+AU279*تنظیمات!$B$24+AV279*تنظیمات!$B$25+AW279*تنظیمات!$B$26+AX279*تنظیمات!$B$27+AY279*تنظیمات!$B$28+AZ279*تنظیمات!$B$29+BA279*تنظیمات!$B$30+BB279*تنظیمات!$B$31+BC279*تنظیمات!$B$32+BD279*تنظیمات!$B$33+BE279*تنظیمات!$B$34+BF279*تنظیمات!$B$35+BG279*تنظیمات!$B$36)</f>
        <v>0</v>
      </c>
      <c r="BI279" s="16" t="str">
        <f aca="false">IF(BH279&gt;=60,"بحرانی",IF(BH279&gt;=30,"مشکوک",IF(BH279&gt;0,"هشدار","عادی")))</f>
        <v>عادی</v>
      </c>
      <c r="BJ279" s="16" t="s">
        <v>338</v>
      </c>
    </row>
    <row r="280" customFormat="false" ht="15" hidden="false" customHeight="false" outlineLevel="0" collapsed="false">
      <c r="A280" s="16" t="s">
        <v>1309</v>
      </c>
      <c r="B280" s="16" t="s">
        <v>1045</v>
      </c>
      <c r="C280" s="16"/>
      <c r="D280" s="16" t="s">
        <v>418</v>
      </c>
      <c r="E280" s="16" t="s">
        <v>345</v>
      </c>
      <c r="F280" s="16" t="s">
        <v>333</v>
      </c>
      <c r="G280" s="17" t="n">
        <v>46284.8164467593</v>
      </c>
      <c r="H280" s="17" t="n">
        <v>46284.8747800926</v>
      </c>
      <c r="I280" s="18" t="n">
        <f aca="false">IF(H280="",ROUND((تنظیمات!$B$7-G280)*1440,0),ROUND((H280-G280)*1440,0))</f>
        <v>84</v>
      </c>
      <c r="J280" s="16" t="s">
        <v>334</v>
      </c>
      <c r="K280" s="16" t="s">
        <v>400</v>
      </c>
      <c r="L280" s="19" t="n">
        <v>0.977</v>
      </c>
      <c r="M280" s="19" t="n">
        <v>0.97</v>
      </c>
      <c r="N280" s="16" t="s">
        <v>335</v>
      </c>
      <c r="O280" s="16" t="s">
        <v>411</v>
      </c>
      <c r="P280" s="16" t="s">
        <v>420</v>
      </c>
      <c r="Q280" s="20" t="n">
        <v>46284</v>
      </c>
      <c r="R280" s="16" t="s">
        <v>1310</v>
      </c>
      <c r="S280" s="16" t="s">
        <v>404</v>
      </c>
      <c r="T280" s="17"/>
      <c r="U280" s="21" t="n">
        <v>1</v>
      </c>
      <c r="V280" s="21" t="n">
        <v>1</v>
      </c>
      <c r="W280" s="22" t="n">
        <v>6.1</v>
      </c>
      <c r="X280" s="16" t="s">
        <v>335</v>
      </c>
      <c r="Y280" s="16" t="s">
        <v>338</v>
      </c>
      <c r="Z280" s="16" t="s">
        <v>413</v>
      </c>
      <c r="AA280" s="16" t="s">
        <v>427</v>
      </c>
      <c r="AB280" s="23" t="s">
        <v>1311</v>
      </c>
      <c r="AC280" s="17" t="n">
        <v>46284.8744097222</v>
      </c>
      <c r="AD280" s="16" t="s">
        <v>338</v>
      </c>
      <c r="AE280" s="16"/>
      <c r="AF280" s="16" t="str">
        <f aca="false">IF(COUNTIF(لیست_سفید!$A$2:$A$21,B280)&gt;0,"بله","خیر")</f>
        <v>خیر</v>
      </c>
      <c r="AG280" s="24" t="n">
        <f aca="false">IF(H280="","",IF(AD280="فیش مفقودی",تنظیمات!$B$6,(INT(I280/1440)*تنظیمات!$B$5+IF(MOD(I280,1440)&lt;=تنظیمات!$B$2,0,MIN(تنظیمات!$B$5,تنظیمات!$B$3+MAX(0,ROUNDUP((MOD(I280,1440)-60)/60,0))*تنظیمات!$B$4)))*INDEX(تعرفه!$B$2:$B$7,MATCH(AD280,تعرفه!$A$2:$A$7,0))))</f>
        <v>34000</v>
      </c>
      <c r="AH280" s="24" t="n">
        <v>34000</v>
      </c>
      <c r="AI280" s="24" t="n">
        <f aca="false">IF(AG280="","",AH280-AG280)</f>
        <v>0</v>
      </c>
      <c r="AJ280" s="21" t="n">
        <v>-5</v>
      </c>
      <c r="AK280" s="21" t="n">
        <v>0</v>
      </c>
      <c r="AL280" s="16" t="s">
        <v>335</v>
      </c>
      <c r="AM280" s="16"/>
      <c r="AN280" s="16" t="s">
        <v>340</v>
      </c>
      <c r="AO280" s="16" t="s">
        <v>340</v>
      </c>
      <c r="AP280" s="16" t="s">
        <v>335</v>
      </c>
      <c r="AQ280" s="16"/>
      <c r="AR280" s="21" t="n">
        <f aca="false">IF(AND(T280&lt;&gt;"",H280&lt;&gt;""),IF(AND((T280-H280)*86400&gt;=0,(T280-H280)*86400&lt;تنظیمات!$B$13),1,0),0)</f>
        <v>0</v>
      </c>
      <c r="AS280" s="21" t="n">
        <f aca="false">IF(Z280="پوز",IF(OR(AB280="",COUNTIF(پوزها!$A$2:$A$5,AA280)=0),1,0),0)</f>
        <v>0</v>
      </c>
      <c r="AT280" s="21" t="n">
        <f aca="false">IF(AI280="",0,IF(AI280&gt;0,1,0))</f>
        <v>0</v>
      </c>
      <c r="AU280" s="21" t="n">
        <f aca="false">IF(AI280="",0,IF(AI280&lt;0,1,0))</f>
        <v>0</v>
      </c>
      <c r="AV280" s="21" t="n">
        <f aca="false">IF(U280&gt;V280,1,0)</f>
        <v>0</v>
      </c>
      <c r="AW280" s="21" t="n">
        <f aca="false">IF(OR(W280&gt;تنظیمات!$B$8,X280="بله"),1,0)</f>
        <v>0</v>
      </c>
      <c r="AX280" s="21" t="n">
        <f aca="false">IF(AND(N280="بله",L280&gt;تنظیمات!$B$9),1,0)</f>
        <v>0</v>
      </c>
      <c r="AY280" s="21" t="n">
        <f aca="false">IF(Y280="معکوس",1,0)</f>
        <v>0</v>
      </c>
      <c r="AZ280" s="21" t="n">
        <f aca="false">IF(ABS(AJ280)&gt;تنظیمات!$B$10,1,0)</f>
        <v>0</v>
      </c>
      <c r="BA280" s="21" t="n">
        <f aca="false">IF(AND(OR(AD280="رایگان/VIP",AD280="جانباز"),AF280="خیر"),1,0)</f>
        <v>0</v>
      </c>
      <c r="BB280" s="21" t="n">
        <f aca="false">IF(AE280="",0,IF(COUNTIF($AE$2:$AE$1001,AE280)&gt;1,1,0))</f>
        <v>0</v>
      </c>
      <c r="BC280" s="21" t="n">
        <f aca="false">IF(AND(H280="",I280&gt;تنظیمات!$B$12*60,AM280="خالی"),1,0)</f>
        <v>0</v>
      </c>
      <c r="BD280" s="21" t="n">
        <f aca="false">IF(AND(AP280="بله",I280&lt;تنظیمات!$B$14,AO280="خیر"),1,0)</f>
        <v>0</v>
      </c>
      <c r="BE280" s="21" t="n">
        <f aca="false">IF(AN280="خیر",1,0)</f>
        <v>0</v>
      </c>
      <c r="BF280" s="21" t="n">
        <f aca="false">IF(AND(AD280="فیش مفقودی",AQ280="بله",I280&gt;تنظیمات!$B$12*60),1,0)</f>
        <v>0</v>
      </c>
      <c r="BG280" s="21" t="n">
        <f aca="false">IF(AND(AK280&gt;تنظیمات!$B$11,AL280="بله"),1,0)</f>
        <v>0</v>
      </c>
      <c r="BH280" s="21" t="n">
        <f aca="false">MIN(100,AR280*تنظیمات!$B$21+AS280*تنظیمات!$B$22+AT280*تنظیمات!$B$23+AU280*تنظیمات!$B$24+AV280*تنظیمات!$B$25+AW280*تنظیمات!$B$26+AX280*تنظیمات!$B$27+AY280*تنظیمات!$B$28+AZ280*تنظیمات!$B$29+BA280*تنظیمات!$B$30+BB280*تنظیمات!$B$31+BC280*تنظیمات!$B$32+BD280*تنظیمات!$B$33+BE280*تنظیمات!$B$34+BF280*تنظیمات!$B$35+BG280*تنظیمات!$B$36)</f>
        <v>0</v>
      </c>
      <c r="BI280" s="16" t="str">
        <f aca="false">IF(BH280&gt;=60,"بحرانی",IF(BH280&gt;=30,"مشکوک",IF(BH280&gt;0,"هشدار","عادی")))</f>
        <v>عادی</v>
      </c>
      <c r="BJ280" s="16" t="s">
        <v>338</v>
      </c>
    </row>
    <row r="281" customFormat="false" ht="15" hidden="false" customHeight="false" outlineLevel="0" collapsed="false">
      <c r="A281" s="16" t="s">
        <v>1312</v>
      </c>
      <c r="B281" s="16" t="s">
        <v>792</v>
      </c>
      <c r="C281" s="16"/>
      <c r="D281" s="16" t="s">
        <v>370</v>
      </c>
      <c r="E281" s="16" t="s">
        <v>390</v>
      </c>
      <c r="F281" s="16" t="s">
        <v>333</v>
      </c>
      <c r="G281" s="17" t="n">
        <v>46284.8399884259</v>
      </c>
      <c r="H281" s="17" t="n">
        <v>46284.8469328704</v>
      </c>
      <c r="I281" s="18" t="n">
        <f aca="false">IF(H281="",ROUND((تنظیمات!$B$7-G281)*1440,0),ROUND((H281-G281)*1440,0))</f>
        <v>10</v>
      </c>
      <c r="J281" s="16" t="s">
        <v>346</v>
      </c>
      <c r="K281" s="16" t="s">
        <v>400</v>
      </c>
      <c r="L281" s="19" t="n">
        <v>0.954</v>
      </c>
      <c r="M281" s="19" t="n">
        <v>0.948</v>
      </c>
      <c r="N281" s="16" t="s">
        <v>335</v>
      </c>
      <c r="O281" s="16" t="s">
        <v>411</v>
      </c>
      <c r="P281" s="16" t="s">
        <v>420</v>
      </c>
      <c r="Q281" s="20" t="n">
        <v>46284</v>
      </c>
      <c r="R281" s="16" t="s">
        <v>1313</v>
      </c>
      <c r="S281" s="16" t="s">
        <v>404</v>
      </c>
      <c r="T281" s="17"/>
      <c r="U281" s="21" t="n">
        <v>1</v>
      </c>
      <c r="V281" s="21" t="n">
        <v>1</v>
      </c>
      <c r="W281" s="22" t="n">
        <v>4</v>
      </c>
      <c r="X281" s="16" t="s">
        <v>335</v>
      </c>
      <c r="Y281" s="16" t="s">
        <v>338</v>
      </c>
      <c r="Z281" s="16" t="s">
        <v>628</v>
      </c>
      <c r="AA281" s="16"/>
      <c r="AB281" s="23"/>
      <c r="AC281" s="17"/>
      <c r="AD281" s="16" t="s">
        <v>338</v>
      </c>
      <c r="AE281" s="16"/>
      <c r="AF281" s="16" t="str">
        <f aca="false">IF(COUNTIF(لیست_سفید!$A$2:$A$21,B281)&gt;0,"بله","خیر")</f>
        <v>خیر</v>
      </c>
      <c r="AG281" s="24" t="n">
        <f aca="false">IF(H281="","",IF(AD281="فیش مفقودی",تنظیمات!$B$6,(INT(I281/1440)*تنظیمات!$B$5+IF(MOD(I281,1440)&lt;=تنظیمات!$B$2,0,MIN(تنظیمات!$B$5,تنظیمات!$B$3+MAX(0,ROUNDUP((MOD(I281,1440)-60)/60,0))*تنظیمات!$B$4)))*INDEX(تعرفه!$B$2:$B$7,MATCH(AD281,تعرفه!$A$2:$A$7,0))))</f>
        <v>0</v>
      </c>
      <c r="AH281" s="24" t="n">
        <v>0</v>
      </c>
      <c r="AI281" s="24" t="n">
        <f aca="false">IF(AG281="","",AH281-AG281)</f>
        <v>0</v>
      </c>
      <c r="AJ281" s="21" t="n">
        <v>0</v>
      </c>
      <c r="AK281" s="21" t="n">
        <v>0</v>
      </c>
      <c r="AL281" s="16" t="s">
        <v>335</v>
      </c>
      <c r="AM281" s="16"/>
      <c r="AN281" s="16" t="s">
        <v>340</v>
      </c>
      <c r="AO281" s="16" t="s">
        <v>340</v>
      </c>
      <c r="AP281" s="16" t="s">
        <v>335</v>
      </c>
      <c r="AQ281" s="16"/>
      <c r="AR281" s="21" t="n">
        <f aca="false">IF(AND(T281&lt;&gt;"",H281&lt;&gt;""),IF(AND((T281-H281)*86400&gt;=0,(T281-H281)*86400&lt;تنظیمات!$B$13),1,0),0)</f>
        <v>0</v>
      </c>
      <c r="AS281" s="21" t="n">
        <f aca="false">IF(Z281="پوز",IF(OR(AB281="",COUNTIF(پوزها!$A$2:$A$5,AA281)=0),1,0),0)</f>
        <v>0</v>
      </c>
      <c r="AT281" s="21" t="n">
        <f aca="false">IF(AI281="",0,IF(AI281&gt;0,1,0))</f>
        <v>0</v>
      </c>
      <c r="AU281" s="21" t="n">
        <f aca="false">IF(AI281="",0,IF(AI281&lt;0,1,0))</f>
        <v>0</v>
      </c>
      <c r="AV281" s="21" t="n">
        <f aca="false">IF(U281&gt;V281,1,0)</f>
        <v>0</v>
      </c>
      <c r="AW281" s="21" t="n">
        <f aca="false">IF(OR(W281&gt;تنظیمات!$B$8,X281="بله"),1,0)</f>
        <v>0</v>
      </c>
      <c r="AX281" s="21" t="n">
        <f aca="false">IF(AND(N281="بله",L281&gt;تنظیمات!$B$9),1,0)</f>
        <v>0</v>
      </c>
      <c r="AY281" s="21" t="n">
        <f aca="false">IF(Y281="معکوس",1,0)</f>
        <v>0</v>
      </c>
      <c r="AZ281" s="21" t="n">
        <f aca="false">IF(ABS(AJ281)&gt;تنظیمات!$B$10,1,0)</f>
        <v>0</v>
      </c>
      <c r="BA281" s="21" t="n">
        <f aca="false">IF(AND(OR(AD281="رایگان/VIP",AD281="جانباز"),AF281="خیر"),1,0)</f>
        <v>0</v>
      </c>
      <c r="BB281" s="21" t="n">
        <f aca="false">IF(AE281="",0,IF(COUNTIF($AE$2:$AE$1001,AE281)&gt;1,1,0))</f>
        <v>0</v>
      </c>
      <c r="BC281" s="21" t="n">
        <f aca="false">IF(AND(H281="",I281&gt;تنظیمات!$B$12*60,AM281="خالی"),1,0)</f>
        <v>0</v>
      </c>
      <c r="BD281" s="21" t="n">
        <f aca="false">IF(AND(AP281="بله",I281&lt;تنظیمات!$B$14,AO281="خیر"),1,0)</f>
        <v>0</v>
      </c>
      <c r="BE281" s="21" t="n">
        <f aca="false">IF(AN281="خیر",1,0)</f>
        <v>0</v>
      </c>
      <c r="BF281" s="21" t="n">
        <f aca="false">IF(AND(AD281="فیش مفقودی",AQ281="بله",I281&gt;تنظیمات!$B$12*60),1,0)</f>
        <v>0</v>
      </c>
      <c r="BG281" s="21" t="n">
        <f aca="false">IF(AND(AK281&gt;تنظیمات!$B$11,AL281="بله"),1,0)</f>
        <v>0</v>
      </c>
      <c r="BH281" s="21" t="n">
        <f aca="false">MIN(100,AR281*تنظیمات!$B$21+AS281*تنظیمات!$B$22+AT281*تنظیمات!$B$23+AU281*تنظیمات!$B$24+AV281*تنظیمات!$B$25+AW281*تنظیمات!$B$26+AX281*تنظیمات!$B$27+AY281*تنظیمات!$B$28+AZ281*تنظیمات!$B$29+BA281*تنظیمات!$B$30+BB281*تنظیمات!$B$31+BC281*تنظیمات!$B$32+BD281*تنظیمات!$B$33+BE281*تنظیمات!$B$34+BF281*تنظیمات!$B$35+BG281*تنظیمات!$B$36)</f>
        <v>0</v>
      </c>
      <c r="BI281" s="16" t="str">
        <f aca="false">IF(BH281&gt;=60,"بحرانی",IF(BH281&gt;=30,"مشکوک",IF(BH281&gt;0,"هشدار","عادی")))</f>
        <v>عادی</v>
      </c>
      <c r="BJ281" s="16" t="s">
        <v>338</v>
      </c>
    </row>
    <row r="282" customFormat="false" ht="15" hidden="false" customHeight="false" outlineLevel="0" collapsed="false">
      <c r="A282" s="16" t="s">
        <v>1314</v>
      </c>
      <c r="B282" s="16" t="s">
        <v>1315</v>
      </c>
      <c r="C282" s="16"/>
      <c r="D282" s="16" t="s">
        <v>431</v>
      </c>
      <c r="E282" s="16" t="s">
        <v>345</v>
      </c>
      <c r="F282" s="16" t="s">
        <v>333</v>
      </c>
      <c r="G282" s="17" t="n">
        <v>46284.844212963</v>
      </c>
      <c r="H282" s="17" t="n">
        <v>46284.869212963</v>
      </c>
      <c r="I282" s="18" t="n">
        <f aca="false">IF(H282="",ROUND((تنظیمات!$B$7-G282)*1440,0),ROUND((H282-G282)*1440,0))</f>
        <v>36</v>
      </c>
      <c r="J282" s="16" t="s">
        <v>346</v>
      </c>
      <c r="K282" s="16" t="s">
        <v>400</v>
      </c>
      <c r="L282" s="19" t="n">
        <v>0.931</v>
      </c>
      <c r="M282" s="19" t="n">
        <v>0.971</v>
      </c>
      <c r="N282" s="16" t="s">
        <v>335</v>
      </c>
      <c r="O282" s="16" t="s">
        <v>411</v>
      </c>
      <c r="P282" s="16" t="s">
        <v>420</v>
      </c>
      <c r="Q282" s="20" t="n">
        <v>46284</v>
      </c>
      <c r="R282" s="16" t="s">
        <v>1316</v>
      </c>
      <c r="S282" s="16" t="s">
        <v>404</v>
      </c>
      <c r="T282" s="17"/>
      <c r="U282" s="21" t="n">
        <v>1</v>
      </c>
      <c r="V282" s="21" t="n">
        <v>1</v>
      </c>
      <c r="W282" s="22" t="n">
        <v>5.8</v>
      </c>
      <c r="X282" s="16" t="s">
        <v>335</v>
      </c>
      <c r="Y282" s="16" t="s">
        <v>338</v>
      </c>
      <c r="Z282" s="16" t="s">
        <v>413</v>
      </c>
      <c r="AA282" s="16" t="s">
        <v>427</v>
      </c>
      <c r="AB282" s="23" t="s">
        <v>1317</v>
      </c>
      <c r="AC282" s="17" t="n">
        <v>46284.8686805556</v>
      </c>
      <c r="AD282" s="16" t="s">
        <v>338</v>
      </c>
      <c r="AE282" s="16"/>
      <c r="AF282" s="16" t="str">
        <f aca="false">IF(COUNTIF(لیست_سفید!$A$2:$A$21,B282)&gt;0,"بله","خیر")</f>
        <v>خیر</v>
      </c>
      <c r="AG282" s="24" t="n">
        <f aca="false">IF(H282="","",IF(AD282="فیش مفقودی",تنظیمات!$B$6,(INT(I282/1440)*تنظیمات!$B$5+IF(MOD(I282,1440)&lt;=تنظیمات!$B$2,0,MIN(تنظیمات!$B$5,تنظیمات!$B$3+MAX(0,ROUNDUP((MOD(I282,1440)-60)/60,0))*تنظیمات!$B$4)))*INDEX(تعرفه!$B$2:$B$7,MATCH(AD282,تعرفه!$A$2:$A$7,0))))</f>
        <v>20000</v>
      </c>
      <c r="AH282" s="24" t="n">
        <v>20000</v>
      </c>
      <c r="AI282" s="24" t="n">
        <f aca="false">IF(AG282="","",AH282-AG282)</f>
        <v>0</v>
      </c>
      <c r="AJ282" s="21" t="n">
        <v>-2</v>
      </c>
      <c r="AK282" s="21" t="n">
        <v>0</v>
      </c>
      <c r="AL282" s="16" t="s">
        <v>335</v>
      </c>
      <c r="AM282" s="16"/>
      <c r="AN282" s="16" t="s">
        <v>340</v>
      </c>
      <c r="AO282" s="16" t="s">
        <v>340</v>
      </c>
      <c r="AP282" s="16" t="s">
        <v>335</v>
      </c>
      <c r="AQ282" s="16"/>
      <c r="AR282" s="21" t="n">
        <f aca="false">IF(AND(T282&lt;&gt;"",H282&lt;&gt;""),IF(AND((T282-H282)*86400&gt;=0,(T282-H282)*86400&lt;تنظیمات!$B$13),1,0),0)</f>
        <v>0</v>
      </c>
      <c r="AS282" s="21" t="n">
        <f aca="false">IF(Z282="پوز",IF(OR(AB282="",COUNTIF(پوزها!$A$2:$A$5,AA282)=0),1,0),0)</f>
        <v>0</v>
      </c>
      <c r="AT282" s="21" t="n">
        <f aca="false">IF(AI282="",0,IF(AI282&gt;0,1,0))</f>
        <v>0</v>
      </c>
      <c r="AU282" s="21" t="n">
        <f aca="false">IF(AI282="",0,IF(AI282&lt;0,1,0))</f>
        <v>0</v>
      </c>
      <c r="AV282" s="21" t="n">
        <f aca="false">IF(U282&gt;V282,1,0)</f>
        <v>0</v>
      </c>
      <c r="AW282" s="21" t="n">
        <f aca="false">IF(OR(W282&gt;تنظیمات!$B$8,X282="بله"),1,0)</f>
        <v>0</v>
      </c>
      <c r="AX282" s="21" t="n">
        <f aca="false">IF(AND(N282="بله",L282&gt;تنظیمات!$B$9),1,0)</f>
        <v>0</v>
      </c>
      <c r="AY282" s="21" t="n">
        <f aca="false">IF(Y282="معکوس",1,0)</f>
        <v>0</v>
      </c>
      <c r="AZ282" s="21" t="n">
        <f aca="false">IF(ABS(AJ282)&gt;تنظیمات!$B$10,1,0)</f>
        <v>0</v>
      </c>
      <c r="BA282" s="21" t="n">
        <f aca="false">IF(AND(OR(AD282="رایگان/VIP",AD282="جانباز"),AF282="خیر"),1,0)</f>
        <v>0</v>
      </c>
      <c r="BB282" s="21" t="n">
        <f aca="false">IF(AE282="",0,IF(COUNTIF($AE$2:$AE$1001,AE282)&gt;1,1,0))</f>
        <v>0</v>
      </c>
      <c r="BC282" s="21" t="n">
        <f aca="false">IF(AND(H282="",I282&gt;تنظیمات!$B$12*60,AM282="خالی"),1,0)</f>
        <v>0</v>
      </c>
      <c r="BD282" s="21" t="n">
        <f aca="false">IF(AND(AP282="بله",I282&lt;تنظیمات!$B$14,AO282="خیر"),1,0)</f>
        <v>0</v>
      </c>
      <c r="BE282" s="21" t="n">
        <f aca="false">IF(AN282="خیر",1,0)</f>
        <v>0</v>
      </c>
      <c r="BF282" s="21" t="n">
        <f aca="false">IF(AND(AD282="فیش مفقودی",AQ282="بله",I282&gt;تنظیمات!$B$12*60),1,0)</f>
        <v>0</v>
      </c>
      <c r="BG282" s="21" t="n">
        <f aca="false">IF(AND(AK282&gt;تنظیمات!$B$11,AL282="بله"),1,0)</f>
        <v>0</v>
      </c>
      <c r="BH282" s="21" t="n">
        <f aca="false">MIN(100,AR282*تنظیمات!$B$21+AS282*تنظیمات!$B$22+AT282*تنظیمات!$B$23+AU282*تنظیمات!$B$24+AV282*تنظیمات!$B$25+AW282*تنظیمات!$B$26+AX282*تنظیمات!$B$27+AY282*تنظیمات!$B$28+AZ282*تنظیمات!$B$29+BA282*تنظیمات!$B$30+BB282*تنظیمات!$B$31+BC282*تنظیمات!$B$32+BD282*تنظیمات!$B$33+BE282*تنظیمات!$B$34+BF282*تنظیمات!$B$35+BG282*تنظیمات!$B$36)</f>
        <v>0</v>
      </c>
      <c r="BI282" s="16" t="str">
        <f aca="false">IF(BH282&gt;=60,"بحرانی",IF(BH282&gt;=30,"مشکوک",IF(BH282&gt;0,"هشدار","عادی")))</f>
        <v>عادی</v>
      </c>
      <c r="BJ282" s="16" t="s">
        <v>338</v>
      </c>
    </row>
    <row r="283" customFormat="false" ht="15" hidden="false" customHeight="false" outlineLevel="0" collapsed="false">
      <c r="A283" s="16" t="s">
        <v>1318</v>
      </c>
      <c r="B283" s="16" t="s">
        <v>798</v>
      </c>
      <c r="C283" s="16"/>
      <c r="D283" s="16" t="s">
        <v>508</v>
      </c>
      <c r="E283" s="16" t="s">
        <v>363</v>
      </c>
      <c r="F283" s="16" t="s">
        <v>333</v>
      </c>
      <c r="G283" s="17" t="n">
        <v>46284.8444560185</v>
      </c>
      <c r="H283" s="17" t="n">
        <v>46285.0208449074</v>
      </c>
      <c r="I283" s="18" t="n">
        <f aca="false">IF(H283="",ROUND((تنظیمات!$B$7-G283)*1440,0),ROUND((H283-G283)*1440,0))</f>
        <v>254</v>
      </c>
      <c r="J283" s="16" t="s">
        <v>334</v>
      </c>
      <c r="K283" s="16" t="s">
        <v>400</v>
      </c>
      <c r="L283" s="19" t="n">
        <v>0.952</v>
      </c>
      <c r="M283" s="19" t="n">
        <v>0.93</v>
      </c>
      <c r="N283" s="16" t="s">
        <v>335</v>
      </c>
      <c r="O283" s="16" t="s">
        <v>419</v>
      </c>
      <c r="P283" s="16" t="s">
        <v>651</v>
      </c>
      <c r="Q283" s="20" t="n">
        <v>46284</v>
      </c>
      <c r="R283" s="16" t="s">
        <v>1319</v>
      </c>
      <c r="S283" s="16" t="s">
        <v>404</v>
      </c>
      <c r="T283" s="17"/>
      <c r="U283" s="21" t="n">
        <v>1</v>
      </c>
      <c r="V283" s="21" t="n">
        <v>1</v>
      </c>
      <c r="W283" s="22" t="n">
        <v>5.8</v>
      </c>
      <c r="X283" s="16" t="s">
        <v>335</v>
      </c>
      <c r="Y283" s="16" t="s">
        <v>338</v>
      </c>
      <c r="Z283" s="16" t="s">
        <v>413</v>
      </c>
      <c r="AA283" s="16" t="s">
        <v>427</v>
      </c>
      <c r="AB283" s="23" t="s">
        <v>1320</v>
      </c>
      <c r="AC283" s="17" t="n">
        <v>46285.020162037</v>
      </c>
      <c r="AD283" s="16" t="s">
        <v>338</v>
      </c>
      <c r="AE283" s="16"/>
      <c r="AF283" s="16" t="str">
        <f aca="false">IF(COUNTIF(لیست_سفید!$A$2:$A$21,B283)&gt;0,"بله","خیر")</f>
        <v>خیر</v>
      </c>
      <c r="AG283" s="24" t="n">
        <f aca="false">IF(H283="","",IF(AD283="فیش مفقودی",تنظیمات!$B$6,(INT(I283/1440)*تنظیمات!$B$5+IF(MOD(I283,1440)&lt;=تنظیمات!$B$2,0,MIN(تنظیمات!$B$5,تنظیمات!$B$3+MAX(0,ROUNDUP((MOD(I283,1440)-60)/60,0))*تنظیمات!$B$4)))*INDEX(تعرفه!$B$2:$B$7,MATCH(AD283,تعرفه!$A$2:$A$7,0))))</f>
        <v>76000</v>
      </c>
      <c r="AH283" s="24" t="n">
        <v>76000</v>
      </c>
      <c r="AI283" s="24" t="n">
        <f aca="false">IF(AG283="","",AH283-AG283)</f>
        <v>0</v>
      </c>
      <c r="AJ283" s="21" t="n">
        <v>2</v>
      </c>
      <c r="AK283" s="21" t="n">
        <v>0</v>
      </c>
      <c r="AL283" s="16" t="s">
        <v>335</v>
      </c>
      <c r="AM283" s="16"/>
      <c r="AN283" s="16" t="s">
        <v>340</v>
      </c>
      <c r="AO283" s="16" t="s">
        <v>340</v>
      </c>
      <c r="AP283" s="16" t="s">
        <v>335</v>
      </c>
      <c r="AQ283" s="16"/>
      <c r="AR283" s="21" t="n">
        <f aca="false">IF(AND(T283&lt;&gt;"",H283&lt;&gt;""),IF(AND((T283-H283)*86400&gt;=0,(T283-H283)*86400&lt;تنظیمات!$B$13),1,0),0)</f>
        <v>0</v>
      </c>
      <c r="AS283" s="21" t="n">
        <f aca="false">IF(Z283="پوز",IF(OR(AB283="",COUNTIF(پوزها!$A$2:$A$5,AA283)=0),1,0),0)</f>
        <v>0</v>
      </c>
      <c r="AT283" s="21" t="n">
        <f aca="false">IF(AI283="",0,IF(AI283&gt;0,1,0))</f>
        <v>0</v>
      </c>
      <c r="AU283" s="21" t="n">
        <f aca="false">IF(AI283="",0,IF(AI283&lt;0,1,0))</f>
        <v>0</v>
      </c>
      <c r="AV283" s="21" t="n">
        <f aca="false">IF(U283&gt;V283,1,0)</f>
        <v>0</v>
      </c>
      <c r="AW283" s="21" t="n">
        <f aca="false">IF(OR(W283&gt;تنظیمات!$B$8,X283="بله"),1,0)</f>
        <v>0</v>
      </c>
      <c r="AX283" s="21" t="n">
        <f aca="false">IF(AND(N283="بله",L283&gt;تنظیمات!$B$9),1,0)</f>
        <v>0</v>
      </c>
      <c r="AY283" s="21" t="n">
        <f aca="false">IF(Y283="معکوس",1,0)</f>
        <v>0</v>
      </c>
      <c r="AZ283" s="21" t="n">
        <f aca="false">IF(ABS(AJ283)&gt;تنظیمات!$B$10,1,0)</f>
        <v>0</v>
      </c>
      <c r="BA283" s="21" t="n">
        <f aca="false">IF(AND(OR(AD283="رایگان/VIP",AD283="جانباز"),AF283="خیر"),1,0)</f>
        <v>0</v>
      </c>
      <c r="BB283" s="21" t="n">
        <f aca="false">IF(AE283="",0,IF(COUNTIF($AE$2:$AE$1001,AE283)&gt;1,1,0))</f>
        <v>0</v>
      </c>
      <c r="BC283" s="21" t="n">
        <f aca="false">IF(AND(H283="",I283&gt;تنظیمات!$B$12*60,AM283="خالی"),1,0)</f>
        <v>0</v>
      </c>
      <c r="BD283" s="21" t="n">
        <f aca="false">IF(AND(AP283="بله",I283&lt;تنظیمات!$B$14,AO283="خیر"),1,0)</f>
        <v>0</v>
      </c>
      <c r="BE283" s="21" t="n">
        <f aca="false">IF(AN283="خیر",1,0)</f>
        <v>0</v>
      </c>
      <c r="BF283" s="21" t="n">
        <f aca="false">IF(AND(AD283="فیش مفقودی",AQ283="بله",I283&gt;تنظیمات!$B$12*60),1,0)</f>
        <v>0</v>
      </c>
      <c r="BG283" s="21" t="n">
        <f aca="false">IF(AND(AK283&gt;تنظیمات!$B$11,AL283="بله"),1,0)</f>
        <v>0</v>
      </c>
      <c r="BH283" s="21" t="n">
        <f aca="false">MIN(100,AR283*تنظیمات!$B$21+AS283*تنظیمات!$B$22+AT283*تنظیمات!$B$23+AU283*تنظیمات!$B$24+AV283*تنظیمات!$B$25+AW283*تنظیمات!$B$26+AX283*تنظیمات!$B$27+AY283*تنظیمات!$B$28+AZ283*تنظیمات!$B$29+BA283*تنظیمات!$B$30+BB283*تنظیمات!$B$31+BC283*تنظیمات!$B$32+BD283*تنظیمات!$B$33+BE283*تنظیمات!$B$34+BF283*تنظیمات!$B$35+BG283*تنظیمات!$B$36)</f>
        <v>0</v>
      </c>
      <c r="BI283" s="16" t="str">
        <f aca="false">IF(BH283&gt;=60,"بحرانی",IF(BH283&gt;=30,"مشکوک",IF(BH283&gt;0,"هشدار","عادی")))</f>
        <v>عادی</v>
      </c>
      <c r="BJ283" s="16" t="s">
        <v>338</v>
      </c>
    </row>
    <row r="284" customFormat="false" ht="15" hidden="false" customHeight="false" outlineLevel="0" collapsed="false">
      <c r="A284" s="16" t="s">
        <v>1321</v>
      </c>
      <c r="B284" s="16" t="s">
        <v>631</v>
      </c>
      <c r="C284" s="16"/>
      <c r="D284" s="16" t="s">
        <v>431</v>
      </c>
      <c r="E284" s="16" t="s">
        <v>351</v>
      </c>
      <c r="F284" s="16" t="s">
        <v>333</v>
      </c>
      <c r="G284" s="17" t="n">
        <v>46284.8476041667</v>
      </c>
      <c r="H284" s="17" t="n">
        <v>46287.6677430556</v>
      </c>
      <c r="I284" s="18" t="n">
        <f aca="false">IF(H284="",ROUND((تنظیمات!$B$7-G284)*1440,0),ROUND((H284-G284)*1440,0))</f>
        <v>4061</v>
      </c>
      <c r="J284" s="16" t="s">
        <v>346</v>
      </c>
      <c r="K284" s="16" t="s">
        <v>410</v>
      </c>
      <c r="L284" s="19" t="n">
        <v>0.961</v>
      </c>
      <c r="M284" s="19" t="n">
        <v>0.959</v>
      </c>
      <c r="N284" s="16" t="s">
        <v>335</v>
      </c>
      <c r="O284" s="16" t="s">
        <v>411</v>
      </c>
      <c r="P284" s="16" t="s">
        <v>420</v>
      </c>
      <c r="Q284" s="20" t="n">
        <v>46287</v>
      </c>
      <c r="R284" s="16" t="s">
        <v>1322</v>
      </c>
      <c r="S284" s="16" t="s">
        <v>404</v>
      </c>
      <c r="T284" s="17"/>
      <c r="U284" s="21" t="n">
        <v>1</v>
      </c>
      <c r="V284" s="21" t="n">
        <v>1</v>
      </c>
      <c r="W284" s="22" t="n">
        <v>6.8</v>
      </c>
      <c r="X284" s="16" t="s">
        <v>335</v>
      </c>
      <c r="Y284" s="16" t="s">
        <v>338</v>
      </c>
      <c r="Z284" s="16" t="s">
        <v>413</v>
      </c>
      <c r="AA284" s="16" t="s">
        <v>414</v>
      </c>
      <c r="AB284" s="23" t="s">
        <v>1323</v>
      </c>
      <c r="AC284" s="17" t="n">
        <v>46287.6667013889</v>
      </c>
      <c r="AD284" s="16" t="s">
        <v>338</v>
      </c>
      <c r="AE284" s="16"/>
      <c r="AF284" s="16" t="str">
        <f aca="false">IF(COUNTIF(لیست_سفید!$A$2:$A$21,B284)&gt;0,"بله","خیر")</f>
        <v>خیر</v>
      </c>
      <c r="AG284" s="24" t="n">
        <f aca="false">IF(H284="","",IF(AD284="فیش مفقودی",تنظیمات!$B$6,(INT(I284/1440)*تنظیمات!$B$5+IF(MOD(I284,1440)&lt;=تنظیمات!$B$2,0,MIN(تنظیمات!$B$5,تنظیمات!$B$3+MAX(0,ROUNDUP((MOD(I284,1440)-60)/60,0))*تنظیمات!$B$4)))*INDEX(تعرفه!$B$2:$B$7,MATCH(AD284,تعرفه!$A$2:$A$7,0))))</f>
        <v>540000</v>
      </c>
      <c r="AH284" s="24" t="n">
        <v>540000</v>
      </c>
      <c r="AI284" s="24" t="n">
        <f aca="false">IF(AG284="","",AH284-AG284)</f>
        <v>0</v>
      </c>
      <c r="AJ284" s="21" t="n">
        <v>1</v>
      </c>
      <c r="AK284" s="21" t="n">
        <v>0</v>
      </c>
      <c r="AL284" s="16" t="s">
        <v>335</v>
      </c>
      <c r="AM284" s="16"/>
      <c r="AN284" s="16" t="s">
        <v>340</v>
      </c>
      <c r="AO284" s="16" t="s">
        <v>340</v>
      </c>
      <c r="AP284" s="16" t="s">
        <v>335</v>
      </c>
      <c r="AQ284" s="16"/>
      <c r="AR284" s="21" t="n">
        <f aca="false">IF(AND(T284&lt;&gt;"",H284&lt;&gt;""),IF(AND((T284-H284)*86400&gt;=0,(T284-H284)*86400&lt;تنظیمات!$B$13),1,0),0)</f>
        <v>0</v>
      </c>
      <c r="AS284" s="21" t="n">
        <f aca="false">IF(Z284="پوز",IF(OR(AB284="",COUNTIF(پوزها!$A$2:$A$5,AA284)=0),1,0),0)</f>
        <v>0</v>
      </c>
      <c r="AT284" s="21" t="n">
        <f aca="false">IF(AI284="",0,IF(AI284&gt;0,1,0))</f>
        <v>0</v>
      </c>
      <c r="AU284" s="21" t="n">
        <f aca="false">IF(AI284="",0,IF(AI284&lt;0,1,0))</f>
        <v>0</v>
      </c>
      <c r="AV284" s="21" t="n">
        <f aca="false">IF(U284&gt;V284,1,0)</f>
        <v>0</v>
      </c>
      <c r="AW284" s="21" t="n">
        <f aca="false">IF(OR(W284&gt;تنظیمات!$B$8,X284="بله"),1,0)</f>
        <v>0</v>
      </c>
      <c r="AX284" s="21" t="n">
        <f aca="false">IF(AND(N284="بله",L284&gt;تنظیمات!$B$9),1,0)</f>
        <v>0</v>
      </c>
      <c r="AY284" s="21" t="n">
        <f aca="false">IF(Y284="معکوس",1,0)</f>
        <v>0</v>
      </c>
      <c r="AZ284" s="21" t="n">
        <f aca="false">IF(ABS(AJ284)&gt;تنظیمات!$B$10,1,0)</f>
        <v>0</v>
      </c>
      <c r="BA284" s="21" t="n">
        <f aca="false">IF(AND(OR(AD284="رایگان/VIP",AD284="جانباز"),AF284="خیر"),1,0)</f>
        <v>0</v>
      </c>
      <c r="BB284" s="21" t="n">
        <f aca="false">IF(AE284="",0,IF(COUNTIF($AE$2:$AE$1001,AE284)&gt;1,1,0))</f>
        <v>0</v>
      </c>
      <c r="BC284" s="21" t="n">
        <f aca="false">IF(AND(H284="",I284&gt;تنظیمات!$B$12*60,AM284="خالی"),1,0)</f>
        <v>0</v>
      </c>
      <c r="BD284" s="21" t="n">
        <f aca="false">IF(AND(AP284="بله",I284&lt;تنظیمات!$B$14,AO284="خیر"),1,0)</f>
        <v>0</v>
      </c>
      <c r="BE284" s="21" t="n">
        <f aca="false">IF(AN284="خیر",1,0)</f>
        <v>0</v>
      </c>
      <c r="BF284" s="21" t="n">
        <f aca="false">IF(AND(AD284="فیش مفقودی",AQ284="بله",I284&gt;تنظیمات!$B$12*60),1,0)</f>
        <v>0</v>
      </c>
      <c r="BG284" s="21" t="n">
        <f aca="false">IF(AND(AK284&gt;تنظیمات!$B$11,AL284="بله"),1,0)</f>
        <v>0</v>
      </c>
      <c r="BH284" s="21" t="n">
        <f aca="false">MIN(100,AR284*تنظیمات!$B$21+AS284*تنظیمات!$B$22+AT284*تنظیمات!$B$23+AU284*تنظیمات!$B$24+AV284*تنظیمات!$B$25+AW284*تنظیمات!$B$26+AX284*تنظیمات!$B$27+AY284*تنظیمات!$B$28+AZ284*تنظیمات!$B$29+BA284*تنظیمات!$B$30+BB284*تنظیمات!$B$31+BC284*تنظیمات!$B$32+BD284*تنظیمات!$B$33+BE284*تنظیمات!$B$34+BF284*تنظیمات!$B$35+BG284*تنظیمات!$B$36)</f>
        <v>0</v>
      </c>
      <c r="BI284" s="16" t="str">
        <f aca="false">IF(BH284&gt;=60,"بحرانی",IF(BH284&gt;=30,"مشکوک",IF(BH284&gt;0,"هشدار","عادی")))</f>
        <v>عادی</v>
      </c>
      <c r="BJ284" s="16" t="s">
        <v>338</v>
      </c>
    </row>
    <row r="285" customFormat="false" ht="15" hidden="false" customHeight="false" outlineLevel="0" collapsed="false">
      <c r="A285" s="16" t="s">
        <v>1324</v>
      </c>
      <c r="B285" s="16" t="s">
        <v>1005</v>
      </c>
      <c r="C285" s="16"/>
      <c r="D285" s="16" t="s">
        <v>450</v>
      </c>
      <c r="E285" s="16" t="s">
        <v>332</v>
      </c>
      <c r="F285" s="16" t="s">
        <v>333</v>
      </c>
      <c r="G285" s="17" t="n">
        <v>46284.8478819444</v>
      </c>
      <c r="H285" s="17" t="n">
        <v>46284.8582986111</v>
      </c>
      <c r="I285" s="18" t="n">
        <f aca="false">IF(H285="",ROUND((تنظیمات!$B$7-G285)*1440,0),ROUND((H285-G285)*1440,0))</f>
        <v>15</v>
      </c>
      <c r="J285" s="16" t="s">
        <v>346</v>
      </c>
      <c r="K285" s="16" t="s">
        <v>400</v>
      </c>
      <c r="L285" s="19" t="n">
        <v>0.945</v>
      </c>
      <c r="M285" s="19" t="n">
        <v>0.941</v>
      </c>
      <c r="N285" s="16" t="s">
        <v>335</v>
      </c>
      <c r="O285" s="16" t="s">
        <v>411</v>
      </c>
      <c r="P285" s="16" t="s">
        <v>420</v>
      </c>
      <c r="Q285" s="20" t="n">
        <v>46284</v>
      </c>
      <c r="R285" s="16" t="s">
        <v>1325</v>
      </c>
      <c r="S285" s="16" t="s">
        <v>404</v>
      </c>
      <c r="T285" s="17"/>
      <c r="U285" s="21" t="n">
        <v>1</v>
      </c>
      <c r="V285" s="21" t="n">
        <v>1</v>
      </c>
      <c r="W285" s="22" t="n">
        <v>5.4</v>
      </c>
      <c r="X285" s="16" t="s">
        <v>335</v>
      </c>
      <c r="Y285" s="16" t="s">
        <v>338</v>
      </c>
      <c r="Z285" s="16" t="s">
        <v>413</v>
      </c>
      <c r="AA285" s="16" t="s">
        <v>427</v>
      </c>
      <c r="AB285" s="23" t="s">
        <v>1326</v>
      </c>
      <c r="AC285" s="17" t="n">
        <v>46284.8572800926</v>
      </c>
      <c r="AD285" s="16" t="s">
        <v>338</v>
      </c>
      <c r="AE285" s="16"/>
      <c r="AF285" s="16" t="str">
        <f aca="false">IF(COUNTIF(لیست_سفید!$A$2:$A$21,B285)&gt;0,"بله","خیر")</f>
        <v>خیر</v>
      </c>
      <c r="AG285" s="24" t="n">
        <f aca="false">IF(H285="","",IF(AD285="فیش مفقودی",تنظیمات!$B$6,(INT(I285/1440)*تنظیمات!$B$5+IF(MOD(I285,1440)&lt;=تنظیمات!$B$2,0,MIN(تنظیمات!$B$5,تنظیمات!$B$3+MAX(0,ROUNDUP((MOD(I285,1440)-60)/60,0))*تنظیمات!$B$4)))*INDEX(تعرفه!$B$2:$B$7,MATCH(AD285,تعرفه!$A$2:$A$7,0))))</f>
        <v>20000</v>
      </c>
      <c r="AH285" s="24" t="n">
        <v>20000</v>
      </c>
      <c r="AI285" s="24" t="n">
        <f aca="false">IF(AG285="","",AH285-AG285)</f>
        <v>0</v>
      </c>
      <c r="AJ285" s="21" t="n">
        <v>-1</v>
      </c>
      <c r="AK285" s="21" t="n">
        <v>0</v>
      </c>
      <c r="AL285" s="16" t="s">
        <v>335</v>
      </c>
      <c r="AM285" s="16"/>
      <c r="AN285" s="16" t="s">
        <v>340</v>
      </c>
      <c r="AO285" s="16" t="s">
        <v>340</v>
      </c>
      <c r="AP285" s="16" t="s">
        <v>335</v>
      </c>
      <c r="AQ285" s="16"/>
      <c r="AR285" s="21" t="n">
        <f aca="false">IF(AND(T285&lt;&gt;"",H285&lt;&gt;""),IF(AND((T285-H285)*86400&gt;=0,(T285-H285)*86400&lt;تنظیمات!$B$13),1,0),0)</f>
        <v>0</v>
      </c>
      <c r="AS285" s="21" t="n">
        <f aca="false">IF(Z285="پوز",IF(OR(AB285="",COUNTIF(پوزها!$A$2:$A$5,AA285)=0),1,0),0)</f>
        <v>0</v>
      </c>
      <c r="AT285" s="21" t="n">
        <f aca="false">IF(AI285="",0,IF(AI285&gt;0,1,0))</f>
        <v>0</v>
      </c>
      <c r="AU285" s="21" t="n">
        <f aca="false">IF(AI285="",0,IF(AI285&lt;0,1,0))</f>
        <v>0</v>
      </c>
      <c r="AV285" s="21" t="n">
        <f aca="false">IF(U285&gt;V285,1,0)</f>
        <v>0</v>
      </c>
      <c r="AW285" s="21" t="n">
        <f aca="false">IF(OR(W285&gt;تنظیمات!$B$8,X285="بله"),1,0)</f>
        <v>0</v>
      </c>
      <c r="AX285" s="21" t="n">
        <f aca="false">IF(AND(N285="بله",L285&gt;تنظیمات!$B$9),1,0)</f>
        <v>0</v>
      </c>
      <c r="AY285" s="21" t="n">
        <f aca="false">IF(Y285="معکوس",1,0)</f>
        <v>0</v>
      </c>
      <c r="AZ285" s="21" t="n">
        <f aca="false">IF(ABS(AJ285)&gt;تنظیمات!$B$10,1,0)</f>
        <v>0</v>
      </c>
      <c r="BA285" s="21" t="n">
        <f aca="false">IF(AND(OR(AD285="رایگان/VIP",AD285="جانباز"),AF285="خیر"),1,0)</f>
        <v>0</v>
      </c>
      <c r="BB285" s="21" t="n">
        <f aca="false">IF(AE285="",0,IF(COUNTIF($AE$2:$AE$1001,AE285)&gt;1,1,0))</f>
        <v>0</v>
      </c>
      <c r="BC285" s="21" t="n">
        <f aca="false">IF(AND(H285="",I285&gt;تنظیمات!$B$12*60,AM285="خالی"),1,0)</f>
        <v>0</v>
      </c>
      <c r="BD285" s="21" t="n">
        <f aca="false">IF(AND(AP285="بله",I285&lt;تنظیمات!$B$14,AO285="خیر"),1,0)</f>
        <v>0</v>
      </c>
      <c r="BE285" s="21" t="n">
        <f aca="false">IF(AN285="خیر",1,0)</f>
        <v>0</v>
      </c>
      <c r="BF285" s="21" t="n">
        <f aca="false">IF(AND(AD285="فیش مفقودی",AQ285="بله",I285&gt;تنظیمات!$B$12*60),1,0)</f>
        <v>0</v>
      </c>
      <c r="BG285" s="21" t="n">
        <f aca="false">IF(AND(AK285&gt;تنظیمات!$B$11,AL285="بله"),1,0)</f>
        <v>0</v>
      </c>
      <c r="BH285" s="21" t="n">
        <f aca="false">MIN(100,AR285*تنظیمات!$B$21+AS285*تنظیمات!$B$22+AT285*تنظیمات!$B$23+AU285*تنظیمات!$B$24+AV285*تنظیمات!$B$25+AW285*تنظیمات!$B$26+AX285*تنظیمات!$B$27+AY285*تنظیمات!$B$28+AZ285*تنظیمات!$B$29+BA285*تنظیمات!$B$30+BB285*تنظیمات!$B$31+BC285*تنظیمات!$B$32+BD285*تنظیمات!$B$33+BE285*تنظیمات!$B$34+BF285*تنظیمات!$B$35+BG285*تنظیمات!$B$36)</f>
        <v>0</v>
      </c>
      <c r="BI285" s="16" t="str">
        <f aca="false">IF(BH285&gt;=60,"بحرانی",IF(BH285&gt;=30,"مشکوک",IF(BH285&gt;0,"هشدار","عادی")))</f>
        <v>عادی</v>
      </c>
      <c r="BJ285" s="16" t="s">
        <v>338</v>
      </c>
    </row>
    <row r="286" customFormat="false" ht="15" hidden="false" customHeight="false" outlineLevel="0" collapsed="false">
      <c r="A286" s="16" t="s">
        <v>1327</v>
      </c>
      <c r="B286" s="16" t="s">
        <v>393</v>
      </c>
      <c r="C286" s="16"/>
      <c r="D286" s="16" t="s">
        <v>386</v>
      </c>
      <c r="E286" s="16" t="s">
        <v>375</v>
      </c>
      <c r="F286" s="16" t="s">
        <v>333</v>
      </c>
      <c r="G286" s="17" t="n">
        <v>46284.8494675926</v>
      </c>
      <c r="H286" s="17" t="n">
        <v>46284.8550231482</v>
      </c>
      <c r="I286" s="18" t="n">
        <f aca="false">IF(H286="",ROUND((تنظیمات!$B$7-G286)*1440,0),ROUND((H286-G286)*1440,0))</f>
        <v>8</v>
      </c>
      <c r="J286" s="16" t="s">
        <v>334</v>
      </c>
      <c r="K286" s="16" t="s">
        <v>400</v>
      </c>
      <c r="L286" s="19" t="n">
        <v>0.945</v>
      </c>
      <c r="M286" s="19" t="n">
        <v>0.922</v>
      </c>
      <c r="N286" s="16" t="s">
        <v>335</v>
      </c>
      <c r="O286" s="16" t="s">
        <v>411</v>
      </c>
      <c r="P286" s="16" t="s">
        <v>420</v>
      </c>
      <c r="Q286" s="20" t="n">
        <v>46284</v>
      </c>
      <c r="R286" s="16" t="s">
        <v>1328</v>
      </c>
      <c r="S286" s="16" t="s">
        <v>404</v>
      </c>
      <c r="T286" s="17"/>
      <c r="U286" s="21" t="n">
        <v>1</v>
      </c>
      <c r="V286" s="21" t="n">
        <v>1</v>
      </c>
      <c r="W286" s="22" t="n">
        <v>4.8</v>
      </c>
      <c r="X286" s="16" t="s">
        <v>335</v>
      </c>
      <c r="Y286" s="16" t="s">
        <v>338</v>
      </c>
      <c r="Z286" s="16" t="s">
        <v>628</v>
      </c>
      <c r="AA286" s="16"/>
      <c r="AB286" s="23"/>
      <c r="AC286" s="17"/>
      <c r="AD286" s="16" t="s">
        <v>338</v>
      </c>
      <c r="AE286" s="16"/>
      <c r="AF286" s="16" t="str">
        <f aca="false">IF(COUNTIF(لیست_سفید!$A$2:$A$21,B286)&gt;0,"بله","خیر")</f>
        <v>خیر</v>
      </c>
      <c r="AG286" s="24" t="n">
        <f aca="false">IF(H286="","",IF(AD286="فیش مفقودی",تنظیمات!$B$6,(INT(I286/1440)*تنظیمات!$B$5+IF(MOD(I286,1440)&lt;=تنظیمات!$B$2,0,MIN(تنظیمات!$B$5,تنظیمات!$B$3+MAX(0,ROUNDUP((MOD(I286,1440)-60)/60,0))*تنظیمات!$B$4)))*INDEX(تعرفه!$B$2:$B$7,MATCH(AD286,تعرفه!$A$2:$A$7,0))))</f>
        <v>0</v>
      </c>
      <c r="AH286" s="24" t="n">
        <v>0</v>
      </c>
      <c r="AI286" s="24" t="n">
        <f aca="false">IF(AG286="","",AH286-AG286)</f>
        <v>0</v>
      </c>
      <c r="AJ286" s="21" t="n">
        <v>1</v>
      </c>
      <c r="AK286" s="21" t="n">
        <v>0</v>
      </c>
      <c r="AL286" s="16" t="s">
        <v>335</v>
      </c>
      <c r="AM286" s="16"/>
      <c r="AN286" s="16" t="s">
        <v>340</v>
      </c>
      <c r="AO286" s="16" t="s">
        <v>335</v>
      </c>
      <c r="AP286" s="16" t="s">
        <v>340</v>
      </c>
      <c r="AQ286" s="16"/>
      <c r="AR286" s="21" t="n">
        <f aca="false">IF(AND(T286&lt;&gt;"",H286&lt;&gt;""),IF(AND((T286-H286)*86400&gt;=0,(T286-H286)*86400&lt;تنظیمات!$B$13),1,0),0)</f>
        <v>0</v>
      </c>
      <c r="AS286" s="21" t="n">
        <f aca="false">IF(Z286="پوز",IF(OR(AB286="",COUNTIF(پوزها!$A$2:$A$5,AA286)=0),1,0),0)</f>
        <v>0</v>
      </c>
      <c r="AT286" s="21" t="n">
        <f aca="false">IF(AI286="",0,IF(AI286&gt;0,1,0))</f>
        <v>0</v>
      </c>
      <c r="AU286" s="21" t="n">
        <f aca="false">IF(AI286="",0,IF(AI286&lt;0,1,0))</f>
        <v>0</v>
      </c>
      <c r="AV286" s="21" t="n">
        <f aca="false">IF(U286&gt;V286,1,0)</f>
        <v>0</v>
      </c>
      <c r="AW286" s="21" t="n">
        <f aca="false">IF(OR(W286&gt;تنظیمات!$B$8,X286="بله"),1,0)</f>
        <v>0</v>
      </c>
      <c r="AX286" s="21" t="n">
        <f aca="false">IF(AND(N286="بله",L286&gt;تنظیمات!$B$9),1,0)</f>
        <v>0</v>
      </c>
      <c r="AY286" s="21" t="n">
        <f aca="false">IF(Y286="معکوس",1,0)</f>
        <v>0</v>
      </c>
      <c r="AZ286" s="21" t="n">
        <f aca="false">IF(ABS(AJ286)&gt;تنظیمات!$B$10,1,0)</f>
        <v>0</v>
      </c>
      <c r="BA286" s="21" t="n">
        <f aca="false">IF(AND(OR(AD286="رایگان/VIP",AD286="جانباز"),AF286="خیر"),1,0)</f>
        <v>0</v>
      </c>
      <c r="BB286" s="21" t="n">
        <f aca="false">IF(AE286="",0,IF(COUNTIF($AE$2:$AE$1001,AE286)&gt;1,1,0))</f>
        <v>0</v>
      </c>
      <c r="BC286" s="21" t="n">
        <f aca="false">IF(AND(H286="",I286&gt;تنظیمات!$B$12*60,AM286="خالی"),1,0)</f>
        <v>0</v>
      </c>
      <c r="BD286" s="21" t="n">
        <f aca="false">IF(AND(AP286="بله",I286&lt;تنظیمات!$B$14,AO286="خیر"),1,0)</f>
        <v>1</v>
      </c>
      <c r="BE286" s="21" t="n">
        <f aca="false">IF(AN286="خیر",1,0)</f>
        <v>0</v>
      </c>
      <c r="BF286" s="21" t="n">
        <f aca="false">IF(AND(AD286="فیش مفقودی",AQ286="بله",I286&gt;تنظیمات!$B$12*60),1,0)</f>
        <v>0</v>
      </c>
      <c r="BG286" s="21" t="n">
        <f aca="false">IF(AND(AK286&gt;تنظیمات!$B$11,AL286="بله"),1,0)</f>
        <v>0</v>
      </c>
      <c r="BH286" s="21" t="n">
        <f aca="false">MIN(100,AR286*تنظیمات!$B$21+AS286*تنظیمات!$B$22+AT286*تنظیمات!$B$23+AU286*تنظیمات!$B$24+AV286*تنظیمات!$B$25+AW286*تنظیمات!$B$26+AX286*تنظیمات!$B$27+AY286*تنظیمات!$B$28+AZ286*تنظیمات!$B$29+BA286*تنظیمات!$B$30+BB286*تنظیمات!$B$31+BC286*تنظیمات!$B$32+BD286*تنظیمات!$B$33+BE286*تنظیمات!$B$34+BF286*تنظیمات!$B$35+BG286*تنظیمات!$B$36)</f>
        <v>40</v>
      </c>
      <c r="BI286" s="16" t="str">
        <f aca="false">IF(BH286&gt;=60,"بحرانی",IF(BH286&gt;=30,"مشکوک",IF(BH286&gt;0,"هشدار","عادی")))</f>
        <v>مشکوک</v>
      </c>
      <c r="BJ286" s="16" t="s">
        <v>1329</v>
      </c>
    </row>
    <row r="287" customFormat="false" ht="15" hidden="false" customHeight="false" outlineLevel="0" collapsed="false">
      <c r="A287" s="16" t="s">
        <v>1330</v>
      </c>
      <c r="B287" s="16" t="s">
        <v>417</v>
      </c>
      <c r="C287" s="16"/>
      <c r="D287" s="16" t="s">
        <v>418</v>
      </c>
      <c r="E287" s="16" t="s">
        <v>351</v>
      </c>
      <c r="F287" s="16" t="s">
        <v>333</v>
      </c>
      <c r="G287" s="17" t="n">
        <v>46284.8693171296</v>
      </c>
      <c r="H287" s="17" t="n">
        <v>46284.8700115741</v>
      </c>
      <c r="I287" s="18" t="n">
        <f aca="false">IF(H287="",ROUND((تنظیمات!$B$7-G287)*1440,0),ROUND((H287-G287)*1440,0))</f>
        <v>1</v>
      </c>
      <c r="J287" s="16" t="s">
        <v>346</v>
      </c>
      <c r="K287" s="16" t="s">
        <v>410</v>
      </c>
      <c r="L287" s="19" t="n">
        <v>0.949</v>
      </c>
      <c r="M287" s="19" t="n">
        <v>0.948</v>
      </c>
      <c r="N287" s="16" t="s">
        <v>335</v>
      </c>
      <c r="O287" s="16" t="s">
        <v>401</v>
      </c>
      <c r="P287" s="16" t="s">
        <v>420</v>
      </c>
      <c r="Q287" s="20" t="n">
        <v>46284</v>
      </c>
      <c r="R287" s="16" t="s">
        <v>1331</v>
      </c>
      <c r="S287" s="16" t="s">
        <v>404</v>
      </c>
      <c r="T287" s="17"/>
      <c r="U287" s="21" t="n">
        <v>1</v>
      </c>
      <c r="V287" s="21" t="n">
        <v>1</v>
      </c>
      <c r="W287" s="22" t="n">
        <v>3.4</v>
      </c>
      <c r="X287" s="16" t="s">
        <v>335</v>
      </c>
      <c r="Y287" s="16" t="s">
        <v>338</v>
      </c>
      <c r="Z287" s="16" t="s">
        <v>628</v>
      </c>
      <c r="AA287" s="16"/>
      <c r="AB287" s="23"/>
      <c r="AC287" s="17"/>
      <c r="AD287" s="16" t="s">
        <v>338</v>
      </c>
      <c r="AE287" s="16"/>
      <c r="AF287" s="16" t="str">
        <f aca="false">IF(COUNTIF(لیست_سفید!$A$2:$A$21,B287)&gt;0,"بله","خیر")</f>
        <v>خیر</v>
      </c>
      <c r="AG287" s="24" t="n">
        <f aca="false">IF(H287="","",IF(AD287="فیش مفقودی",تنظیمات!$B$6,(INT(I287/1440)*تنظیمات!$B$5+IF(MOD(I287,1440)&lt;=تنظیمات!$B$2,0,MIN(تنظیمات!$B$5,تنظیمات!$B$3+MAX(0,ROUNDUP((MOD(I287,1440)-60)/60,0))*تنظیمات!$B$4)))*INDEX(تعرفه!$B$2:$B$7,MATCH(AD287,تعرفه!$A$2:$A$7,0))))</f>
        <v>0</v>
      </c>
      <c r="AH287" s="24" t="n">
        <v>0</v>
      </c>
      <c r="AI287" s="24" t="n">
        <f aca="false">IF(AG287="","",AH287-AG287)</f>
        <v>0</v>
      </c>
      <c r="AJ287" s="21" t="n">
        <v>-3</v>
      </c>
      <c r="AK287" s="21" t="n">
        <v>0</v>
      </c>
      <c r="AL287" s="16" t="s">
        <v>335</v>
      </c>
      <c r="AM287" s="16"/>
      <c r="AN287" s="16" t="s">
        <v>335</v>
      </c>
      <c r="AO287" s="16" t="s">
        <v>335</v>
      </c>
      <c r="AP287" s="16" t="s">
        <v>335</v>
      </c>
      <c r="AQ287" s="16"/>
      <c r="AR287" s="21" t="n">
        <f aca="false">IF(AND(T287&lt;&gt;"",H287&lt;&gt;""),IF(AND((T287-H287)*86400&gt;=0,(T287-H287)*86400&lt;تنظیمات!$B$13),1,0),0)</f>
        <v>0</v>
      </c>
      <c r="AS287" s="21" t="n">
        <f aca="false">IF(Z287="پوز",IF(OR(AB287="",COUNTIF(پوزها!$A$2:$A$5,AA287)=0),1,0),0)</f>
        <v>0</v>
      </c>
      <c r="AT287" s="21" t="n">
        <f aca="false">IF(AI287="",0,IF(AI287&gt;0,1,0))</f>
        <v>0</v>
      </c>
      <c r="AU287" s="21" t="n">
        <f aca="false">IF(AI287="",0,IF(AI287&lt;0,1,0))</f>
        <v>0</v>
      </c>
      <c r="AV287" s="21" t="n">
        <f aca="false">IF(U287&gt;V287,1,0)</f>
        <v>0</v>
      </c>
      <c r="AW287" s="21" t="n">
        <f aca="false">IF(OR(W287&gt;تنظیمات!$B$8,X287="بله"),1,0)</f>
        <v>0</v>
      </c>
      <c r="AX287" s="21" t="n">
        <f aca="false">IF(AND(N287="بله",L287&gt;تنظیمات!$B$9),1,0)</f>
        <v>0</v>
      </c>
      <c r="AY287" s="21" t="n">
        <f aca="false">IF(Y287="معکوس",1,0)</f>
        <v>0</v>
      </c>
      <c r="AZ287" s="21" t="n">
        <f aca="false">IF(ABS(AJ287)&gt;تنظیمات!$B$10,1,0)</f>
        <v>0</v>
      </c>
      <c r="BA287" s="21" t="n">
        <f aca="false">IF(AND(OR(AD287="رایگان/VIP",AD287="جانباز"),AF287="خیر"),1,0)</f>
        <v>0</v>
      </c>
      <c r="BB287" s="21" t="n">
        <f aca="false">IF(AE287="",0,IF(COUNTIF($AE$2:$AE$1001,AE287)&gt;1,1,0))</f>
        <v>0</v>
      </c>
      <c r="BC287" s="21" t="n">
        <f aca="false">IF(AND(H287="",I287&gt;تنظیمات!$B$12*60,AM287="خالی"),1,0)</f>
        <v>0</v>
      </c>
      <c r="BD287" s="21" t="n">
        <f aca="false">IF(AND(AP287="بله",I287&lt;تنظیمات!$B$14,AO287="خیر"),1,0)</f>
        <v>0</v>
      </c>
      <c r="BE287" s="21" t="n">
        <f aca="false">IF(AN287="خیر",1,0)</f>
        <v>1</v>
      </c>
      <c r="BF287" s="21" t="n">
        <f aca="false">IF(AND(AD287="فیش مفقودی",AQ287="بله",I287&gt;تنظیمات!$B$12*60),1,0)</f>
        <v>0</v>
      </c>
      <c r="BG287" s="21" t="n">
        <f aca="false">IF(AND(AK287&gt;تنظیمات!$B$11,AL287="بله"),1,0)</f>
        <v>0</v>
      </c>
      <c r="BH287" s="21" t="n">
        <f aca="false">MIN(100,AR287*تنظیمات!$B$21+AS287*تنظیمات!$B$22+AT287*تنظیمات!$B$23+AU287*تنظیمات!$B$24+AV287*تنظیمات!$B$25+AW287*تنظیمات!$B$26+AX287*تنظیمات!$B$27+AY287*تنظیمات!$B$28+AZ287*تنظیمات!$B$29+BA287*تنظیمات!$B$30+BB287*تنظیمات!$B$31+BC287*تنظیمات!$B$32+BD287*تنظیمات!$B$33+BE287*تنظیمات!$B$34+BF287*تنظیمات!$B$35+BG287*تنظیمات!$B$36)</f>
        <v>30</v>
      </c>
      <c r="BI287" s="16" t="str">
        <f aca="false">IF(BH287&gt;=60,"بحرانی",IF(BH287&gt;=30,"مشکوک",IF(BH287&gt;0,"هشدار","عادی")))</f>
        <v>مشکوک</v>
      </c>
      <c r="BJ287" s="16" t="s">
        <v>648</v>
      </c>
    </row>
    <row r="288" customFormat="false" ht="15" hidden="false" customHeight="false" outlineLevel="0" collapsed="false">
      <c r="A288" s="16" t="s">
        <v>1332</v>
      </c>
      <c r="B288" s="16" t="s">
        <v>1333</v>
      </c>
      <c r="C288" s="16"/>
      <c r="D288" s="16" t="s">
        <v>382</v>
      </c>
      <c r="E288" s="16" t="s">
        <v>390</v>
      </c>
      <c r="F288" s="16" t="s">
        <v>333</v>
      </c>
      <c r="G288" s="17" t="n">
        <v>46284.8803935185</v>
      </c>
      <c r="H288" s="17" t="n">
        <v>46284.9519212963</v>
      </c>
      <c r="I288" s="18" t="n">
        <f aca="false">IF(H288="",ROUND((تنظیمات!$B$7-G288)*1440,0),ROUND((H288-G288)*1440,0))</f>
        <v>103</v>
      </c>
      <c r="J288" s="16" t="s">
        <v>334</v>
      </c>
      <c r="K288" s="16" t="s">
        <v>400</v>
      </c>
      <c r="L288" s="19" t="n">
        <v>0.986</v>
      </c>
      <c r="M288" s="19" t="n">
        <v>0.968</v>
      </c>
      <c r="N288" s="16" t="s">
        <v>335</v>
      </c>
      <c r="O288" s="16" t="s">
        <v>419</v>
      </c>
      <c r="P288" s="16" t="s">
        <v>651</v>
      </c>
      <c r="Q288" s="20" t="n">
        <v>46284</v>
      </c>
      <c r="R288" s="16" t="s">
        <v>1334</v>
      </c>
      <c r="S288" s="16" t="s">
        <v>404</v>
      </c>
      <c r="T288" s="17"/>
      <c r="U288" s="21" t="n">
        <v>1</v>
      </c>
      <c r="V288" s="21" t="n">
        <v>1</v>
      </c>
      <c r="W288" s="22" t="n">
        <v>4.6</v>
      </c>
      <c r="X288" s="16" t="s">
        <v>335</v>
      </c>
      <c r="Y288" s="16" t="s">
        <v>338</v>
      </c>
      <c r="Z288" s="16" t="s">
        <v>413</v>
      </c>
      <c r="AA288" s="16" t="s">
        <v>427</v>
      </c>
      <c r="AB288" s="23" t="s">
        <v>1335</v>
      </c>
      <c r="AC288" s="17" t="n">
        <v>46284.9508796296</v>
      </c>
      <c r="AD288" s="16" t="s">
        <v>338</v>
      </c>
      <c r="AE288" s="16"/>
      <c r="AF288" s="16" t="str">
        <f aca="false">IF(COUNTIF(لیست_سفید!$A$2:$A$21,B288)&gt;0,"بله","خیر")</f>
        <v>خیر</v>
      </c>
      <c r="AG288" s="24" t="n">
        <f aca="false">IF(H288="","",IF(AD288="فیش مفقودی",تنظیمات!$B$6,(INT(I288/1440)*تنظیمات!$B$5+IF(MOD(I288,1440)&lt;=تنظیمات!$B$2,0,MIN(تنظیمات!$B$5,تنظیمات!$B$3+MAX(0,ROUNDUP((MOD(I288,1440)-60)/60,0))*تنظیمات!$B$4)))*INDEX(تعرفه!$B$2:$B$7,MATCH(AD288,تعرفه!$A$2:$A$7,0))))</f>
        <v>34000</v>
      </c>
      <c r="AH288" s="24" t="n">
        <v>34000</v>
      </c>
      <c r="AI288" s="24" t="n">
        <f aca="false">IF(AG288="","",AH288-AG288)</f>
        <v>0</v>
      </c>
      <c r="AJ288" s="21" t="n">
        <v>2</v>
      </c>
      <c r="AK288" s="21" t="n">
        <v>0</v>
      </c>
      <c r="AL288" s="16" t="s">
        <v>335</v>
      </c>
      <c r="AM288" s="16"/>
      <c r="AN288" s="16" t="s">
        <v>340</v>
      </c>
      <c r="AO288" s="16" t="s">
        <v>340</v>
      </c>
      <c r="AP288" s="16" t="s">
        <v>335</v>
      </c>
      <c r="AQ288" s="16"/>
      <c r="AR288" s="21" t="n">
        <f aca="false">IF(AND(T288&lt;&gt;"",H288&lt;&gt;""),IF(AND((T288-H288)*86400&gt;=0,(T288-H288)*86400&lt;تنظیمات!$B$13),1,0),0)</f>
        <v>0</v>
      </c>
      <c r="AS288" s="21" t="n">
        <f aca="false">IF(Z288="پوز",IF(OR(AB288="",COUNTIF(پوزها!$A$2:$A$5,AA288)=0),1,0),0)</f>
        <v>0</v>
      </c>
      <c r="AT288" s="21" t="n">
        <f aca="false">IF(AI288="",0,IF(AI288&gt;0,1,0))</f>
        <v>0</v>
      </c>
      <c r="AU288" s="21" t="n">
        <f aca="false">IF(AI288="",0,IF(AI288&lt;0,1,0))</f>
        <v>0</v>
      </c>
      <c r="AV288" s="21" t="n">
        <f aca="false">IF(U288&gt;V288,1,0)</f>
        <v>0</v>
      </c>
      <c r="AW288" s="21" t="n">
        <f aca="false">IF(OR(W288&gt;تنظیمات!$B$8,X288="بله"),1,0)</f>
        <v>0</v>
      </c>
      <c r="AX288" s="21" t="n">
        <f aca="false">IF(AND(N288="بله",L288&gt;تنظیمات!$B$9),1,0)</f>
        <v>0</v>
      </c>
      <c r="AY288" s="21" t="n">
        <f aca="false">IF(Y288="معکوس",1,0)</f>
        <v>0</v>
      </c>
      <c r="AZ288" s="21" t="n">
        <f aca="false">IF(ABS(AJ288)&gt;تنظیمات!$B$10,1,0)</f>
        <v>0</v>
      </c>
      <c r="BA288" s="21" t="n">
        <f aca="false">IF(AND(OR(AD288="رایگان/VIP",AD288="جانباز"),AF288="خیر"),1,0)</f>
        <v>0</v>
      </c>
      <c r="BB288" s="21" t="n">
        <f aca="false">IF(AE288="",0,IF(COUNTIF($AE$2:$AE$1001,AE288)&gt;1,1,0))</f>
        <v>0</v>
      </c>
      <c r="BC288" s="21" t="n">
        <f aca="false">IF(AND(H288="",I288&gt;تنظیمات!$B$12*60,AM288="خالی"),1,0)</f>
        <v>0</v>
      </c>
      <c r="BD288" s="21" t="n">
        <f aca="false">IF(AND(AP288="بله",I288&lt;تنظیمات!$B$14,AO288="خیر"),1,0)</f>
        <v>0</v>
      </c>
      <c r="BE288" s="21" t="n">
        <f aca="false">IF(AN288="خیر",1,0)</f>
        <v>0</v>
      </c>
      <c r="BF288" s="21" t="n">
        <f aca="false">IF(AND(AD288="فیش مفقودی",AQ288="بله",I288&gt;تنظیمات!$B$12*60),1,0)</f>
        <v>0</v>
      </c>
      <c r="BG288" s="21" t="n">
        <f aca="false">IF(AND(AK288&gt;تنظیمات!$B$11,AL288="بله"),1,0)</f>
        <v>0</v>
      </c>
      <c r="BH288" s="21" t="n">
        <f aca="false">MIN(100,AR288*تنظیمات!$B$21+AS288*تنظیمات!$B$22+AT288*تنظیمات!$B$23+AU288*تنظیمات!$B$24+AV288*تنظیمات!$B$25+AW288*تنظیمات!$B$26+AX288*تنظیمات!$B$27+AY288*تنظیمات!$B$28+AZ288*تنظیمات!$B$29+BA288*تنظیمات!$B$30+BB288*تنظیمات!$B$31+BC288*تنظیمات!$B$32+BD288*تنظیمات!$B$33+BE288*تنظیمات!$B$34+BF288*تنظیمات!$B$35+BG288*تنظیمات!$B$36)</f>
        <v>0</v>
      </c>
      <c r="BI288" s="16" t="str">
        <f aca="false">IF(BH288&gt;=60,"بحرانی",IF(BH288&gt;=30,"مشکوک",IF(BH288&gt;0,"هشدار","عادی")))</f>
        <v>عادی</v>
      </c>
      <c r="BJ288" s="16" t="s">
        <v>338</v>
      </c>
    </row>
    <row r="289" customFormat="false" ht="15" hidden="false" customHeight="false" outlineLevel="0" collapsed="false">
      <c r="A289" s="16" t="s">
        <v>1336</v>
      </c>
      <c r="B289" s="16" t="s">
        <v>1337</v>
      </c>
      <c r="C289" s="16"/>
      <c r="D289" s="16" t="s">
        <v>350</v>
      </c>
      <c r="E289" s="16" t="s">
        <v>363</v>
      </c>
      <c r="F289" s="16" t="s">
        <v>333</v>
      </c>
      <c r="G289" s="17" t="n">
        <v>46284.882037037</v>
      </c>
      <c r="H289" s="17" t="n">
        <v>46285.4771759259</v>
      </c>
      <c r="I289" s="18" t="n">
        <f aca="false">IF(H289="",ROUND((تنظیمات!$B$7-G289)*1440,0),ROUND((H289-G289)*1440,0))</f>
        <v>857</v>
      </c>
      <c r="J289" s="16" t="s">
        <v>346</v>
      </c>
      <c r="K289" s="16" t="s">
        <v>400</v>
      </c>
      <c r="L289" s="19" t="n">
        <v>0.95</v>
      </c>
      <c r="M289" s="19" t="n">
        <v>0.933</v>
      </c>
      <c r="N289" s="16" t="s">
        <v>335</v>
      </c>
      <c r="O289" s="16" t="s">
        <v>650</v>
      </c>
      <c r="P289" s="16" t="s">
        <v>402</v>
      </c>
      <c r="Q289" s="20" t="n">
        <v>46285</v>
      </c>
      <c r="R289" s="16" t="s">
        <v>1338</v>
      </c>
      <c r="S289" s="16" t="s">
        <v>404</v>
      </c>
      <c r="T289" s="17"/>
      <c r="U289" s="21" t="n">
        <v>1</v>
      </c>
      <c r="V289" s="21" t="n">
        <v>1</v>
      </c>
      <c r="W289" s="22" t="n">
        <v>3.6</v>
      </c>
      <c r="X289" s="16" t="s">
        <v>335</v>
      </c>
      <c r="Y289" s="16" t="s">
        <v>338</v>
      </c>
      <c r="Z289" s="16" t="s">
        <v>413</v>
      </c>
      <c r="AA289" s="16" t="s">
        <v>427</v>
      </c>
      <c r="AB289" s="23" t="s">
        <v>1339</v>
      </c>
      <c r="AC289" s="17" t="n">
        <v>46285.4764467593</v>
      </c>
      <c r="AD289" s="16" t="s">
        <v>338</v>
      </c>
      <c r="AE289" s="16"/>
      <c r="AF289" s="16" t="str">
        <f aca="false">IF(COUNTIF(لیست_سفید!$A$2:$A$21,B289)&gt;0,"بله","خیر")</f>
        <v>خیر</v>
      </c>
      <c r="AG289" s="24" t="n">
        <f aca="false">IF(H289="","",IF(AD289="فیش مفقودی",تنظیمات!$B$6,(INT(I289/1440)*تنظیمات!$B$5+IF(MOD(I289,1440)&lt;=تنظیمات!$B$2,0,MIN(تنظیمات!$B$5,تنظیمات!$B$3+MAX(0,ROUNDUP((MOD(I289,1440)-60)/60,0))*تنظیمات!$B$4)))*INDEX(تعرفه!$B$2:$B$7,MATCH(AD289,تعرفه!$A$2:$A$7,0))))</f>
        <v>180000</v>
      </c>
      <c r="AH289" s="24" t="n">
        <v>180000</v>
      </c>
      <c r="AI289" s="24" t="n">
        <f aca="false">IF(AG289="","",AH289-AG289)</f>
        <v>0</v>
      </c>
      <c r="AJ289" s="21" t="n">
        <v>1</v>
      </c>
      <c r="AK289" s="21" t="n">
        <v>0</v>
      </c>
      <c r="AL289" s="16" t="s">
        <v>335</v>
      </c>
      <c r="AM289" s="16"/>
      <c r="AN289" s="16" t="s">
        <v>340</v>
      </c>
      <c r="AO289" s="16" t="s">
        <v>340</v>
      </c>
      <c r="AP289" s="16" t="s">
        <v>335</v>
      </c>
      <c r="AQ289" s="16"/>
      <c r="AR289" s="21" t="n">
        <f aca="false">IF(AND(T289&lt;&gt;"",H289&lt;&gt;""),IF(AND((T289-H289)*86400&gt;=0,(T289-H289)*86400&lt;تنظیمات!$B$13),1,0),0)</f>
        <v>0</v>
      </c>
      <c r="AS289" s="21" t="n">
        <f aca="false">IF(Z289="پوز",IF(OR(AB289="",COUNTIF(پوزها!$A$2:$A$5,AA289)=0),1,0),0)</f>
        <v>0</v>
      </c>
      <c r="AT289" s="21" t="n">
        <f aca="false">IF(AI289="",0,IF(AI289&gt;0,1,0))</f>
        <v>0</v>
      </c>
      <c r="AU289" s="21" t="n">
        <f aca="false">IF(AI289="",0,IF(AI289&lt;0,1,0))</f>
        <v>0</v>
      </c>
      <c r="AV289" s="21" t="n">
        <f aca="false">IF(U289&gt;V289,1,0)</f>
        <v>0</v>
      </c>
      <c r="AW289" s="21" t="n">
        <f aca="false">IF(OR(W289&gt;تنظیمات!$B$8,X289="بله"),1,0)</f>
        <v>0</v>
      </c>
      <c r="AX289" s="21" t="n">
        <f aca="false">IF(AND(N289="بله",L289&gt;تنظیمات!$B$9),1,0)</f>
        <v>0</v>
      </c>
      <c r="AY289" s="21" t="n">
        <f aca="false">IF(Y289="معکوس",1,0)</f>
        <v>0</v>
      </c>
      <c r="AZ289" s="21" t="n">
        <f aca="false">IF(ABS(AJ289)&gt;تنظیمات!$B$10,1,0)</f>
        <v>0</v>
      </c>
      <c r="BA289" s="21" t="n">
        <f aca="false">IF(AND(OR(AD289="رایگان/VIP",AD289="جانباز"),AF289="خیر"),1,0)</f>
        <v>0</v>
      </c>
      <c r="BB289" s="21" t="n">
        <f aca="false">IF(AE289="",0,IF(COUNTIF($AE$2:$AE$1001,AE289)&gt;1,1,0))</f>
        <v>0</v>
      </c>
      <c r="BC289" s="21" t="n">
        <f aca="false">IF(AND(H289="",I289&gt;تنظیمات!$B$12*60,AM289="خالی"),1,0)</f>
        <v>0</v>
      </c>
      <c r="BD289" s="21" t="n">
        <f aca="false">IF(AND(AP289="بله",I289&lt;تنظیمات!$B$14,AO289="خیر"),1,0)</f>
        <v>0</v>
      </c>
      <c r="BE289" s="21" t="n">
        <f aca="false">IF(AN289="خیر",1,0)</f>
        <v>0</v>
      </c>
      <c r="BF289" s="21" t="n">
        <f aca="false">IF(AND(AD289="فیش مفقودی",AQ289="بله",I289&gt;تنظیمات!$B$12*60),1,0)</f>
        <v>0</v>
      </c>
      <c r="BG289" s="21" t="n">
        <f aca="false">IF(AND(AK289&gt;تنظیمات!$B$11,AL289="بله"),1,0)</f>
        <v>0</v>
      </c>
      <c r="BH289" s="21" t="n">
        <f aca="false">MIN(100,AR289*تنظیمات!$B$21+AS289*تنظیمات!$B$22+AT289*تنظیمات!$B$23+AU289*تنظیمات!$B$24+AV289*تنظیمات!$B$25+AW289*تنظیمات!$B$26+AX289*تنظیمات!$B$27+AY289*تنظیمات!$B$28+AZ289*تنظیمات!$B$29+BA289*تنظیمات!$B$30+BB289*تنظیمات!$B$31+BC289*تنظیمات!$B$32+BD289*تنظیمات!$B$33+BE289*تنظیمات!$B$34+BF289*تنظیمات!$B$35+BG289*تنظیمات!$B$36)</f>
        <v>0</v>
      </c>
      <c r="BI289" s="16" t="str">
        <f aca="false">IF(BH289&gt;=60,"بحرانی",IF(BH289&gt;=30,"مشکوک",IF(BH289&gt;0,"هشدار","عادی")))</f>
        <v>عادی</v>
      </c>
      <c r="BJ289" s="16" t="s">
        <v>338</v>
      </c>
    </row>
    <row r="290" customFormat="false" ht="15" hidden="false" customHeight="false" outlineLevel="0" collapsed="false">
      <c r="A290" s="16" t="s">
        <v>1340</v>
      </c>
      <c r="B290" s="16" t="s">
        <v>970</v>
      </c>
      <c r="C290" s="16"/>
      <c r="D290" s="16" t="s">
        <v>344</v>
      </c>
      <c r="E290" s="16" t="s">
        <v>375</v>
      </c>
      <c r="F290" s="16" t="s">
        <v>333</v>
      </c>
      <c r="G290" s="17" t="n">
        <v>46285.0318981482</v>
      </c>
      <c r="H290" s="17" t="n">
        <v>46285.2784259259</v>
      </c>
      <c r="I290" s="18" t="n">
        <f aca="false">IF(H290="",ROUND((تنظیمات!$B$7-G290)*1440,0),ROUND((H290-G290)*1440,0))</f>
        <v>355</v>
      </c>
      <c r="J290" s="16" t="s">
        <v>334</v>
      </c>
      <c r="K290" s="16" t="s">
        <v>410</v>
      </c>
      <c r="L290" s="19" t="n">
        <v>0.911</v>
      </c>
      <c r="M290" s="19" t="n">
        <v>0.93</v>
      </c>
      <c r="N290" s="16" t="s">
        <v>335</v>
      </c>
      <c r="O290" s="16" t="s">
        <v>666</v>
      </c>
      <c r="P290" s="16" t="s">
        <v>402</v>
      </c>
      <c r="Q290" s="20" t="n">
        <v>46285</v>
      </c>
      <c r="R290" s="16" t="s">
        <v>1341</v>
      </c>
      <c r="S290" s="16" t="s">
        <v>404</v>
      </c>
      <c r="T290" s="17"/>
      <c r="U290" s="21" t="n">
        <v>1</v>
      </c>
      <c r="V290" s="21" t="n">
        <v>1</v>
      </c>
      <c r="W290" s="22" t="n">
        <v>42.9</v>
      </c>
      <c r="X290" s="16" t="s">
        <v>340</v>
      </c>
      <c r="Y290" s="16" t="s">
        <v>338</v>
      </c>
      <c r="Z290" s="16" t="s">
        <v>405</v>
      </c>
      <c r="AA290" s="16"/>
      <c r="AB290" s="23"/>
      <c r="AC290" s="17"/>
      <c r="AD290" s="16" t="s">
        <v>338</v>
      </c>
      <c r="AE290" s="16"/>
      <c r="AF290" s="16" t="str">
        <f aca="false">IF(COUNTIF(لیست_سفید!$A$2:$A$21,B290)&gt;0,"بله","خیر")</f>
        <v>خیر</v>
      </c>
      <c r="AG290" s="24" t="n">
        <f aca="false">IF(H290="","",IF(AD290="فیش مفقودی",تنظیمات!$B$6,(INT(I290/1440)*تنظیمات!$B$5+IF(MOD(I290,1440)&lt;=تنظیمات!$B$2,0,MIN(تنظیمات!$B$5,تنظیمات!$B$3+MAX(0,ROUNDUP((MOD(I290,1440)-60)/60,0))*تنظیمات!$B$4)))*INDEX(تعرفه!$B$2:$B$7,MATCH(AD290,تعرفه!$A$2:$A$7,0))))</f>
        <v>90000</v>
      </c>
      <c r="AH290" s="24" t="n">
        <v>90000</v>
      </c>
      <c r="AI290" s="24" t="n">
        <f aca="false">IF(AG290="","",AH290-AG290)</f>
        <v>0</v>
      </c>
      <c r="AJ290" s="21" t="n">
        <v>-2</v>
      </c>
      <c r="AK290" s="21" t="n">
        <v>0</v>
      </c>
      <c r="AL290" s="16" t="s">
        <v>335</v>
      </c>
      <c r="AM290" s="16"/>
      <c r="AN290" s="16" t="s">
        <v>340</v>
      </c>
      <c r="AO290" s="16" t="s">
        <v>340</v>
      </c>
      <c r="AP290" s="16" t="s">
        <v>335</v>
      </c>
      <c r="AQ290" s="16"/>
      <c r="AR290" s="21" t="n">
        <f aca="false">IF(AND(T290&lt;&gt;"",H290&lt;&gt;""),IF(AND((T290-H290)*86400&gt;=0,(T290-H290)*86400&lt;تنظیمات!$B$13),1,0),0)</f>
        <v>0</v>
      </c>
      <c r="AS290" s="21" t="n">
        <f aca="false">IF(Z290="پوز",IF(OR(AB290="",COUNTIF(پوزها!$A$2:$A$5,AA290)=0),1,0),0)</f>
        <v>0</v>
      </c>
      <c r="AT290" s="21" t="n">
        <f aca="false">IF(AI290="",0,IF(AI290&gt;0,1,0))</f>
        <v>0</v>
      </c>
      <c r="AU290" s="21" t="n">
        <f aca="false">IF(AI290="",0,IF(AI290&lt;0,1,0))</f>
        <v>0</v>
      </c>
      <c r="AV290" s="21" t="n">
        <f aca="false">IF(U290&gt;V290,1,0)</f>
        <v>0</v>
      </c>
      <c r="AW290" s="21" t="n">
        <f aca="false">IF(OR(W290&gt;تنظیمات!$B$8,X290="بله"),1,0)</f>
        <v>1</v>
      </c>
      <c r="AX290" s="21" t="n">
        <f aca="false">IF(AND(N290="بله",L290&gt;تنظیمات!$B$9),1,0)</f>
        <v>0</v>
      </c>
      <c r="AY290" s="21" t="n">
        <f aca="false">IF(Y290="معکوس",1,0)</f>
        <v>0</v>
      </c>
      <c r="AZ290" s="21" t="n">
        <f aca="false">IF(ABS(AJ290)&gt;تنظیمات!$B$10,1,0)</f>
        <v>0</v>
      </c>
      <c r="BA290" s="21" t="n">
        <f aca="false">IF(AND(OR(AD290="رایگان/VIP",AD290="جانباز"),AF290="خیر"),1,0)</f>
        <v>0</v>
      </c>
      <c r="BB290" s="21" t="n">
        <f aca="false">IF(AE290="",0,IF(COUNTIF($AE$2:$AE$1001,AE290)&gt;1,1,0))</f>
        <v>0</v>
      </c>
      <c r="BC290" s="21" t="n">
        <f aca="false">IF(AND(H290="",I290&gt;تنظیمات!$B$12*60,AM290="خالی"),1,0)</f>
        <v>0</v>
      </c>
      <c r="BD290" s="21" t="n">
        <f aca="false">IF(AND(AP290="بله",I290&lt;تنظیمات!$B$14,AO290="خیر"),1,0)</f>
        <v>0</v>
      </c>
      <c r="BE290" s="21" t="n">
        <f aca="false">IF(AN290="خیر",1,0)</f>
        <v>0</v>
      </c>
      <c r="BF290" s="21" t="n">
        <f aca="false">IF(AND(AD290="فیش مفقودی",AQ290="بله",I290&gt;تنظیمات!$B$12*60),1,0)</f>
        <v>0</v>
      </c>
      <c r="BG290" s="21" t="n">
        <f aca="false">IF(AND(AK290&gt;تنظیمات!$B$11,AL290="بله"),1,0)</f>
        <v>0</v>
      </c>
      <c r="BH290" s="21" t="n">
        <f aca="false">MIN(100,AR290*تنظیمات!$B$21+AS290*تنظیمات!$B$22+AT290*تنظیمات!$B$23+AU290*تنظیمات!$B$24+AV290*تنظیمات!$B$25+AW290*تنظیمات!$B$26+AX290*تنظیمات!$B$27+AY290*تنظیمات!$B$28+AZ290*تنظیمات!$B$29+BA290*تنظیمات!$B$30+BB290*تنظیمات!$B$31+BC290*تنظیمات!$B$32+BD290*تنظیمات!$B$33+BE290*تنظیمات!$B$34+BF290*تنظیمات!$B$35+BG290*تنظیمات!$B$36)</f>
        <v>25</v>
      </c>
      <c r="BI290" s="16" t="str">
        <f aca="false">IF(BH290&gt;=60,"بحرانی",IF(BH290&gt;=30,"مشکوک",IF(BH290&gt;0,"هشدار","عادی")))</f>
        <v>هشدار</v>
      </c>
      <c r="BJ290" s="16" t="s">
        <v>211</v>
      </c>
    </row>
    <row r="291" customFormat="false" ht="15" hidden="false" customHeight="false" outlineLevel="0" collapsed="false">
      <c r="A291" s="16" t="s">
        <v>1342</v>
      </c>
      <c r="B291" s="16" t="s">
        <v>631</v>
      </c>
      <c r="C291" s="16"/>
      <c r="D291" s="16" t="s">
        <v>431</v>
      </c>
      <c r="E291" s="16" t="s">
        <v>351</v>
      </c>
      <c r="F291" s="16" t="s">
        <v>333</v>
      </c>
      <c r="G291" s="17" t="n">
        <v>46285.0449884259</v>
      </c>
      <c r="H291" s="17" t="n">
        <v>46285.256099537</v>
      </c>
      <c r="I291" s="18" t="n">
        <f aca="false">IF(H291="",ROUND((تنظیمات!$B$7-G291)*1440,0),ROUND((H291-G291)*1440,0))</f>
        <v>304</v>
      </c>
      <c r="J291" s="16" t="s">
        <v>346</v>
      </c>
      <c r="K291" s="16" t="s">
        <v>410</v>
      </c>
      <c r="L291" s="19" t="n">
        <v>0.915</v>
      </c>
      <c r="M291" s="19" t="n">
        <v>0.926</v>
      </c>
      <c r="N291" s="16" t="s">
        <v>335</v>
      </c>
      <c r="O291" s="16" t="s">
        <v>666</v>
      </c>
      <c r="P291" s="16" t="s">
        <v>402</v>
      </c>
      <c r="Q291" s="20" t="n">
        <v>46285</v>
      </c>
      <c r="R291" s="16" t="s">
        <v>1343</v>
      </c>
      <c r="S291" s="16" t="s">
        <v>404</v>
      </c>
      <c r="T291" s="17"/>
      <c r="U291" s="21" t="n">
        <v>1</v>
      </c>
      <c r="V291" s="21" t="n">
        <v>1</v>
      </c>
      <c r="W291" s="22" t="n">
        <v>4.5</v>
      </c>
      <c r="X291" s="16" t="s">
        <v>335</v>
      </c>
      <c r="Y291" s="16" t="s">
        <v>338</v>
      </c>
      <c r="Z291" s="16" t="s">
        <v>405</v>
      </c>
      <c r="AA291" s="16"/>
      <c r="AB291" s="23"/>
      <c r="AC291" s="17"/>
      <c r="AD291" s="16" t="s">
        <v>338</v>
      </c>
      <c r="AE291" s="16"/>
      <c r="AF291" s="16" t="str">
        <f aca="false">IF(COUNTIF(لیست_سفید!$A$2:$A$21,B291)&gt;0,"بله","خیر")</f>
        <v>خیر</v>
      </c>
      <c r="AG291" s="24" t="n">
        <f aca="false">IF(H291="","",IF(AD291="فیش مفقودی",تنظیمات!$B$6,(INT(I291/1440)*تنظیمات!$B$5+IF(MOD(I291,1440)&lt;=تنظیمات!$B$2,0,MIN(تنظیمات!$B$5,تنظیمات!$B$3+MAX(0,ROUNDUP((MOD(I291,1440)-60)/60,0))*تنظیمات!$B$4)))*INDEX(تعرفه!$B$2:$B$7,MATCH(AD291,تعرفه!$A$2:$A$7,0))))</f>
        <v>90000</v>
      </c>
      <c r="AH291" s="24" t="n">
        <v>90000</v>
      </c>
      <c r="AI291" s="24" t="n">
        <f aca="false">IF(AG291="","",AH291-AG291)</f>
        <v>0</v>
      </c>
      <c r="AJ291" s="21" t="n">
        <v>-1</v>
      </c>
      <c r="AK291" s="21" t="n">
        <v>0</v>
      </c>
      <c r="AL291" s="16" t="s">
        <v>335</v>
      </c>
      <c r="AM291" s="16"/>
      <c r="AN291" s="16" t="s">
        <v>340</v>
      </c>
      <c r="AO291" s="16" t="s">
        <v>340</v>
      </c>
      <c r="AP291" s="16" t="s">
        <v>335</v>
      </c>
      <c r="AQ291" s="16"/>
      <c r="AR291" s="21" t="n">
        <f aca="false">IF(AND(T291&lt;&gt;"",H291&lt;&gt;""),IF(AND((T291-H291)*86400&gt;=0,(T291-H291)*86400&lt;تنظیمات!$B$13),1,0),0)</f>
        <v>0</v>
      </c>
      <c r="AS291" s="21" t="n">
        <f aca="false">IF(Z291="پوز",IF(OR(AB291="",COUNTIF(پوزها!$A$2:$A$5,AA291)=0),1,0),0)</f>
        <v>0</v>
      </c>
      <c r="AT291" s="21" t="n">
        <f aca="false">IF(AI291="",0,IF(AI291&gt;0,1,0))</f>
        <v>0</v>
      </c>
      <c r="AU291" s="21" t="n">
        <f aca="false">IF(AI291="",0,IF(AI291&lt;0,1,0))</f>
        <v>0</v>
      </c>
      <c r="AV291" s="21" t="n">
        <f aca="false">IF(U291&gt;V291,1,0)</f>
        <v>0</v>
      </c>
      <c r="AW291" s="21" t="n">
        <f aca="false">IF(OR(W291&gt;تنظیمات!$B$8,X291="بله"),1,0)</f>
        <v>0</v>
      </c>
      <c r="AX291" s="21" t="n">
        <f aca="false">IF(AND(N291="بله",L291&gt;تنظیمات!$B$9),1,0)</f>
        <v>0</v>
      </c>
      <c r="AY291" s="21" t="n">
        <f aca="false">IF(Y291="معکوس",1,0)</f>
        <v>0</v>
      </c>
      <c r="AZ291" s="21" t="n">
        <f aca="false">IF(ABS(AJ291)&gt;تنظیمات!$B$10,1,0)</f>
        <v>0</v>
      </c>
      <c r="BA291" s="21" t="n">
        <f aca="false">IF(AND(OR(AD291="رایگان/VIP",AD291="جانباز"),AF291="خیر"),1,0)</f>
        <v>0</v>
      </c>
      <c r="BB291" s="21" t="n">
        <f aca="false">IF(AE291="",0,IF(COUNTIF($AE$2:$AE$1001,AE291)&gt;1,1,0))</f>
        <v>0</v>
      </c>
      <c r="BC291" s="21" t="n">
        <f aca="false">IF(AND(H291="",I291&gt;تنظیمات!$B$12*60,AM291="خالی"),1,0)</f>
        <v>0</v>
      </c>
      <c r="BD291" s="21" t="n">
        <f aca="false">IF(AND(AP291="بله",I291&lt;تنظیمات!$B$14,AO291="خیر"),1,0)</f>
        <v>0</v>
      </c>
      <c r="BE291" s="21" t="n">
        <f aca="false">IF(AN291="خیر",1,0)</f>
        <v>0</v>
      </c>
      <c r="BF291" s="21" t="n">
        <f aca="false">IF(AND(AD291="فیش مفقودی",AQ291="بله",I291&gt;تنظیمات!$B$12*60),1,0)</f>
        <v>0</v>
      </c>
      <c r="BG291" s="21" t="n">
        <f aca="false">IF(AND(AK291&gt;تنظیمات!$B$11,AL291="بله"),1,0)</f>
        <v>0</v>
      </c>
      <c r="BH291" s="21" t="n">
        <f aca="false">MIN(100,AR291*تنظیمات!$B$21+AS291*تنظیمات!$B$22+AT291*تنظیمات!$B$23+AU291*تنظیمات!$B$24+AV291*تنظیمات!$B$25+AW291*تنظیمات!$B$26+AX291*تنظیمات!$B$27+AY291*تنظیمات!$B$28+AZ291*تنظیمات!$B$29+BA291*تنظیمات!$B$30+BB291*تنظیمات!$B$31+BC291*تنظیمات!$B$32+BD291*تنظیمات!$B$33+BE291*تنظیمات!$B$34+BF291*تنظیمات!$B$35+BG291*تنظیمات!$B$36)</f>
        <v>0</v>
      </c>
      <c r="BI291" s="16" t="str">
        <f aca="false">IF(BH291&gt;=60,"بحرانی",IF(BH291&gt;=30,"مشکوک",IF(BH291&gt;0,"هشدار","عادی")))</f>
        <v>عادی</v>
      </c>
      <c r="BJ291" s="16" t="s">
        <v>338</v>
      </c>
    </row>
    <row r="292" customFormat="false" ht="15" hidden="false" customHeight="false" outlineLevel="0" collapsed="false">
      <c r="A292" s="16" t="s">
        <v>1344</v>
      </c>
      <c r="B292" s="16" t="s">
        <v>1345</v>
      </c>
      <c r="C292" s="16"/>
      <c r="D292" s="16" t="s">
        <v>431</v>
      </c>
      <c r="E292" s="16" t="s">
        <v>375</v>
      </c>
      <c r="F292" s="16" t="s">
        <v>333</v>
      </c>
      <c r="G292" s="17" t="n">
        <v>46285.0672106482</v>
      </c>
      <c r="H292" s="17" t="n">
        <v>46287.4199884259</v>
      </c>
      <c r="I292" s="18" t="n">
        <f aca="false">IF(H292="",ROUND((تنظیمات!$B$7-G292)*1440,0),ROUND((H292-G292)*1440,0))</f>
        <v>3388</v>
      </c>
      <c r="J292" s="16" t="s">
        <v>346</v>
      </c>
      <c r="K292" s="16" t="s">
        <v>410</v>
      </c>
      <c r="L292" s="19" t="n">
        <v>0.901</v>
      </c>
      <c r="M292" s="19" t="n">
        <v>0.912</v>
      </c>
      <c r="N292" s="16" t="s">
        <v>335</v>
      </c>
      <c r="O292" s="16" t="s">
        <v>425</v>
      </c>
      <c r="P292" s="16" t="s">
        <v>402</v>
      </c>
      <c r="Q292" s="20" t="n">
        <v>46287</v>
      </c>
      <c r="R292" s="16" t="s">
        <v>1346</v>
      </c>
      <c r="S292" s="16" t="s">
        <v>404</v>
      </c>
      <c r="T292" s="17"/>
      <c r="U292" s="21" t="n">
        <v>1</v>
      </c>
      <c r="V292" s="21" t="n">
        <v>1</v>
      </c>
      <c r="W292" s="22" t="n">
        <v>4.1</v>
      </c>
      <c r="X292" s="16" t="s">
        <v>335</v>
      </c>
      <c r="Y292" s="16" t="s">
        <v>338</v>
      </c>
      <c r="Z292" s="16" t="s">
        <v>413</v>
      </c>
      <c r="AA292" s="16" t="s">
        <v>414</v>
      </c>
      <c r="AB292" s="23" t="s">
        <v>1347</v>
      </c>
      <c r="AC292" s="17" t="n">
        <v>46287.4194097222</v>
      </c>
      <c r="AD292" s="16" t="s">
        <v>406</v>
      </c>
      <c r="AE292" s="16"/>
      <c r="AF292" s="16" t="str">
        <f aca="false">IF(COUNTIF(لیست_سفید!$A$2:$A$21,B292)&gt;0,"بله","خیر")</f>
        <v>خیر</v>
      </c>
      <c r="AG292" s="24" t="n">
        <f aca="false">IF(H292="","",IF(AD292="فیش مفقودی",تنظیمات!$B$6,(INT(I292/1440)*تنظیمات!$B$5+IF(MOD(I292,1440)&lt;=تنظیمات!$B$2,0,MIN(تنظیمات!$B$5,تنظیمات!$B$3+MAX(0,ROUNDUP((MOD(I292,1440)-60)/60,0))*تنظیمات!$B$4)))*INDEX(تعرفه!$B$2:$B$7,MATCH(AD292,تعرفه!$A$2:$A$7,0))))</f>
        <v>300000</v>
      </c>
      <c r="AH292" s="24" t="n">
        <v>300000</v>
      </c>
      <c r="AI292" s="24" t="n">
        <f aca="false">IF(AG292="","",AH292-AG292)</f>
        <v>0</v>
      </c>
      <c r="AJ292" s="21" t="n">
        <v>0</v>
      </c>
      <c r="AK292" s="21" t="n">
        <v>0</v>
      </c>
      <c r="AL292" s="16" t="s">
        <v>335</v>
      </c>
      <c r="AM292" s="16"/>
      <c r="AN292" s="16" t="s">
        <v>340</v>
      </c>
      <c r="AO292" s="16" t="s">
        <v>340</v>
      </c>
      <c r="AP292" s="16" t="s">
        <v>335</v>
      </c>
      <c r="AQ292" s="16" t="s">
        <v>340</v>
      </c>
      <c r="AR292" s="21" t="n">
        <f aca="false">IF(AND(T292&lt;&gt;"",H292&lt;&gt;""),IF(AND((T292-H292)*86400&gt;=0,(T292-H292)*86400&lt;تنظیمات!$B$13),1,0),0)</f>
        <v>0</v>
      </c>
      <c r="AS292" s="21" t="n">
        <f aca="false">IF(Z292="پوز",IF(OR(AB292="",COUNTIF(پوزها!$A$2:$A$5,AA292)=0),1,0),0)</f>
        <v>0</v>
      </c>
      <c r="AT292" s="21" t="n">
        <f aca="false">IF(AI292="",0,IF(AI292&gt;0,1,0))</f>
        <v>0</v>
      </c>
      <c r="AU292" s="21" t="n">
        <f aca="false">IF(AI292="",0,IF(AI292&lt;0,1,0))</f>
        <v>0</v>
      </c>
      <c r="AV292" s="21" t="n">
        <f aca="false">IF(U292&gt;V292,1,0)</f>
        <v>0</v>
      </c>
      <c r="AW292" s="21" t="n">
        <f aca="false">IF(OR(W292&gt;تنظیمات!$B$8,X292="بله"),1,0)</f>
        <v>0</v>
      </c>
      <c r="AX292" s="21" t="n">
        <f aca="false">IF(AND(N292="بله",L292&gt;تنظیمات!$B$9),1,0)</f>
        <v>0</v>
      </c>
      <c r="AY292" s="21" t="n">
        <f aca="false">IF(Y292="معکوس",1,0)</f>
        <v>0</v>
      </c>
      <c r="AZ292" s="21" t="n">
        <f aca="false">IF(ABS(AJ292)&gt;تنظیمات!$B$10,1,0)</f>
        <v>0</v>
      </c>
      <c r="BA292" s="21" t="n">
        <f aca="false">IF(AND(OR(AD292="رایگان/VIP",AD292="جانباز"),AF292="خیر"),1,0)</f>
        <v>0</v>
      </c>
      <c r="BB292" s="21" t="n">
        <f aca="false">IF(AE292="",0,IF(COUNTIF($AE$2:$AE$1001,AE292)&gt;1,1,0))</f>
        <v>0</v>
      </c>
      <c r="BC292" s="21" t="n">
        <f aca="false">IF(AND(H292="",I292&gt;تنظیمات!$B$12*60,AM292="خالی"),1,0)</f>
        <v>0</v>
      </c>
      <c r="BD292" s="21" t="n">
        <f aca="false">IF(AND(AP292="بله",I292&lt;تنظیمات!$B$14,AO292="خیر"),1,0)</f>
        <v>0</v>
      </c>
      <c r="BE292" s="21" t="n">
        <f aca="false">IF(AN292="خیر",1,0)</f>
        <v>0</v>
      </c>
      <c r="BF292" s="21" t="n">
        <f aca="false">IF(AND(AD292="فیش مفقودی",AQ292="بله",I292&gt;تنظیمات!$B$12*60),1,0)</f>
        <v>1</v>
      </c>
      <c r="BG292" s="21" t="n">
        <f aca="false">IF(AND(AK292&gt;تنظیمات!$B$11,AL292="بله"),1,0)</f>
        <v>0</v>
      </c>
      <c r="BH292" s="21" t="n">
        <f aca="false">MIN(100,AR292*تنظیمات!$B$21+AS292*تنظیمات!$B$22+AT292*تنظیمات!$B$23+AU292*تنظیمات!$B$24+AV292*تنظیمات!$B$25+AW292*تنظیمات!$B$26+AX292*تنظیمات!$B$27+AY292*تنظیمات!$B$28+AZ292*تنظیمات!$B$29+BA292*تنظیمات!$B$30+BB292*تنظیمات!$B$31+BC292*تنظیمات!$B$32+BD292*تنظیمات!$B$33+BE292*تنظیمات!$B$34+BF292*تنظیمات!$B$35+BG292*تنظیمات!$B$36)</f>
        <v>30</v>
      </c>
      <c r="BI292" s="16" t="str">
        <f aca="false">IF(BH292&gt;=60,"بحرانی",IF(BH292&gt;=30,"مشکوک",IF(BH292&gt;0,"هشدار","عادی")))</f>
        <v>مشکوک</v>
      </c>
      <c r="BJ292" s="16" t="s">
        <v>407</v>
      </c>
    </row>
    <row r="293" customFormat="false" ht="15" hidden="false" customHeight="false" outlineLevel="0" collapsed="false">
      <c r="A293" s="16" t="s">
        <v>1348</v>
      </c>
      <c r="B293" s="16" t="s">
        <v>1349</v>
      </c>
      <c r="C293" s="16"/>
      <c r="D293" s="16" t="s">
        <v>450</v>
      </c>
      <c r="E293" s="16" t="s">
        <v>390</v>
      </c>
      <c r="F293" s="16" t="s">
        <v>333</v>
      </c>
      <c r="G293" s="17" t="n">
        <v>46285.1233912037</v>
      </c>
      <c r="H293" s="17" t="n">
        <v>46285.4247800926</v>
      </c>
      <c r="I293" s="18" t="n">
        <f aca="false">IF(H293="",ROUND((تنظیمات!$B$7-G293)*1440,0),ROUND((H293-G293)*1440,0))</f>
        <v>434</v>
      </c>
      <c r="J293" s="16" t="s">
        <v>346</v>
      </c>
      <c r="K293" s="16" t="s">
        <v>400</v>
      </c>
      <c r="L293" s="19" t="n">
        <v>0.957</v>
      </c>
      <c r="M293" s="19" t="n">
        <v>0.905</v>
      </c>
      <c r="N293" s="16" t="s">
        <v>335</v>
      </c>
      <c r="O293" s="16" t="s">
        <v>650</v>
      </c>
      <c r="P293" s="16" t="s">
        <v>402</v>
      </c>
      <c r="Q293" s="20" t="n">
        <v>46285</v>
      </c>
      <c r="R293" s="16" t="s">
        <v>1350</v>
      </c>
      <c r="S293" s="16" t="s">
        <v>404</v>
      </c>
      <c r="T293" s="17"/>
      <c r="U293" s="21" t="n">
        <v>1</v>
      </c>
      <c r="V293" s="21" t="n">
        <v>1</v>
      </c>
      <c r="W293" s="22" t="n">
        <v>6.2</v>
      </c>
      <c r="X293" s="16" t="s">
        <v>335</v>
      </c>
      <c r="Y293" s="16" t="s">
        <v>338</v>
      </c>
      <c r="Z293" s="16" t="s">
        <v>443</v>
      </c>
      <c r="AA293" s="16"/>
      <c r="AB293" s="23"/>
      <c r="AC293" s="17"/>
      <c r="AD293" s="16" t="s">
        <v>444</v>
      </c>
      <c r="AE293" s="16"/>
      <c r="AF293" s="16" t="str">
        <f aca="false">IF(COUNTIF(لیست_سفید!$A$2:$A$21,B293)&gt;0,"بله","خیر")</f>
        <v>خیر</v>
      </c>
      <c r="AG293" s="24" t="n">
        <f aca="false">IF(H293="","",IF(AD293="فیش مفقودی",تنظیمات!$B$6,(INT(I293/1440)*تنظیمات!$B$5+IF(MOD(I293,1440)&lt;=تنظیمات!$B$2,0,MIN(تنظیمات!$B$5,تنظیمات!$B$3+MAX(0,ROUNDUP((MOD(I293,1440)-60)/60,0))*تنظیمات!$B$4)))*INDEX(تعرفه!$B$2:$B$7,MATCH(AD293,تعرفه!$A$2:$A$7,0))))</f>
        <v>0</v>
      </c>
      <c r="AH293" s="24" t="n">
        <v>0</v>
      </c>
      <c r="AI293" s="24" t="n">
        <f aca="false">IF(AG293="","",AH293-AG293)</f>
        <v>0</v>
      </c>
      <c r="AJ293" s="21" t="n">
        <v>1</v>
      </c>
      <c r="AK293" s="21" t="n">
        <v>0</v>
      </c>
      <c r="AL293" s="16" t="s">
        <v>335</v>
      </c>
      <c r="AM293" s="16"/>
      <c r="AN293" s="16" t="s">
        <v>340</v>
      </c>
      <c r="AO293" s="16" t="s">
        <v>340</v>
      </c>
      <c r="AP293" s="16" t="s">
        <v>335</v>
      </c>
      <c r="AQ293" s="16"/>
      <c r="AR293" s="21" t="n">
        <f aca="false">IF(AND(T293&lt;&gt;"",H293&lt;&gt;""),IF(AND((T293-H293)*86400&gt;=0,(T293-H293)*86400&lt;تنظیمات!$B$13),1,0),0)</f>
        <v>0</v>
      </c>
      <c r="AS293" s="21" t="n">
        <f aca="false">IF(Z293="پوز",IF(OR(AB293="",COUNTIF(پوزها!$A$2:$A$5,AA293)=0),1,0),0)</f>
        <v>0</v>
      </c>
      <c r="AT293" s="21" t="n">
        <f aca="false">IF(AI293="",0,IF(AI293&gt;0,1,0))</f>
        <v>0</v>
      </c>
      <c r="AU293" s="21" t="n">
        <f aca="false">IF(AI293="",0,IF(AI293&lt;0,1,0))</f>
        <v>0</v>
      </c>
      <c r="AV293" s="21" t="n">
        <f aca="false">IF(U293&gt;V293,1,0)</f>
        <v>0</v>
      </c>
      <c r="AW293" s="21" t="n">
        <f aca="false">IF(OR(W293&gt;تنظیمات!$B$8,X293="بله"),1,0)</f>
        <v>0</v>
      </c>
      <c r="AX293" s="21" t="n">
        <f aca="false">IF(AND(N293="بله",L293&gt;تنظیمات!$B$9),1,0)</f>
        <v>0</v>
      </c>
      <c r="AY293" s="21" t="n">
        <f aca="false">IF(Y293="معکوس",1,0)</f>
        <v>0</v>
      </c>
      <c r="AZ293" s="21" t="n">
        <f aca="false">IF(ABS(AJ293)&gt;تنظیمات!$B$10,1,0)</f>
        <v>0</v>
      </c>
      <c r="BA293" s="21" t="n">
        <f aca="false">IF(AND(OR(AD293="رایگان/VIP",AD293="جانباز"),AF293="خیر"),1,0)</f>
        <v>0</v>
      </c>
      <c r="BB293" s="21" t="n">
        <f aca="false">IF(AE293="",0,IF(COUNTIF($AE$2:$AE$1001,AE293)&gt;1,1,0))</f>
        <v>0</v>
      </c>
      <c r="BC293" s="21" t="n">
        <f aca="false">IF(AND(H293="",I293&gt;تنظیمات!$B$12*60,AM293="خالی"),1,0)</f>
        <v>0</v>
      </c>
      <c r="BD293" s="21" t="n">
        <f aca="false">IF(AND(AP293="بله",I293&lt;تنظیمات!$B$14,AO293="خیر"),1,0)</f>
        <v>0</v>
      </c>
      <c r="BE293" s="21" t="n">
        <f aca="false">IF(AN293="خیر",1,0)</f>
        <v>0</v>
      </c>
      <c r="BF293" s="21" t="n">
        <f aca="false">IF(AND(AD293="فیش مفقودی",AQ293="بله",I293&gt;تنظیمات!$B$12*60),1,0)</f>
        <v>0</v>
      </c>
      <c r="BG293" s="21" t="n">
        <f aca="false">IF(AND(AK293&gt;تنظیمات!$B$11,AL293="بله"),1,0)</f>
        <v>0</v>
      </c>
      <c r="BH293" s="21" t="n">
        <f aca="false">MIN(100,AR293*تنظیمات!$B$21+AS293*تنظیمات!$B$22+AT293*تنظیمات!$B$23+AU293*تنظیمات!$B$24+AV293*تنظیمات!$B$25+AW293*تنظیمات!$B$26+AX293*تنظیمات!$B$27+AY293*تنظیمات!$B$28+AZ293*تنظیمات!$B$29+BA293*تنظیمات!$B$30+BB293*تنظیمات!$B$31+BC293*تنظیمات!$B$32+BD293*تنظیمات!$B$33+BE293*تنظیمات!$B$34+BF293*تنظیمات!$B$35+BG293*تنظیمات!$B$36)</f>
        <v>0</v>
      </c>
      <c r="BI293" s="16" t="str">
        <f aca="false">IF(BH293&gt;=60,"بحرانی",IF(BH293&gt;=30,"مشکوک",IF(BH293&gt;0,"هشدار","عادی")))</f>
        <v>عادی</v>
      </c>
      <c r="BJ293" s="16" t="s">
        <v>338</v>
      </c>
    </row>
    <row r="294" customFormat="false" ht="15" hidden="false" customHeight="false" outlineLevel="0" collapsed="false">
      <c r="A294" s="16" t="s">
        <v>1351</v>
      </c>
      <c r="B294" s="16" t="s">
        <v>1352</v>
      </c>
      <c r="C294" s="16"/>
      <c r="D294" s="16" t="s">
        <v>331</v>
      </c>
      <c r="E294" s="16" t="s">
        <v>332</v>
      </c>
      <c r="F294" s="16" t="s">
        <v>333</v>
      </c>
      <c r="G294" s="17" t="n">
        <v>46285.1315509259</v>
      </c>
      <c r="H294" s="17" t="n">
        <v>46285.3204398148</v>
      </c>
      <c r="I294" s="18" t="n">
        <f aca="false">IF(H294="",ROUND((تنظیمات!$B$7-G294)*1440,0),ROUND((H294-G294)*1440,0))</f>
        <v>272</v>
      </c>
      <c r="J294" s="16" t="s">
        <v>346</v>
      </c>
      <c r="K294" s="16" t="s">
        <v>400</v>
      </c>
      <c r="L294" s="19" t="n">
        <v>0.957</v>
      </c>
      <c r="M294" s="19" t="n">
        <v>0.96</v>
      </c>
      <c r="N294" s="16" t="s">
        <v>335</v>
      </c>
      <c r="O294" s="16" t="s">
        <v>650</v>
      </c>
      <c r="P294" s="16" t="s">
        <v>402</v>
      </c>
      <c r="Q294" s="20" t="n">
        <v>46285</v>
      </c>
      <c r="R294" s="16" t="s">
        <v>1353</v>
      </c>
      <c r="S294" s="16" t="s">
        <v>404</v>
      </c>
      <c r="T294" s="17"/>
      <c r="U294" s="21" t="n">
        <v>1</v>
      </c>
      <c r="V294" s="21" t="n">
        <v>1</v>
      </c>
      <c r="W294" s="22" t="n">
        <v>6.7</v>
      </c>
      <c r="X294" s="16" t="s">
        <v>335</v>
      </c>
      <c r="Y294" s="16" t="s">
        <v>338</v>
      </c>
      <c r="Z294" s="16" t="s">
        <v>443</v>
      </c>
      <c r="AA294" s="16"/>
      <c r="AB294" s="23"/>
      <c r="AC294" s="17"/>
      <c r="AD294" s="16" t="s">
        <v>444</v>
      </c>
      <c r="AE294" s="16"/>
      <c r="AF294" s="16" t="str">
        <f aca="false">IF(COUNTIF(لیست_سفید!$A$2:$A$21,B294)&gt;0,"بله","خیر")</f>
        <v>خیر</v>
      </c>
      <c r="AG294" s="24" t="n">
        <f aca="false">IF(H294="","",IF(AD294="فیش مفقودی",تنظیمات!$B$6,(INT(I294/1440)*تنظیمات!$B$5+IF(MOD(I294,1440)&lt;=تنظیمات!$B$2,0,MIN(تنظیمات!$B$5,تنظیمات!$B$3+MAX(0,ROUNDUP((MOD(I294,1440)-60)/60,0))*تنظیمات!$B$4)))*INDEX(تعرفه!$B$2:$B$7,MATCH(AD294,تعرفه!$A$2:$A$7,0))))</f>
        <v>0</v>
      </c>
      <c r="AH294" s="24" t="n">
        <v>0</v>
      </c>
      <c r="AI294" s="24" t="n">
        <f aca="false">IF(AG294="","",AH294-AG294)</f>
        <v>0</v>
      </c>
      <c r="AJ294" s="21" t="n">
        <v>0</v>
      </c>
      <c r="AK294" s="21" t="n">
        <v>0</v>
      </c>
      <c r="AL294" s="16" t="s">
        <v>335</v>
      </c>
      <c r="AM294" s="16"/>
      <c r="AN294" s="16" t="s">
        <v>340</v>
      </c>
      <c r="AO294" s="16" t="s">
        <v>340</v>
      </c>
      <c r="AP294" s="16" t="s">
        <v>335</v>
      </c>
      <c r="AQ294" s="16"/>
      <c r="AR294" s="21" t="n">
        <f aca="false">IF(AND(T294&lt;&gt;"",H294&lt;&gt;""),IF(AND((T294-H294)*86400&gt;=0,(T294-H294)*86400&lt;تنظیمات!$B$13),1,0),0)</f>
        <v>0</v>
      </c>
      <c r="AS294" s="21" t="n">
        <f aca="false">IF(Z294="پوز",IF(OR(AB294="",COUNTIF(پوزها!$A$2:$A$5,AA294)=0),1,0),0)</f>
        <v>0</v>
      </c>
      <c r="AT294" s="21" t="n">
        <f aca="false">IF(AI294="",0,IF(AI294&gt;0,1,0))</f>
        <v>0</v>
      </c>
      <c r="AU294" s="21" t="n">
        <f aca="false">IF(AI294="",0,IF(AI294&lt;0,1,0))</f>
        <v>0</v>
      </c>
      <c r="AV294" s="21" t="n">
        <f aca="false">IF(U294&gt;V294,1,0)</f>
        <v>0</v>
      </c>
      <c r="AW294" s="21" t="n">
        <f aca="false">IF(OR(W294&gt;تنظیمات!$B$8,X294="بله"),1,0)</f>
        <v>0</v>
      </c>
      <c r="AX294" s="21" t="n">
        <f aca="false">IF(AND(N294="بله",L294&gt;تنظیمات!$B$9),1,0)</f>
        <v>0</v>
      </c>
      <c r="AY294" s="21" t="n">
        <f aca="false">IF(Y294="معکوس",1,0)</f>
        <v>0</v>
      </c>
      <c r="AZ294" s="21" t="n">
        <f aca="false">IF(ABS(AJ294)&gt;تنظیمات!$B$10,1,0)</f>
        <v>0</v>
      </c>
      <c r="BA294" s="21" t="n">
        <f aca="false">IF(AND(OR(AD294="رایگان/VIP",AD294="جانباز"),AF294="خیر"),1,0)</f>
        <v>0</v>
      </c>
      <c r="BB294" s="21" t="n">
        <f aca="false">IF(AE294="",0,IF(COUNTIF($AE$2:$AE$1001,AE294)&gt;1,1,0))</f>
        <v>0</v>
      </c>
      <c r="BC294" s="21" t="n">
        <f aca="false">IF(AND(H294="",I294&gt;تنظیمات!$B$12*60,AM294="خالی"),1,0)</f>
        <v>0</v>
      </c>
      <c r="BD294" s="21" t="n">
        <f aca="false">IF(AND(AP294="بله",I294&lt;تنظیمات!$B$14,AO294="خیر"),1,0)</f>
        <v>0</v>
      </c>
      <c r="BE294" s="21" t="n">
        <f aca="false">IF(AN294="خیر",1,0)</f>
        <v>0</v>
      </c>
      <c r="BF294" s="21" t="n">
        <f aca="false">IF(AND(AD294="فیش مفقودی",AQ294="بله",I294&gt;تنظیمات!$B$12*60),1,0)</f>
        <v>0</v>
      </c>
      <c r="BG294" s="21" t="n">
        <f aca="false">IF(AND(AK294&gt;تنظیمات!$B$11,AL294="بله"),1,0)</f>
        <v>0</v>
      </c>
      <c r="BH294" s="21" t="n">
        <f aca="false">MIN(100,AR294*تنظیمات!$B$21+AS294*تنظیمات!$B$22+AT294*تنظیمات!$B$23+AU294*تنظیمات!$B$24+AV294*تنظیمات!$B$25+AW294*تنظیمات!$B$26+AX294*تنظیمات!$B$27+AY294*تنظیمات!$B$28+AZ294*تنظیمات!$B$29+BA294*تنظیمات!$B$30+BB294*تنظیمات!$B$31+BC294*تنظیمات!$B$32+BD294*تنظیمات!$B$33+BE294*تنظیمات!$B$34+BF294*تنظیمات!$B$35+BG294*تنظیمات!$B$36)</f>
        <v>0</v>
      </c>
      <c r="BI294" s="16" t="str">
        <f aca="false">IF(BH294&gt;=60,"بحرانی",IF(BH294&gt;=30,"مشکوک",IF(BH294&gt;0,"هشدار","عادی")))</f>
        <v>عادی</v>
      </c>
      <c r="BJ294" s="16" t="s">
        <v>338</v>
      </c>
    </row>
    <row r="295" customFormat="false" ht="15" hidden="false" customHeight="false" outlineLevel="0" collapsed="false">
      <c r="A295" s="16" t="s">
        <v>1354</v>
      </c>
      <c r="B295" s="16" t="s">
        <v>1355</v>
      </c>
      <c r="C295" s="16"/>
      <c r="D295" s="16" t="s">
        <v>382</v>
      </c>
      <c r="E295" s="16" t="s">
        <v>351</v>
      </c>
      <c r="F295" s="16" t="s">
        <v>333</v>
      </c>
      <c r="G295" s="17" t="n">
        <v>46285.1730787037</v>
      </c>
      <c r="H295" s="17" t="n">
        <v>46285.4612731482</v>
      </c>
      <c r="I295" s="18" t="n">
        <f aca="false">IF(H295="",ROUND((تنظیمات!$B$7-G295)*1440,0),ROUND((H295-G295)*1440,0))</f>
        <v>415</v>
      </c>
      <c r="J295" s="16" t="s">
        <v>346</v>
      </c>
      <c r="K295" s="16" t="s">
        <v>400</v>
      </c>
      <c r="L295" s="19" t="n">
        <v>0.913</v>
      </c>
      <c r="M295" s="19" t="n">
        <v>0.966</v>
      </c>
      <c r="N295" s="16" t="s">
        <v>335</v>
      </c>
      <c r="O295" s="16" t="s">
        <v>650</v>
      </c>
      <c r="P295" s="16" t="s">
        <v>402</v>
      </c>
      <c r="Q295" s="20" t="n">
        <v>46285</v>
      </c>
      <c r="R295" s="16" t="s">
        <v>1356</v>
      </c>
      <c r="S295" s="16" t="s">
        <v>404</v>
      </c>
      <c r="T295" s="17"/>
      <c r="U295" s="21" t="n">
        <v>1</v>
      </c>
      <c r="V295" s="21" t="n">
        <v>1</v>
      </c>
      <c r="W295" s="22" t="n">
        <v>5.4</v>
      </c>
      <c r="X295" s="16" t="s">
        <v>335</v>
      </c>
      <c r="Y295" s="16" t="s">
        <v>338</v>
      </c>
      <c r="Z295" s="16" t="s">
        <v>465</v>
      </c>
      <c r="AA295" s="16"/>
      <c r="AB295" s="23"/>
      <c r="AC295" s="17"/>
      <c r="AD295" s="16" t="s">
        <v>466</v>
      </c>
      <c r="AE295" s="16"/>
      <c r="AF295" s="16" t="str">
        <f aca="false">IF(COUNTIF(لیست_سفید!$A$2:$A$21,B295)&gt;0,"بله","خیر")</f>
        <v>بله</v>
      </c>
      <c r="AG295" s="24" t="n">
        <f aca="false">IF(H295="","",IF(AD295="فیش مفقودی",تنظیمات!$B$6,(INT(I295/1440)*تنظیمات!$B$5+IF(MOD(I295,1440)&lt;=تنظیمات!$B$2,0,MIN(تنظیمات!$B$5,تنظیمات!$B$3+MAX(0,ROUNDUP((MOD(I295,1440)-60)/60,0))*تنظیمات!$B$4)))*INDEX(تعرفه!$B$2:$B$7,MATCH(AD295,تعرفه!$A$2:$A$7,0))))</f>
        <v>0</v>
      </c>
      <c r="AH295" s="24" t="n">
        <v>0</v>
      </c>
      <c r="AI295" s="24" t="n">
        <f aca="false">IF(AG295="","",AH295-AG295)</f>
        <v>0</v>
      </c>
      <c r="AJ295" s="21" t="n">
        <v>0</v>
      </c>
      <c r="AK295" s="21" t="n">
        <v>0</v>
      </c>
      <c r="AL295" s="16" t="s">
        <v>335</v>
      </c>
      <c r="AM295" s="16"/>
      <c r="AN295" s="16" t="s">
        <v>340</v>
      </c>
      <c r="AO295" s="16" t="s">
        <v>340</v>
      </c>
      <c r="AP295" s="16" t="s">
        <v>335</v>
      </c>
      <c r="AQ295" s="16"/>
      <c r="AR295" s="21" t="n">
        <f aca="false">IF(AND(T295&lt;&gt;"",H295&lt;&gt;""),IF(AND((T295-H295)*86400&gt;=0,(T295-H295)*86400&lt;تنظیمات!$B$13),1,0),0)</f>
        <v>0</v>
      </c>
      <c r="AS295" s="21" t="n">
        <f aca="false">IF(Z295="پوز",IF(OR(AB295="",COUNTIF(پوزها!$A$2:$A$5,AA295)=0),1,0),0)</f>
        <v>0</v>
      </c>
      <c r="AT295" s="21" t="n">
        <f aca="false">IF(AI295="",0,IF(AI295&gt;0,1,0))</f>
        <v>0</v>
      </c>
      <c r="AU295" s="21" t="n">
        <f aca="false">IF(AI295="",0,IF(AI295&lt;0,1,0))</f>
        <v>0</v>
      </c>
      <c r="AV295" s="21" t="n">
        <f aca="false">IF(U295&gt;V295,1,0)</f>
        <v>0</v>
      </c>
      <c r="AW295" s="21" t="n">
        <f aca="false">IF(OR(W295&gt;تنظیمات!$B$8,X295="بله"),1,0)</f>
        <v>0</v>
      </c>
      <c r="AX295" s="21" t="n">
        <f aca="false">IF(AND(N295="بله",L295&gt;تنظیمات!$B$9),1,0)</f>
        <v>0</v>
      </c>
      <c r="AY295" s="21" t="n">
        <f aca="false">IF(Y295="معکوس",1,0)</f>
        <v>0</v>
      </c>
      <c r="AZ295" s="21" t="n">
        <f aca="false">IF(ABS(AJ295)&gt;تنظیمات!$B$10,1,0)</f>
        <v>0</v>
      </c>
      <c r="BA295" s="21" t="n">
        <f aca="false">IF(AND(OR(AD295="رایگان/VIP",AD295="جانباز"),AF295="خیر"),1,0)</f>
        <v>0</v>
      </c>
      <c r="BB295" s="21" t="n">
        <f aca="false">IF(AE295="",0,IF(COUNTIF($AE$2:$AE$1001,AE295)&gt;1,1,0))</f>
        <v>0</v>
      </c>
      <c r="BC295" s="21" t="n">
        <f aca="false">IF(AND(H295="",I295&gt;تنظیمات!$B$12*60,AM295="خالی"),1,0)</f>
        <v>0</v>
      </c>
      <c r="BD295" s="21" t="n">
        <f aca="false">IF(AND(AP295="بله",I295&lt;تنظیمات!$B$14,AO295="خیر"),1,0)</f>
        <v>0</v>
      </c>
      <c r="BE295" s="21" t="n">
        <f aca="false">IF(AN295="خیر",1,0)</f>
        <v>0</v>
      </c>
      <c r="BF295" s="21" t="n">
        <f aca="false">IF(AND(AD295="فیش مفقودی",AQ295="بله",I295&gt;تنظیمات!$B$12*60),1,0)</f>
        <v>0</v>
      </c>
      <c r="BG295" s="21" t="n">
        <f aca="false">IF(AND(AK295&gt;تنظیمات!$B$11,AL295="بله"),1,0)</f>
        <v>0</v>
      </c>
      <c r="BH295" s="21" t="n">
        <f aca="false">MIN(100,AR295*تنظیمات!$B$21+AS295*تنظیمات!$B$22+AT295*تنظیمات!$B$23+AU295*تنظیمات!$B$24+AV295*تنظیمات!$B$25+AW295*تنظیمات!$B$26+AX295*تنظیمات!$B$27+AY295*تنظیمات!$B$28+AZ295*تنظیمات!$B$29+BA295*تنظیمات!$B$30+BB295*تنظیمات!$B$31+BC295*تنظیمات!$B$32+BD295*تنظیمات!$B$33+BE295*تنظیمات!$B$34+BF295*تنظیمات!$B$35+BG295*تنظیمات!$B$36)</f>
        <v>0</v>
      </c>
      <c r="BI295" s="16" t="str">
        <f aca="false">IF(BH295&gt;=60,"بحرانی",IF(BH295&gt;=30,"مشکوک",IF(BH295&gt;0,"هشدار","عادی")))</f>
        <v>عادی</v>
      </c>
      <c r="BJ295" s="16" t="s">
        <v>338</v>
      </c>
    </row>
    <row r="296" customFormat="false" ht="15" hidden="false" customHeight="false" outlineLevel="0" collapsed="false">
      <c r="A296" s="16" t="s">
        <v>1357</v>
      </c>
      <c r="B296" s="16" t="s">
        <v>393</v>
      </c>
      <c r="C296" s="16"/>
      <c r="D296" s="16" t="s">
        <v>386</v>
      </c>
      <c r="E296" s="16" t="s">
        <v>375</v>
      </c>
      <c r="F296" s="16" t="s">
        <v>333</v>
      </c>
      <c r="G296" s="17" t="n">
        <v>46285.1947800926</v>
      </c>
      <c r="H296" s="17" t="n">
        <v>46285.3433912037</v>
      </c>
      <c r="I296" s="18" t="n">
        <f aca="false">IF(H296="",ROUND((تنظیمات!$B$7-G296)*1440,0),ROUND((H296-G296)*1440,0))</f>
        <v>214</v>
      </c>
      <c r="J296" s="16" t="s">
        <v>346</v>
      </c>
      <c r="K296" s="16" t="s">
        <v>410</v>
      </c>
      <c r="L296" s="19" t="n">
        <v>0.918</v>
      </c>
      <c r="M296" s="19" t="n">
        <v>0.995</v>
      </c>
      <c r="N296" s="16" t="s">
        <v>335</v>
      </c>
      <c r="O296" s="16" t="s">
        <v>666</v>
      </c>
      <c r="P296" s="16" t="s">
        <v>402</v>
      </c>
      <c r="Q296" s="20" t="n">
        <v>46285</v>
      </c>
      <c r="R296" s="16" t="s">
        <v>1358</v>
      </c>
      <c r="S296" s="16" t="s">
        <v>404</v>
      </c>
      <c r="T296" s="17"/>
      <c r="U296" s="21" t="n">
        <v>1</v>
      </c>
      <c r="V296" s="21" t="n">
        <v>1</v>
      </c>
      <c r="W296" s="22" t="n">
        <v>4.5</v>
      </c>
      <c r="X296" s="16" t="s">
        <v>335</v>
      </c>
      <c r="Y296" s="16" t="s">
        <v>338</v>
      </c>
      <c r="Z296" s="16" t="s">
        <v>405</v>
      </c>
      <c r="AA296" s="16"/>
      <c r="AB296" s="23"/>
      <c r="AC296" s="17"/>
      <c r="AD296" s="16" t="s">
        <v>338</v>
      </c>
      <c r="AE296" s="16"/>
      <c r="AF296" s="16" t="str">
        <f aca="false">IF(COUNTIF(لیست_سفید!$A$2:$A$21,B296)&gt;0,"بله","خیر")</f>
        <v>خیر</v>
      </c>
      <c r="AG296" s="24" t="n">
        <f aca="false">IF(H296="","",IF(AD296="فیش مفقودی",تنظیمات!$B$6,(INT(I296/1440)*تنظیمات!$B$5+IF(MOD(I296,1440)&lt;=تنظیمات!$B$2,0,MIN(تنظیمات!$B$5,تنظیمات!$B$3+MAX(0,ROUNDUP((MOD(I296,1440)-60)/60,0))*تنظیمات!$B$4)))*INDEX(تعرفه!$B$2:$B$7,MATCH(AD296,تعرفه!$A$2:$A$7,0))))</f>
        <v>62000</v>
      </c>
      <c r="AH296" s="24" t="n">
        <v>62000</v>
      </c>
      <c r="AI296" s="24" t="n">
        <f aca="false">IF(AG296="","",AH296-AG296)</f>
        <v>0</v>
      </c>
      <c r="AJ296" s="21" t="n">
        <v>0</v>
      </c>
      <c r="AK296" s="21" t="n">
        <v>0</v>
      </c>
      <c r="AL296" s="16" t="s">
        <v>335</v>
      </c>
      <c r="AM296" s="16"/>
      <c r="AN296" s="16" t="s">
        <v>340</v>
      </c>
      <c r="AO296" s="16" t="s">
        <v>340</v>
      </c>
      <c r="AP296" s="16" t="s">
        <v>335</v>
      </c>
      <c r="AQ296" s="16"/>
      <c r="AR296" s="21" t="n">
        <f aca="false">IF(AND(T296&lt;&gt;"",H296&lt;&gt;""),IF(AND((T296-H296)*86400&gt;=0,(T296-H296)*86400&lt;تنظیمات!$B$13),1,0),0)</f>
        <v>0</v>
      </c>
      <c r="AS296" s="21" t="n">
        <f aca="false">IF(Z296="پوز",IF(OR(AB296="",COUNTIF(پوزها!$A$2:$A$5,AA296)=0),1,0),0)</f>
        <v>0</v>
      </c>
      <c r="AT296" s="21" t="n">
        <f aca="false">IF(AI296="",0,IF(AI296&gt;0,1,0))</f>
        <v>0</v>
      </c>
      <c r="AU296" s="21" t="n">
        <f aca="false">IF(AI296="",0,IF(AI296&lt;0,1,0))</f>
        <v>0</v>
      </c>
      <c r="AV296" s="21" t="n">
        <f aca="false">IF(U296&gt;V296,1,0)</f>
        <v>0</v>
      </c>
      <c r="AW296" s="21" t="n">
        <f aca="false">IF(OR(W296&gt;تنظیمات!$B$8,X296="بله"),1,0)</f>
        <v>0</v>
      </c>
      <c r="AX296" s="21" t="n">
        <f aca="false">IF(AND(N296="بله",L296&gt;تنظیمات!$B$9),1,0)</f>
        <v>0</v>
      </c>
      <c r="AY296" s="21" t="n">
        <f aca="false">IF(Y296="معکوس",1,0)</f>
        <v>0</v>
      </c>
      <c r="AZ296" s="21" t="n">
        <f aca="false">IF(ABS(AJ296)&gt;تنظیمات!$B$10,1,0)</f>
        <v>0</v>
      </c>
      <c r="BA296" s="21" t="n">
        <f aca="false">IF(AND(OR(AD296="رایگان/VIP",AD296="جانباز"),AF296="خیر"),1,0)</f>
        <v>0</v>
      </c>
      <c r="BB296" s="21" t="n">
        <f aca="false">IF(AE296="",0,IF(COUNTIF($AE$2:$AE$1001,AE296)&gt;1,1,0))</f>
        <v>0</v>
      </c>
      <c r="BC296" s="21" t="n">
        <f aca="false">IF(AND(H296="",I296&gt;تنظیمات!$B$12*60,AM296="خالی"),1,0)</f>
        <v>0</v>
      </c>
      <c r="BD296" s="21" t="n">
        <f aca="false">IF(AND(AP296="بله",I296&lt;تنظیمات!$B$14,AO296="خیر"),1,0)</f>
        <v>0</v>
      </c>
      <c r="BE296" s="21" t="n">
        <f aca="false">IF(AN296="خیر",1,0)</f>
        <v>0</v>
      </c>
      <c r="BF296" s="21" t="n">
        <f aca="false">IF(AND(AD296="فیش مفقودی",AQ296="بله",I296&gt;تنظیمات!$B$12*60),1,0)</f>
        <v>0</v>
      </c>
      <c r="BG296" s="21" t="n">
        <f aca="false">IF(AND(AK296&gt;تنظیمات!$B$11,AL296="بله"),1,0)</f>
        <v>0</v>
      </c>
      <c r="BH296" s="21" t="n">
        <f aca="false">MIN(100,AR296*تنظیمات!$B$21+AS296*تنظیمات!$B$22+AT296*تنظیمات!$B$23+AU296*تنظیمات!$B$24+AV296*تنظیمات!$B$25+AW296*تنظیمات!$B$26+AX296*تنظیمات!$B$27+AY296*تنظیمات!$B$28+AZ296*تنظیمات!$B$29+BA296*تنظیمات!$B$30+BB296*تنظیمات!$B$31+BC296*تنظیمات!$B$32+BD296*تنظیمات!$B$33+BE296*تنظیمات!$B$34+BF296*تنظیمات!$B$35+BG296*تنظیمات!$B$36)</f>
        <v>0</v>
      </c>
      <c r="BI296" s="16" t="str">
        <f aca="false">IF(BH296&gt;=60,"بحرانی",IF(BH296&gt;=30,"مشکوک",IF(BH296&gt;0,"هشدار","عادی")))</f>
        <v>عادی</v>
      </c>
      <c r="BJ296" s="16" t="s">
        <v>338</v>
      </c>
    </row>
    <row r="297" customFormat="false" ht="15" hidden="false" customHeight="false" outlineLevel="0" collapsed="false">
      <c r="A297" s="16" t="s">
        <v>1359</v>
      </c>
      <c r="B297" s="16" t="s">
        <v>612</v>
      </c>
      <c r="C297" s="16"/>
      <c r="D297" s="16" t="s">
        <v>450</v>
      </c>
      <c r="E297" s="16" t="s">
        <v>351</v>
      </c>
      <c r="F297" s="16" t="s">
        <v>333</v>
      </c>
      <c r="G297" s="17" t="n">
        <v>46285.2140162037</v>
      </c>
      <c r="H297" s="17" t="n">
        <v>46285.2709606482</v>
      </c>
      <c r="I297" s="18" t="n">
        <f aca="false">IF(H297="",ROUND((تنظیمات!$B$7-G297)*1440,0),ROUND((H297-G297)*1440,0))</f>
        <v>82</v>
      </c>
      <c r="J297" s="16" t="s">
        <v>346</v>
      </c>
      <c r="K297" s="16" t="s">
        <v>400</v>
      </c>
      <c r="L297" s="19" t="n">
        <v>0.909</v>
      </c>
      <c r="M297" s="19" t="n">
        <v>0.995</v>
      </c>
      <c r="N297" s="16" t="s">
        <v>335</v>
      </c>
      <c r="O297" s="16" t="s">
        <v>650</v>
      </c>
      <c r="P297" s="16" t="s">
        <v>402</v>
      </c>
      <c r="Q297" s="20" t="n">
        <v>46285</v>
      </c>
      <c r="R297" s="16" t="s">
        <v>1360</v>
      </c>
      <c r="S297" s="16" t="s">
        <v>404</v>
      </c>
      <c r="T297" s="17"/>
      <c r="U297" s="21" t="n">
        <v>1</v>
      </c>
      <c r="V297" s="21" t="n">
        <v>1</v>
      </c>
      <c r="W297" s="22" t="n">
        <v>6.7</v>
      </c>
      <c r="X297" s="16" t="s">
        <v>335</v>
      </c>
      <c r="Y297" s="16" t="s">
        <v>338</v>
      </c>
      <c r="Z297" s="16" t="s">
        <v>413</v>
      </c>
      <c r="AA297" s="16" t="s">
        <v>427</v>
      </c>
      <c r="AB297" s="23" t="s">
        <v>1361</v>
      </c>
      <c r="AC297" s="17" t="n">
        <v>46285.2703356482</v>
      </c>
      <c r="AD297" s="16" t="s">
        <v>338</v>
      </c>
      <c r="AE297" s="16"/>
      <c r="AF297" s="16" t="str">
        <f aca="false">IF(COUNTIF(لیست_سفید!$A$2:$A$21,B297)&gt;0,"بله","خیر")</f>
        <v>خیر</v>
      </c>
      <c r="AG297" s="24" t="n">
        <f aca="false">IF(H297="","",IF(AD297="فیش مفقودی",تنظیمات!$B$6,(INT(I297/1440)*تنظیمات!$B$5+IF(MOD(I297,1440)&lt;=تنظیمات!$B$2,0,MIN(تنظیمات!$B$5,تنظیمات!$B$3+MAX(0,ROUNDUP((MOD(I297,1440)-60)/60,0))*تنظیمات!$B$4)))*INDEX(تعرفه!$B$2:$B$7,MATCH(AD297,تعرفه!$A$2:$A$7,0))))</f>
        <v>34000</v>
      </c>
      <c r="AH297" s="24" t="n">
        <v>34000</v>
      </c>
      <c r="AI297" s="24" t="n">
        <f aca="false">IF(AG297="","",AH297-AG297)</f>
        <v>0</v>
      </c>
      <c r="AJ297" s="21" t="n">
        <v>0</v>
      </c>
      <c r="AK297" s="21" t="n">
        <v>0</v>
      </c>
      <c r="AL297" s="16" t="s">
        <v>335</v>
      </c>
      <c r="AM297" s="16"/>
      <c r="AN297" s="16" t="s">
        <v>340</v>
      </c>
      <c r="AO297" s="16" t="s">
        <v>340</v>
      </c>
      <c r="AP297" s="16" t="s">
        <v>335</v>
      </c>
      <c r="AQ297" s="16"/>
      <c r="AR297" s="21" t="n">
        <f aca="false">IF(AND(T297&lt;&gt;"",H297&lt;&gt;""),IF(AND((T297-H297)*86400&gt;=0,(T297-H297)*86400&lt;تنظیمات!$B$13),1,0),0)</f>
        <v>0</v>
      </c>
      <c r="AS297" s="21" t="n">
        <f aca="false">IF(Z297="پوز",IF(OR(AB297="",COUNTIF(پوزها!$A$2:$A$5,AA297)=0),1,0),0)</f>
        <v>0</v>
      </c>
      <c r="AT297" s="21" t="n">
        <f aca="false">IF(AI297="",0,IF(AI297&gt;0,1,0))</f>
        <v>0</v>
      </c>
      <c r="AU297" s="21" t="n">
        <f aca="false">IF(AI297="",0,IF(AI297&lt;0,1,0))</f>
        <v>0</v>
      </c>
      <c r="AV297" s="21" t="n">
        <f aca="false">IF(U297&gt;V297,1,0)</f>
        <v>0</v>
      </c>
      <c r="AW297" s="21" t="n">
        <f aca="false">IF(OR(W297&gt;تنظیمات!$B$8,X297="بله"),1,0)</f>
        <v>0</v>
      </c>
      <c r="AX297" s="21" t="n">
        <f aca="false">IF(AND(N297="بله",L297&gt;تنظیمات!$B$9),1,0)</f>
        <v>0</v>
      </c>
      <c r="AY297" s="21" t="n">
        <f aca="false">IF(Y297="معکوس",1,0)</f>
        <v>0</v>
      </c>
      <c r="AZ297" s="21" t="n">
        <f aca="false">IF(ABS(AJ297)&gt;تنظیمات!$B$10,1,0)</f>
        <v>0</v>
      </c>
      <c r="BA297" s="21" t="n">
        <f aca="false">IF(AND(OR(AD297="رایگان/VIP",AD297="جانباز"),AF297="خیر"),1,0)</f>
        <v>0</v>
      </c>
      <c r="BB297" s="21" t="n">
        <f aca="false">IF(AE297="",0,IF(COUNTIF($AE$2:$AE$1001,AE297)&gt;1,1,0))</f>
        <v>0</v>
      </c>
      <c r="BC297" s="21" t="n">
        <f aca="false">IF(AND(H297="",I297&gt;تنظیمات!$B$12*60,AM297="خالی"),1,0)</f>
        <v>0</v>
      </c>
      <c r="BD297" s="21" t="n">
        <f aca="false">IF(AND(AP297="بله",I297&lt;تنظیمات!$B$14,AO297="خیر"),1,0)</f>
        <v>0</v>
      </c>
      <c r="BE297" s="21" t="n">
        <f aca="false">IF(AN297="خیر",1,0)</f>
        <v>0</v>
      </c>
      <c r="BF297" s="21" t="n">
        <f aca="false">IF(AND(AD297="فیش مفقودی",AQ297="بله",I297&gt;تنظیمات!$B$12*60),1,0)</f>
        <v>0</v>
      </c>
      <c r="BG297" s="21" t="n">
        <f aca="false">IF(AND(AK297&gt;تنظیمات!$B$11,AL297="بله"),1,0)</f>
        <v>0</v>
      </c>
      <c r="BH297" s="21" t="n">
        <f aca="false">MIN(100,AR297*تنظیمات!$B$21+AS297*تنظیمات!$B$22+AT297*تنظیمات!$B$23+AU297*تنظیمات!$B$24+AV297*تنظیمات!$B$25+AW297*تنظیمات!$B$26+AX297*تنظیمات!$B$27+AY297*تنظیمات!$B$28+AZ297*تنظیمات!$B$29+BA297*تنظیمات!$B$30+BB297*تنظیمات!$B$31+BC297*تنظیمات!$B$32+BD297*تنظیمات!$B$33+BE297*تنظیمات!$B$34+BF297*تنظیمات!$B$35+BG297*تنظیمات!$B$36)</f>
        <v>0</v>
      </c>
      <c r="BI297" s="16" t="str">
        <f aca="false">IF(BH297&gt;=60,"بحرانی",IF(BH297&gt;=30,"مشکوک",IF(BH297&gt;0,"هشدار","عادی")))</f>
        <v>عادی</v>
      </c>
      <c r="BJ297" s="16" t="s">
        <v>338</v>
      </c>
    </row>
    <row r="298" customFormat="false" ht="15" hidden="false" customHeight="false" outlineLevel="0" collapsed="false">
      <c r="A298" s="16" t="s">
        <v>1362</v>
      </c>
      <c r="B298" s="16" t="s">
        <v>839</v>
      </c>
      <c r="C298" s="16"/>
      <c r="D298" s="16" t="s">
        <v>431</v>
      </c>
      <c r="E298" s="16" t="s">
        <v>375</v>
      </c>
      <c r="F298" s="16" t="s">
        <v>333</v>
      </c>
      <c r="G298" s="17" t="n">
        <v>46285.2347916667</v>
      </c>
      <c r="H298" s="17" t="n">
        <v>46285.2563194444</v>
      </c>
      <c r="I298" s="18" t="n">
        <f aca="false">IF(H298="",ROUND((تنظیمات!$B$7-G298)*1440,0),ROUND((H298-G298)*1440,0))</f>
        <v>31</v>
      </c>
      <c r="J298" s="16" t="s">
        <v>334</v>
      </c>
      <c r="K298" s="16" t="s">
        <v>410</v>
      </c>
      <c r="L298" s="19" t="n">
        <v>0.881</v>
      </c>
      <c r="M298" s="19" t="n">
        <v>0.963</v>
      </c>
      <c r="N298" s="16" t="s">
        <v>335</v>
      </c>
      <c r="O298" s="16" t="s">
        <v>666</v>
      </c>
      <c r="P298" s="16" t="s">
        <v>402</v>
      </c>
      <c r="Q298" s="20" t="n">
        <v>46285</v>
      </c>
      <c r="R298" s="16" t="s">
        <v>1363</v>
      </c>
      <c r="S298" s="16" t="s">
        <v>452</v>
      </c>
      <c r="T298" s="17" t="n">
        <v>46285.2522337963</v>
      </c>
      <c r="U298" s="21" t="n">
        <v>1</v>
      </c>
      <c r="V298" s="21" t="n">
        <v>1</v>
      </c>
      <c r="W298" s="22" t="n">
        <v>5.4</v>
      </c>
      <c r="X298" s="16" t="s">
        <v>335</v>
      </c>
      <c r="Y298" s="16" t="s">
        <v>338</v>
      </c>
      <c r="Z298" s="16" t="s">
        <v>413</v>
      </c>
      <c r="AA298" s="16" t="s">
        <v>414</v>
      </c>
      <c r="AB298" s="23" t="s">
        <v>1364</v>
      </c>
      <c r="AC298" s="17" t="n">
        <v>46285.2555324074</v>
      </c>
      <c r="AD298" s="16" t="s">
        <v>338</v>
      </c>
      <c r="AE298" s="16"/>
      <c r="AF298" s="16" t="str">
        <f aca="false">IF(COUNTIF(لیست_سفید!$A$2:$A$21,B298)&gt;0,"بله","خیر")</f>
        <v>خیر</v>
      </c>
      <c r="AG298" s="24" t="n">
        <f aca="false">IF(H298="","",IF(AD298="فیش مفقودی",تنظیمات!$B$6,(INT(I298/1440)*تنظیمات!$B$5+IF(MOD(I298,1440)&lt;=تنظیمات!$B$2,0,MIN(تنظیمات!$B$5,تنظیمات!$B$3+MAX(0,ROUNDUP((MOD(I298,1440)-60)/60,0))*تنظیمات!$B$4)))*INDEX(تعرفه!$B$2:$B$7,MATCH(AD298,تعرفه!$A$2:$A$7,0))))</f>
        <v>20000</v>
      </c>
      <c r="AH298" s="24" t="n">
        <v>20000</v>
      </c>
      <c r="AI298" s="24" t="n">
        <f aca="false">IF(AG298="","",AH298-AG298)</f>
        <v>0</v>
      </c>
      <c r="AJ298" s="21" t="n">
        <v>3</v>
      </c>
      <c r="AK298" s="21" t="n">
        <v>0</v>
      </c>
      <c r="AL298" s="16" t="s">
        <v>335</v>
      </c>
      <c r="AM298" s="16"/>
      <c r="AN298" s="16" t="s">
        <v>340</v>
      </c>
      <c r="AO298" s="16" t="s">
        <v>340</v>
      </c>
      <c r="AP298" s="16" t="s">
        <v>335</v>
      </c>
      <c r="AQ298" s="16"/>
      <c r="AR298" s="21" t="n">
        <f aca="false">IF(AND(T298&lt;&gt;"",H298&lt;&gt;""),IF(AND((T298-H298)*86400&gt;=0,(T298-H298)*86400&lt;تنظیمات!$B$13),1,0),0)</f>
        <v>0</v>
      </c>
      <c r="AS298" s="21" t="n">
        <f aca="false">IF(Z298="پوز",IF(OR(AB298="",COUNTIF(پوزها!$A$2:$A$5,AA298)=0),1,0),0)</f>
        <v>0</v>
      </c>
      <c r="AT298" s="21" t="n">
        <f aca="false">IF(AI298="",0,IF(AI298&gt;0,1,0))</f>
        <v>0</v>
      </c>
      <c r="AU298" s="21" t="n">
        <f aca="false">IF(AI298="",0,IF(AI298&lt;0,1,0))</f>
        <v>0</v>
      </c>
      <c r="AV298" s="21" t="n">
        <f aca="false">IF(U298&gt;V298,1,0)</f>
        <v>0</v>
      </c>
      <c r="AW298" s="21" t="n">
        <f aca="false">IF(OR(W298&gt;تنظیمات!$B$8,X298="بله"),1,0)</f>
        <v>0</v>
      </c>
      <c r="AX298" s="21" t="n">
        <f aca="false">IF(AND(N298="بله",L298&gt;تنظیمات!$B$9),1,0)</f>
        <v>0</v>
      </c>
      <c r="AY298" s="21" t="n">
        <f aca="false">IF(Y298="معکوس",1,0)</f>
        <v>0</v>
      </c>
      <c r="AZ298" s="21" t="n">
        <f aca="false">IF(ABS(AJ298)&gt;تنظیمات!$B$10,1,0)</f>
        <v>0</v>
      </c>
      <c r="BA298" s="21" t="n">
        <f aca="false">IF(AND(OR(AD298="رایگان/VIP",AD298="جانباز"),AF298="خیر"),1,0)</f>
        <v>0</v>
      </c>
      <c r="BB298" s="21" t="n">
        <f aca="false">IF(AE298="",0,IF(COUNTIF($AE$2:$AE$1001,AE298)&gt;1,1,0))</f>
        <v>0</v>
      </c>
      <c r="BC298" s="21" t="n">
        <f aca="false">IF(AND(H298="",I298&gt;تنظیمات!$B$12*60,AM298="خالی"),1,0)</f>
        <v>0</v>
      </c>
      <c r="BD298" s="21" t="n">
        <f aca="false">IF(AND(AP298="بله",I298&lt;تنظیمات!$B$14,AO298="خیر"),1,0)</f>
        <v>0</v>
      </c>
      <c r="BE298" s="21" t="n">
        <f aca="false">IF(AN298="خیر",1,0)</f>
        <v>0</v>
      </c>
      <c r="BF298" s="21" t="n">
        <f aca="false">IF(AND(AD298="فیش مفقودی",AQ298="بله",I298&gt;تنظیمات!$B$12*60),1,0)</f>
        <v>0</v>
      </c>
      <c r="BG298" s="21" t="n">
        <f aca="false">IF(AND(AK298&gt;تنظیمات!$B$11,AL298="بله"),1,0)</f>
        <v>0</v>
      </c>
      <c r="BH298" s="21" t="n">
        <f aca="false">MIN(100,AR298*تنظیمات!$B$21+AS298*تنظیمات!$B$22+AT298*تنظیمات!$B$23+AU298*تنظیمات!$B$24+AV298*تنظیمات!$B$25+AW298*تنظیمات!$B$26+AX298*تنظیمات!$B$27+AY298*تنظیمات!$B$28+AZ298*تنظیمات!$B$29+BA298*تنظیمات!$B$30+BB298*تنظیمات!$B$31+BC298*تنظیمات!$B$32+BD298*تنظیمات!$B$33+BE298*تنظیمات!$B$34+BF298*تنظیمات!$B$35+BG298*تنظیمات!$B$36)</f>
        <v>0</v>
      </c>
      <c r="BI298" s="16" t="str">
        <f aca="false">IF(BH298&gt;=60,"بحرانی",IF(BH298&gt;=30,"مشکوک",IF(BH298&gt;0,"هشدار","عادی")))</f>
        <v>عادی</v>
      </c>
      <c r="BJ298" s="16" t="s">
        <v>338</v>
      </c>
    </row>
    <row r="299" customFormat="false" ht="15" hidden="false" customHeight="false" outlineLevel="0" collapsed="false">
      <c r="A299" s="16" t="s">
        <v>1365</v>
      </c>
      <c r="B299" s="16" t="s">
        <v>1366</v>
      </c>
      <c r="C299" s="16"/>
      <c r="D299" s="16" t="s">
        <v>418</v>
      </c>
      <c r="E299" s="16" t="s">
        <v>363</v>
      </c>
      <c r="F299" s="16" t="s">
        <v>333</v>
      </c>
      <c r="G299" s="17" t="n">
        <v>46285.2548148148</v>
      </c>
      <c r="H299" s="17" t="n">
        <v>46285.6166203704</v>
      </c>
      <c r="I299" s="18" t="n">
        <f aca="false">IF(H299="",ROUND((تنظیمات!$B$7-G299)*1440,0),ROUND((H299-G299)*1440,0))</f>
        <v>521</v>
      </c>
      <c r="J299" s="16" t="s">
        <v>346</v>
      </c>
      <c r="K299" s="16" t="s">
        <v>400</v>
      </c>
      <c r="L299" s="19" t="n">
        <v>0.984</v>
      </c>
      <c r="M299" s="19" t="n">
        <v>0.925</v>
      </c>
      <c r="N299" s="16" t="s">
        <v>335</v>
      </c>
      <c r="O299" s="16" t="s">
        <v>677</v>
      </c>
      <c r="P299" s="16" t="s">
        <v>420</v>
      </c>
      <c r="Q299" s="20" t="n">
        <v>46285</v>
      </c>
      <c r="R299" s="16" t="s">
        <v>1367</v>
      </c>
      <c r="S299" s="16" t="s">
        <v>404</v>
      </c>
      <c r="T299" s="17"/>
      <c r="U299" s="21" t="n">
        <v>1</v>
      </c>
      <c r="V299" s="21" t="n">
        <v>1</v>
      </c>
      <c r="W299" s="22" t="n">
        <v>5.6</v>
      </c>
      <c r="X299" s="16" t="s">
        <v>335</v>
      </c>
      <c r="Y299" s="16" t="s">
        <v>338</v>
      </c>
      <c r="Z299" s="16" t="s">
        <v>443</v>
      </c>
      <c r="AA299" s="16"/>
      <c r="AB299" s="23"/>
      <c r="AC299" s="17"/>
      <c r="AD299" s="16" t="s">
        <v>444</v>
      </c>
      <c r="AE299" s="16"/>
      <c r="AF299" s="16" t="str">
        <f aca="false">IF(COUNTIF(لیست_سفید!$A$2:$A$21,B299)&gt;0,"بله","خیر")</f>
        <v>خیر</v>
      </c>
      <c r="AG299" s="24" t="n">
        <f aca="false">IF(H299="","",IF(AD299="فیش مفقودی",تنظیمات!$B$6,(INT(I299/1440)*تنظیمات!$B$5+IF(MOD(I299,1440)&lt;=تنظیمات!$B$2,0,MIN(تنظیمات!$B$5,تنظیمات!$B$3+MAX(0,ROUNDUP((MOD(I299,1440)-60)/60,0))*تنظیمات!$B$4)))*INDEX(تعرفه!$B$2:$B$7,MATCH(AD299,تعرفه!$A$2:$A$7,0))))</f>
        <v>0</v>
      </c>
      <c r="AH299" s="24" t="n">
        <v>0</v>
      </c>
      <c r="AI299" s="24" t="n">
        <f aca="false">IF(AG299="","",AH299-AG299)</f>
        <v>0</v>
      </c>
      <c r="AJ299" s="21" t="n">
        <v>-2</v>
      </c>
      <c r="AK299" s="21" t="n">
        <v>0</v>
      </c>
      <c r="AL299" s="16" t="s">
        <v>335</v>
      </c>
      <c r="AM299" s="16"/>
      <c r="AN299" s="16" t="s">
        <v>340</v>
      </c>
      <c r="AO299" s="16" t="s">
        <v>340</v>
      </c>
      <c r="AP299" s="16" t="s">
        <v>335</v>
      </c>
      <c r="AQ299" s="16"/>
      <c r="AR299" s="21" t="n">
        <f aca="false">IF(AND(T299&lt;&gt;"",H299&lt;&gt;""),IF(AND((T299-H299)*86400&gt;=0,(T299-H299)*86400&lt;تنظیمات!$B$13),1,0),0)</f>
        <v>0</v>
      </c>
      <c r="AS299" s="21" t="n">
        <f aca="false">IF(Z299="پوز",IF(OR(AB299="",COUNTIF(پوزها!$A$2:$A$5,AA299)=0),1,0),0)</f>
        <v>0</v>
      </c>
      <c r="AT299" s="21" t="n">
        <f aca="false">IF(AI299="",0,IF(AI299&gt;0,1,0))</f>
        <v>0</v>
      </c>
      <c r="AU299" s="21" t="n">
        <f aca="false">IF(AI299="",0,IF(AI299&lt;0,1,0))</f>
        <v>0</v>
      </c>
      <c r="AV299" s="21" t="n">
        <f aca="false">IF(U299&gt;V299,1,0)</f>
        <v>0</v>
      </c>
      <c r="AW299" s="21" t="n">
        <f aca="false">IF(OR(W299&gt;تنظیمات!$B$8,X299="بله"),1,0)</f>
        <v>0</v>
      </c>
      <c r="AX299" s="21" t="n">
        <f aca="false">IF(AND(N299="بله",L299&gt;تنظیمات!$B$9),1,0)</f>
        <v>0</v>
      </c>
      <c r="AY299" s="21" t="n">
        <f aca="false">IF(Y299="معکوس",1,0)</f>
        <v>0</v>
      </c>
      <c r="AZ299" s="21" t="n">
        <f aca="false">IF(ABS(AJ299)&gt;تنظیمات!$B$10,1,0)</f>
        <v>0</v>
      </c>
      <c r="BA299" s="21" t="n">
        <f aca="false">IF(AND(OR(AD299="رایگان/VIP",AD299="جانباز"),AF299="خیر"),1,0)</f>
        <v>0</v>
      </c>
      <c r="BB299" s="21" t="n">
        <f aca="false">IF(AE299="",0,IF(COUNTIF($AE$2:$AE$1001,AE299)&gt;1,1,0))</f>
        <v>0</v>
      </c>
      <c r="BC299" s="21" t="n">
        <f aca="false">IF(AND(H299="",I299&gt;تنظیمات!$B$12*60,AM299="خالی"),1,0)</f>
        <v>0</v>
      </c>
      <c r="BD299" s="21" t="n">
        <f aca="false">IF(AND(AP299="بله",I299&lt;تنظیمات!$B$14,AO299="خیر"),1,0)</f>
        <v>0</v>
      </c>
      <c r="BE299" s="21" t="n">
        <f aca="false">IF(AN299="خیر",1,0)</f>
        <v>0</v>
      </c>
      <c r="BF299" s="21" t="n">
        <f aca="false">IF(AND(AD299="فیش مفقودی",AQ299="بله",I299&gt;تنظیمات!$B$12*60),1,0)</f>
        <v>0</v>
      </c>
      <c r="BG299" s="21" t="n">
        <f aca="false">IF(AND(AK299&gt;تنظیمات!$B$11,AL299="بله"),1,0)</f>
        <v>0</v>
      </c>
      <c r="BH299" s="21" t="n">
        <f aca="false">MIN(100,AR299*تنظیمات!$B$21+AS299*تنظیمات!$B$22+AT299*تنظیمات!$B$23+AU299*تنظیمات!$B$24+AV299*تنظیمات!$B$25+AW299*تنظیمات!$B$26+AX299*تنظیمات!$B$27+AY299*تنظیمات!$B$28+AZ299*تنظیمات!$B$29+BA299*تنظیمات!$B$30+BB299*تنظیمات!$B$31+BC299*تنظیمات!$B$32+BD299*تنظیمات!$B$33+BE299*تنظیمات!$B$34+BF299*تنظیمات!$B$35+BG299*تنظیمات!$B$36)</f>
        <v>0</v>
      </c>
      <c r="BI299" s="16" t="str">
        <f aca="false">IF(BH299&gt;=60,"بحرانی",IF(BH299&gt;=30,"مشکوک",IF(BH299&gt;0,"هشدار","عادی")))</f>
        <v>عادی</v>
      </c>
      <c r="BJ299" s="16" t="s">
        <v>338</v>
      </c>
    </row>
    <row r="300" customFormat="false" ht="15" hidden="false" customHeight="false" outlineLevel="0" collapsed="false">
      <c r="A300" s="16" t="s">
        <v>1368</v>
      </c>
      <c r="B300" s="16" t="s">
        <v>575</v>
      </c>
      <c r="C300" s="16"/>
      <c r="D300" s="16" t="s">
        <v>370</v>
      </c>
      <c r="E300" s="16" t="s">
        <v>363</v>
      </c>
      <c r="F300" s="16" t="s">
        <v>333</v>
      </c>
      <c r="G300" s="17" t="n">
        <v>46285.2588888889</v>
      </c>
      <c r="H300" s="17" t="n">
        <v>46285.8838888889</v>
      </c>
      <c r="I300" s="18" t="n">
        <f aca="false">IF(H300="",ROUND((تنظیمات!$B$7-G300)*1440,0),ROUND((H300-G300)*1440,0))</f>
        <v>900</v>
      </c>
      <c r="J300" s="16" t="s">
        <v>346</v>
      </c>
      <c r="K300" s="16" t="s">
        <v>400</v>
      </c>
      <c r="L300" s="19" t="n">
        <v>0.932</v>
      </c>
      <c r="M300" s="19" t="n">
        <v>0.995</v>
      </c>
      <c r="N300" s="16" t="s">
        <v>335</v>
      </c>
      <c r="O300" s="16" t="s">
        <v>677</v>
      </c>
      <c r="P300" s="16" t="s">
        <v>420</v>
      </c>
      <c r="Q300" s="20" t="n">
        <v>46285</v>
      </c>
      <c r="R300" s="16" t="s">
        <v>1369</v>
      </c>
      <c r="S300" s="16" t="s">
        <v>404</v>
      </c>
      <c r="T300" s="17"/>
      <c r="U300" s="21" t="n">
        <v>1</v>
      </c>
      <c r="V300" s="21" t="n">
        <v>1</v>
      </c>
      <c r="W300" s="22" t="n">
        <v>6.2</v>
      </c>
      <c r="X300" s="16" t="s">
        <v>335</v>
      </c>
      <c r="Y300" s="16" t="s">
        <v>338</v>
      </c>
      <c r="Z300" s="16" t="s">
        <v>405</v>
      </c>
      <c r="AA300" s="16"/>
      <c r="AB300" s="23"/>
      <c r="AC300" s="17"/>
      <c r="AD300" s="16" t="s">
        <v>338</v>
      </c>
      <c r="AE300" s="16"/>
      <c r="AF300" s="16" t="str">
        <f aca="false">IF(COUNTIF(لیست_سفید!$A$2:$A$21,B300)&gt;0,"بله","خیر")</f>
        <v>خیر</v>
      </c>
      <c r="AG300" s="24" t="n">
        <f aca="false">IF(H300="","",IF(AD300="فیش مفقودی",تنظیمات!$B$6,(INT(I300/1440)*تنظیمات!$B$5+IF(MOD(I300,1440)&lt;=تنظیمات!$B$2,0,MIN(تنظیمات!$B$5,تنظیمات!$B$3+MAX(0,ROUNDUP((MOD(I300,1440)-60)/60,0))*تنظیمات!$B$4)))*INDEX(تعرفه!$B$2:$B$7,MATCH(AD300,تعرفه!$A$2:$A$7,0))))</f>
        <v>180000</v>
      </c>
      <c r="AH300" s="24" t="n">
        <v>180000</v>
      </c>
      <c r="AI300" s="24" t="n">
        <f aca="false">IF(AG300="","",AH300-AG300)</f>
        <v>0</v>
      </c>
      <c r="AJ300" s="21" t="n">
        <v>0</v>
      </c>
      <c r="AK300" s="21" t="n">
        <v>0</v>
      </c>
      <c r="AL300" s="16" t="s">
        <v>335</v>
      </c>
      <c r="AM300" s="16"/>
      <c r="AN300" s="16" t="s">
        <v>340</v>
      </c>
      <c r="AO300" s="16" t="s">
        <v>340</v>
      </c>
      <c r="AP300" s="16" t="s">
        <v>335</v>
      </c>
      <c r="AQ300" s="16"/>
      <c r="AR300" s="21" t="n">
        <f aca="false">IF(AND(T300&lt;&gt;"",H300&lt;&gt;""),IF(AND((T300-H300)*86400&gt;=0,(T300-H300)*86400&lt;تنظیمات!$B$13),1,0),0)</f>
        <v>0</v>
      </c>
      <c r="AS300" s="21" t="n">
        <f aca="false">IF(Z300="پوز",IF(OR(AB300="",COUNTIF(پوزها!$A$2:$A$5,AA300)=0),1,0),0)</f>
        <v>0</v>
      </c>
      <c r="AT300" s="21" t="n">
        <f aca="false">IF(AI300="",0,IF(AI300&gt;0,1,0))</f>
        <v>0</v>
      </c>
      <c r="AU300" s="21" t="n">
        <f aca="false">IF(AI300="",0,IF(AI300&lt;0,1,0))</f>
        <v>0</v>
      </c>
      <c r="AV300" s="21" t="n">
        <f aca="false">IF(U300&gt;V300,1,0)</f>
        <v>0</v>
      </c>
      <c r="AW300" s="21" t="n">
        <f aca="false">IF(OR(W300&gt;تنظیمات!$B$8,X300="بله"),1,0)</f>
        <v>0</v>
      </c>
      <c r="AX300" s="21" t="n">
        <f aca="false">IF(AND(N300="بله",L300&gt;تنظیمات!$B$9),1,0)</f>
        <v>0</v>
      </c>
      <c r="AY300" s="21" t="n">
        <f aca="false">IF(Y300="معکوس",1,0)</f>
        <v>0</v>
      </c>
      <c r="AZ300" s="21" t="n">
        <f aca="false">IF(ABS(AJ300)&gt;تنظیمات!$B$10,1,0)</f>
        <v>0</v>
      </c>
      <c r="BA300" s="21" t="n">
        <f aca="false">IF(AND(OR(AD300="رایگان/VIP",AD300="جانباز"),AF300="خیر"),1,0)</f>
        <v>0</v>
      </c>
      <c r="BB300" s="21" t="n">
        <f aca="false">IF(AE300="",0,IF(COUNTIF($AE$2:$AE$1001,AE300)&gt;1,1,0))</f>
        <v>0</v>
      </c>
      <c r="BC300" s="21" t="n">
        <f aca="false">IF(AND(H300="",I300&gt;تنظیمات!$B$12*60,AM300="خالی"),1,0)</f>
        <v>0</v>
      </c>
      <c r="BD300" s="21" t="n">
        <f aca="false">IF(AND(AP300="بله",I300&lt;تنظیمات!$B$14,AO300="خیر"),1,0)</f>
        <v>0</v>
      </c>
      <c r="BE300" s="21" t="n">
        <f aca="false">IF(AN300="خیر",1,0)</f>
        <v>0</v>
      </c>
      <c r="BF300" s="21" t="n">
        <f aca="false">IF(AND(AD300="فیش مفقودی",AQ300="بله",I300&gt;تنظیمات!$B$12*60),1,0)</f>
        <v>0</v>
      </c>
      <c r="BG300" s="21" t="n">
        <f aca="false">IF(AND(AK300&gt;تنظیمات!$B$11,AL300="بله"),1,0)</f>
        <v>0</v>
      </c>
      <c r="BH300" s="21" t="n">
        <f aca="false">MIN(100,AR300*تنظیمات!$B$21+AS300*تنظیمات!$B$22+AT300*تنظیمات!$B$23+AU300*تنظیمات!$B$24+AV300*تنظیمات!$B$25+AW300*تنظیمات!$B$26+AX300*تنظیمات!$B$27+AY300*تنظیمات!$B$28+AZ300*تنظیمات!$B$29+BA300*تنظیمات!$B$30+BB300*تنظیمات!$B$31+BC300*تنظیمات!$B$32+BD300*تنظیمات!$B$33+BE300*تنظیمات!$B$34+BF300*تنظیمات!$B$35+BG300*تنظیمات!$B$36)</f>
        <v>0</v>
      </c>
      <c r="BI300" s="16" t="str">
        <f aca="false">IF(BH300&gt;=60,"بحرانی",IF(BH300&gt;=30,"مشکوک",IF(BH300&gt;0,"هشدار","عادی")))</f>
        <v>عادی</v>
      </c>
      <c r="BJ300" s="16" t="s">
        <v>338</v>
      </c>
    </row>
    <row r="301" customFormat="false" ht="15" hidden="false" customHeight="false" outlineLevel="0" collapsed="false">
      <c r="A301" s="16" t="s">
        <v>1370</v>
      </c>
      <c r="B301" s="16" t="s">
        <v>827</v>
      </c>
      <c r="C301" s="16"/>
      <c r="D301" s="16" t="s">
        <v>386</v>
      </c>
      <c r="E301" s="16" t="s">
        <v>390</v>
      </c>
      <c r="F301" s="16" t="s">
        <v>333</v>
      </c>
      <c r="G301" s="17" t="n">
        <v>46285.2757986111</v>
      </c>
      <c r="H301" s="17" t="n">
        <v>46287.6126041667</v>
      </c>
      <c r="I301" s="18" t="n">
        <f aca="false">IF(H301="",ROUND((تنظیمات!$B$7-G301)*1440,0),ROUND((H301-G301)*1440,0))</f>
        <v>3365</v>
      </c>
      <c r="J301" s="16" t="s">
        <v>334</v>
      </c>
      <c r="K301" s="16" t="s">
        <v>410</v>
      </c>
      <c r="L301" s="19" t="n">
        <v>0.965</v>
      </c>
      <c r="M301" s="19" t="n">
        <v>0.947</v>
      </c>
      <c r="N301" s="16" t="s">
        <v>335</v>
      </c>
      <c r="O301" s="16" t="s">
        <v>411</v>
      </c>
      <c r="P301" s="16" t="s">
        <v>420</v>
      </c>
      <c r="Q301" s="20" t="n">
        <v>46287</v>
      </c>
      <c r="R301" s="16" t="s">
        <v>1371</v>
      </c>
      <c r="S301" s="16" t="s">
        <v>404</v>
      </c>
      <c r="T301" s="17"/>
      <c r="U301" s="21" t="n">
        <v>1</v>
      </c>
      <c r="V301" s="21" t="n">
        <v>1</v>
      </c>
      <c r="W301" s="22" t="n">
        <v>3.1</v>
      </c>
      <c r="X301" s="16" t="s">
        <v>335</v>
      </c>
      <c r="Y301" s="16" t="s">
        <v>338</v>
      </c>
      <c r="Z301" s="16" t="s">
        <v>405</v>
      </c>
      <c r="AA301" s="16"/>
      <c r="AB301" s="23"/>
      <c r="AC301" s="17"/>
      <c r="AD301" s="16" t="s">
        <v>338</v>
      </c>
      <c r="AE301" s="16"/>
      <c r="AF301" s="16" t="str">
        <f aca="false">IF(COUNTIF(لیست_سفید!$A$2:$A$21,B301)&gt;0,"بله","خیر")</f>
        <v>خیر</v>
      </c>
      <c r="AG301" s="24" t="n">
        <f aca="false">IF(H301="","",IF(AD301="فیش مفقودی",تنظیمات!$B$6,(INT(I301/1440)*تنظیمات!$B$5+IF(MOD(I301,1440)&lt;=تنظیمات!$B$2,0,MIN(تنظیمات!$B$5,تنظیمات!$B$3+MAX(0,ROUNDUP((MOD(I301,1440)-60)/60,0))*تنظیمات!$B$4)))*INDEX(تعرفه!$B$2:$B$7,MATCH(AD301,تعرفه!$A$2:$A$7,0))))</f>
        <v>492000</v>
      </c>
      <c r="AH301" s="24" t="n">
        <v>492000</v>
      </c>
      <c r="AI301" s="24" t="n">
        <f aca="false">IF(AG301="","",AH301-AG301)</f>
        <v>0</v>
      </c>
      <c r="AJ301" s="21" t="n">
        <v>4</v>
      </c>
      <c r="AK301" s="21" t="n">
        <v>0</v>
      </c>
      <c r="AL301" s="16" t="s">
        <v>335</v>
      </c>
      <c r="AM301" s="16"/>
      <c r="AN301" s="16" t="s">
        <v>340</v>
      </c>
      <c r="AO301" s="16" t="s">
        <v>340</v>
      </c>
      <c r="AP301" s="16" t="s">
        <v>335</v>
      </c>
      <c r="AQ301" s="16"/>
      <c r="AR301" s="21" t="n">
        <f aca="false">IF(AND(T301&lt;&gt;"",H301&lt;&gt;""),IF(AND((T301-H301)*86400&gt;=0,(T301-H301)*86400&lt;تنظیمات!$B$13),1,0),0)</f>
        <v>0</v>
      </c>
      <c r="AS301" s="21" t="n">
        <f aca="false">IF(Z301="پوز",IF(OR(AB301="",COUNTIF(پوزها!$A$2:$A$5,AA301)=0),1,0),0)</f>
        <v>0</v>
      </c>
      <c r="AT301" s="21" t="n">
        <f aca="false">IF(AI301="",0,IF(AI301&gt;0,1,0))</f>
        <v>0</v>
      </c>
      <c r="AU301" s="21" t="n">
        <f aca="false">IF(AI301="",0,IF(AI301&lt;0,1,0))</f>
        <v>0</v>
      </c>
      <c r="AV301" s="21" t="n">
        <f aca="false">IF(U301&gt;V301,1,0)</f>
        <v>0</v>
      </c>
      <c r="AW301" s="21" t="n">
        <f aca="false">IF(OR(W301&gt;تنظیمات!$B$8,X301="بله"),1,0)</f>
        <v>0</v>
      </c>
      <c r="AX301" s="21" t="n">
        <f aca="false">IF(AND(N301="بله",L301&gt;تنظیمات!$B$9),1,0)</f>
        <v>0</v>
      </c>
      <c r="AY301" s="21" t="n">
        <f aca="false">IF(Y301="معکوس",1,0)</f>
        <v>0</v>
      </c>
      <c r="AZ301" s="21" t="n">
        <f aca="false">IF(ABS(AJ301)&gt;تنظیمات!$B$10,1,0)</f>
        <v>0</v>
      </c>
      <c r="BA301" s="21" t="n">
        <f aca="false">IF(AND(OR(AD301="رایگان/VIP",AD301="جانباز"),AF301="خیر"),1,0)</f>
        <v>0</v>
      </c>
      <c r="BB301" s="21" t="n">
        <f aca="false">IF(AE301="",0,IF(COUNTIF($AE$2:$AE$1001,AE301)&gt;1,1,0))</f>
        <v>0</v>
      </c>
      <c r="BC301" s="21" t="n">
        <f aca="false">IF(AND(H301="",I301&gt;تنظیمات!$B$12*60,AM301="خالی"),1,0)</f>
        <v>0</v>
      </c>
      <c r="BD301" s="21" t="n">
        <f aca="false">IF(AND(AP301="بله",I301&lt;تنظیمات!$B$14,AO301="خیر"),1,0)</f>
        <v>0</v>
      </c>
      <c r="BE301" s="21" t="n">
        <f aca="false">IF(AN301="خیر",1,0)</f>
        <v>0</v>
      </c>
      <c r="BF301" s="21" t="n">
        <f aca="false">IF(AND(AD301="فیش مفقودی",AQ301="بله",I301&gt;تنظیمات!$B$12*60),1,0)</f>
        <v>0</v>
      </c>
      <c r="BG301" s="21" t="n">
        <f aca="false">IF(AND(AK301&gt;تنظیمات!$B$11,AL301="بله"),1,0)</f>
        <v>0</v>
      </c>
      <c r="BH301" s="21" t="n">
        <f aca="false">MIN(100,AR301*تنظیمات!$B$21+AS301*تنظیمات!$B$22+AT301*تنظیمات!$B$23+AU301*تنظیمات!$B$24+AV301*تنظیمات!$B$25+AW301*تنظیمات!$B$26+AX301*تنظیمات!$B$27+AY301*تنظیمات!$B$28+AZ301*تنظیمات!$B$29+BA301*تنظیمات!$B$30+BB301*تنظیمات!$B$31+BC301*تنظیمات!$B$32+BD301*تنظیمات!$B$33+BE301*تنظیمات!$B$34+BF301*تنظیمات!$B$35+BG301*تنظیمات!$B$36)</f>
        <v>0</v>
      </c>
      <c r="BI301" s="16" t="str">
        <f aca="false">IF(BH301&gt;=60,"بحرانی",IF(BH301&gt;=30,"مشکوک",IF(BH301&gt;0,"هشدار","عادی")))</f>
        <v>عادی</v>
      </c>
      <c r="BJ301" s="16" t="s">
        <v>338</v>
      </c>
    </row>
    <row r="302" customFormat="false" ht="15" hidden="false" customHeight="false" outlineLevel="0" collapsed="false">
      <c r="A302" s="16" t="s">
        <v>1372</v>
      </c>
      <c r="B302" s="16" t="s">
        <v>1373</v>
      </c>
      <c r="C302" s="16"/>
      <c r="D302" s="16" t="s">
        <v>370</v>
      </c>
      <c r="E302" s="16" t="s">
        <v>363</v>
      </c>
      <c r="F302" s="16" t="s">
        <v>333</v>
      </c>
      <c r="G302" s="17" t="n">
        <v>46285.2766435185</v>
      </c>
      <c r="H302" s="17" t="n">
        <v>46285.5738657407</v>
      </c>
      <c r="I302" s="18" t="n">
        <f aca="false">IF(H302="",ROUND((تنظیمات!$B$7-G302)*1440,0),ROUND((H302-G302)*1440,0))</f>
        <v>428</v>
      </c>
      <c r="J302" s="16" t="s">
        <v>346</v>
      </c>
      <c r="K302" s="16" t="s">
        <v>400</v>
      </c>
      <c r="L302" s="19" t="n">
        <v>0.938</v>
      </c>
      <c r="M302" s="19" t="n">
        <v>0.951</v>
      </c>
      <c r="N302" s="16" t="s">
        <v>335</v>
      </c>
      <c r="O302" s="16" t="s">
        <v>650</v>
      </c>
      <c r="P302" s="16" t="s">
        <v>402</v>
      </c>
      <c r="Q302" s="20" t="n">
        <v>46285</v>
      </c>
      <c r="R302" s="16" t="s">
        <v>1374</v>
      </c>
      <c r="S302" s="16" t="s">
        <v>404</v>
      </c>
      <c r="T302" s="17"/>
      <c r="U302" s="21" t="n">
        <v>1</v>
      </c>
      <c r="V302" s="21" t="n">
        <v>1</v>
      </c>
      <c r="W302" s="22" t="n">
        <v>5.2</v>
      </c>
      <c r="X302" s="16" t="s">
        <v>335</v>
      </c>
      <c r="Y302" s="16" t="s">
        <v>338</v>
      </c>
      <c r="Z302" s="16" t="s">
        <v>413</v>
      </c>
      <c r="AA302" s="16" t="s">
        <v>427</v>
      </c>
      <c r="AB302" s="23" t="s">
        <v>1375</v>
      </c>
      <c r="AC302" s="17" t="n">
        <v>46285.5729166667</v>
      </c>
      <c r="AD302" s="16" t="s">
        <v>338</v>
      </c>
      <c r="AE302" s="16"/>
      <c r="AF302" s="16" t="str">
        <f aca="false">IF(COUNTIF(لیست_سفید!$A$2:$A$21,B302)&gt;0,"بله","خیر")</f>
        <v>خیر</v>
      </c>
      <c r="AG302" s="24" t="n">
        <f aca="false">IF(H302="","",IF(AD302="فیش مفقودی",تنظیمات!$B$6,(INT(I302/1440)*تنظیمات!$B$5+IF(MOD(I302,1440)&lt;=تنظیمات!$B$2,0,MIN(تنظیمات!$B$5,تنظیمات!$B$3+MAX(0,ROUNDUP((MOD(I302,1440)-60)/60,0))*تنظیمات!$B$4)))*INDEX(تعرفه!$B$2:$B$7,MATCH(AD302,تعرفه!$A$2:$A$7,0))))</f>
        <v>118000</v>
      </c>
      <c r="AH302" s="24" t="n">
        <v>118000</v>
      </c>
      <c r="AI302" s="24" t="n">
        <f aca="false">IF(AG302="","",AH302-AG302)</f>
        <v>0</v>
      </c>
      <c r="AJ302" s="21" t="n">
        <v>1</v>
      </c>
      <c r="AK302" s="21" t="n">
        <v>0</v>
      </c>
      <c r="AL302" s="16" t="s">
        <v>335</v>
      </c>
      <c r="AM302" s="16"/>
      <c r="AN302" s="16" t="s">
        <v>340</v>
      </c>
      <c r="AO302" s="16" t="s">
        <v>340</v>
      </c>
      <c r="AP302" s="16" t="s">
        <v>335</v>
      </c>
      <c r="AQ302" s="16"/>
      <c r="AR302" s="21" t="n">
        <f aca="false">IF(AND(T302&lt;&gt;"",H302&lt;&gt;""),IF(AND((T302-H302)*86400&gt;=0,(T302-H302)*86400&lt;تنظیمات!$B$13),1,0),0)</f>
        <v>0</v>
      </c>
      <c r="AS302" s="21" t="n">
        <f aca="false">IF(Z302="پوز",IF(OR(AB302="",COUNTIF(پوزها!$A$2:$A$5,AA302)=0),1,0),0)</f>
        <v>0</v>
      </c>
      <c r="AT302" s="21" t="n">
        <f aca="false">IF(AI302="",0,IF(AI302&gt;0,1,0))</f>
        <v>0</v>
      </c>
      <c r="AU302" s="21" t="n">
        <f aca="false">IF(AI302="",0,IF(AI302&lt;0,1,0))</f>
        <v>0</v>
      </c>
      <c r="AV302" s="21" t="n">
        <f aca="false">IF(U302&gt;V302,1,0)</f>
        <v>0</v>
      </c>
      <c r="AW302" s="21" t="n">
        <f aca="false">IF(OR(W302&gt;تنظیمات!$B$8,X302="بله"),1,0)</f>
        <v>0</v>
      </c>
      <c r="AX302" s="21" t="n">
        <f aca="false">IF(AND(N302="بله",L302&gt;تنظیمات!$B$9),1,0)</f>
        <v>0</v>
      </c>
      <c r="AY302" s="21" t="n">
        <f aca="false">IF(Y302="معکوس",1,0)</f>
        <v>0</v>
      </c>
      <c r="AZ302" s="21" t="n">
        <f aca="false">IF(ABS(AJ302)&gt;تنظیمات!$B$10,1,0)</f>
        <v>0</v>
      </c>
      <c r="BA302" s="21" t="n">
        <f aca="false">IF(AND(OR(AD302="رایگان/VIP",AD302="جانباز"),AF302="خیر"),1,0)</f>
        <v>0</v>
      </c>
      <c r="BB302" s="21" t="n">
        <f aca="false">IF(AE302="",0,IF(COUNTIF($AE$2:$AE$1001,AE302)&gt;1,1,0))</f>
        <v>0</v>
      </c>
      <c r="BC302" s="21" t="n">
        <f aca="false">IF(AND(H302="",I302&gt;تنظیمات!$B$12*60,AM302="خالی"),1,0)</f>
        <v>0</v>
      </c>
      <c r="BD302" s="21" t="n">
        <f aca="false">IF(AND(AP302="بله",I302&lt;تنظیمات!$B$14,AO302="خیر"),1,0)</f>
        <v>0</v>
      </c>
      <c r="BE302" s="21" t="n">
        <f aca="false">IF(AN302="خیر",1,0)</f>
        <v>0</v>
      </c>
      <c r="BF302" s="21" t="n">
        <f aca="false">IF(AND(AD302="فیش مفقودی",AQ302="بله",I302&gt;تنظیمات!$B$12*60),1,0)</f>
        <v>0</v>
      </c>
      <c r="BG302" s="21" t="n">
        <f aca="false">IF(AND(AK302&gt;تنظیمات!$B$11,AL302="بله"),1,0)</f>
        <v>0</v>
      </c>
      <c r="BH302" s="21" t="n">
        <f aca="false">MIN(100,AR302*تنظیمات!$B$21+AS302*تنظیمات!$B$22+AT302*تنظیمات!$B$23+AU302*تنظیمات!$B$24+AV302*تنظیمات!$B$25+AW302*تنظیمات!$B$26+AX302*تنظیمات!$B$27+AY302*تنظیمات!$B$28+AZ302*تنظیمات!$B$29+BA302*تنظیمات!$B$30+BB302*تنظیمات!$B$31+BC302*تنظیمات!$B$32+BD302*تنظیمات!$B$33+BE302*تنظیمات!$B$34+BF302*تنظیمات!$B$35+BG302*تنظیمات!$B$36)</f>
        <v>0</v>
      </c>
      <c r="BI302" s="16" t="str">
        <f aca="false">IF(BH302&gt;=60,"بحرانی",IF(BH302&gt;=30,"مشکوک",IF(BH302&gt;0,"هشدار","عادی")))</f>
        <v>عادی</v>
      </c>
      <c r="BJ302" s="16" t="s">
        <v>338</v>
      </c>
    </row>
    <row r="303" customFormat="false" ht="15" hidden="false" customHeight="false" outlineLevel="0" collapsed="false">
      <c r="A303" s="16" t="s">
        <v>1376</v>
      </c>
      <c r="B303" s="16" t="s">
        <v>1094</v>
      </c>
      <c r="C303" s="16"/>
      <c r="D303" s="16" t="s">
        <v>531</v>
      </c>
      <c r="E303" s="16" t="s">
        <v>375</v>
      </c>
      <c r="F303" s="16" t="s">
        <v>333</v>
      </c>
      <c r="G303" s="17" t="n">
        <v>46285.2879861111</v>
      </c>
      <c r="H303" s="17" t="n">
        <v>46287.5539583333</v>
      </c>
      <c r="I303" s="18" t="n">
        <f aca="false">IF(H303="",ROUND((تنظیمات!$B$7-G303)*1440,0),ROUND((H303-G303)*1440,0))</f>
        <v>3263</v>
      </c>
      <c r="J303" s="16" t="s">
        <v>334</v>
      </c>
      <c r="K303" s="16" t="s">
        <v>400</v>
      </c>
      <c r="L303" s="19" t="n">
        <v>0.995</v>
      </c>
      <c r="M303" s="19" t="n">
        <v>0.941</v>
      </c>
      <c r="N303" s="16" t="s">
        <v>335</v>
      </c>
      <c r="O303" s="16" t="s">
        <v>677</v>
      </c>
      <c r="P303" s="16" t="s">
        <v>402</v>
      </c>
      <c r="Q303" s="20" t="n">
        <v>46287</v>
      </c>
      <c r="R303" s="16" t="s">
        <v>1377</v>
      </c>
      <c r="S303" s="16" t="s">
        <v>404</v>
      </c>
      <c r="T303" s="17"/>
      <c r="U303" s="21" t="n">
        <v>1</v>
      </c>
      <c r="V303" s="21" t="n">
        <v>1</v>
      </c>
      <c r="W303" s="22" t="n">
        <v>6.1</v>
      </c>
      <c r="X303" s="16" t="s">
        <v>335</v>
      </c>
      <c r="Y303" s="16" t="s">
        <v>338</v>
      </c>
      <c r="Z303" s="16" t="s">
        <v>413</v>
      </c>
      <c r="AA303" s="16" t="s">
        <v>427</v>
      </c>
      <c r="AB303" s="23" t="s">
        <v>1378</v>
      </c>
      <c r="AC303" s="17" t="n">
        <v>46287.552974537</v>
      </c>
      <c r="AD303" s="16" t="s">
        <v>338</v>
      </c>
      <c r="AE303" s="16"/>
      <c r="AF303" s="16" t="str">
        <f aca="false">IF(COUNTIF(لیست_سفید!$A$2:$A$21,B303)&gt;0,"بله","خیر")</f>
        <v>خیر</v>
      </c>
      <c r="AG303" s="24" t="n">
        <f aca="false">IF(H303="","",IF(AD303="فیش مفقودی",تنظیمات!$B$6,(INT(I303/1440)*تنظیمات!$B$5+IF(MOD(I303,1440)&lt;=تنظیمات!$B$2,0,MIN(تنظیمات!$B$5,تنظیمات!$B$3+MAX(0,ROUNDUP((MOD(I303,1440)-60)/60,0))*تنظیمات!$B$4)))*INDEX(تعرفه!$B$2:$B$7,MATCH(AD303,تعرفه!$A$2:$A$7,0))))</f>
        <v>464000</v>
      </c>
      <c r="AH303" s="24" t="n">
        <v>464000</v>
      </c>
      <c r="AI303" s="24" t="n">
        <f aca="false">IF(AG303="","",AH303-AG303)</f>
        <v>0</v>
      </c>
      <c r="AJ303" s="21" t="n">
        <v>-1</v>
      </c>
      <c r="AK303" s="21" t="n">
        <v>0</v>
      </c>
      <c r="AL303" s="16" t="s">
        <v>335</v>
      </c>
      <c r="AM303" s="16"/>
      <c r="AN303" s="16" t="s">
        <v>340</v>
      </c>
      <c r="AO303" s="16" t="s">
        <v>340</v>
      </c>
      <c r="AP303" s="16" t="s">
        <v>335</v>
      </c>
      <c r="AQ303" s="16"/>
      <c r="AR303" s="21" t="n">
        <f aca="false">IF(AND(T303&lt;&gt;"",H303&lt;&gt;""),IF(AND((T303-H303)*86400&gt;=0,(T303-H303)*86400&lt;تنظیمات!$B$13),1,0),0)</f>
        <v>0</v>
      </c>
      <c r="AS303" s="21" t="n">
        <f aca="false">IF(Z303="پوز",IF(OR(AB303="",COUNTIF(پوزها!$A$2:$A$5,AA303)=0),1,0),0)</f>
        <v>0</v>
      </c>
      <c r="AT303" s="21" t="n">
        <f aca="false">IF(AI303="",0,IF(AI303&gt;0,1,0))</f>
        <v>0</v>
      </c>
      <c r="AU303" s="21" t="n">
        <f aca="false">IF(AI303="",0,IF(AI303&lt;0,1,0))</f>
        <v>0</v>
      </c>
      <c r="AV303" s="21" t="n">
        <f aca="false">IF(U303&gt;V303,1,0)</f>
        <v>0</v>
      </c>
      <c r="AW303" s="21" t="n">
        <f aca="false">IF(OR(W303&gt;تنظیمات!$B$8,X303="بله"),1,0)</f>
        <v>0</v>
      </c>
      <c r="AX303" s="21" t="n">
        <f aca="false">IF(AND(N303="بله",L303&gt;تنظیمات!$B$9),1,0)</f>
        <v>0</v>
      </c>
      <c r="AY303" s="21" t="n">
        <f aca="false">IF(Y303="معکوس",1,0)</f>
        <v>0</v>
      </c>
      <c r="AZ303" s="21" t="n">
        <f aca="false">IF(ABS(AJ303)&gt;تنظیمات!$B$10,1,0)</f>
        <v>0</v>
      </c>
      <c r="BA303" s="21" t="n">
        <f aca="false">IF(AND(OR(AD303="رایگان/VIP",AD303="جانباز"),AF303="خیر"),1,0)</f>
        <v>0</v>
      </c>
      <c r="BB303" s="21" t="n">
        <f aca="false">IF(AE303="",0,IF(COUNTIF($AE$2:$AE$1001,AE303)&gt;1,1,0))</f>
        <v>0</v>
      </c>
      <c r="BC303" s="21" t="n">
        <f aca="false">IF(AND(H303="",I303&gt;تنظیمات!$B$12*60,AM303="خالی"),1,0)</f>
        <v>0</v>
      </c>
      <c r="BD303" s="21" t="n">
        <f aca="false">IF(AND(AP303="بله",I303&lt;تنظیمات!$B$14,AO303="خیر"),1,0)</f>
        <v>0</v>
      </c>
      <c r="BE303" s="21" t="n">
        <f aca="false">IF(AN303="خیر",1,0)</f>
        <v>0</v>
      </c>
      <c r="BF303" s="21" t="n">
        <f aca="false">IF(AND(AD303="فیش مفقودی",AQ303="بله",I303&gt;تنظیمات!$B$12*60),1,0)</f>
        <v>0</v>
      </c>
      <c r="BG303" s="21" t="n">
        <f aca="false">IF(AND(AK303&gt;تنظیمات!$B$11,AL303="بله"),1,0)</f>
        <v>0</v>
      </c>
      <c r="BH303" s="21" t="n">
        <f aca="false">MIN(100,AR303*تنظیمات!$B$21+AS303*تنظیمات!$B$22+AT303*تنظیمات!$B$23+AU303*تنظیمات!$B$24+AV303*تنظیمات!$B$25+AW303*تنظیمات!$B$26+AX303*تنظیمات!$B$27+AY303*تنظیمات!$B$28+AZ303*تنظیمات!$B$29+BA303*تنظیمات!$B$30+BB303*تنظیمات!$B$31+BC303*تنظیمات!$B$32+BD303*تنظیمات!$B$33+BE303*تنظیمات!$B$34+BF303*تنظیمات!$B$35+BG303*تنظیمات!$B$36)</f>
        <v>0</v>
      </c>
      <c r="BI303" s="16" t="str">
        <f aca="false">IF(BH303&gt;=60,"بحرانی",IF(BH303&gt;=30,"مشکوک",IF(BH303&gt;0,"هشدار","عادی")))</f>
        <v>عادی</v>
      </c>
      <c r="BJ303" s="16" t="s">
        <v>338</v>
      </c>
    </row>
    <row r="304" customFormat="false" ht="15" hidden="false" customHeight="false" outlineLevel="0" collapsed="false">
      <c r="A304" s="16" t="s">
        <v>1379</v>
      </c>
      <c r="B304" s="16" t="s">
        <v>1380</v>
      </c>
      <c r="C304" s="16"/>
      <c r="D304" s="16" t="s">
        <v>431</v>
      </c>
      <c r="E304" s="16" t="s">
        <v>345</v>
      </c>
      <c r="F304" s="16" t="s">
        <v>333</v>
      </c>
      <c r="G304" s="17" t="n">
        <v>46285.2935185185</v>
      </c>
      <c r="H304" s="17" t="n">
        <v>46285.6733796296</v>
      </c>
      <c r="I304" s="18" t="n">
        <f aca="false">IF(H304="",ROUND((تنظیمات!$B$7-G304)*1440,0),ROUND((H304-G304)*1440,0))</f>
        <v>547</v>
      </c>
      <c r="J304" s="16" t="s">
        <v>346</v>
      </c>
      <c r="K304" s="16" t="s">
        <v>410</v>
      </c>
      <c r="L304" s="19" t="n">
        <v>0.969</v>
      </c>
      <c r="M304" s="19" t="n">
        <v>0.925</v>
      </c>
      <c r="N304" s="16" t="s">
        <v>335</v>
      </c>
      <c r="O304" s="16" t="s">
        <v>425</v>
      </c>
      <c r="P304" s="16" t="s">
        <v>420</v>
      </c>
      <c r="Q304" s="20" t="n">
        <v>46285</v>
      </c>
      <c r="R304" s="16" t="s">
        <v>1381</v>
      </c>
      <c r="S304" s="16" t="s">
        <v>404</v>
      </c>
      <c r="T304" s="17"/>
      <c r="U304" s="21" t="n">
        <v>1</v>
      </c>
      <c r="V304" s="21" t="n">
        <v>1</v>
      </c>
      <c r="W304" s="22" t="n">
        <v>4.1</v>
      </c>
      <c r="X304" s="16" t="s">
        <v>335</v>
      </c>
      <c r="Y304" s="16" t="s">
        <v>338</v>
      </c>
      <c r="Z304" s="16" t="s">
        <v>413</v>
      </c>
      <c r="AA304" s="16" t="s">
        <v>414</v>
      </c>
      <c r="AB304" s="23" t="s">
        <v>1382</v>
      </c>
      <c r="AC304" s="17" t="n">
        <v>46285.6724652778</v>
      </c>
      <c r="AD304" s="16" t="s">
        <v>338</v>
      </c>
      <c r="AE304" s="16"/>
      <c r="AF304" s="16" t="str">
        <f aca="false">IF(COUNTIF(لیست_سفید!$A$2:$A$21,B304)&gt;0,"بله","خیر")</f>
        <v>خیر</v>
      </c>
      <c r="AG304" s="24" t="n">
        <f aca="false">IF(H304="","",IF(AD304="فیش مفقودی",تنظیمات!$B$6,(INT(I304/1440)*تنظیمات!$B$5+IF(MOD(I304,1440)&lt;=تنظیمات!$B$2,0,MIN(تنظیمات!$B$5,تنظیمات!$B$3+MAX(0,ROUNDUP((MOD(I304,1440)-60)/60,0))*تنظیمات!$B$4)))*INDEX(تعرفه!$B$2:$B$7,MATCH(AD304,تعرفه!$A$2:$A$7,0))))</f>
        <v>146000</v>
      </c>
      <c r="AH304" s="24" t="n">
        <v>146000</v>
      </c>
      <c r="AI304" s="24" t="n">
        <f aca="false">IF(AG304="","",AH304-AG304)</f>
        <v>0</v>
      </c>
      <c r="AJ304" s="21" t="n">
        <v>0</v>
      </c>
      <c r="AK304" s="21" t="n">
        <v>0</v>
      </c>
      <c r="AL304" s="16" t="s">
        <v>335</v>
      </c>
      <c r="AM304" s="16"/>
      <c r="AN304" s="16" t="s">
        <v>340</v>
      </c>
      <c r="AO304" s="16" t="s">
        <v>340</v>
      </c>
      <c r="AP304" s="16" t="s">
        <v>335</v>
      </c>
      <c r="AQ304" s="16"/>
      <c r="AR304" s="21" t="n">
        <f aca="false">IF(AND(T304&lt;&gt;"",H304&lt;&gt;""),IF(AND((T304-H304)*86400&gt;=0,(T304-H304)*86400&lt;تنظیمات!$B$13),1,0),0)</f>
        <v>0</v>
      </c>
      <c r="AS304" s="21" t="n">
        <f aca="false">IF(Z304="پوز",IF(OR(AB304="",COUNTIF(پوزها!$A$2:$A$5,AA304)=0),1,0),0)</f>
        <v>0</v>
      </c>
      <c r="AT304" s="21" t="n">
        <f aca="false">IF(AI304="",0,IF(AI304&gt;0,1,0))</f>
        <v>0</v>
      </c>
      <c r="AU304" s="21" t="n">
        <f aca="false">IF(AI304="",0,IF(AI304&lt;0,1,0))</f>
        <v>0</v>
      </c>
      <c r="AV304" s="21" t="n">
        <f aca="false">IF(U304&gt;V304,1,0)</f>
        <v>0</v>
      </c>
      <c r="AW304" s="21" t="n">
        <f aca="false">IF(OR(W304&gt;تنظیمات!$B$8,X304="بله"),1,0)</f>
        <v>0</v>
      </c>
      <c r="AX304" s="21" t="n">
        <f aca="false">IF(AND(N304="بله",L304&gt;تنظیمات!$B$9),1,0)</f>
        <v>0</v>
      </c>
      <c r="AY304" s="21" t="n">
        <f aca="false">IF(Y304="معکوس",1,0)</f>
        <v>0</v>
      </c>
      <c r="AZ304" s="21" t="n">
        <f aca="false">IF(ABS(AJ304)&gt;تنظیمات!$B$10,1,0)</f>
        <v>0</v>
      </c>
      <c r="BA304" s="21" t="n">
        <f aca="false">IF(AND(OR(AD304="رایگان/VIP",AD304="جانباز"),AF304="خیر"),1,0)</f>
        <v>0</v>
      </c>
      <c r="BB304" s="21" t="n">
        <f aca="false">IF(AE304="",0,IF(COUNTIF($AE$2:$AE$1001,AE304)&gt;1,1,0))</f>
        <v>0</v>
      </c>
      <c r="BC304" s="21" t="n">
        <f aca="false">IF(AND(H304="",I304&gt;تنظیمات!$B$12*60,AM304="خالی"),1,0)</f>
        <v>0</v>
      </c>
      <c r="BD304" s="21" t="n">
        <f aca="false">IF(AND(AP304="بله",I304&lt;تنظیمات!$B$14,AO304="خیر"),1,0)</f>
        <v>0</v>
      </c>
      <c r="BE304" s="21" t="n">
        <f aca="false">IF(AN304="خیر",1,0)</f>
        <v>0</v>
      </c>
      <c r="BF304" s="21" t="n">
        <f aca="false">IF(AND(AD304="فیش مفقودی",AQ304="بله",I304&gt;تنظیمات!$B$12*60),1,0)</f>
        <v>0</v>
      </c>
      <c r="BG304" s="21" t="n">
        <f aca="false">IF(AND(AK304&gt;تنظیمات!$B$11,AL304="بله"),1,0)</f>
        <v>0</v>
      </c>
      <c r="BH304" s="21" t="n">
        <f aca="false">MIN(100,AR304*تنظیمات!$B$21+AS304*تنظیمات!$B$22+AT304*تنظیمات!$B$23+AU304*تنظیمات!$B$24+AV304*تنظیمات!$B$25+AW304*تنظیمات!$B$26+AX304*تنظیمات!$B$27+AY304*تنظیمات!$B$28+AZ304*تنظیمات!$B$29+BA304*تنظیمات!$B$30+BB304*تنظیمات!$B$31+BC304*تنظیمات!$B$32+BD304*تنظیمات!$B$33+BE304*تنظیمات!$B$34+BF304*تنظیمات!$B$35+BG304*تنظیمات!$B$36)</f>
        <v>0</v>
      </c>
      <c r="BI304" s="16" t="str">
        <f aca="false">IF(BH304&gt;=60,"بحرانی",IF(BH304&gt;=30,"مشکوک",IF(BH304&gt;0,"هشدار","عادی")))</f>
        <v>عادی</v>
      </c>
      <c r="BJ304" s="16" t="s">
        <v>338</v>
      </c>
    </row>
    <row r="305" customFormat="false" ht="15" hidden="false" customHeight="false" outlineLevel="0" collapsed="false">
      <c r="A305" s="16" t="s">
        <v>1383</v>
      </c>
      <c r="B305" s="16" t="s">
        <v>1384</v>
      </c>
      <c r="C305" s="16"/>
      <c r="D305" s="16" t="s">
        <v>418</v>
      </c>
      <c r="E305" s="16" t="s">
        <v>345</v>
      </c>
      <c r="F305" s="16" t="s">
        <v>333</v>
      </c>
      <c r="G305" s="17" t="n">
        <v>46285.2995717593</v>
      </c>
      <c r="H305" s="17" t="n">
        <v>46285.3794328704</v>
      </c>
      <c r="I305" s="18" t="n">
        <f aca="false">IF(H305="",ROUND((تنظیمات!$B$7-G305)*1440,0),ROUND((H305-G305)*1440,0))</f>
        <v>115</v>
      </c>
      <c r="J305" s="16" t="s">
        <v>346</v>
      </c>
      <c r="K305" s="16" t="s">
        <v>400</v>
      </c>
      <c r="L305" s="19" t="n">
        <v>0.93</v>
      </c>
      <c r="M305" s="19" t="n">
        <v>0.968</v>
      </c>
      <c r="N305" s="16" t="s">
        <v>335</v>
      </c>
      <c r="O305" s="16" t="s">
        <v>650</v>
      </c>
      <c r="P305" s="16" t="s">
        <v>402</v>
      </c>
      <c r="Q305" s="20" t="n">
        <v>46285</v>
      </c>
      <c r="R305" s="16" t="s">
        <v>1385</v>
      </c>
      <c r="S305" s="16" t="s">
        <v>404</v>
      </c>
      <c r="T305" s="17"/>
      <c r="U305" s="21" t="n">
        <v>1</v>
      </c>
      <c r="V305" s="21" t="n">
        <v>1</v>
      </c>
      <c r="W305" s="22" t="n">
        <v>4.3</v>
      </c>
      <c r="X305" s="16" t="s">
        <v>335</v>
      </c>
      <c r="Y305" s="16" t="s">
        <v>338</v>
      </c>
      <c r="Z305" s="16" t="s">
        <v>405</v>
      </c>
      <c r="AA305" s="16"/>
      <c r="AB305" s="23"/>
      <c r="AC305" s="17"/>
      <c r="AD305" s="16" t="s">
        <v>338</v>
      </c>
      <c r="AE305" s="16"/>
      <c r="AF305" s="16" t="str">
        <f aca="false">IF(COUNTIF(لیست_سفید!$A$2:$A$21,B305)&gt;0,"بله","خیر")</f>
        <v>خیر</v>
      </c>
      <c r="AG305" s="24" t="n">
        <f aca="false">IF(H305="","",IF(AD305="فیش مفقودی",تنظیمات!$B$6,(INT(I305/1440)*تنظیمات!$B$5+IF(MOD(I305,1440)&lt;=تنظیمات!$B$2,0,MIN(تنظیمات!$B$5,تنظیمات!$B$3+MAX(0,ROUNDUP((MOD(I305,1440)-60)/60,0))*تنظیمات!$B$4)))*INDEX(تعرفه!$B$2:$B$7,MATCH(AD305,تعرفه!$A$2:$A$7,0))))</f>
        <v>34000</v>
      </c>
      <c r="AH305" s="24" t="n">
        <v>34000</v>
      </c>
      <c r="AI305" s="24" t="n">
        <f aca="false">IF(AG305="","",AH305-AG305)</f>
        <v>0</v>
      </c>
      <c r="AJ305" s="21" t="n">
        <v>2</v>
      </c>
      <c r="AK305" s="21" t="n">
        <v>0</v>
      </c>
      <c r="AL305" s="16" t="s">
        <v>335</v>
      </c>
      <c r="AM305" s="16"/>
      <c r="AN305" s="16" t="s">
        <v>340</v>
      </c>
      <c r="AO305" s="16" t="s">
        <v>340</v>
      </c>
      <c r="AP305" s="16" t="s">
        <v>335</v>
      </c>
      <c r="AQ305" s="16"/>
      <c r="AR305" s="21" t="n">
        <f aca="false">IF(AND(T305&lt;&gt;"",H305&lt;&gt;""),IF(AND((T305-H305)*86400&gt;=0,(T305-H305)*86400&lt;تنظیمات!$B$13),1,0),0)</f>
        <v>0</v>
      </c>
      <c r="AS305" s="21" t="n">
        <f aca="false">IF(Z305="پوز",IF(OR(AB305="",COUNTIF(پوزها!$A$2:$A$5,AA305)=0),1,0),0)</f>
        <v>0</v>
      </c>
      <c r="AT305" s="21" t="n">
        <f aca="false">IF(AI305="",0,IF(AI305&gt;0,1,0))</f>
        <v>0</v>
      </c>
      <c r="AU305" s="21" t="n">
        <f aca="false">IF(AI305="",0,IF(AI305&lt;0,1,0))</f>
        <v>0</v>
      </c>
      <c r="AV305" s="21" t="n">
        <f aca="false">IF(U305&gt;V305,1,0)</f>
        <v>0</v>
      </c>
      <c r="AW305" s="21" t="n">
        <f aca="false">IF(OR(W305&gt;تنظیمات!$B$8,X305="بله"),1,0)</f>
        <v>0</v>
      </c>
      <c r="AX305" s="21" t="n">
        <f aca="false">IF(AND(N305="بله",L305&gt;تنظیمات!$B$9),1,0)</f>
        <v>0</v>
      </c>
      <c r="AY305" s="21" t="n">
        <f aca="false">IF(Y305="معکوس",1,0)</f>
        <v>0</v>
      </c>
      <c r="AZ305" s="21" t="n">
        <f aca="false">IF(ABS(AJ305)&gt;تنظیمات!$B$10,1,0)</f>
        <v>0</v>
      </c>
      <c r="BA305" s="21" t="n">
        <f aca="false">IF(AND(OR(AD305="رایگان/VIP",AD305="جانباز"),AF305="خیر"),1,0)</f>
        <v>0</v>
      </c>
      <c r="BB305" s="21" t="n">
        <f aca="false">IF(AE305="",0,IF(COUNTIF($AE$2:$AE$1001,AE305)&gt;1,1,0))</f>
        <v>0</v>
      </c>
      <c r="BC305" s="21" t="n">
        <f aca="false">IF(AND(H305="",I305&gt;تنظیمات!$B$12*60,AM305="خالی"),1,0)</f>
        <v>0</v>
      </c>
      <c r="BD305" s="21" t="n">
        <f aca="false">IF(AND(AP305="بله",I305&lt;تنظیمات!$B$14,AO305="خیر"),1,0)</f>
        <v>0</v>
      </c>
      <c r="BE305" s="21" t="n">
        <f aca="false">IF(AN305="خیر",1,0)</f>
        <v>0</v>
      </c>
      <c r="BF305" s="21" t="n">
        <f aca="false">IF(AND(AD305="فیش مفقودی",AQ305="بله",I305&gt;تنظیمات!$B$12*60),1,0)</f>
        <v>0</v>
      </c>
      <c r="BG305" s="21" t="n">
        <f aca="false">IF(AND(AK305&gt;تنظیمات!$B$11,AL305="بله"),1,0)</f>
        <v>0</v>
      </c>
      <c r="BH305" s="21" t="n">
        <f aca="false">MIN(100,AR305*تنظیمات!$B$21+AS305*تنظیمات!$B$22+AT305*تنظیمات!$B$23+AU305*تنظیمات!$B$24+AV305*تنظیمات!$B$25+AW305*تنظیمات!$B$26+AX305*تنظیمات!$B$27+AY305*تنظیمات!$B$28+AZ305*تنظیمات!$B$29+BA305*تنظیمات!$B$30+BB305*تنظیمات!$B$31+BC305*تنظیمات!$B$32+BD305*تنظیمات!$B$33+BE305*تنظیمات!$B$34+BF305*تنظیمات!$B$35+BG305*تنظیمات!$B$36)</f>
        <v>0</v>
      </c>
      <c r="BI305" s="16" t="str">
        <f aca="false">IF(BH305&gt;=60,"بحرانی",IF(BH305&gt;=30,"مشکوک",IF(BH305&gt;0,"هشدار","عادی")))</f>
        <v>عادی</v>
      </c>
      <c r="BJ305" s="16" t="s">
        <v>338</v>
      </c>
    </row>
    <row r="306" customFormat="false" ht="15" hidden="false" customHeight="false" outlineLevel="0" collapsed="false">
      <c r="A306" s="16" t="s">
        <v>1386</v>
      </c>
      <c r="B306" s="16" t="s">
        <v>1387</v>
      </c>
      <c r="C306" s="16"/>
      <c r="D306" s="16" t="s">
        <v>508</v>
      </c>
      <c r="E306" s="16" t="s">
        <v>345</v>
      </c>
      <c r="F306" s="16" t="s">
        <v>333</v>
      </c>
      <c r="G306" s="17" t="n">
        <v>46285.3030208333</v>
      </c>
      <c r="H306" s="17" t="n">
        <v>46285.4099652778</v>
      </c>
      <c r="I306" s="18" t="n">
        <f aca="false">IF(H306="",ROUND((تنظیمات!$B$7-G306)*1440,0),ROUND((H306-G306)*1440,0))</f>
        <v>154</v>
      </c>
      <c r="J306" s="16" t="s">
        <v>334</v>
      </c>
      <c r="K306" s="16" t="s">
        <v>410</v>
      </c>
      <c r="L306" s="19" t="n">
        <v>0.995</v>
      </c>
      <c r="M306" s="19" t="n">
        <v>0.956</v>
      </c>
      <c r="N306" s="16" t="s">
        <v>335</v>
      </c>
      <c r="O306" s="16" t="s">
        <v>666</v>
      </c>
      <c r="P306" s="16" t="s">
        <v>402</v>
      </c>
      <c r="Q306" s="20" t="n">
        <v>46285</v>
      </c>
      <c r="R306" s="16" t="s">
        <v>1388</v>
      </c>
      <c r="S306" s="16" t="s">
        <v>404</v>
      </c>
      <c r="T306" s="17"/>
      <c r="U306" s="21" t="n">
        <v>1</v>
      </c>
      <c r="V306" s="21" t="n">
        <v>1</v>
      </c>
      <c r="W306" s="22" t="n">
        <v>4.2</v>
      </c>
      <c r="X306" s="16" t="s">
        <v>335</v>
      </c>
      <c r="Y306" s="16" t="s">
        <v>338</v>
      </c>
      <c r="Z306" s="16" t="s">
        <v>405</v>
      </c>
      <c r="AA306" s="16"/>
      <c r="AB306" s="23"/>
      <c r="AC306" s="17"/>
      <c r="AD306" s="16" t="s">
        <v>338</v>
      </c>
      <c r="AE306" s="16"/>
      <c r="AF306" s="16" t="str">
        <f aca="false">IF(COUNTIF(لیست_سفید!$A$2:$A$21,B306)&gt;0,"بله","خیر")</f>
        <v>خیر</v>
      </c>
      <c r="AG306" s="24" t="n">
        <f aca="false">IF(H306="","",IF(AD306="فیش مفقودی",تنظیمات!$B$6,(INT(I306/1440)*تنظیمات!$B$5+IF(MOD(I306,1440)&lt;=تنظیمات!$B$2,0,MIN(تنظیمات!$B$5,تنظیمات!$B$3+MAX(0,ROUNDUP((MOD(I306,1440)-60)/60,0))*تنظیمات!$B$4)))*INDEX(تعرفه!$B$2:$B$7,MATCH(AD306,تعرفه!$A$2:$A$7,0))))</f>
        <v>48000</v>
      </c>
      <c r="AH306" s="24" t="n">
        <v>25000</v>
      </c>
      <c r="AI306" s="24" t="n">
        <f aca="false">IF(AG306="","",AH306-AG306)</f>
        <v>-23000</v>
      </c>
      <c r="AJ306" s="21" t="n">
        <v>0</v>
      </c>
      <c r="AK306" s="21" t="n">
        <v>0</v>
      </c>
      <c r="AL306" s="16" t="s">
        <v>335</v>
      </c>
      <c r="AM306" s="16"/>
      <c r="AN306" s="16" t="s">
        <v>340</v>
      </c>
      <c r="AO306" s="16" t="s">
        <v>340</v>
      </c>
      <c r="AP306" s="16" t="s">
        <v>335</v>
      </c>
      <c r="AQ306" s="16"/>
      <c r="AR306" s="21" t="n">
        <f aca="false">IF(AND(T306&lt;&gt;"",H306&lt;&gt;""),IF(AND((T306-H306)*86400&gt;=0,(T306-H306)*86400&lt;تنظیمات!$B$13),1,0),0)</f>
        <v>0</v>
      </c>
      <c r="AS306" s="21" t="n">
        <f aca="false">IF(Z306="پوز",IF(OR(AB306="",COUNTIF(پوزها!$A$2:$A$5,AA306)=0),1,0),0)</f>
        <v>0</v>
      </c>
      <c r="AT306" s="21" t="n">
        <f aca="false">IF(AI306="",0,IF(AI306&gt;0,1,0))</f>
        <v>0</v>
      </c>
      <c r="AU306" s="21" t="n">
        <f aca="false">IF(AI306="",0,IF(AI306&lt;0,1,0))</f>
        <v>1</v>
      </c>
      <c r="AV306" s="21" t="n">
        <f aca="false">IF(U306&gt;V306,1,0)</f>
        <v>0</v>
      </c>
      <c r="AW306" s="21" t="n">
        <f aca="false">IF(OR(W306&gt;تنظیمات!$B$8,X306="بله"),1,0)</f>
        <v>0</v>
      </c>
      <c r="AX306" s="21" t="n">
        <f aca="false">IF(AND(N306="بله",L306&gt;تنظیمات!$B$9),1,0)</f>
        <v>0</v>
      </c>
      <c r="AY306" s="21" t="n">
        <f aca="false">IF(Y306="معکوس",1,0)</f>
        <v>0</v>
      </c>
      <c r="AZ306" s="21" t="n">
        <f aca="false">IF(ABS(AJ306)&gt;تنظیمات!$B$10,1,0)</f>
        <v>0</v>
      </c>
      <c r="BA306" s="21" t="n">
        <f aca="false">IF(AND(OR(AD306="رایگان/VIP",AD306="جانباز"),AF306="خیر"),1,0)</f>
        <v>0</v>
      </c>
      <c r="BB306" s="21" t="n">
        <f aca="false">IF(AE306="",0,IF(COUNTIF($AE$2:$AE$1001,AE306)&gt;1,1,0))</f>
        <v>0</v>
      </c>
      <c r="BC306" s="21" t="n">
        <f aca="false">IF(AND(H306="",I306&gt;تنظیمات!$B$12*60,AM306="خالی"),1,0)</f>
        <v>0</v>
      </c>
      <c r="BD306" s="21" t="n">
        <f aca="false">IF(AND(AP306="بله",I306&lt;تنظیمات!$B$14,AO306="خیر"),1,0)</f>
        <v>0</v>
      </c>
      <c r="BE306" s="21" t="n">
        <f aca="false">IF(AN306="خیر",1,0)</f>
        <v>0</v>
      </c>
      <c r="BF306" s="21" t="n">
        <f aca="false">IF(AND(AD306="فیش مفقودی",AQ306="بله",I306&gt;تنظیمات!$B$12*60),1,0)</f>
        <v>0</v>
      </c>
      <c r="BG306" s="21" t="n">
        <f aca="false">IF(AND(AK306&gt;تنظیمات!$B$11,AL306="بله"),1,0)</f>
        <v>0</v>
      </c>
      <c r="BH306" s="21" t="n">
        <f aca="false">MIN(100,AR306*تنظیمات!$B$21+AS306*تنظیمات!$B$22+AT306*تنظیمات!$B$23+AU306*تنظیمات!$B$24+AV306*تنظیمات!$B$25+AW306*تنظیمات!$B$26+AX306*تنظیمات!$B$27+AY306*تنظیمات!$B$28+AZ306*تنظیمات!$B$29+BA306*تنظیمات!$B$30+BB306*تنظیمات!$B$31+BC306*تنظیمات!$B$32+BD306*تنظیمات!$B$33+BE306*تنظیمات!$B$34+BF306*تنظیمات!$B$35+BG306*تنظیمات!$B$36)</f>
        <v>25</v>
      </c>
      <c r="BI306" s="16" t="str">
        <f aca="false">IF(BH306&gt;=60,"بحرانی",IF(BH306&gt;=30,"مشکوک",IF(BH306&gt;0,"هشدار","عادی")))</f>
        <v>هشدار</v>
      </c>
      <c r="BJ306" s="16" t="s">
        <v>610</v>
      </c>
    </row>
    <row r="307" customFormat="false" ht="15" hidden="false" customHeight="false" outlineLevel="0" collapsed="false">
      <c r="A307" s="16" t="s">
        <v>1389</v>
      </c>
      <c r="B307" s="16" t="s">
        <v>1387</v>
      </c>
      <c r="C307" s="16" t="s">
        <v>1390</v>
      </c>
      <c r="D307" s="16" t="s">
        <v>508</v>
      </c>
      <c r="E307" s="16" t="s">
        <v>345</v>
      </c>
      <c r="F307" s="16" t="s">
        <v>333</v>
      </c>
      <c r="G307" s="17" t="n">
        <v>46285.3175231482</v>
      </c>
      <c r="H307" s="17" t="n">
        <v>46285.3369675926</v>
      </c>
      <c r="I307" s="18" t="n">
        <f aca="false">IF(H307="",ROUND((تنظیمات!$B$7-G307)*1440,0),ROUND((H307-G307)*1440,0))</f>
        <v>28</v>
      </c>
      <c r="J307" s="16" t="s">
        <v>334</v>
      </c>
      <c r="K307" s="16" t="s">
        <v>410</v>
      </c>
      <c r="L307" s="19" t="n">
        <v>0.983</v>
      </c>
      <c r="M307" s="19" t="n">
        <v>0.912</v>
      </c>
      <c r="N307" s="16" t="s">
        <v>340</v>
      </c>
      <c r="O307" s="16" t="s">
        <v>666</v>
      </c>
      <c r="P307" s="16" t="s">
        <v>402</v>
      </c>
      <c r="Q307" s="20" t="n">
        <v>46285</v>
      </c>
      <c r="R307" s="16" t="s">
        <v>1391</v>
      </c>
      <c r="S307" s="16" t="s">
        <v>404</v>
      </c>
      <c r="T307" s="17"/>
      <c r="U307" s="21" t="n">
        <v>1</v>
      </c>
      <c r="V307" s="21" t="n">
        <v>1</v>
      </c>
      <c r="W307" s="22" t="n">
        <v>17.3</v>
      </c>
      <c r="X307" s="16" t="s">
        <v>335</v>
      </c>
      <c r="Y307" s="16" t="s">
        <v>338</v>
      </c>
      <c r="Z307" s="16" t="s">
        <v>405</v>
      </c>
      <c r="AA307" s="16"/>
      <c r="AB307" s="23"/>
      <c r="AC307" s="17"/>
      <c r="AD307" s="16" t="s">
        <v>338</v>
      </c>
      <c r="AE307" s="16"/>
      <c r="AF307" s="16" t="str">
        <f aca="false">IF(COUNTIF(لیست_سفید!$A$2:$A$21,B307)&gt;0,"بله","خیر")</f>
        <v>خیر</v>
      </c>
      <c r="AG307" s="24" t="n">
        <f aca="false">IF(H307="","",IF(AD307="فیش مفقودی",تنظیمات!$B$6,(INT(I307/1440)*تنظیمات!$B$5+IF(MOD(I307,1440)&lt;=تنظیمات!$B$2,0,MIN(تنظیمات!$B$5,تنظیمات!$B$3+MAX(0,ROUNDUP((MOD(I307,1440)-60)/60,0))*تنظیمات!$B$4)))*INDEX(تعرفه!$B$2:$B$7,MATCH(AD307,تعرفه!$A$2:$A$7,0))))</f>
        <v>20000</v>
      </c>
      <c r="AH307" s="24" t="n">
        <v>20000</v>
      </c>
      <c r="AI307" s="24" t="n">
        <f aca="false">IF(AG307="","",AH307-AG307)</f>
        <v>0</v>
      </c>
      <c r="AJ307" s="21" t="n">
        <v>0</v>
      </c>
      <c r="AK307" s="21" t="n">
        <v>0</v>
      </c>
      <c r="AL307" s="16" t="s">
        <v>335</v>
      </c>
      <c r="AM307" s="16"/>
      <c r="AN307" s="16" t="s">
        <v>340</v>
      </c>
      <c r="AO307" s="16" t="s">
        <v>340</v>
      </c>
      <c r="AP307" s="16" t="s">
        <v>335</v>
      </c>
      <c r="AQ307" s="16"/>
      <c r="AR307" s="21" t="n">
        <f aca="false">IF(AND(T307&lt;&gt;"",H307&lt;&gt;""),IF(AND((T307-H307)*86400&gt;=0,(T307-H307)*86400&lt;تنظیمات!$B$13),1,0),0)</f>
        <v>0</v>
      </c>
      <c r="AS307" s="21" t="n">
        <f aca="false">IF(Z307="پوز",IF(OR(AB307="",COUNTIF(پوزها!$A$2:$A$5,AA307)=0),1,0),0)</f>
        <v>0</v>
      </c>
      <c r="AT307" s="21" t="n">
        <f aca="false">IF(AI307="",0,IF(AI307&gt;0,1,0))</f>
        <v>0</v>
      </c>
      <c r="AU307" s="21" t="n">
        <f aca="false">IF(AI307="",0,IF(AI307&lt;0,1,0))</f>
        <v>0</v>
      </c>
      <c r="AV307" s="21" t="n">
        <f aca="false">IF(U307&gt;V307,1,0)</f>
        <v>0</v>
      </c>
      <c r="AW307" s="21" t="n">
        <f aca="false">IF(OR(W307&gt;تنظیمات!$B$8,X307="بله"),1,0)</f>
        <v>1</v>
      </c>
      <c r="AX307" s="21" t="n">
        <f aca="false">IF(AND(N307="بله",L307&gt;تنظیمات!$B$9),1,0)</f>
        <v>1</v>
      </c>
      <c r="AY307" s="21" t="n">
        <f aca="false">IF(Y307="معکوس",1,0)</f>
        <v>0</v>
      </c>
      <c r="AZ307" s="21" t="n">
        <f aca="false">IF(ABS(AJ307)&gt;تنظیمات!$B$10,1,0)</f>
        <v>0</v>
      </c>
      <c r="BA307" s="21" t="n">
        <f aca="false">IF(AND(OR(AD307="رایگان/VIP",AD307="جانباز"),AF307="خیر"),1,0)</f>
        <v>0</v>
      </c>
      <c r="BB307" s="21" t="n">
        <f aca="false">IF(AE307="",0,IF(COUNTIF($AE$2:$AE$1001,AE307)&gt;1,1,0))</f>
        <v>0</v>
      </c>
      <c r="BC307" s="21" t="n">
        <f aca="false">IF(AND(H307="",I307&gt;تنظیمات!$B$12*60,AM307="خالی"),1,0)</f>
        <v>0</v>
      </c>
      <c r="BD307" s="21" t="n">
        <f aca="false">IF(AND(AP307="بله",I307&lt;تنظیمات!$B$14,AO307="خیر"),1,0)</f>
        <v>0</v>
      </c>
      <c r="BE307" s="21" t="n">
        <f aca="false">IF(AN307="خیر",1,0)</f>
        <v>0</v>
      </c>
      <c r="BF307" s="21" t="n">
        <f aca="false">IF(AND(AD307="فیش مفقودی",AQ307="بله",I307&gt;تنظیمات!$B$12*60),1,0)</f>
        <v>0</v>
      </c>
      <c r="BG307" s="21" t="n">
        <f aca="false">IF(AND(AK307&gt;تنظیمات!$B$11,AL307="بله"),1,0)</f>
        <v>0</v>
      </c>
      <c r="BH307" s="21" t="n">
        <f aca="false">MIN(100,AR307*تنظیمات!$B$21+AS307*تنظیمات!$B$22+AT307*تنظیمات!$B$23+AU307*تنظیمات!$B$24+AV307*تنظیمات!$B$25+AW307*تنظیمات!$B$26+AX307*تنظیمات!$B$27+AY307*تنظیمات!$B$28+AZ307*تنظیمات!$B$29+BA307*تنظیمات!$B$30+BB307*تنظیمات!$B$31+BC307*تنظیمات!$B$32+BD307*تنظیمات!$B$33+BE307*تنظیمات!$B$34+BF307*تنظیمات!$B$35+BG307*تنظیمات!$B$36)</f>
        <v>55</v>
      </c>
      <c r="BI307" s="16" t="str">
        <f aca="false">IF(BH307&gt;=60,"بحرانی",IF(BH307&gt;=30,"مشکوک",IF(BH307&gt;0,"هشدار","عادی")))</f>
        <v>مشکوک</v>
      </c>
      <c r="BJ307" s="16" t="s">
        <v>700</v>
      </c>
    </row>
    <row r="308" customFormat="false" ht="15" hidden="false" customHeight="false" outlineLevel="0" collapsed="false">
      <c r="A308" s="16" t="s">
        <v>1392</v>
      </c>
      <c r="B308" s="16" t="s">
        <v>1393</v>
      </c>
      <c r="C308" s="16"/>
      <c r="D308" s="16" t="s">
        <v>531</v>
      </c>
      <c r="E308" s="16" t="s">
        <v>332</v>
      </c>
      <c r="F308" s="16" t="s">
        <v>333</v>
      </c>
      <c r="G308" s="17" t="n">
        <v>46285.3182407407</v>
      </c>
      <c r="H308" s="17" t="n">
        <v>46285.7140740741</v>
      </c>
      <c r="I308" s="18" t="n">
        <f aca="false">IF(H308="",ROUND((تنظیمات!$B$7-G308)*1440,0),ROUND((H308-G308)*1440,0))</f>
        <v>570</v>
      </c>
      <c r="J308" s="16" t="s">
        <v>334</v>
      </c>
      <c r="K308" s="16" t="s">
        <v>410</v>
      </c>
      <c r="L308" s="19" t="n">
        <v>0.986</v>
      </c>
      <c r="M308" s="19" t="n">
        <v>0.954</v>
      </c>
      <c r="N308" s="16" t="s">
        <v>335</v>
      </c>
      <c r="O308" s="16" t="s">
        <v>425</v>
      </c>
      <c r="P308" s="16" t="s">
        <v>420</v>
      </c>
      <c r="Q308" s="20" t="n">
        <v>46285</v>
      </c>
      <c r="R308" s="16" t="s">
        <v>1394</v>
      </c>
      <c r="S308" s="16" t="s">
        <v>404</v>
      </c>
      <c r="T308" s="17"/>
      <c r="U308" s="21" t="n">
        <v>1</v>
      </c>
      <c r="V308" s="21" t="n">
        <v>1</v>
      </c>
      <c r="W308" s="22" t="n">
        <v>5.6</v>
      </c>
      <c r="X308" s="16" t="s">
        <v>335</v>
      </c>
      <c r="Y308" s="16" t="s">
        <v>338</v>
      </c>
      <c r="Z308" s="16" t="s">
        <v>413</v>
      </c>
      <c r="AA308" s="16" t="s">
        <v>414</v>
      </c>
      <c r="AB308" s="23" t="s">
        <v>1395</v>
      </c>
      <c r="AC308" s="17" t="n">
        <v>46285.7132175926</v>
      </c>
      <c r="AD308" s="16" t="s">
        <v>338</v>
      </c>
      <c r="AE308" s="16"/>
      <c r="AF308" s="16" t="str">
        <f aca="false">IF(COUNTIF(لیست_سفید!$A$2:$A$21,B308)&gt;0,"بله","خیر")</f>
        <v>خیر</v>
      </c>
      <c r="AG308" s="24" t="n">
        <f aca="false">IF(H308="","",IF(AD308="فیش مفقودی",تنظیمات!$B$6,(INT(I308/1440)*تنظیمات!$B$5+IF(MOD(I308,1440)&lt;=تنظیمات!$B$2,0,MIN(تنظیمات!$B$5,تنظیمات!$B$3+MAX(0,ROUNDUP((MOD(I308,1440)-60)/60,0))*تنظیمات!$B$4)))*INDEX(تعرفه!$B$2:$B$7,MATCH(AD308,تعرفه!$A$2:$A$7,0))))</f>
        <v>146000</v>
      </c>
      <c r="AH308" s="24" t="n">
        <v>146000</v>
      </c>
      <c r="AI308" s="24" t="n">
        <f aca="false">IF(AG308="","",AH308-AG308)</f>
        <v>0</v>
      </c>
      <c r="AJ308" s="21" t="n">
        <v>4</v>
      </c>
      <c r="AK308" s="21" t="n">
        <v>0</v>
      </c>
      <c r="AL308" s="16" t="s">
        <v>335</v>
      </c>
      <c r="AM308" s="16"/>
      <c r="AN308" s="16" t="s">
        <v>340</v>
      </c>
      <c r="AO308" s="16" t="s">
        <v>340</v>
      </c>
      <c r="AP308" s="16" t="s">
        <v>335</v>
      </c>
      <c r="AQ308" s="16"/>
      <c r="AR308" s="21" t="n">
        <f aca="false">IF(AND(T308&lt;&gt;"",H308&lt;&gt;""),IF(AND((T308-H308)*86400&gt;=0,(T308-H308)*86400&lt;تنظیمات!$B$13),1,0),0)</f>
        <v>0</v>
      </c>
      <c r="AS308" s="21" t="n">
        <f aca="false">IF(Z308="پوز",IF(OR(AB308="",COUNTIF(پوزها!$A$2:$A$5,AA308)=0),1,0),0)</f>
        <v>0</v>
      </c>
      <c r="AT308" s="21" t="n">
        <f aca="false">IF(AI308="",0,IF(AI308&gt;0,1,0))</f>
        <v>0</v>
      </c>
      <c r="AU308" s="21" t="n">
        <f aca="false">IF(AI308="",0,IF(AI308&lt;0,1,0))</f>
        <v>0</v>
      </c>
      <c r="AV308" s="21" t="n">
        <f aca="false">IF(U308&gt;V308,1,0)</f>
        <v>0</v>
      </c>
      <c r="AW308" s="21" t="n">
        <f aca="false">IF(OR(W308&gt;تنظیمات!$B$8,X308="بله"),1,0)</f>
        <v>0</v>
      </c>
      <c r="AX308" s="21" t="n">
        <f aca="false">IF(AND(N308="بله",L308&gt;تنظیمات!$B$9),1,0)</f>
        <v>0</v>
      </c>
      <c r="AY308" s="21" t="n">
        <f aca="false">IF(Y308="معکوس",1,0)</f>
        <v>0</v>
      </c>
      <c r="AZ308" s="21" t="n">
        <f aca="false">IF(ABS(AJ308)&gt;تنظیمات!$B$10,1,0)</f>
        <v>0</v>
      </c>
      <c r="BA308" s="21" t="n">
        <f aca="false">IF(AND(OR(AD308="رایگان/VIP",AD308="جانباز"),AF308="خیر"),1,0)</f>
        <v>0</v>
      </c>
      <c r="BB308" s="21" t="n">
        <f aca="false">IF(AE308="",0,IF(COUNTIF($AE$2:$AE$1001,AE308)&gt;1,1,0))</f>
        <v>0</v>
      </c>
      <c r="BC308" s="21" t="n">
        <f aca="false">IF(AND(H308="",I308&gt;تنظیمات!$B$12*60,AM308="خالی"),1,0)</f>
        <v>0</v>
      </c>
      <c r="BD308" s="21" t="n">
        <f aca="false">IF(AND(AP308="بله",I308&lt;تنظیمات!$B$14,AO308="خیر"),1,0)</f>
        <v>0</v>
      </c>
      <c r="BE308" s="21" t="n">
        <f aca="false">IF(AN308="خیر",1,0)</f>
        <v>0</v>
      </c>
      <c r="BF308" s="21" t="n">
        <f aca="false">IF(AND(AD308="فیش مفقودی",AQ308="بله",I308&gt;تنظیمات!$B$12*60),1,0)</f>
        <v>0</v>
      </c>
      <c r="BG308" s="21" t="n">
        <f aca="false">IF(AND(AK308&gt;تنظیمات!$B$11,AL308="بله"),1,0)</f>
        <v>0</v>
      </c>
      <c r="BH308" s="21" t="n">
        <f aca="false">MIN(100,AR308*تنظیمات!$B$21+AS308*تنظیمات!$B$22+AT308*تنظیمات!$B$23+AU308*تنظیمات!$B$24+AV308*تنظیمات!$B$25+AW308*تنظیمات!$B$26+AX308*تنظیمات!$B$27+AY308*تنظیمات!$B$28+AZ308*تنظیمات!$B$29+BA308*تنظیمات!$B$30+BB308*تنظیمات!$B$31+BC308*تنظیمات!$B$32+BD308*تنظیمات!$B$33+BE308*تنظیمات!$B$34+BF308*تنظیمات!$B$35+BG308*تنظیمات!$B$36)</f>
        <v>0</v>
      </c>
      <c r="BI308" s="16" t="str">
        <f aca="false">IF(BH308&gt;=60,"بحرانی",IF(BH308&gt;=30,"مشکوک",IF(BH308&gt;0,"هشدار","عادی")))</f>
        <v>عادی</v>
      </c>
      <c r="BJ308" s="16" t="s">
        <v>338</v>
      </c>
    </row>
    <row r="309" customFormat="false" ht="15" hidden="false" customHeight="false" outlineLevel="0" collapsed="false">
      <c r="A309" s="16" t="s">
        <v>1396</v>
      </c>
      <c r="B309" s="16" t="s">
        <v>518</v>
      </c>
      <c r="C309" s="16"/>
      <c r="D309" s="16" t="s">
        <v>508</v>
      </c>
      <c r="E309" s="16" t="s">
        <v>351</v>
      </c>
      <c r="F309" s="16" t="s">
        <v>333</v>
      </c>
      <c r="G309" s="17" t="n">
        <v>46285.3230208333</v>
      </c>
      <c r="H309" s="17" t="n">
        <v>46285.3362152778</v>
      </c>
      <c r="I309" s="18" t="n">
        <f aca="false">IF(H309="",ROUND((تنظیمات!$B$7-G309)*1440,0),ROUND((H309-G309)*1440,0))</f>
        <v>19</v>
      </c>
      <c r="J309" s="16" t="s">
        <v>334</v>
      </c>
      <c r="K309" s="16" t="s">
        <v>410</v>
      </c>
      <c r="L309" s="19" t="n">
        <v>0.962</v>
      </c>
      <c r="M309" s="19" t="n">
        <v>0.974</v>
      </c>
      <c r="N309" s="16" t="s">
        <v>335</v>
      </c>
      <c r="O309" s="16" t="s">
        <v>666</v>
      </c>
      <c r="P309" s="16" t="s">
        <v>402</v>
      </c>
      <c r="Q309" s="20" t="n">
        <v>46285</v>
      </c>
      <c r="R309" s="16" t="s">
        <v>1397</v>
      </c>
      <c r="S309" s="16" t="s">
        <v>404</v>
      </c>
      <c r="T309" s="17"/>
      <c r="U309" s="21" t="n">
        <v>1</v>
      </c>
      <c r="V309" s="21" t="n">
        <v>1</v>
      </c>
      <c r="W309" s="22" t="n">
        <v>20.8</v>
      </c>
      <c r="X309" s="16" t="s">
        <v>335</v>
      </c>
      <c r="Y309" s="16" t="s">
        <v>338</v>
      </c>
      <c r="Z309" s="16" t="s">
        <v>413</v>
      </c>
      <c r="AA309" s="16" t="s">
        <v>414</v>
      </c>
      <c r="AB309" s="23" t="s">
        <v>1398</v>
      </c>
      <c r="AC309" s="17" t="n">
        <v>46285.3353935185</v>
      </c>
      <c r="AD309" s="16" t="s">
        <v>338</v>
      </c>
      <c r="AE309" s="16"/>
      <c r="AF309" s="16" t="str">
        <f aca="false">IF(COUNTIF(لیست_سفید!$A$2:$A$21,B309)&gt;0,"بله","خیر")</f>
        <v>خیر</v>
      </c>
      <c r="AG309" s="24" t="n">
        <f aca="false">IF(H309="","",IF(AD309="فیش مفقودی",تنظیمات!$B$6,(INT(I309/1440)*تنظیمات!$B$5+IF(MOD(I309,1440)&lt;=تنظیمات!$B$2,0,MIN(تنظیمات!$B$5,تنظیمات!$B$3+MAX(0,ROUNDUP((MOD(I309,1440)-60)/60,0))*تنظیمات!$B$4)))*INDEX(تعرفه!$B$2:$B$7,MATCH(AD309,تعرفه!$A$2:$A$7,0))))</f>
        <v>20000</v>
      </c>
      <c r="AH309" s="24" t="n">
        <v>20000</v>
      </c>
      <c r="AI309" s="24" t="n">
        <f aca="false">IF(AG309="","",AH309-AG309)</f>
        <v>0</v>
      </c>
      <c r="AJ309" s="21" t="n">
        <v>2</v>
      </c>
      <c r="AK309" s="21" t="n">
        <v>0</v>
      </c>
      <c r="AL309" s="16" t="s">
        <v>335</v>
      </c>
      <c r="AM309" s="16"/>
      <c r="AN309" s="16" t="s">
        <v>340</v>
      </c>
      <c r="AO309" s="16" t="s">
        <v>340</v>
      </c>
      <c r="AP309" s="16" t="s">
        <v>335</v>
      </c>
      <c r="AQ309" s="16"/>
      <c r="AR309" s="21" t="n">
        <f aca="false">IF(AND(T309&lt;&gt;"",H309&lt;&gt;""),IF(AND((T309-H309)*86400&gt;=0,(T309-H309)*86400&lt;تنظیمات!$B$13),1,0),0)</f>
        <v>0</v>
      </c>
      <c r="AS309" s="21" t="n">
        <f aca="false">IF(Z309="پوز",IF(OR(AB309="",COUNTIF(پوزها!$A$2:$A$5,AA309)=0),1,0),0)</f>
        <v>0</v>
      </c>
      <c r="AT309" s="21" t="n">
        <f aca="false">IF(AI309="",0,IF(AI309&gt;0,1,0))</f>
        <v>0</v>
      </c>
      <c r="AU309" s="21" t="n">
        <f aca="false">IF(AI309="",0,IF(AI309&lt;0,1,0))</f>
        <v>0</v>
      </c>
      <c r="AV309" s="21" t="n">
        <f aca="false">IF(U309&gt;V309,1,0)</f>
        <v>0</v>
      </c>
      <c r="AW309" s="21" t="n">
        <f aca="false">IF(OR(W309&gt;تنظیمات!$B$8,X309="بله"),1,0)</f>
        <v>1</v>
      </c>
      <c r="AX309" s="21" t="n">
        <f aca="false">IF(AND(N309="بله",L309&gt;تنظیمات!$B$9),1,0)</f>
        <v>0</v>
      </c>
      <c r="AY309" s="21" t="n">
        <f aca="false">IF(Y309="معکوس",1,0)</f>
        <v>0</v>
      </c>
      <c r="AZ309" s="21" t="n">
        <f aca="false">IF(ABS(AJ309)&gt;تنظیمات!$B$10,1,0)</f>
        <v>0</v>
      </c>
      <c r="BA309" s="21" t="n">
        <f aca="false">IF(AND(OR(AD309="رایگان/VIP",AD309="جانباز"),AF309="خیر"),1,0)</f>
        <v>0</v>
      </c>
      <c r="BB309" s="21" t="n">
        <f aca="false">IF(AE309="",0,IF(COUNTIF($AE$2:$AE$1001,AE309)&gt;1,1,0))</f>
        <v>0</v>
      </c>
      <c r="BC309" s="21" t="n">
        <f aca="false">IF(AND(H309="",I309&gt;تنظیمات!$B$12*60,AM309="خالی"),1,0)</f>
        <v>0</v>
      </c>
      <c r="BD309" s="21" t="n">
        <f aca="false">IF(AND(AP309="بله",I309&lt;تنظیمات!$B$14,AO309="خیر"),1,0)</f>
        <v>0</v>
      </c>
      <c r="BE309" s="21" t="n">
        <f aca="false">IF(AN309="خیر",1,0)</f>
        <v>0</v>
      </c>
      <c r="BF309" s="21" t="n">
        <f aca="false">IF(AND(AD309="فیش مفقودی",AQ309="بله",I309&gt;تنظیمات!$B$12*60),1,0)</f>
        <v>0</v>
      </c>
      <c r="BG309" s="21" t="n">
        <f aca="false">IF(AND(AK309&gt;تنظیمات!$B$11,AL309="بله"),1,0)</f>
        <v>0</v>
      </c>
      <c r="BH309" s="21" t="n">
        <f aca="false">MIN(100,AR309*تنظیمات!$B$21+AS309*تنظیمات!$B$22+AT309*تنظیمات!$B$23+AU309*تنظیمات!$B$24+AV309*تنظیمات!$B$25+AW309*تنظیمات!$B$26+AX309*تنظیمات!$B$27+AY309*تنظیمات!$B$28+AZ309*تنظیمات!$B$29+BA309*تنظیمات!$B$30+BB309*تنظیمات!$B$31+BC309*تنظیمات!$B$32+BD309*تنظیمات!$B$33+BE309*تنظیمات!$B$34+BF309*تنظیمات!$B$35+BG309*تنظیمات!$B$36)</f>
        <v>25</v>
      </c>
      <c r="BI309" s="16" t="str">
        <f aca="false">IF(BH309&gt;=60,"بحرانی",IF(BH309&gt;=30,"مشکوک",IF(BH309&gt;0,"هشدار","عادی")))</f>
        <v>هشدار</v>
      </c>
      <c r="BJ309" s="16" t="s">
        <v>211</v>
      </c>
    </row>
    <row r="310" customFormat="false" ht="15" hidden="false" customHeight="false" outlineLevel="0" collapsed="false">
      <c r="A310" s="16" t="s">
        <v>1399</v>
      </c>
      <c r="B310" s="16" t="s">
        <v>1400</v>
      </c>
      <c r="C310" s="16"/>
      <c r="D310" s="16" t="s">
        <v>344</v>
      </c>
      <c r="E310" s="16" t="s">
        <v>332</v>
      </c>
      <c r="F310" s="16" t="s">
        <v>333</v>
      </c>
      <c r="G310" s="17" t="n">
        <v>46285.3259259259</v>
      </c>
      <c r="H310" s="17" t="n">
        <v>46285.3675925926</v>
      </c>
      <c r="I310" s="18" t="n">
        <f aca="false">IF(H310="",ROUND((تنظیمات!$B$7-G310)*1440,0),ROUND((H310-G310)*1440,0))</f>
        <v>60</v>
      </c>
      <c r="J310" s="16" t="s">
        <v>334</v>
      </c>
      <c r="K310" s="16" t="s">
        <v>410</v>
      </c>
      <c r="L310" s="19" t="n">
        <v>0.985</v>
      </c>
      <c r="M310" s="19" t="n">
        <v>0.926</v>
      </c>
      <c r="N310" s="16" t="s">
        <v>335</v>
      </c>
      <c r="O310" s="16" t="s">
        <v>666</v>
      </c>
      <c r="P310" s="16" t="s">
        <v>402</v>
      </c>
      <c r="Q310" s="20" t="n">
        <v>46285</v>
      </c>
      <c r="R310" s="16" t="s">
        <v>1401</v>
      </c>
      <c r="S310" s="16" t="s">
        <v>404</v>
      </c>
      <c r="T310" s="17"/>
      <c r="U310" s="21" t="n">
        <v>1</v>
      </c>
      <c r="V310" s="21" t="n">
        <v>1</v>
      </c>
      <c r="W310" s="22" t="n">
        <v>6.3</v>
      </c>
      <c r="X310" s="16" t="s">
        <v>335</v>
      </c>
      <c r="Y310" s="16" t="s">
        <v>338</v>
      </c>
      <c r="Z310" s="16" t="s">
        <v>405</v>
      </c>
      <c r="AA310" s="16"/>
      <c r="AB310" s="23"/>
      <c r="AC310" s="17"/>
      <c r="AD310" s="16" t="s">
        <v>338</v>
      </c>
      <c r="AE310" s="16"/>
      <c r="AF310" s="16" t="str">
        <f aca="false">IF(COUNTIF(لیست_سفید!$A$2:$A$21,B310)&gt;0,"بله","خیر")</f>
        <v>خیر</v>
      </c>
      <c r="AG310" s="24" t="n">
        <f aca="false">IF(H310="","",IF(AD310="فیش مفقودی",تنظیمات!$B$6,(INT(I310/1440)*تنظیمات!$B$5+IF(MOD(I310,1440)&lt;=تنظیمات!$B$2,0,MIN(تنظیمات!$B$5,تنظیمات!$B$3+MAX(0,ROUNDUP((MOD(I310,1440)-60)/60,0))*تنظیمات!$B$4)))*INDEX(تعرفه!$B$2:$B$7,MATCH(AD310,تعرفه!$A$2:$A$7,0))))</f>
        <v>20000</v>
      </c>
      <c r="AH310" s="24" t="n">
        <v>20000</v>
      </c>
      <c r="AI310" s="24" t="n">
        <f aca="false">IF(AG310="","",AH310-AG310)</f>
        <v>0</v>
      </c>
      <c r="AJ310" s="21" t="n">
        <v>-5</v>
      </c>
      <c r="AK310" s="21" t="n">
        <v>70</v>
      </c>
      <c r="AL310" s="16" t="s">
        <v>335</v>
      </c>
      <c r="AM310" s="16"/>
      <c r="AN310" s="16" t="s">
        <v>340</v>
      </c>
      <c r="AO310" s="16" t="s">
        <v>340</v>
      </c>
      <c r="AP310" s="16" t="s">
        <v>335</v>
      </c>
      <c r="AQ310" s="16"/>
      <c r="AR310" s="21" t="n">
        <f aca="false">IF(AND(T310&lt;&gt;"",H310&lt;&gt;""),IF(AND((T310-H310)*86400&gt;=0,(T310-H310)*86400&lt;تنظیمات!$B$13),1,0),0)</f>
        <v>0</v>
      </c>
      <c r="AS310" s="21" t="n">
        <f aca="false">IF(Z310="پوز",IF(OR(AB310="",COUNTIF(پوزها!$A$2:$A$5,AA310)=0),1,0),0)</f>
        <v>0</v>
      </c>
      <c r="AT310" s="21" t="n">
        <f aca="false">IF(AI310="",0,IF(AI310&gt;0,1,0))</f>
        <v>0</v>
      </c>
      <c r="AU310" s="21" t="n">
        <f aca="false">IF(AI310="",0,IF(AI310&lt;0,1,0))</f>
        <v>0</v>
      </c>
      <c r="AV310" s="21" t="n">
        <f aca="false">IF(U310&gt;V310,1,0)</f>
        <v>0</v>
      </c>
      <c r="AW310" s="21" t="n">
        <f aca="false">IF(OR(W310&gt;تنظیمات!$B$8,X310="بله"),1,0)</f>
        <v>0</v>
      </c>
      <c r="AX310" s="21" t="n">
        <f aca="false">IF(AND(N310="بله",L310&gt;تنظیمات!$B$9),1,0)</f>
        <v>0</v>
      </c>
      <c r="AY310" s="21" t="n">
        <f aca="false">IF(Y310="معکوس",1,0)</f>
        <v>0</v>
      </c>
      <c r="AZ310" s="21" t="n">
        <f aca="false">IF(ABS(AJ310)&gt;تنظیمات!$B$10,1,0)</f>
        <v>0</v>
      </c>
      <c r="BA310" s="21" t="n">
        <f aca="false">IF(AND(OR(AD310="رایگان/VIP",AD310="جانباز"),AF310="خیر"),1,0)</f>
        <v>0</v>
      </c>
      <c r="BB310" s="21" t="n">
        <f aca="false">IF(AE310="",0,IF(COUNTIF($AE$2:$AE$1001,AE310)&gt;1,1,0))</f>
        <v>0</v>
      </c>
      <c r="BC310" s="21" t="n">
        <f aca="false">IF(AND(H310="",I310&gt;تنظیمات!$B$12*60,AM310="خالی"),1,0)</f>
        <v>0</v>
      </c>
      <c r="BD310" s="21" t="n">
        <f aca="false">IF(AND(AP310="بله",I310&lt;تنظیمات!$B$14,AO310="خیر"),1,0)</f>
        <v>0</v>
      </c>
      <c r="BE310" s="21" t="n">
        <f aca="false">IF(AN310="خیر",1,0)</f>
        <v>0</v>
      </c>
      <c r="BF310" s="21" t="n">
        <f aca="false">IF(AND(AD310="فیش مفقودی",AQ310="بله",I310&gt;تنظیمات!$B$12*60),1,0)</f>
        <v>0</v>
      </c>
      <c r="BG310" s="21" t="n">
        <f aca="false">IF(AND(AK310&gt;تنظیمات!$B$11,AL310="بله"),1,0)</f>
        <v>0</v>
      </c>
      <c r="BH310" s="21" t="n">
        <f aca="false">MIN(100,AR310*تنظیمات!$B$21+AS310*تنظیمات!$B$22+AT310*تنظیمات!$B$23+AU310*تنظیمات!$B$24+AV310*تنظیمات!$B$25+AW310*تنظیمات!$B$26+AX310*تنظیمات!$B$27+AY310*تنظیمات!$B$28+AZ310*تنظیمات!$B$29+BA310*تنظیمات!$B$30+BB310*تنظیمات!$B$31+BC310*تنظیمات!$B$32+BD310*تنظیمات!$B$33+BE310*تنظیمات!$B$34+BF310*تنظیمات!$B$35+BG310*تنظیمات!$B$36)</f>
        <v>0</v>
      </c>
      <c r="BI310" s="16" t="str">
        <f aca="false">IF(BH310&gt;=60,"بحرانی",IF(BH310&gt;=30,"مشکوک",IF(BH310&gt;0,"هشدار","عادی")))</f>
        <v>عادی</v>
      </c>
      <c r="BJ310" s="16" t="s">
        <v>338</v>
      </c>
    </row>
    <row r="311" customFormat="false" ht="15" hidden="false" customHeight="false" outlineLevel="0" collapsed="false">
      <c r="A311" s="16" t="s">
        <v>1402</v>
      </c>
      <c r="B311" s="16" t="s">
        <v>1227</v>
      </c>
      <c r="C311" s="16"/>
      <c r="D311" s="16" t="s">
        <v>386</v>
      </c>
      <c r="E311" s="16" t="s">
        <v>363</v>
      </c>
      <c r="F311" s="16" t="s">
        <v>333</v>
      </c>
      <c r="G311" s="17" t="n">
        <v>46285.3259722222</v>
      </c>
      <c r="H311" s="17" t="n">
        <v>46285.6947222222</v>
      </c>
      <c r="I311" s="18" t="n">
        <f aca="false">IF(H311="",ROUND((تنظیمات!$B$7-G311)*1440,0),ROUND((H311-G311)*1440,0))</f>
        <v>531</v>
      </c>
      <c r="J311" s="16" t="s">
        <v>334</v>
      </c>
      <c r="K311" s="16" t="s">
        <v>410</v>
      </c>
      <c r="L311" s="19" t="n">
        <v>0.957</v>
      </c>
      <c r="M311" s="19" t="n">
        <v>0.91</v>
      </c>
      <c r="N311" s="16" t="s">
        <v>335</v>
      </c>
      <c r="O311" s="16" t="s">
        <v>425</v>
      </c>
      <c r="P311" s="16" t="s">
        <v>420</v>
      </c>
      <c r="Q311" s="20" t="n">
        <v>46285</v>
      </c>
      <c r="R311" s="16" t="s">
        <v>1403</v>
      </c>
      <c r="S311" s="16" t="s">
        <v>404</v>
      </c>
      <c r="T311" s="17"/>
      <c r="U311" s="21" t="n">
        <v>1</v>
      </c>
      <c r="V311" s="21" t="n">
        <v>1</v>
      </c>
      <c r="W311" s="22" t="n">
        <v>5.3</v>
      </c>
      <c r="X311" s="16" t="s">
        <v>335</v>
      </c>
      <c r="Y311" s="16" t="s">
        <v>338</v>
      </c>
      <c r="Z311" s="16" t="s">
        <v>413</v>
      </c>
      <c r="AA311" s="16" t="s">
        <v>414</v>
      </c>
      <c r="AB311" s="23" t="s">
        <v>1404</v>
      </c>
      <c r="AC311" s="17" t="n">
        <v>46285.6938078704</v>
      </c>
      <c r="AD311" s="16" t="s">
        <v>338</v>
      </c>
      <c r="AE311" s="16"/>
      <c r="AF311" s="16" t="str">
        <f aca="false">IF(COUNTIF(لیست_سفید!$A$2:$A$21,B311)&gt;0,"بله","خیر")</f>
        <v>خیر</v>
      </c>
      <c r="AG311" s="24" t="n">
        <f aca="false">IF(H311="","",IF(AD311="فیش مفقودی",تنظیمات!$B$6,(INT(I311/1440)*تنظیمات!$B$5+IF(MOD(I311,1440)&lt;=تنظیمات!$B$2,0,MIN(تنظیمات!$B$5,تنظیمات!$B$3+MAX(0,ROUNDUP((MOD(I311,1440)-60)/60,0))*تنظیمات!$B$4)))*INDEX(تعرفه!$B$2:$B$7,MATCH(AD311,تعرفه!$A$2:$A$7,0))))</f>
        <v>132000</v>
      </c>
      <c r="AH311" s="24" t="n">
        <v>132000</v>
      </c>
      <c r="AI311" s="24" t="n">
        <f aca="false">IF(AG311="","",AH311-AG311)</f>
        <v>0</v>
      </c>
      <c r="AJ311" s="21" t="n">
        <v>-3</v>
      </c>
      <c r="AK311" s="21" t="n">
        <v>0</v>
      </c>
      <c r="AL311" s="16" t="s">
        <v>335</v>
      </c>
      <c r="AM311" s="16"/>
      <c r="AN311" s="16" t="s">
        <v>340</v>
      </c>
      <c r="AO311" s="16" t="s">
        <v>340</v>
      </c>
      <c r="AP311" s="16" t="s">
        <v>335</v>
      </c>
      <c r="AQ311" s="16"/>
      <c r="AR311" s="21" t="n">
        <f aca="false">IF(AND(T311&lt;&gt;"",H311&lt;&gt;""),IF(AND((T311-H311)*86400&gt;=0,(T311-H311)*86400&lt;تنظیمات!$B$13),1,0),0)</f>
        <v>0</v>
      </c>
      <c r="AS311" s="21" t="n">
        <f aca="false">IF(Z311="پوز",IF(OR(AB311="",COUNTIF(پوزها!$A$2:$A$5,AA311)=0),1,0),0)</f>
        <v>0</v>
      </c>
      <c r="AT311" s="21" t="n">
        <f aca="false">IF(AI311="",0,IF(AI311&gt;0,1,0))</f>
        <v>0</v>
      </c>
      <c r="AU311" s="21" t="n">
        <f aca="false">IF(AI311="",0,IF(AI311&lt;0,1,0))</f>
        <v>0</v>
      </c>
      <c r="AV311" s="21" t="n">
        <f aca="false">IF(U311&gt;V311,1,0)</f>
        <v>0</v>
      </c>
      <c r="AW311" s="21" t="n">
        <f aca="false">IF(OR(W311&gt;تنظیمات!$B$8,X311="بله"),1,0)</f>
        <v>0</v>
      </c>
      <c r="AX311" s="21" t="n">
        <f aca="false">IF(AND(N311="بله",L311&gt;تنظیمات!$B$9),1,0)</f>
        <v>0</v>
      </c>
      <c r="AY311" s="21" t="n">
        <f aca="false">IF(Y311="معکوس",1,0)</f>
        <v>0</v>
      </c>
      <c r="AZ311" s="21" t="n">
        <f aca="false">IF(ABS(AJ311)&gt;تنظیمات!$B$10,1,0)</f>
        <v>0</v>
      </c>
      <c r="BA311" s="21" t="n">
        <f aca="false">IF(AND(OR(AD311="رایگان/VIP",AD311="جانباز"),AF311="خیر"),1,0)</f>
        <v>0</v>
      </c>
      <c r="BB311" s="21" t="n">
        <f aca="false">IF(AE311="",0,IF(COUNTIF($AE$2:$AE$1001,AE311)&gt;1,1,0))</f>
        <v>0</v>
      </c>
      <c r="BC311" s="21" t="n">
        <f aca="false">IF(AND(H311="",I311&gt;تنظیمات!$B$12*60,AM311="خالی"),1,0)</f>
        <v>0</v>
      </c>
      <c r="BD311" s="21" t="n">
        <f aca="false">IF(AND(AP311="بله",I311&lt;تنظیمات!$B$14,AO311="خیر"),1,0)</f>
        <v>0</v>
      </c>
      <c r="BE311" s="21" t="n">
        <f aca="false">IF(AN311="خیر",1,0)</f>
        <v>0</v>
      </c>
      <c r="BF311" s="21" t="n">
        <f aca="false">IF(AND(AD311="فیش مفقودی",AQ311="بله",I311&gt;تنظیمات!$B$12*60),1,0)</f>
        <v>0</v>
      </c>
      <c r="BG311" s="21" t="n">
        <f aca="false">IF(AND(AK311&gt;تنظیمات!$B$11,AL311="بله"),1,0)</f>
        <v>0</v>
      </c>
      <c r="BH311" s="21" t="n">
        <f aca="false">MIN(100,AR311*تنظیمات!$B$21+AS311*تنظیمات!$B$22+AT311*تنظیمات!$B$23+AU311*تنظیمات!$B$24+AV311*تنظیمات!$B$25+AW311*تنظیمات!$B$26+AX311*تنظیمات!$B$27+AY311*تنظیمات!$B$28+AZ311*تنظیمات!$B$29+BA311*تنظیمات!$B$30+BB311*تنظیمات!$B$31+BC311*تنظیمات!$B$32+BD311*تنظیمات!$B$33+BE311*تنظیمات!$B$34+BF311*تنظیمات!$B$35+BG311*تنظیمات!$B$36)</f>
        <v>0</v>
      </c>
      <c r="BI311" s="16" t="str">
        <f aca="false">IF(BH311&gt;=60,"بحرانی",IF(BH311&gt;=30,"مشکوک",IF(BH311&gt;0,"هشدار","عادی")))</f>
        <v>عادی</v>
      </c>
      <c r="BJ311" s="16" t="s">
        <v>338</v>
      </c>
    </row>
    <row r="312" customFormat="false" ht="15" hidden="false" customHeight="false" outlineLevel="0" collapsed="false">
      <c r="A312" s="16" t="s">
        <v>1405</v>
      </c>
      <c r="B312" s="16" t="s">
        <v>915</v>
      </c>
      <c r="C312" s="16"/>
      <c r="D312" s="16" t="s">
        <v>374</v>
      </c>
      <c r="E312" s="16" t="s">
        <v>332</v>
      </c>
      <c r="F312" s="16" t="s">
        <v>359</v>
      </c>
      <c r="G312" s="17" t="n">
        <v>46285.3264351852</v>
      </c>
      <c r="H312" s="17" t="n">
        <v>46285.5306018519</v>
      </c>
      <c r="I312" s="18" t="n">
        <f aca="false">IF(H312="",ROUND((تنظیمات!$B$7-G312)*1440,0),ROUND((H312-G312)*1440,0))</f>
        <v>294</v>
      </c>
      <c r="J312" s="16" t="s">
        <v>346</v>
      </c>
      <c r="K312" s="16" t="s">
        <v>400</v>
      </c>
      <c r="L312" s="19" t="n">
        <v>0.958</v>
      </c>
      <c r="M312" s="19" t="n">
        <v>0.994</v>
      </c>
      <c r="N312" s="16" t="s">
        <v>335</v>
      </c>
      <c r="O312" s="16" t="s">
        <v>650</v>
      </c>
      <c r="P312" s="16" t="s">
        <v>402</v>
      </c>
      <c r="Q312" s="20" t="n">
        <v>46285</v>
      </c>
      <c r="R312" s="16" t="s">
        <v>1406</v>
      </c>
      <c r="S312" s="16" t="s">
        <v>404</v>
      </c>
      <c r="T312" s="17"/>
      <c r="U312" s="21" t="n">
        <v>1</v>
      </c>
      <c r="V312" s="21" t="n">
        <v>1</v>
      </c>
      <c r="W312" s="22" t="n">
        <v>7.4</v>
      </c>
      <c r="X312" s="16" t="s">
        <v>335</v>
      </c>
      <c r="Y312" s="16" t="s">
        <v>338</v>
      </c>
      <c r="Z312" s="16" t="s">
        <v>413</v>
      </c>
      <c r="AA312" s="16" t="s">
        <v>427</v>
      </c>
      <c r="AB312" s="23" t="s">
        <v>1407</v>
      </c>
      <c r="AC312" s="17" t="n">
        <v>46285.5303009259</v>
      </c>
      <c r="AD312" s="16" t="s">
        <v>338</v>
      </c>
      <c r="AE312" s="16"/>
      <c r="AF312" s="16" t="str">
        <f aca="false">IF(COUNTIF(لیست_سفید!$A$2:$A$21,B312)&gt;0,"بله","خیر")</f>
        <v>خیر</v>
      </c>
      <c r="AG312" s="24" t="n">
        <f aca="false">IF(H312="","",IF(AD312="فیش مفقودی",تنظیمات!$B$6,(INT(I312/1440)*تنظیمات!$B$5+IF(MOD(I312,1440)&lt;=تنظیمات!$B$2,0,MIN(تنظیمات!$B$5,تنظیمات!$B$3+MAX(0,ROUNDUP((MOD(I312,1440)-60)/60,0))*تنظیمات!$B$4)))*INDEX(تعرفه!$B$2:$B$7,MATCH(AD312,تعرفه!$A$2:$A$7,0))))</f>
        <v>76000</v>
      </c>
      <c r="AH312" s="24" t="n">
        <v>76000</v>
      </c>
      <c r="AI312" s="24" t="n">
        <f aca="false">IF(AG312="","",AH312-AG312)</f>
        <v>0</v>
      </c>
      <c r="AJ312" s="21" t="n">
        <v>0</v>
      </c>
      <c r="AK312" s="21" t="n">
        <v>0</v>
      </c>
      <c r="AL312" s="16" t="s">
        <v>335</v>
      </c>
      <c r="AM312" s="16"/>
      <c r="AN312" s="16" t="s">
        <v>340</v>
      </c>
      <c r="AO312" s="16" t="s">
        <v>340</v>
      </c>
      <c r="AP312" s="16" t="s">
        <v>335</v>
      </c>
      <c r="AQ312" s="16"/>
      <c r="AR312" s="21" t="n">
        <f aca="false">IF(AND(T312&lt;&gt;"",H312&lt;&gt;""),IF(AND((T312-H312)*86400&gt;=0,(T312-H312)*86400&lt;تنظیمات!$B$13),1,0),0)</f>
        <v>0</v>
      </c>
      <c r="AS312" s="21" t="n">
        <f aca="false">IF(Z312="پوز",IF(OR(AB312="",COUNTIF(پوزها!$A$2:$A$5,AA312)=0),1,0),0)</f>
        <v>0</v>
      </c>
      <c r="AT312" s="21" t="n">
        <f aca="false">IF(AI312="",0,IF(AI312&gt;0,1,0))</f>
        <v>0</v>
      </c>
      <c r="AU312" s="21" t="n">
        <f aca="false">IF(AI312="",0,IF(AI312&lt;0,1,0))</f>
        <v>0</v>
      </c>
      <c r="AV312" s="21" t="n">
        <f aca="false">IF(U312&gt;V312,1,0)</f>
        <v>0</v>
      </c>
      <c r="AW312" s="21" t="n">
        <f aca="false">IF(OR(W312&gt;تنظیمات!$B$8,X312="بله"),1,0)</f>
        <v>0</v>
      </c>
      <c r="AX312" s="21" t="n">
        <f aca="false">IF(AND(N312="بله",L312&gt;تنظیمات!$B$9),1,0)</f>
        <v>0</v>
      </c>
      <c r="AY312" s="21" t="n">
        <f aca="false">IF(Y312="معکوس",1,0)</f>
        <v>0</v>
      </c>
      <c r="AZ312" s="21" t="n">
        <f aca="false">IF(ABS(AJ312)&gt;تنظیمات!$B$10,1,0)</f>
        <v>0</v>
      </c>
      <c r="BA312" s="21" t="n">
        <f aca="false">IF(AND(OR(AD312="رایگان/VIP",AD312="جانباز"),AF312="خیر"),1,0)</f>
        <v>0</v>
      </c>
      <c r="BB312" s="21" t="n">
        <f aca="false">IF(AE312="",0,IF(COUNTIF($AE$2:$AE$1001,AE312)&gt;1,1,0))</f>
        <v>0</v>
      </c>
      <c r="BC312" s="21" t="n">
        <f aca="false">IF(AND(H312="",I312&gt;تنظیمات!$B$12*60,AM312="خالی"),1,0)</f>
        <v>0</v>
      </c>
      <c r="BD312" s="21" t="n">
        <f aca="false">IF(AND(AP312="بله",I312&lt;تنظیمات!$B$14,AO312="خیر"),1,0)</f>
        <v>0</v>
      </c>
      <c r="BE312" s="21" t="n">
        <f aca="false">IF(AN312="خیر",1,0)</f>
        <v>0</v>
      </c>
      <c r="BF312" s="21" t="n">
        <f aca="false">IF(AND(AD312="فیش مفقودی",AQ312="بله",I312&gt;تنظیمات!$B$12*60),1,0)</f>
        <v>0</v>
      </c>
      <c r="BG312" s="21" t="n">
        <f aca="false">IF(AND(AK312&gt;تنظیمات!$B$11,AL312="بله"),1,0)</f>
        <v>0</v>
      </c>
      <c r="BH312" s="21" t="n">
        <f aca="false">MIN(100,AR312*تنظیمات!$B$21+AS312*تنظیمات!$B$22+AT312*تنظیمات!$B$23+AU312*تنظیمات!$B$24+AV312*تنظیمات!$B$25+AW312*تنظیمات!$B$26+AX312*تنظیمات!$B$27+AY312*تنظیمات!$B$28+AZ312*تنظیمات!$B$29+BA312*تنظیمات!$B$30+BB312*تنظیمات!$B$31+BC312*تنظیمات!$B$32+BD312*تنظیمات!$B$33+BE312*تنظیمات!$B$34+BF312*تنظیمات!$B$35+BG312*تنظیمات!$B$36)</f>
        <v>0</v>
      </c>
      <c r="BI312" s="16" t="str">
        <f aca="false">IF(BH312&gt;=60,"بحرانی",IF(BH312&gt;=30,"مشکوک",IF(BH312&gt;0,"هشدار","عادی")))</f>
        <v>عادی</v>
      </c>
      <c r="BJ312" s="16" t="s">
        <v>338</v>
      </c>
    </row>
    <row r="313" customFormat="false" ht="15" hidden="false" customHeight="false" outlineLevel="0" collapsed="false">
      <c r="A313" s="16" t="s">
        <v>1408</v>
      </c>
      <c r="B313" s="16" t="s">
        <v>409</v>
      </c>
      <c r="C313" s="16"/>
      <c r="D313" s="16" t="s">
        <v>382</v>
      </c>
      <c r="E313" s="16" t="s">
        <v>363</v>
      </c>
      <c r="F313" s="16" t="s">
        <v>333</v>
      </c>
      <c r="G313" s="17" t="n">
        <v>46285.3480092593</v>
      </c>
      <c r="H313" s="17" t="n">
        <v>46285.3737037037</v>
      </c>
      <c r="I313" s="18" t="n">
        <f aca="false">IF(H313="",ROUND((تنظیمات!$B$7-G313)*1440,0),ROUND((H313-G313)*1440,0))</f>
        <v>37</v>
      </c>
      <c r="J313" s="16" t="s">
        <v>334</v>
      </c>
      <c r="K313" s="16" t="s">
        <v>400</v>
      </c>
      <c r="L313" s="19" t="n">
        <v>0.99</v>
      </c>
      <c r="M313" s="19" t="n">
        <v>0.844</v>
      </c>
      <c r="N313" s="16" t="s">
        <v>335</v>
      </c>
      <c r="O313" s="16" t="s">
        <v>650</v>
      </c>
      <c r="P313" s="16" t="s">
        <v>402</v>
      </c>
      <c r="Q313" s="20" t="n">
        <v>46285</v>
      </c>
      <c r="R313" s="16" t="s">
        <v>1409</v>
      </c>
      <c r="S313" s="16" t="s">
        <v>404</v>
      </c>
      <c r="T313" s="17"/>
      <c r="U313" s="21" t="n">
        <v>2</v>
      </c>
      <c r="V313" s="21" t="n">
        <v>1</v>
      </c>
      <c r="W313" s="22" t="n">
        <v>11.9</v>
      </c>
      <c r="X313" s="16" t="s">
        <v>335</v>
      </c>
      <c r="Y313" s="16" t="s">
        <v>338</v>
      </c>
      <c r="Z313" s="16" t="s">
        <v>405</v>
      </c>
      <c r="AA313" s="16"/>
      <c r="AB313" s="23"/>
      <c r="AC313" s="17"/>
      <c r="AD313" s="16" t="s">
        <v>338</v>
      </c>
      <c r="AE313" s="16"/>
      <c r="AF313" s="16" t="str">
        <f aca="false">IF(COUNTIF(لیست_سفید!$A$2:$A$21,B313)&gt;0,"بله","خیر")</f>
        <v>خیر</v>
      </c>
      <c r="AG313" s="24" t="n">
        <f aca="false">IF(H313="","",IF(AD313="فیش مفقودی",تنظیمات!$B$6,(INT(I313/1440)*تنظیمات!$B$5+IF(MOD(I313,1440)&lt;=تنظیمات!$B$2,0,MIN(تنظیمات!$B$5,تنظیمات!$B$3+MAX(0,ROUNDUP((MOD(I313,1440)-60)/60,0))*تنظیمات!$B$4)))*INDEX(تعرفه!$B$2:$B$7,MATCH(AD313,تعرفه!$A$2:$A$7,0))))</f>
        <v>20000</v>
      </c>
      <c r="AH313" s="24" t="n">
        <v>20000</v>
      </c>
      <c r="AI313" s="24" t="n">
        <f aca="false">IF(AG313="","",AH313-AG313)</f>
        <v>0</v>
      </c>
      <c r="AJ313" s="21" t="n">
        <v>0</v>
      </c>
      <c r="AK313" s="21" t="n">
        <v>0</v>
      </c>
      <c r="AL313" s="16" t="s">
        <v>335</v>
      </c>
      <c r="AM313" s="16"/>
      <c r="AN313" s="16" t="s">
        <v>340</v>
      </c>
      <c r="AO313" s="16" t="s">
        <v>340</v>
      </c>
      <c r="AP313" s="16" t="s">
        <v>335</v>
      </c>
      <c r="AQ313" s="16"/>
      <c r="AR313" s="21" t="n">
        <f aca="false">IF(AND(T313&lt;&gt;"",H313&lt;&gt;""),IF(AND((T313-H313)*86400&gt;=0,(T313-H313)*86400&lt;تنظیمات!$B$13),1,0),0)</f>
        <v>0</v>
      </c>
      <c r="AS313" s="21" t="n">
        <f aca="false">IF(Z313="پوز",IF(OR(AB313="",COUNTIF(پوزها!$A$2:$A$5,AA313)=0),1,0),0)</f>
        <v>0</v>
      </c>
      <c r="AT313" s="21" t="n">
        <f aca="false">IF(AI313="",0,IF(AI313&gt;0,1,0))</f>
        <v>0</v>
      </c>
      <c r="AU313" s="21" t="n">
        <f aca="false">IF(AI313="",0,IF(AI313&lt;0,1,0))</f>
        <v>0</v>
      </c>
      <c r="AV313" s="21" t="n">
        <f aca="false">IF(U313&gt;V313,1,0)</f>
        <v>1</v>
      </c>
      <c r="AW313" s="21" t="n">
        <f aca="false">IF(OR(W313&gt;تنظیمات!$B$8,X313="بله"),1,0)</f>
        <v>0</v>
      </c>
      <c r="AX313" s="21" t="n">
        <f aca="false">IF(AND(N313="بله",L313&gt;تنظیمات!$B$9),1,0)</f>
        <v>0</v>
      </c>
      <c r="AY313" s="21" t="n">
        <f aca="false">IF(Y313="معکوس",1,0)</f>
        <v>0</v>
      </c>
      <c r="AZ313" s="21" t="n">
        <f aca="false">IF(ABS(AJ313)&gt;تنظیمات!$B$10,1,0)</f>
        <v>0</v>
      </c>
      <c r="BA313" s="21" t="n">
        <f aca="false">IF(AND(OR(AD313="رایگان/VIP",AD313="جانباز"),AF313="خیر"),1,0)</f>
        <v>0</v>
      </c>
      <c r="BB313" s="21" t="n">
        <f aca="false">IF(AE313="",0,IF(COUNTIF($AE$2:$AE$1001,AE313)&gt;1,1,0))</f>
        <v>0</v>
      </c>
      <c r="BC313" s="21" t="n">
        <f aca="false">IF(AND(H313="",I313&gt;تنظیمات!$B$12*60,AM313="خالی"),1,0)</f>
        <v>0</v>
      </c>
      <c r="BD313" s="21" t="n">
        <f aca="false">IF(AND(AP313="بله",I313&lt;تنظیمات!$B$14,AO313="خیر"),1,0)</f>
        <v>0</v>
      </c>
      <c r="BE313" s="21" t="n">
        <f aca="false">IF(AN313="خیر",1,0)</f>
        <v>0</v>
      </c>
      <c r="BF313" s="21" t="n">
        <f aca="false">IF(AND(AD313="فیش مفقودی",AQ313="بله",I313&gt;تنظیمات!$B$12*60),1,0)</f>
        <v>0</v>
      </c>
      <c r="BG313" s="21" t="n">
        <f aca="false">IF(AND(AK313&gt;تنظیمات!$B$11,AL313="بله"),1,0)</f>
        <v>0</v>
      </c>
      <c r="BH313" s="21" t="n">
        <f aca="false">MIN(100,AR313*تنظیمات!$B$21+AS313*تنظیمات!$B$22+AT313*تنظیمات!$B$23+AU313*تنظیمات!$B$24+AV313*تنظیمات!$B$25+AW313*تنظیمات!$B$26+AX313*تنظیمات!$B$27+AY313*تنظیمات!$B$28+AZ313*تنظیمات!$B$29+BA313*تنظیمات!$B$30+BB313*تنظیمات!$B$31+BC313*تنظیمات!$B$32+BD313*تنظیمات!$B$33+BE313*تنظیمات!$B$34+BF313*تنظیمات!$B$35+BG313*تنظیمات!$B$36)</f>
        <v>30</v>
      </c>
      <c r="BI313" s="16" t="str">
        <f aca="false">IF(BH313&gt;=60,"بحرانی",IF(BH313&gt;=30,"مشکوک",IF(BH313&gt;0,"هشدار","عادی")))</f>
        <v>مشکوک</v>
      </c>
      <c r="BJ313" s="16" t="s">
        <v>516</v>
      </c>
    </row>
    <row r="314" customFormat="false" ht="15" hidden="false" customHeight="false" outlineLevel="0" collapsed="false">
      <c r="A314" s="16" t="s">
        <v>1410</v>
      </c>
      <c r="B314" s="16" t="s">
        <v>1182</v>
      </c>
      <c r="C314" s="16"/>
      <c r="D314" s="16" t="s">
        <v>450</v>
      </c>
      <c r="E314" s="16" t="s">
        <v>375</v>
      </c>
      <c r="F314" s="16" t="s">
        <v>333</v>
      </c>
      <c r="G314" s="17" t="n">
        <v>46285.3717939815</v>
      </c>
      <c r="H314" s="17" t="n">
        <v>46285.527349537</v>
      </c>
      <c r="I314" s="18" t="n">
        <f aca="false">IF(H314="",ROUND((تنظیمات!$B$7-G314)*1440,0),ROUND((H314-G314)*1440,0))</f>
        <v>224</v>
      </c>
      <c r="J314" s="16" t="s">
        <v>334</v>
      </c>
      <c r="K314" s="16" t="s">
        <v>400</v>
      </c>
      <c r="L314" s="19" t="n">
        <v>0.901</v>
      </c>
      <c r="M314" s="19" t="n">
        <v>0.924</v>
      </c>
      <c r="N314" s="16" t="s">
        <v>335</v>
      </c>
      <c r="O314" s="16" t="s">
        <v>650</v>
      </c>
      <c r="P314" s="16" t="s">
        <v>402</v>
      </c>
      <c r="Q314" s="20" t="n">
        <v>46285</v>
      </c>
      <c r="R314" s="16" t="s">
        <v>1411</v>
      </c>
      <c r="S314" s="16" t="s">
        <v>404</v>
      </c>
      <c r="T314" s="17"/>
      <c r="U314" s="21" t="n">
        <v>1</v>
      </c>
      <c r="V314" s="21" t="n">
        <v>1</v>
      </c>
      <c r="W314" s="22" t="n">
        <v>6.2</v>
      </c>
      <c r="X314" s="16" t="s">
        <v>335</v>
      </c>
      <c r="Y314" s="16" t="s">
        <v>338</v>
      </c>
      <c r="Z314" s="16" t="s">
        <v>405</v>
      </c>
      <c r="AA314" s="16"/>
      <c r="AB314" s="23"/>
      <c r="AC314" s="17"/>
      <c r="AD314" s="16" t="s">
        <v>338</v>
      </c>
      <c r="AE314" s="16"/>
      <c r="AF314" s="16" t="str">
        <f aca="false">IF(COUNTIF(لیست_سفید!$A$2:$A$21,B314)&gt;0,"بله","خیر")</f>
        <v>خیر</v>
      </c>
      <c r="AG314" s="24" t="n">
        <f aca="false">IF(H314="","",IF(AD314="فیش مفقودی",تنظیمات!$B$6,(INT(I314/1440)*تنظیمات!$B$5+IF(MOD(I314,1440)&lt;=تنظیمات!$B$2,0,MIN(تنظیمات!$B$5,تنظیمات!$B$3+MAX(0,ROUNDUP((MOD(I314,1440)-60)/60,0))*تنظیمات!$B$4)))*INDEX(تعرفه!$B$2:$B$7,MATCH(AD314,تعرفه!$A$2:$A$7,0))))</f>
        <v>62000</v>
      </c>
      <c r="AH314" s="24" t="n">
        <v>62000</v>
      </c>
      <c r="AI314" s="24" t="n">
        <f aca="false">IF(AG314="","",AH314-AG314)</f>
        <v>0</v>
      </c>
      <c r="AJ314" s="21" t="n">
        <v>1</v>
      </c>
      <c r="AK314" s="21" t="n">
        <v>0</v>
      </c>
      <c r="AL314" s="16" t="s">
        <v>335</v>
      </c>
      <c r="AM314" s="16"/>
      <c r="AN314" s="16" t="s">
        <v>340</v>
      </c>
      <c r="AO314" s="16" t="s">
        <v>340</v>
      </c>
      <c r="AP314" s="16" t="s">
        <v>335</v>
      </c>
      <c r="AQ314" s="16"/>
      <c r="AR314" s="21" t="n">
        <f aca="false">IF(AND(T314&lt;&gt;"",H314&lt;&gt;""),IF(AND((T314-H314)*86400&gt;=0,(T314-H314)*86400&lt;تنظیمات!$B$13),1,0),0)</f>
        <v>0</v>
      </c>
      <c r="AS314" s="21" t="n">
        <f aca="false">IF(Z314="پوز",IF(OR(AB314="",COUNTIF(پوزها!$A$2:$A$5,AA314)=0),1,0),0)</f>
        <v>0</v>
      </c>
      <c r="AT314" s="21" t="n">
        <f aca="false">IF(AI314="",0,IF(AI314&gt;0,1,0))</f>
        <v>0</v>
      </c>
      <c r="AU314" s="21" t="n">
        <f aca="false">IF(AI314="",0,IF(AI314&lt;0,1,0))</f>
        <v>0</v>
      </c>
      <c r="AV314" s="21" t="n">
        <f aca="false">IF(U314&gt;V314,1,0)</f>
        <v>0</v>
      </c>
      <c r="AW314" s="21" t="n">
        <f aca="false">IF(OR(W314&gt;تنظیمات!$B$8,X314="بله"),1,0)</f>
        <v>0</v>
      </c>
      <c r="AX314" s="21" t="n">
        <f aca="false">IF(AND(N314="بله",L314&gt;تنظیمات!$B$9),1,0)</f>
        <v>0</v>
      </c>
      <c r="AY314" s="21" t="n">
        <f aca="false">IF(Y314="معکوس",1,0)</f>
        <v>0</v>
      </c>
      <c r="AZ314" s="21" t="n">
        <f aca="false">IF(ABS(AJ314)&gt;تنظیمات!$B$10,1,0)</f>
        <v>0</v>
      </c>
      <c r="BA314" s="21" t="n">
        <f aca="false">IF(AND(OR(AD314="رایگان/VIP",AD314="جانباز"),AF314="خیر"),1,0)</f>
        <v>0</v>
      </c>
      <c r="BB314" s="21" t="n">
        <f aca="false">IF(AE314="",0,IF(COUNTIF($AE$2:$AE$1001,AE314)&gt;1,1,0))</f>
        <v>0</v>
      </c>
      <c r="BC314" s="21" t="n">
        <f aca="false">IF(AND(H314="",I314&gt;تنظیمات!$B$12*60,AM314="خالی"),1,0)</f>
        <v>0</v>
      </c>
      <c r="BD314" s="21" t="n">
        <f aca="false">IF(AND(AP314="بله",I314&lt;تنظیمات!$B$14,AO314="خیر"),1,0)</f>
        <v>0</v>
      </c>
      <c r="BE314" s="21" t="n">
        <f aca="false">IF(AN314="خیر",1,0)</f>
        <v>0</v>
      </c>
      <c r="BF314" s="21" t="n">
        <f aca="false">IF(AND(AD314="فیش مفقودی",AQ314="بله",I314&gt;تنظیمات!$B$12*60),1,0)</f>
        <v>0</v>
      </c>
      <c r="BG314" s="21" t="n">
        <f aca="false">IF(AND(AK314&gt;تنظیمات!$B$11,AL314="بله"),1,0)</f>
        <v>0</v>
      </c>
      <c r="BH314" s="21" t="n">
        <f aca="false">MIN(100,AR314*تنظیمات!$B$21+AS314*تنظیمات!$B$22+AT314*تنظیمات!$B$23+AU314*تنظیمات!$B$24+AV314*تنظیمات!$B$25+AW314*تنظیمات!$B$26+AX314*تنظیمات!$B$27+AY314*تنظیمات!$B$28+AZ314*تنظیمات!$B$29+BA314*تنظیمات!$B$30+BB314*تنظیمات!$B$31+BC314*تنظیمات!$B$32+BD314*تنظیمات!$B$33+BE314*تنظیمات!$B$34+BF314*تنظیمات!$B$35+BG314*تنظیمات!$B$36)</f>
        <v>0</v>
      </c>
      <c r="BI314" s="16" t="str">
        <f aca="false">IF(BH314&gt;=60,"بحرانی",IF(BH314&gt;=30,"مشکوک",IF(BH314&gt;0,"هشدار","عادی")))</f>
        <v>عادی</v>
      </c>
      <c r="BJ314" s="16" t="s">
        <v>338</v>
      </c>
    </row>
    <row r="315" customFormat="false" ht="15" hidden="false" customHeight="false" outlineLevel="0" collapsed="false">
      <c r="A315" s="16" t="s">
        <v>1412</v>
      </c>
      <c r="B315" s="16" t="s">
        <v>1413</v>
      </c>
      <c r="C315" s="16"/>
      <c r="D315" s="16" t="s">
        <v>386</v>
      </c>
      <c r="E315" s="16" t="s">
        <v>332</v>
      </c>
      <c r="F315" s="16" t="s">
        <v>333</v>
      </c>
      <c r="G315" s="17" t="n">
        <v>46285.3800810185</v>
      </c>
      <c r="H315" s="17" t="n">
        <v>46285.4654976852</v>
      </c>
      <c r="I315" s="18" t="n">
        <f aca="false">IF(H315="",ROUND((تنظیمات!$B$7-G315)*1440,0),ROUND((H315-G315)*1440,0))</f>
        <v>123</v>
      </c>
      <c r="J315" s="16" t="s">
        <v>346</v>
      </c>
      <c r="K315" s="16" t="s">
        <v>400</v>
      </c>
      <c r="L315" s="19" t="n">
        <v>0.93</v>
      </c>
      <c r="M315" s="19" t="n">
        <v>0.892</v>
      </c>
      <c r="N315" s="16" t="s">
        <v>335</v>
      </c>
      <c r="O315" s="16" t="s">
        <v>650</v>
      </c>
      <c r="P315" s="16" t="s">
        <v>402</v>
      </c>
      <c r="Q315" s="20" t="n">
        <v>46285</v>
      </c>
      <c r="R315" s="16" t="s">
        <v>1414</v>
      </c>
      <c r="S315" s="16" t="s">
        <v>404</v>
      </c>
      <c r="T315" s="17"/>
      <c r="U315" s="21" t="n">
        <v>1</v>
      </c>
      <c r="V315" s="21" t="n">
        <v>1</v>
      </c>
      <c r="W315" s="22" t="n">
        <v>4.8</v>
      </c>
      <c r="X315" s="16" t="s">
        <v>335</v>
      </c>
      <c r="Y315" s="16" t="s">
        <v>338</v>
      </c>
      <c r="Z315" s="16" t="s">
        <v>405</v>
      </c>
      <c r="AA315" s="16"/>
      <c r="AB315" s="23"/>
      <c r="AC315" s="17"/>
      <c r="AD315" s="16" t="s">
        <v>338</v>
      </c>
      <c r="AE315" s="16"/>
      <c r="AF315" s="16" t="str">
        <f aca="false">IF(COUNTIF(لیست_سفید!$A$2:$A$21,B315)&gt;0,"بله","خیر")</f>
        <v>خیر</v>
      </c>
      <c r="AG315" s="24" t="n">
        <f aca="false">IF(H315="","",IF(AD315="فیش مفقودی",تنظیمات!$B$6,(INT(I315/1440)*تنظیمات!$B$5+IF(MOD(I315,1440)&lt;=تنظیمات!$B$2,0,MIN(تنظیمات!$B$5,تنظیمات!$B$3+MAX(0,ROUNDUP((MOD(I315,1440)-60)/60,0))*تنظیمات!$B$4)))*INDEX(تعرفه!$B$2:$B$7,MATCH(AD315,تعرفه!$A$2:$A$7,0))))</f>
        <v>48000</v>
      </c>
      <c r="AH315" s="24" t="n">
        <v>48000</v>
      </c>
      <c r="AI315" s="24" t="n">
        <f aca="false">IF(AG315="","",AH315-AG315)</f>
        <v>0</v>
      </c>
      <c r="AJ315" s="21" t="n">
        <v>-1</v>
      </c>
      <c r="AK315" s="21" t="n">
        <v>0</v>
      </c>
      <c r="AL315" s="16" t="s">
        <v>335</v>
      </c>
      <c r="AM315" s="16"/>
      <c r="AN315" s="16" t="s">
        <v>340</v>
      </c>
      <c r="AO315" s="16" t="s">
        <v>340</v>
      </c>
      <c r="AP315" s="16" t="s">
        <v>335</v>
      </c>
      <c r="AQ315" s="16"/>
      <c r="AR315" s="21" t="n">
        <f aca="false">IF(AND(T315&lt;&gt;"",H315&lt;&gt;""),IF(AND((T315-H315)*86400&gt;=0,(T315-H315)*86400&lt;تنظیمات!$B$13),1,0),0)</f>
        <v>0</v>
      </c>
      <c r="AS315" s="21" t="n">
        <f aca="false">IF(Z315="پوز",IF(OR(AB315="",COUNTIF(پوزها!$A$2:$A$5,AA315)=0),1,0),0)</f>
        <v>0</v>
      </c>
      <c r="AT315" s="21" t="n">
        <f aca="false">IF(AI315="",0,IF(AI315&gt;0,1,0))</f>
        <v>0</v>
      </c>
      <c r="AU315" s="21" t="n">
        <f aca="false">IF(AI315="",0,IF(AI315&lt;0,1,0))</f>
        <v>0</v>
      </c>
      <c r="AV315" s="21" t="n">
        <f aca="false">IF(U315&gt;V315,1,0)</f>
        <v>0</v>
      </c>
      <c r="AW315" s="21" t="n">
        <f aca="false">IF(OR(W315&gt;تنظیمات!$B$8,X315="بله"),1,0)</f>
        <v>0</v>
      </c>
      <c r="AX315" s="21" t="n">
        <f aca="false">IF(AND(N315="بله",L315&gt;تنظیمات!$B$9),1,0)</f>
        <v>0</v>
      </c>
      <c r="AY315" s="21" t="n">
        <f aca="false">IF(Y315="معکوس",1,0)</f>
        <v>0</v>
      </c>
      <c r="AZ315" s="21" t="n">
        <f aca="false">IF(ABS(AJ315)&gt;تنظیمات!$B$10,1,0)</f>
        <v>0</v>
      </c>
      <c r="BA315" s="21" t="n">
        <f aca="false">IF(AND(OR(AD315="رایگان/VIP",AD315="جانباز"),AF315="خیر"),1,0)</f>
        <v>0</v>
      </c>
      <c r="BB315" s="21" t="n">
        <f aca="false">IF(AE315="",0,IF(COUNTIF($AE$2:$AE$1001,AE315)&gt;1,1,0))</f>
        <v>0</v>
      </c>
      <c r="BC315" s="21" t="n">
        <f aca="false">IF(AND(H315="",I315&gt;تنظیمات!$B$12*60,AM315="خالی"),1,0)</f>
        <v>0</v>
      </c>
      <c r="BD315" s="21" t="n">
        <f aca="false">IF(AND(AP315="بله",I315&lt;تنظیمات!$B$14,AO315="خیر"),1,0)</f>
        <v>0</v>
      </c>
      <c r="BE315" s="21" t="n">
        <f aca="false">IF(AN315="خیر",1,0)</f>
        <v>0</v>
      </c>
      <c r="BF315" s="21" t="n">
        <f aca="false">IF(AND(AD315="فیش مفقودی",AQ315="بله",I315&gt;تنظیمات!$B$12*60),1,0)</f>
        <v>0</v>
      </c>
      <c r="BG315" s="21" t="n">
        <f aca="false">IF(AND(AK315&gt;تنظیمات!$B$11,AL315="بله"),1,0)</f>
        <v>0</v>
      </c>
      <c r="BH315" s="21" t="n">
        <f aca="false">MIN(100,AR315*تنظیمات!$B$21+AS315*تنظیمات!$B$22+AT315*تنظیمات!$B$23+AU315*تنظیمات!$B$24+AV315*تنظیمات!$B$25+AW315*تنظیمات!$B$26+AX315*تنظیمات!$B$27+AY315*تنظیمات!$B$28+AZ315*تنظیمات!$B$29+BA315*تنظیمات!$B$30+BB315*تنظیمات!$B$31+BC315*تنظیمات!$B$32+BD315*تنظیمات!$B$33+BE315*تنظیمات!$B$34+BF315*تنظیمات!$B$35+BG315*تنظیمات!$B$36)</f>
        <v>0</v>
      </c>
      <c r="BI315" s="16" t="str">
        <f aca="false">IF(BH315&gt;=60,"بحرانی",IF(BH315&gt;=30,"مشکوک",IF(BH315&gt;0,"هشدار","عادی")))</f>
        <v>عادی</v>
      </c>
      <c r="BJ315" s="16" t="s">
        <v>338</v>
      </c>
    </row>
    <row r="316" customFormat="false" ht="15" hidden="false" customHeight="false" outlineLevel="0" collapsed="false">
      <c r="A316" s="16" t="s">
        <v>1415</v>
      </c>
      <c r="B316" s="16" t="s">
        <v>1416</v>
      </c>
      <c r="C316" s="16"/>
      <c r="D316" s="16" t="s">
        <v>508</v>
      </c>
      <c r="E316" s="16" t="s">
        <v>363</v>
      </c>
      <c r="F316" s="16" t="s">
        <v>333</v>
      </c>
      <c r="G316" s="17" t="n">
        <v>46285.3953703704</v>
      </c>
      <c r="H316" s="17" t="n">
        <v>46285.5537037037</v>
      </c>
      <c r="I316" s="18" t="n">
        <f aca="false">IF(H316="",ROUND((تنظیمات!$B$7-G316)*1440,0),ROUND((H316-G316)*1440,0))</f>
        <v>228</v>
      </c>
      <c r="J316" s="16" t="s">
        <v>334</v>
      </c>
      <c r="K316" s="16" t="s">
        <v>410</v>
      </c>
      <c r="L316" s="19" t="n">
        <v>0.881</v>
      </c>
      <c r="M316" s="19" t="n">
        <v>0.922</v>
      </c>
      <c r="N316" s="16" t="s">
        <v>335</v>
      </c>
      <c r="O316" s="16" t="s">
        <v>666</v>
      </c>
      <c r="P316" s="16" t="s">
        <v>402</v>
      </c>
      <c r="Q316" s="20" t="n">
        <v>46285</v>
      </c>
      <c r="R316" s="16" t="s">
        <v>1417</v>
      </c>
      <c r="S316" s="16" t="s">
        <v>404</v>
      </c>
      <c r="T316" s="17"/>
      <c r="U316" s="21" t="n">
        <v>1</v>
      </c>
      <c r="V316" s="21" t="n">
        <v>1</v>
      </c>
      <c r="W316" s="22" t="n">
        <v>8.1</v>
      </c>
      <c r="X316" s="16" t="s">
        <v>335</v>
      </c>
      <c r="Y316" s="16" t="s">
        <v>338</v>
      </c>
      <c r="Z316" s="16" t="s">
        <v>405</v>
      </c>
      <c r="AA316" s="16"/>
      <c r="AB316" s="23"/>
      <c r="AC316" s="17"/>
      <c r="AD316" s="16" t="s">
        <v>481</v>
      </c>
      <c r="AE316" s="16" t="s">
        <v>1418</v>
      </c>
      <c r="AF316" s="16" t="str">
        <f aca="false">IF(COUNTIF(لیست_سفید!$A$2:$A$21,B316)&gt;0,"بله","خیر")</f>
        <v>خیر</v>
      </c>
      <c r="AG316" s="24" t="n">
        <f aca="false">IF(H316="","",IF(AD316="فیش مفقودی",تنظیمات!$B$6,(INT(I316/1440)*تنظیمات!$B$5+IF(MOD(I316,1440)&lt;=تنظیمات!$B$2,0,MIN(تنظیمات!$B$5,تنظیمات!$B$3+MAX(0,ROUNDUP((MOD(I316,1440)-60)/60,0))*تنظیمات!$B$4)))*INDEX(تعرفه!$B$2:$B$7,MATCH(AD316,تعرفه!$A$2:$A$7,0))))</f>
        <v>31000</v>
      </c>
      <c r="AH316" s="24" t="n">
        <v>31000</v>
      </c>
      <c r="AI316" s="24" t="n">
        <f aca="false">IF(AG316="","",AH316-AG316)</f>
        <v>0</v>
      </c>
      <c r="AJ316" s="21" t="n">
        <v>-2</v>
      </c>
      <c r="AK316" s="21" t="n">
        <v>0</v>
      </c>
      <c r="AL316" s="16" t="s">
        <v>335</v>
      </c>
      <c r="AM316" s="16"/>
      <c r="AN316" s="16" t="s">
        <v>340</v>
      </c>
      <c r="AO316" s="16" t="s">
        <v>340</v>
      </c>
      <c r="AP316" s="16" t="s">
        <v>335</v>
      </c>
      <c r="AQ316" s="16"/>
      <c r="AR316" s="21" t="n">
        <f aca="false">IF(AND(T316&lt;&gt;"",H316&lt;&gt;""),IF(AND((T316-H316)*86400&gt;=0,(T316-H316)*86400&lt;تنظیمات!$B$13),1,0),0)</f>
        <v>0</v>
      </c>
      <c r="AS316" s="21" t="n">
        <f aca="false">IF(Z316="پوز",IF(OR(AB316="",COUNTIF(پوزها!$A$2:$A$5,AA316)=0),1,0),0)</f>
        <v>0</v>
      </c>
      <c r="AT316" s="21" t="n">
        <f aca="false">IF(AI316="",0,IF(AI316&gt;0,1,0))</f>
        <v>0</v>
      </c>
      <c r="AU316" s="21" t="n">
        <f aca="false">IF(AI316="",0,IF(AI316&lt;0,1,0))</f>
        <v>0</v>
      </c>
      <c r="AV316" s="21" t="n">
        <f aca="false">IF(U316&gt;V316,1,0)</f>
        <v>0</v>
      </c>
      <c r="AW316" s="21" t="n">
        <f aca="false">IF(OR(W316&gt;تنظیمات!$B$8,X316="بله"),1,0)</f>
        <v>0</v>
      </c>
      <c r="AX316" s="21" t="n">
        <f aca="false">IF(AND(N316="بله",L316&gt;تنظیمات!$B$9),1,0)</f>
        <v>0</v>
      </c>
      <c r="AY316" s="21" t="n">
        <f aca="false">IF(Y316="معکوس",1,0)</f>
        <v>0</v>
      </c>
      <c r="AZ316" s="21" t="n">
        <f aca="false">IF(ABS(AJ316)&gt;تنظیمات!$B$10,1,0)</f>
        <v>0</v>
      </c>
      <c r="BA316" s="21" t="n">
        <f aca="false">IF(AND(OR(AD316="رایگان/VIP",AD316="جانباز"),AF316="خیر"),1,0)</f>
        <v>0</v>
      </c>
      <c r="BB316" s="21" t="n">
        <f aca="false">IF(AE316="",0,IF(COUNTIF($AE$2:$AE$1001,AE316)&gt;1,1,0))</f>
        <v>0</v>
      </c>
      <c r="BC316" s="21" t="n">
        <f aca="false">IF(AND(H316="",I316&gt;تنظیمات!$B$12*60,AM316="خالی"),1,0)</f>
        <v>0</v>
      </c>
      <c r="BD316" s="21" t="n">
        <f aca="false">IF(AND(AP316="بله",I316&lt;تنظیمات!$B$14,AO316="خیر"),1,0)</f>
        <v>0</v>
      </c>
      <c r="BE316" s="21" t="n">
        <f aca="false">IF(AN316="خیر",1,0)</f>
        <v>0</v>
      </c>
      <c r="BF316" s="21" t="n">
        <f aca="false">IF(AND(AD316="فیش مفقودی",AQ316="بله",I316&gt;تنظیمات!$B$12*60),1,0)</f>
        <v>0</v>
      </c>
      <c r="BG316" s="21" t="n">
        <f aca="false">IF(AND(AK316&gt;تنظیمات!$B$11,AL316="بله"),1,0)</f>
        <v>0</v>
      </c>
      <c r="BH316" s="21" t="n">
        <f aca="false">MIN(100,AR316*تنظیمات!$B$21+AS316*تنظیمات!$B$22+AT316*تنظیمات!$B$23+AU316*تنظیمات!$B$24+AV316*تنظیمات!$B$25+AW316*تنظیمات!$B$26+AX316*تنظیمات!$B$27+AY316*تنظیمات!$B$28+AZ316*تنظیمات!$B$29+BA316*تنظیمات!$B$30+BB316*تنظیمات!$B$31+BC316*تنظیمات!$B$32+BD316*تنظیمات!$B$33+BE316*تنظیمات!$B$34+BF316*تنظیمات!$B$35+BG316*تنظیمات!$B$36)</f>
        <v>0</v>
      </c>
      <c r="BI316" s="16" t="str">
        <f aca="false">IF(BH316&gt;=60,"بحرانی",IF(BH316&gt;=30,"مشکوک",IF(BH316&gt;0,"هشدار","عادی")))</f>
        <v>عادی</v>
      </c>
      <c r="BJ316" s="16" t="s">
        <v>338</v>
      </c>
    </row>
    <row r="317" customFormat="false" ht="15" hidden="false" customHeight="false" outlineLevel="0" collapsed="false">
      <c r="A317" s="16" t="s">
        <v>1419</v>
      </c>
      <c r="B317" s="16" t="s">
        <v>1420</v>
      </c>
      <c r="C317" s="16"/>
      <c r="D317" s="16" t="s">
        <v>344</v>
      </c>
      <c r="E317" s="16" t="s">
        <v>363</v>
      </c>
      <c r="F317" s="16" t="s">
        <v>333</v>
      </c>
      <c r="G317" s="17" t="n">
        <v>46285.399525463</v>
      </c>
      <c r="H317" s="17" t="n">
        <v>46285.5293865741</v>
      </c>
      <c r="I317" s="18" t="n">
        <f aca="false">IF(H317="",ROUND((تنظیمات!$B$7-G317)*1440,0),ROUND((H317-G317)*1440,0))</f>
        <v>187</v>
      </c>
      <c r="J317" s="16" t="s">
        <v>346</v>
      </c>
      <c r="K317" s="16" t="s">
        <v>400</v>
      </c>
      <c r="L317" s="19" t="n">
        <v>0.928</v>
      </c>
      <c r="M317" s="19" t="n">
        <v>0.995</v>
      </c>
      <c r="N317" s="16" t="s">
        <v>335</v>
      </c>
      <c r="O317" s="16" t="s">
        <v>650</v>
      </c>
      <c r="P317" s="16" t="s">
        <v>402</v>
      </c>
      <c r="Q317" s="20" t="n">
        <v>46285</v>
      </c>
      <c r="R317" s="16" t="s">
        <v>1421</v>
      </c>
      <c r="S317" s="16" t="s">
        <v>404</v>
      </c>
      <c r="T317" s="17"/>
      <c r="U317" s="21" t="n">
        <v>1</v>
      </c>
      <c r="V317" s="21" t="n">
        <v>1</v>
      </c>
      <c r="W317" s="22" t="n">
        <v>7.5</v>
      </c>
      <c r="X317" s="16" t="s">
        <v>335</v>
      </c>
      <c r="Y317" s="16" t="s">
        <v>338</v>
      </c>
      <c r="Z317" s="16" t="s">
        <v>413</v>
      </c>
      <c r="AA317" s="16" t="s">
        <v>427</v>
      </c>
      <c r="AB317" s="23" t="s">
        <v>1422</v>
      </c>
      <c r="AC317" s="17" t="n">
        <v>46285.5289814815</v>
      </c>
      <c r="AD317" s="16" t="s">
        <v>338</v>
      </c>
      <c r="AE317" s="16"/>
      <c r="AF317" s="16" t="str">
        <f aca="false">IF(COUNTIF(لیست_سفید!$A$2:$A$21,B317)&gt;0,"بله","خیر")</f>
        <v>خیر</v>
      </c>
      <c r="AG317" s="24" t="n">
        <f aca="false">IF(H317="","",IF(AD317="فیش مفقودی",تنظیمات!$B$6,(INT(I317/1440)*تنظیمات!$B$5+IF(MOD(I317,1440)&lt;=تنظیمات!$B$2,0,MIN(تنظیمات!$B$5,تنظیمات!$B$3+MAX(0,ROUNDUP((MOD(I317,1440)-60)/60,0))*تنظیمات!$B$4)))*INDEX(تعرفه!$B$2:$B$7,MATCH(AD317,تعرفه!$A$2:$A$7,0))))</f>
        <v>62000</v>
      </c>
      <c r="AH317" s="24" t="n">
        <v>62000</v>
      </c>
      <c r="AI317" s="24" t="n">
        <f aca="false">IF(AG317="","",AH317-AG317)</f>
        <v>0</v>
      </c>
      <c r="AJ317" s="21" t="n">
        <v>6</v>
      </c>
      <c r="AK317" s="21" t="n">
        <v>0</v>
      </c>
      <c r="AL317" s="16" t="s">
        <v>335</v>
      </c>
      <c r="AM317" s="16"/>
      <c r="AN317" s="16" t="s">
        <v>340</v>
      </c>
      <c r="AO317" s="16" t="s">
        <v>340</v>
      </c>
      <c r="AP317" s="16" t="s">
        <v>335</v>
      </c>
      <c r="AQ317" s="16"/>
      <c r="AR317" s="21" t="n">
        <f aca="false">IF(AND(T317&lt;&gt;"",H317&lt;&gt;""),IF(AND((T317-H317)*86400&gt;=0,(T317-H317)*86400&lt;تنظیمات!$B$13),1,0),0)</f>
        <v>0</v>
      </c>
      <c r="AS317" s="21" t="n">
        <f aca="false">IF(Z317="پوز",IF(OR(AB317="",COUNTIF(پوزها!$A$2:$A$5,AA317)=0),1,0),0)</f>
        <v>0</v>
      </c>
      <c r="AT317" s="21" t="n">
        <f aca="false">IF(AI317="",0,IF(AI317&gt;0,1,0))</f>
        <v>0</v>
      </c>
      <c r="AU317" s="21" t="n">
        <f aca="false">IF(AI317="",0,IF(AI317&lt;0,1,0))</f>
        <v>0</v>
      </c>
      <c r="AV317" s="21" t="n">
        <f aca="false">IF(U317&gt;V317,1,0)</f>
        <v>0</v>
      </c>
      <c r="AW317" s="21" t="n">
        <f aca="false">IF(OR(W317&gt;تنظیمات!$B$8,X317="بله"),1,0)</f>
        <v>0</v>
      </c>
      <c r="AX317" s="21" t="n">
        <f aca="false">IF(AND(N317="بله",L317&gt;تنظیمات!$B$9),1,0)</f>
        <v>0</v>
      </c>
      <c r="AY317" s="21" t="n">
        <f aca="false">IF(Y317="معکوس",1,0)</f>
        <v>0</v>
      </c>
      <c r="AZ317" s="21" t="n">
        <f aca="false">IF(ABS(AJ317)&gt;تنظیمات!$B$10,1,0)</f>
        <v>0</v>
      </c>
      <c r="BA317" s="21" t="n">
        <f aca="false">IF(AND(OR(AD317="رایگان/VIP",AD317="جانباز"),AF317="خیر"),1,0)</f>
        <v>0</v>
      </c>
      <c r="BB317" s="21" t="n">
        <f aca="false">IF(AE317="",0,IF(COUNTIF($AE$2:$AE$1001,AE317)&gt;1,1,0))</f>
        <v>0</v>
      </c>
      <c r="BC317" s="21" t="n">
        <f aca="false">IF(AND(H317="",I317&gt;تنظیمات!$B$12*60,AM317="خالی"),1,0)</f>
        <v>0</v>
      </c>
      <c r="BD317" s="21" t="n">
        <f aca="false">IF(AND(AP317="بله",I317&lt;تنظیمات!$B$14,AO317="خیر"),1,0)</f>
        <v>0</v>
      </c>
      <c r="BE317" s="21" t="n">
        <f aca="false">IF(AN317="خیر",1,0)</f>
        <v>0</v>
      </c>
      <c r="BF317" s="21" t="n">
        <f aca="false">IF(AND(AD317="فیش مفقودی",AQ317="بله",I317&gt;تنظیمات!$B$12*60),1,0)</f>
        <v>0</v>
      </c>
      <c r="BG317" s="21" t="n">
        <f aca="false">IF(AND(AK317&gt;تنظیمات!$B$11,AL317="بله"),1,0)</f>
        <v>0</v>
      </c>
      <c r="BH317" s="21" t="n">
        <f aca="false">MIN(100,AR317*تنظیمات!$B$21+AS317*تنظیمات!$B$22+AT317*تنظیمات!$B$23+AU317*تنظیمات!$B$24+AV317*تنظیمات!$B$25+AW317*تنظیمات!$B$26+AX317*تنظیمات!$B$27+AY317*تنظیمات!$B$28+AZ317*تنظیمات!$B$29+BA317*تنظیمات!$B$30+BB317*تنظیمات!$B$31+BC317*تنظیمات!$B$32+BD317*تنظیمات!$B$33+BE317*تنظیمات!$B$34+BF317*تنظیمات!$B$35+BG317*تنظیمات!$B$36)</f>
        <v>0</v>
      </c>
      <c r="BI317" s="16" t="str">
        <f aca="false">IF(BH317&gt;=60,"بحرانی",IF(BH317&gt;=30,"مشکوک",IF(BH317&gt;0,"هشدار","عادی")))</f>
        <v>عادی</v>
      </c>
      <c r="BJ317" s="16" t="s">
        <v>338</v>
      </c>
    </row>
    <row r="318" customFormat="false" ht="15" hidden="false" customHeight="false" outlineLevel="0" collapsed="false">
      <c r="A318" s="16" t="s">
        <v>1423</v>
      </c>
      <c r="B318" s="16" t="s">
        <v>624</v>
      </c>
      <c r="C318" s="16"/>
      <c r="D318" s="16" t="s">
        <v>469</v>
      </c>
      <c r="E318" s="16" t="s">
        <v>332</v>
      </c>
      <c r="F318" s="16" t="s">
        <v>359</v>
      </c>
      <c r="G318" s="17" t="n">
        <v>46285.4005671296</v>
      </c>
      <c r="H318" s="17" t="n">
        <v>46285.4200115741</v>
      </c>
      <c r="I318" s="18" t="n">
        <f aca="false">IF(H318="",ROUND((تنظیمات!$B$7-G318)*1440,0),ROUND((H318-G318)*1440,0))</f>
        <v>28</v>
      </c>
      <c r="J318" s="16" t="s">
        <v>346</v>
      </c>
      <c r="K318" s="16" t="s">
        <v>410</v>
      </c>
      <c r="L318" s="19" t="n">
        <v>0.979</v>
      </c>
      <c r="M318" s="19" t="n">
        <v>0.94</v>
      </c>
      <c r="N318" s="16" t="s">
        <v>335</v>
      </c>
      <c r="O318" s="16" t="s">
        <v>666</v>
      </c>
      <c r="P318" s="16" t="s">
        <v>402</v>
      </c>
      <c r="Q318" s="20" t="n">
        <v>46285</v>
      </c>
      <c r="R318" s="16" t="s">
        <v>1424</v>
      </c>
      <c r="S318" s="16" t="s">
        <v>404</v>
      </c>
      <c r="T318" s="17"/>
      <c r="U318" s="21" t="n">
        <v>1</v>
      </c>
      <c r="V318" s="21" t="n">
        <v>1</v>
      </c>
      <c r="W318" s="22" t="n">
        <v>4.7</v>
      </c>
      <c r="X318" s="16" t="s">
        <v>335</v>
      </c>
      <c r="Y318" s="16" t="s">
        <v>338</v>
      </c>
      <c r="Z318" s="16" t="s">
        <v>413</v>
      </c>
      <c r="AA318" s="16" t="s">
        <v>414</v>
      </c>
      <c r="AB318" s="23" t="s">
        <v>1425</v>
      </c>
      <c r="AC318" s="17" t="n">
        <v>46285.4197685185</v>
      </c>
      <c r="AD318" s="16" t="s">
        <v>338</v>
      </c>
      <c r="AE318" s="16"/>
      <c r="AF318" s="16" t="str">
        <f aca="false">IF(COUNTIF(لیست_سفید!$A$2:$A$21,B318)&gt;0,"بله","خیر")</f>
        <v>خیر</v>
      </c>
      <c r="AG318" s="24" t="n">
        <f aca="false">IF(H318="","",IF(AD318="فیش مفقودی",تنظیمات!$B$6,(INT(I318/1440)*تنظیمات!$B$5+IF(MOD(I318,1440)&lt;=تنظیمات!$B$2,0,MIN(تنظیمات!$B$5,تنظیمات!$B$3+MAX(0,ROUNDUP((MOD(I318,1440)-60)/60,0))*تنظیمات!$B$4)))*INDEX(تعرفه!$B$2:$B$7,MATCH(AD318,تعرفه!$A$2:$A$7,0))))</f>
        <v>20000</v>
      </c>
      <c r="AH318" s="24" t="n">
        <v>30000</v>
      </c>
      <c r="AI318" s="24" t="n">
        <f aca="false">IF(AG318="","",AH318-AG318)</f>
        <v>10000</v>
      </c>
      <c r="AJ318" s="21" t="n">
        <v>-1</v>
      </c>
      <c r="AK318" s="21" t="n">
        <v>0</v>
      </c>
      <c r="AL318" s="16" t="s">
        <v>335</v>
      </c>
      <c r="AM318" s="16"/>
      <c r="AN318" s="16" t="s">
        <v>340</v>
      </c>
      <c r="AO318" s="16" t="s">
        <v>340</v>
      </c>
      <c r="AP318" s="16" t="s">
        <v>335</v>
      </c>
      <c r="AQ318" s="16"/>
      <c r="AR318" s="21" t="n">
        <f aca="false">IF(AND(T318&lt;&gt;"",H318&lt;&gt;""),IF(AND((T318-H318)*86400&gt;=0,(T318-H318)*86400&lt;تنظیمات!$B$13),1,0),0)</f>
        <v>0</v>
      </c>
      <c r="AS318" s="21" t="n">
        <f aca="false">IF(Z318="پوز",IF(OR(AB318="",COUNTIF(پوزها!$A$2:$A$5,AA318)=0),1,0),0)</f>
        <v>0</v>
      </c>
      <c r="AT318" s="21" t="n">
        <f aca="false">IF(AI318="",0,IF(AI318&gt;0,1,0))</f>
        <v>1</v>
      </c>
      <c r="AU318" s="21" t="n">
        <f aca="false">IF(AI318="",0,IF(AI318&lt;0,1,0))</f>
        <v>0</v>
      </c>
      <c r="AV318" s="21" t="n">
        <f aca="false">IF(U318&gt;V318,1,0)</f>
        <v>0</v>
      </c>
      <c r="AW318" s="21" t="n">
        <f aca="false">IF(OR(W318&gt;تنظیمات!$B$8,X318="بله"),1,0)</f>
        <v>0</v>
      </c>
      <c r="AX318" s="21" t="n">
        <f aca="false">IF(AND(N318="بله",L318&gt;تنظیمات!$B$9),1,0)</f>
        <v>0</v>
      </c>
      <c r="AY318" s="21" t="n">
        <f aca="false">IF(Y318="معکوس",1,0)</f>
        <v>0</v>
      </c>
      <c r="AZ318" s="21" t="n">
        <f aca="false">IF(ABS(AJ318)&gt;تنظیمات!$B$10,1,0)</f>
        <v>0</v>
      </c>
      <c r="BA318" s="21" t="n">
        <f aca="false">IF(AND(OR(AD318="رایگان/VIP",AD318="جانباز"),AF318="خیر"),1,0)</f>
        <v>0</v>
      </c>
      <c r="BB318" s="21" t="n">
        <f aca="false">IF(AE318="",0,IF(COUNTIF($AE$2:$AE$1001,AE318)&gt;1,1,0))</f>
        <v>0</v>
      </c>
      <c r="BC318" s="21" t="n">
        <f aca="false">IF(AND(H318="",I318&gt;تنظیمات!$B$12*60,AM318="خالی"),1,0)</f>
        <v>0</v>
      </c>
      <c r="BD318" s="21" t="n">
        <f aca="false">IF(AND(AP318="بله",I318&lt;تنظیمات!$B$14,AO318="خیر"),1,0)</f>
        <v>0</v>
      </c>
      <c r="BE318" s="21" t="n">
        <f aca="false">IF(AN318="خیر",1,0)</f>
        <v>0</v>
      </c>
      <c r="BF318" s="21" t="n">
        <f aca="false">IF(AND(AD318="فیش مفقودی",AQ318="بله",I318&gt;تنظیمات!$B$12*60),1,0)</f>
        <v>0</v>
      </c>
      <c r="BG318" s="21" t="n">
        <f aca="false">IF(AND(AK318&gt;تنظیمات!$B$11,AL318="بله"),1,0)</f>
        <v>0</v>
      </c>
      <c r="BH318" s="21" t="n">
        <f aca="false">MIN(100,AR318*تنظیمات!$B$21+AS318*تنظیمات!$B$22+AT318*تنظیمات!$B$23+AU318*تنظیمات!$B$24+AV318*تنظیمات!$B$25+AW318*تنظیمات!$B$26+AX318*تنظیمات!$B$27+AY318*تنظیمات!$B$28+AZ318*تنظیمات!$B$29+BA318*تنظیمات!$B$30+BB318*تنظیمات!$B$31+BC318*تنظیمات!$B$32+BD318*تنظیمات!$B$33+BE318*تنظیمات!$B$34+BF318*تنظیمات!$B$35+BG318*تنظیمات!$B$36)</f>
        <v>25</v>
      </c>
      <c r="BI318" s="16" t="str">
        <f aca="false">IF(BH318&gt;=60,"بحرانی",IF(BH318&gt;=30,"مشکوک",IF(BH318&gt;0,"هشدار","عادی")))</f>
        <v>هشدار</v>
      </c>
      <c r="BJ318" s="16" t="s">
        <v>922</v>
      </c>
    </row>
    <row r="319" customFormat="false" ht="15" hidden="false" customHeight="false" outlineLevel="0" collapsed="false">
      <c r="A319" s="16" t="s">
        <v>1426</v>
      </c>
      <c r="B319" s="16" t="s">
        <v>924</v>
      </c>
      <c r="C319" s="16"/>
      <c r="D319" s="16" t="s">
        <v>523</v>
      </c>
      <c r="E319" s="16" t="s">
        <v>390</v>
      </c>
      <c r="F319" s="16" t="s">
        <v>333</v>
      </c>
      <c r="G319" s="17" t="n">
        <v>46285.4145138889</v>
      </c>
      <c r="H319" s="17" t="n">
        <v>46285.4603472222</v>
      </c>
      <c r="I319" s="18" t="n">
        <f aca="false">IF(H319="",ROUND((تنظیمات!$B$7-G319)*1440,0),ROUND((H319-G319)*1440,0))</f>
        <v>66</v>
      </c>
      <c r="J319" s="16" t="s">
        <v>334</v>
      </c>
      <c r="K319" s="16" t="s">
        <v>400</v>
      </c>
      <c r="L319" s="19" t="n">
        <v>0.933</v>
      </c>
      <c r="M319" s="19" t="n">
        <v>0.964</v>
      </c>
      <c r="N319" s="16" t="s">
        <v>335</v>
      </c>
      <c r="O319" s="16" t="s">
        <v>650</v>
      </c>
      <c r="P319" s="16" t="s">
        <v>402</v>
      </c>
      <c r="Q319" s="20" t="n">
        <v>46285</v>
      </c>
      <c r="R319" s="16" t="s">
        <v>1427</v>
      </c>
      <c r="S319" s="16" t="s">
        <v>404</v>
      </c>
      <c r="T319" s="17"/>
      <c r="U319" s="21" t="n">
        <v>1</v>
      </c>
      <c r="V319" s="21" t="n">
        <v>1</v>
      </c>
      <c r="W319" s="22" t="n">
        <v>4.6</v>
      </c>
      <c r="X319" s="16" t="s">
        <v>335</v>
      </c>
      <c r="Y319" s="16" t="s">
        <v>338</v>
      </c>
      <c r="Z319" s="16" t="s">
        <v>413</v>
      </c>
      <c r="AA319" s="16" t="s">
        <v>427</v>
      </c>
      <c r="AB319" s="23" t="s">
        <v>1428</v>
      </c>
      <c r="AC319" s="17" t="n">
        <v>46285.4595717593</v>
      </c>
      <c r="AD319" s="16" t="s">
        <v>338</v>
      </c>
      <c r="AE319" s="16"/>
      <c r="AF319" s="16" t="str">
        <f aca="false">IF(COUNTIF(لیست_سفید!$A$2:$A$21,B319)&gt;0,"بله","خیر")</f>
        <v>خیر</v>
      </c>
      <c r="AG319" s="24" t="n">
        <f aca="false">IF(H319="","",IF(AD319="فیش مفقودی",تنظیمات!$B$6,(INT(I319/1440)*تنظیمات!$B$5+IF(MOD(I319,1440)&lt;=تنظیمات!$B$2,0,MIN(تنظیمات!$B$5,تنظیمات!$B$3+MAX(0,ROUNDUP((MOD(I319,1440)-60)/60,0))*تنظیمات!$B$4)))*INDEX(تعرفه!$B$2:$B$7,MATCH(AD319,تعرفه!$A$2:$A$7,0))))</f>
        <v>34000</v>
      </c>
      <c r="AH319" s="24" t="n">
        <v>34000</v>
      </c>
      <c r="AI319" s="24" t="n">
        <f aca="false">IF(AG319="","",AH319-AG319)</f>
        <v>0</v>
      </c>
      <c r="AJ319" s="21" t="n">
        <v>0</v>
      </c>
      <c r="AK319" s="21" t="n">
        <v>0</v>
      </c>
      <c r="AL319" s="16" t="s">
        <v>335</v>
      </c>
      <c r="AM319" s="16"/>
      <c r="AN319" s="16" t="s">
        <v>340</v>
      </c>
      <c r="AO319" s="16" t="s">
        <v>340</v>
      </c>
      <c r="AP319" s="16" t="s">
        <v>335</v>
      </c>
      <c r="AQ319" s="16"/>
      <c r="AR319" s="21" t="n">
        <f aca="false">IF(AND(T319&lt;&gt;"",H319&lt;&gt;""),IF(AND((T319-H319)*86400&gt;=0,(T319-H319)*86400&lt;تنظیمات!$B$13),1,0),0)</f>
        <v>0</v>
      </c>
      <c r="AS319" s="21" t="n">
        <f aca="false">IF(Z319="پوز",IF(OR(AB319="",COUNTIF(پوزها!$A$2:$A$5,AA319)=0),1,0),0)</f>
        <v>0</v>
      </c>
      <c r="AT319" s="21" t="n">
        <f aca="false">IF(AI319="",0,IF(AI319&gt;0,1,0))</f>
        <v>0</v>
      </c>
      <c r="AU319" s="21" t="n">
        <f aca="false">IF(AI319="",0,IF(AI319&lt;0,1,0))</f>
        <v>0</v>
      </c>
      <c r="AV319" s="21" t="n">
        <f aca="false">IF(U319&gt;V319,1,0)</f>
        <v>0</v>
      </c>
      <c r="AW319" s="21" t="n">
        <f aca="false">IF(OR(W319&gt;تنظیمات!$B$8,X319="بله"),1,0)</f>
        <v>0</v>
      </c>
      <c r="AX319" s="21" t="n">
        <f aca="false">IF(AND(N319="بله",L319&gt;تنظیمات!$B$9),1,0)</f>
        <v>0</v>
      </c>
      <c r="AY319" s="21" t="n">
        <f aca="false">IF(Y319="معکوس",1,0)</f>
        <v>0</v>
      </c>
      <c r="AZ319" s="21" t="n">
        <f aca="false">IF(ABS(AJ319)&gt;تنظیمات!$B$10,1,0)</f>
        <v>0</v>
      </c>
      <c r="BA319" s="21" t="n">
        <f aca="false">IF(AND(OR(AD319="رایگان/VIP",AD319="جانباز"),AF319="خیر"),1,0)</f>
        <v>0</v>
      </c>
      <c r="BB319" s="21" t="n">
        <f aca="false">IF(AE319="",0,IF(COUNTIF($AE$2:$AE$1001,AE319)&gt;1,1,0))</f>
        <v>0</v>
      </c>
      <c r="BC319" s="21" t="n">
        <f aca="false">IF(AND(H319="",I319&gt;تنظیمات!$B$12*60,AM319="خالی"),1,0)</f>
        <v>0</v>
      </c>
      <c r="BD319" s="21" t="n">
        <f aca="false">IF(AND(AP319="بله",I319&lt;تنظیمات!$B$14,AO319="خیر"),1,0)</f>
        <v>0</v>
      </c>
      <c r="BE319" s="21" t="n">
        <f aca="false">IF(AN319="خیر",1,0)</f>
        <v>0</v>
      </c>
      <c r="BF319" s="21" t="n">
        <f aca="false">IF(AND(AD319="فیش مفقودی",AQ319="بله",I319&gt;تنظیمات!$B$12*60),1,0)</f>
        <v>0</v>
      </c>
      <c r="BG319" s="21" t="n">
        <f aca="false">IF(AND(AK319&gt;تنظیمات!$B$11,AL319="بله"),1,0)</f>
        <v>0</v>
      </c>
      <c r="BH319" s="21" t="n">
        <f aca="false">MIN(100,AR319*تنظیمات!$B$21+AS319*تنظیمات!$B$22+AT319*تنظیمات!$B$23+AU319*تنظیمات!$B$24+AV319*تنظیمات!$B$25+AW319*تنظیمات!$B$26+AX319*تنظیمات!$B$27+AY319*تنظیمات!$B$28+AZ319*تنظیمات!$B$29+BA319*تنظیمات!$B$30+BB319*تنظیمات!$B$31+BC319*تنظیمات!$B$32+BD319*تنظیمات!$B$33+BE319*تنظیمات!$B$34+BF319*تنظیمات!$B$35+BG319*تنظیمات!$B$36)</f>
        <v>0</v>
      </c>
      <c r="BI319" s="16" t="str">
        <f aca="false">IF(BH319&gt;=60,"بحرانی",IF(BH319&gt;=30,"مشکوک",IF(BH319&gt;0,"هشدار","عادی")))</f>
        <v>عادی</v>
      </c>
      <c r="BJ319" s="16" t="s">
        <v>338</v>
      </c>
    </row>
    <row r="320" customFormat="false" ht="15" hidden="false" customHeight="false" outlineLevel="0" collapsed="false">
      <c r="A320" s="16" t="s">
        <v>1429</v>
      </c>
      <c r="B320" s="16" t="s">
        <v>1430</v>
      </c>
      <c r="C320" s="16"/>
      <c r="D320" s="16" t="s">
        <v>440</v>
      </c>
      <c r="E320" s="16" t="s">
        <v>351</v>
      </c>
      <c r="F320" s="16" t="s">
        <v>359</v>
      </c>
      <c r="G320" s="17" t="n">
        <v>46285.4160532407</v>
      </c>
      <c r="H320" s="17" t="n">
        <v>46285.4875810185</v>
      </c>
      <c r="I320" s="18" t="n">
        <f aca="false">IF(H320="",ROUND((تنظیمات!$B$7-G320)*1440,0),ROUND((H320-G320)*1440,0))</f>
        <v>103</v>
      </c>
      <c r="J320" s="16" t="s">
        <v>346</v>
      </c>
      <c r="K320" s="16" t="s">
        <v>410</v>
      </c>
      <c r="L320" s="19" t="n">
        <v>0.948</v>
      </c>
      <c r="M320" s="19" t="n">
        <v>0.859</v>
      </c>
      <c r="N320" s="16" t="s">
        <v>335</v>
      </c>
      <c r="O320" s="16" t="s">
        <v>666</v>
      </c>
      <c r="P320" s="16" t="s">
        <v>402</v>
      </c>
      <c r="Q320" s="20" t="n">
        <v>46285</v>
      </c>
      <c r="R320" s="16" t="s">
        <v>1431</v>
      </c>
      <c r="S320" s="16" t="s">
        <v>404</v>
      </c>
      <c r="T320" s="17"/>
      <c r="U320" s="21" t="n">
        <v>1</v>
      </c>
      <c r="V320" s="21" t="n">
        <v>1</v>
      </c>
      <c r="W320" s="22" t="n">
        <v>4.1</v>
      </c>
      <c r="X320" s="16" t="s">
        <v>335</v>
      </c>
      <c r="Y320" s="16" t="s">
        <v>338</v>
      </c>
      <c r="Z320" s="16" t="s">
        <v>413</v>
      </c>
      <c r="AA320" s="16" t="s">
        <v>414</v>
      </c>
      <c r="AB320" s="23" t="s">
        <v>1432</v>
      </c>
      <c r="AC320" s="17" t="n">
        <v>46285.4870023148</v>
      </c>
      <c r="AD320" s="16" t="s">
        <v>338</v>
      </c>
      <c r="AE320" s="16"/>
      <c r="AF320" s="16" t="str">
        <f aca="false">IF(COUNTIF(لیست_سفید!$A$2:$A$21,B320)&gt;0,"بله","خیر")</f>
        <v>خیر</v>
      </c>
      <c r="AG320" s="24" t="n">
        <f aca="false">IF(H320="","",IF(AD320="فیش مفقودی",تنظیمات!$B$6,(INT(I320/1440)*تنظیمات!$B$5+IF(MOD(I320,1440)&lt;=تنظیمات!$B$2,0,MIN(تنظیمات!$B$5,تنظیمات!$B$3+MAX(0,ROUNDUP((MOD(I320,1440)-60)/60,0))*تنظیمات!$B$4)))*INDEX(تعرفه!$B$2:$B$7,MATCH(AD320,تعرفه!$A$2:$A$7,0))))</f>
        <v>34000</v>
      </c>
      <c r="AH320" s="24" t="n">
        <v>58000</v>
      </c>
      <c r="AI320" s="24" t="n">
        <f aca="false">IF(AG320="","",AH320-AG320)</f>
        <v>24000</v>
      </c>
      <c r="AJ320" s="21" t="n">
        <v>0</v>
      </c>
      <c r="AK320" s="21" t="n">
        <v>0</v>
      </c>
      <c r="AL320" s="16" t="s">
        <v>335</v>
      </c>
      <c r="AM320" s="16"/>
      <c r="AN320" s="16" t="s">
        <v>340</v>
      </c>
      <c r="AO320" s="16" t="s">
        <v>340</v>
      </c>
      <c r="AP320" s="16" t="s">
        <v>335</v>
      </c>
      <c r="AQ320" s="16"/>
      <c r="AR320" s="21" t="n">
        <f aca="false">IF(AND(T320&lt;&gt;"",H320&lt;&gt;""),IF(AND((T320-H320)*86400&gt;=0,(T320-H320)*86400&lt;تنظیمات!$B$13),1,0),0)</f>
        <v>0</v>
      </c>
      <c r="AS320" s="21" t="n">
        <f aca="false">IF(Z320="پوز",IF(OR(AB320="",COUNTIF(پوزها!$A$2:$A$5,AA320)=0),1,0),0)</f>
        <v>0</v>
      </c>
      <c r="AT320" s="21" t="n">
        <f aca="false">IF(AI320="",0,IF(AI320&gt;0,1,0))</f>
        <v>1</v>
      </c>
      <c r="AU320" s="21" t="n">
        <f aca="false">IF(AI320="",0,IF(AI320&lt;0,1,0))</f>
        <v>0</v>
      </c>
      <c r="AV320" s="21" t="n">
        <f aca="false">IF(U320&gt;V320,1,0)</f>
        <v>0</v>
      </c>
      <c r="AW320" s="21" t="n">
        <f aca="false">IF(OR(W320&gt;تنظیمات!$B$8,X320="بله"),1,0)</f>
        <v>0</v>
      </c>
      <c r="AX320" s="21" t="n">
        <f aca="false">IF(AND(N320="بله",L320&gt;تنظیمات!$B$9),1,0)</f>
        <v>0</v>
      </c>
      <c r="AY320" s="21" t="n">
        <f aca="false">IF(Y320="معکوس",1,0)</f>
        <v>0</v>
      </c>
      <c r="AZ320" s="21" t="n">
        <f aca="false">IF(ABS(AJ320)&gt;تنظیمات!$B$10,1,0)</f>
        <v>0</v>
      </c>
      <c r="BA320" s="21" t="n">
        <f aca="false">IF(AND(OR(AD320="رایگان/VIP",AD320="جانباز"),AF320="خیر"),1,0)</f>
        <v>0</v>
      </c>
      <c r="BB320" s="21" t="n">
        <f aca="false">IF(AE320="",0,IF(COUNTIF($AE$2:$AE$1001,AE320)&gt;1,1,0))</f>
        <v>0</v>
      </c>
      <c r="BC320" s="21" t="n">
        <f aca="false">IF(AND(H320="",I320&gt;تنظیمات!$B$12*60,AM320="خالی"),1,0)</f>
        <v>0</v>
      </c>
      <c r="BD320" s="21" t="n">
        <f aca="false">IF(AND(AP320="بله",I320&lt;تنظیمات!$B$14,AO320="خیر"),1,0)</f>
        <v>0</v>
      </c>
      <c r="BE320" s="21" t="n">
        <f aca="false">IF(AN320="خیر",1,0)</f>
        <v>0</v>
      </c>
      <c r="BF320" s="21" t="n">
        <f aca="false">IF(AND(AD320="فیش مفقودی",AQ320="بله",I320&gt;تنظیمات!$B$12*60),1,0)</f>
        <v>0</v>
      </c>
      <c r="BG320" s="21" t="n">
        <f aca="false">IF(AND(AK320&gt;تنظیمات!$B$11,AL320="بله"),1,0)</f>
        <v>0</v>
      </c>
      <c r="BH320" s="21" t="n">
        <f aca="false">MIN(100,AR320*تنظیمات!$B$21+AS320*تنظیمات!$B$22+AT320*تنظیمات!$B$23+AU320*تنظیمات!$B$24+AV320*تنظیمات!$B$25+AW320*تنظیمات!$B$26+AX320*تنظیمات!$B$27+AY320*تنظیمات!$B$28+AZ320*تنظیمات!$B$29+BA320*تنظیمات!$B$30+BB320*تنظیمات!$B$31+BC320*تنظیمات!$B$32+BD320*تنظیمات!$B$33+BE320*تنظیمات!$B$34+BF320*تنظیمات!$B$35+BG320*تنظیمات!$B$36)</f>
        <v>25</v>
      </c>
      <c r="BI320" s="16" t="str">
        <f aca="false">IF(BH320&gt;=60,"بحرانی",IF(BH320&gt;=30,"مشکوک",IF(BH320&gt;0,"هشدار","عادی")))</f>
        <v>هشدار</v>
      </c>
      <c r="BJ320" s="16" t="s">
        <v>922</v>
      </c>
    </row>
    <row r="321" customFormat="false" ht="15" hidden="false" customHeight="false" outlineLevel="0" collapsed="false">
      <c r="A321" s="16" t="s">
        <v>1433</v>
      </c>
      <c r="B321" s="16" t="s">
        <v>819</v>
      </c>
      <c r="C321" s="16"/>
      <c r="D321" s="16" t="s">
        <v>344</v>
      </c>
      <c r="E321" s="16" t="s">
        <v>363</v>
      </c>
      <c r="F321" s="16" t="s">
        <v>333</v>
      </c>
      <c r="G321" s="17" t="n">
        <v>46285.4231018519</v>
      </c>
      <c r="H321" s="17" t="n">
        <v>46285.434212963</v>
      </c>
      <c r="I321" s="18" t="n">
        <f aca="false">IF(H321="",ROUND((تنظیمات!$B$7-G321)*1440,0),ROUND((H321-G321)*1440,0))</f>
        <v>16</v>
      </c>
      <c r="J321" s="16" t="s">
        <v>346</v>
      </c>
      <c r="K321" s="16" t="s">
        <v>410</v>
      </c>
      <c r="L321" s="19" t="n">
        <v>0.979</v>
      </c>
      <c r="M321" s="19" t="n">
        <v>0.933</v>
      </c>
      <c r="N321" s="16" t="s">
        <v>335</v>
      </c>
      <c r="O321" s="16" t="s">
        <v>666</v>
      </c>
      <c r="P321" s="16" t="s">
        <v>402</v>
      </c>
      <c r="Q321" s="20" t="n">
        <v>46285</v>
      </c>
      <c r="R321" s="16" t="s">
        <v>1434</v>
      </c>
      <c r="S321" s="16" t="s">
        <v>404</v>
      </c>
      <c r="T321" s="17"/>
      <c r="U321" s="21" t="n">
        <v>1</v>
      </c>
      <c r="V321" s="21" t="n">
        <v>1</v>
      </c>
      <c r="W321" s="22" t="n">
        <v>3.9</v>
      </c>
      <c r="X321" s="16" t="s">
        <v>335</v>
      </c>
      <c r="Y321" s="16" t="s">
        <v>338</v>
      </c>
      <c r="Z321" s="16" t="s">
        <v>405</v>
      </c>
      <c r="AA321" s="16"/>
      <c r="AB321" s="23"/>
      <c r="AC321" s="17"/>
      <c r="AD321" s="16" t="s">
        <v>338</v>
      </c>
      <c r="AE321" s="16"/>
      <c r="AF321" s="16" t="str">
        <f aca="false">IF(COUNTIF(لیست_سفید!$A$2:$A$21,B321)&gt;0,"بله","خیر")</f>
        <v>خیر</v>
      </c>
      <c r="AG321" s="24" t="n">
        <f aca="false">IF(H321="","",IF(AD321="فیش مفقودی",تنظیمات!$B$6,(INT(I321/1440)*تنظیمات!$B$5+IF(MOD(I321,1440)&lt;=تنظیمات!$B$2,0,MIN(تنظیمات!$B$5,تنظیمات!$B$3+MAX(0,ROUNDUP((MOD(I321,1440)-60)/60,0))*تنظیمات!$B$4)))*INDEX(تعرفه!$B$2:$B$7,MATCH(AD321,تعرفه!$A$2:$A$7,0))))</f>
        <v>20000</v>
      </c>
      <c r="AH321" s="24" t="n">
        <v>20000</v>
      </c>
      <c r="AI321" s="24" t="n">
        <f aca="false">IF(AG321="","",AH321-AG321)</f>
        <v>0</v>
      </c>
      <c r="AJ321" s="21" t="n">
        <v>-2</v>
      </c>
      <c r="AK321" s="21" t="n">
        <v>0</v>
      </c>
      <c r="AL321" s="16" t="s">
        <v>335</v>
      </c>
      <c r="AM321" s="16"/>
      <c r="AN321" s="16" t="s">
        <v>340</v>
      </c>
      <c r="AO321" s="16" t="s">
        <v>340</v>
      </c>
      <c r="AP321" s="16" t="s">
        <v>335</v>
      </c>
      <c r="AQ321" s="16"/>
      <c r="AR321" s="21" t="n">
        <f aca="false">IF(AND(T321&lt;&gt;"",H321&lt;&gt;""),IF(AND((T321-H321)*86400&gt;=0,(T321-H321)*86400&lt;تنظیمات!$B$13),1,0),0)</f>
        <v>0</v>
      </c>
      <c r="AS321" s="21" t="n">
        <f aca="false">IF(Z321="پوز",IF(OR(AB321="",COUNTIF(پوزها!$A$2:$A$5,AA321)=0),1,0),0)</f>
        <v>0</v>
      </c>
      <c r="AT321" s="21" t="n">
        <f aca="false">IF(AI321="",0,IF(AI321&gt;0,1,0))</f>
        <v>0</v>
      </c>
      <c r="AU321" s="21" t="n">
        <f aca="false">IF(AI321="",0,IF(AI321&lt;0,1,0))</f>
        <v>0</v>
      </c>
      <c r="AV321" s="21" t="n">
        <f aca="false">IF(U321&gt;V321,1,0)</f>
        <v>0</v>
      </c>
      <c r="AW321" s="21" t="n">
        <f aca="false">IF(OR(W321&gt;تنظیمات!$B$8,X321="بله"),1,0)</f>
        <v>0</v>
      </c>
      <c r="AX321" s="21" t="n">
        <f aca="false">IF(AND(N321="بله",L321&gt;تنظیمات!$B$9),1,0)</f>
        <v>0</v>
      </c>
      <c r="AY321" s="21" t="n">
        <f aca="false">IF(Y321="معکوس",1,0)</f>
        <v>0</v>
      </c>
      <c r="AZ321" s="21" t="n">
        <f aca="false">IF(ABS(AJ321)&gt;تنظیمات!$B$10,1,0)</f>
        <v>0</v>
      </c>
      <c r="BA321" s="21" t="n">
        <f aca="false">IF(AND(OR(AD321="رایگان/VIP",AD321="جانباز"),AF321="خیر"),1,0)</f>
        <v>0</v>
      </c>
      <c r="BB321" s="21" t="n">
        <f aca="false">IF(AE321="",0,IF(COUNTIF($AE$2:$AE$1001,AE321)&gt;1,1,0))</f>
        <v>0</v>
      </c>
      <c r="BC321" s="21" t="n">
        <f aca="false">IF(AND(H321="",I321&gt;تنظیمات!$B$12*60,AM321="خالی"),1,0)</f>
        <v>0</v>
      </c>
      <c r="BD321" s="21" t="n">
        <f aca="false">IF(AND(AP321="بله",I321&lt;تنظیمات!$B$14,AO321="خیر"),1,0)</f>
        <v>0</v>
      </c>
      <c r="BE321" s="21" t="n">
        <f aca="false">IF(AN321="خیر",1,0)</f>
        <v>0</v>
      </c>
      <c r="BF321" s="21" t="n">
        <f aca="false">IF(AND(AD321="فیش مفقودی",AQ321="بله",I321&gt;تنظیمات!$B$12*60),1,0)</f>
        <v>0</v>
      </c>
      <c r="BG321" s="21" t="n">
        <f aca="false">IF(AND(AK321&gt;تنظیمات!$B$11,AL321="بله"),1,0)</f>
        <v>0</v>
      </c>
      <c r="BH321" s="21" t="n">
        <f aca="false">MIN(100,AR321*تنظیمات!$B$21+AS321*تنظیمات!$B$22+AT321*تنظیمات!$B$23+AU321*تنظیمات!$B$24+AV321*تنظیمات!$B$25+AW321*تنظیمات!$B$26+AX321*تنظیمات!$B$27+AY321*تنظیمات!$B$28+AZ321*تنظیمات!$B$29+BA321*تنظیمات!$B$30+BB321*تنظیمات!$B$31+BC321*تنظیمات!$B$32+BD321*تنظیمات!$B$33+BE321*تنظیمات!$B$34+BF321*تنظیمات!$B$35+BG321*تنظیمات!$B$36)</f>
        <v>0</v>
      </c>
      <c r="BI321" s="16" t="str">
        <f aca="false">IF(BH321&gt;=60,"بحرانی",IF(BH321&gt;=30,"مشکوک",IF(BH321&gt;0,"هشدار","عادی")))</f>
        <v>عادی</v>
      </c>
      <c r="BJ321" s="16" t="s">
        <v>338</v>
      </c>
    </row>
    <row r="322" customFormat="false" ht="15" hidden="false" customHeight="false" outlineLevel="0" collapsed="false">
      <c r="A322" s="16" t="s">
        <v>1435</v>
      </c>
      <c r="B322" s="16" t="s">
        <v>1436</v>
      </c>
      <c r="C322" s="16"/>
      <c r="D322" s="16" t="s">
        <v>382</v>
      </c>
      <c r="E322" s="16" t="s">
        <v>390</v>
      </c>
      <c r="F322" s="16" t="s">
        <v>333</v>
      </c>
      <c r="G322" s="17" t="n">
        <v>46285.4379398148</v>
      </c>
      <c r="H322" s="17" t="n">
        <v>46285.4650231482</v>
      </c>
      <c r="I322" s="18" t="n">
        <f aca="false">IF(H322="",ROUND((تنظیمات!$B$7-G322)*1440,0),ROUND((H322-G322)*1440,0))</f>
        <v>39</v>
      </c>
      <c r="J322" s="16" t="s">
        <v>346</v>
      </c>
      <c r="K322" s="16" t="s">
        <v>334</v>
      </c>
      <c r="L322" s="19" t="n">
        <v>0.934</v>
      </c>
      <c r="M322" s="19" t="n">
        <v>0.9</v>
      </c>
      <c r="N322" s="16" t="s">
        <v>335</v>
      </c>
      <c r="O322" s="16" t="s">
        <v>650</v>
      </c>
      <c r="P322" s="16" t="s">
        <v>402</v>
      </c>
      <c r="Q322" s="20" t="n">
        <v>46285</v>
      </c>
      <c r="R322" s="16" t="s">
        <v>1437</v>
      </c>
      <c r="S322" s="16" t="s">
        <v>404</v>
      </c>
      <c r="T322" s="17"/>
      <c r="U322" s="21" t="n">
        <v>1</v>
      </c>
      <c r="V322" s="21" t="n">
        <v>1</v>
      </c>
      <c r="W322" s="22" t="n">
        <v>3.8</v>
      </c>
      <c r="X322" s="16" t="s">
        <v>335</v>
      </c>
      <c r="Y322" s="16" t="s">
        <v>1438</v>
      </c>
      <c r="Z322" s="16" t="s">
        <v>1439</v>
      </c>
      <c r="AA322" s="16"/>
      <c r="AB322" s="23"/>
      <c r="AC322" s="17"/>
      <c r="AD322" s="16" t="s">
        <v>338</v>
      </c>
      <c r="AE322" s="16"/>
      <c r="AF322" s="16" t="str">
        <f aca="false">IF(COUNTIF(لیست_سفید!$A$2:$A$21,B322)&gt;0,"بله","خیر")</f>
        <v>خیر</v>
      </c>
      <c r="AG322" s="24" t="n">
        <f aca="false">IF(H322="","",IF(AD322="فیش مفقودی",تنظیمات!$B$6,(INT(I322/1440)*تنظیمات!$B$5+IF(MOD(I322,1440)&lt;=تنظیمات!$B$2,0,MIN(تنظیمات!$B$5,تنظیمات!$B$3+MAX(0,ROUNDUP((MOD(I322,1440)-60)/60,0))*تنظیمات!$B$4)))*INDEX(تعرفه!$B$2:$B$7,MATCH(AD322,تعرفه!$A$2:$A$7,0))))</f>
        <v>20000</v>
      </c>
      <c r="AH322" s="24" t="n">
        <v>0</v>
      </c>
      <c r="AI322" s="24" t="n">
        <f aca="false">IF(AG322="","",AH322-AG322)</f>
        <v>-20000</v>
      </c>
      <c r="AJ322" s="21" t="n">
        <v>-2</v>
      </c>
      <c r="AK322" s="21" t="n">
        <v>0</v>
      </c>
      <c r="AL322" s="16" t="s">
        <v>335</v>
      </c>
      <c r="AM322" s="16"/>
      <c r="AN322" s="16" t="s">
        <v>340</v>
      </c>
      <c r="AO322" s="16" t="s">
        <v>340</v>
      </c>
      <c r="AP322" s="16" t="s">
        <v>335</v>
      </c>
      <c r="AQ322" s="16"/>
      <c r="AR322" s="21" t="n">
        <f aca="false">IF(AND(T322&lt;&gt;"",H322&lt;&gt;""),IF(AND((T322-H322)*86400&gt;=0,(T322-H322)*86400&lt;تنظیمات!$B$13),1,0),0)</f>
        <v>0</v>
      </c>
      <c r="AS322" s="21" t="n">
        <f aca="false">IF(Z322="پوز",IF(OR(AB322="",COUNTIF(پوزها!$A$2:$A$5,AA322)=0),1,0),0)</f>
        <v>0</v>
      </c>
      <c r="AT322" s="21" t="n">
        <f aca="false">IF(AI322="",0,IF(AI322&gt;0,1,0))</f>
        <v>0</v>
      </c>
      <c r="AU322" s="21" t="n">
        <f aca="false">IF(AI322="",0,IF(AI322&lt;0,1,0))</f>
        <v>1</v>
      </c>
      <c r="AV322" s="21" t="n">
        <f aca="false">IF(U322&gt;V322,1,0)</f>
        <v>0</v>
      </c>
      <c r="AW322" s="21" t="n">
        <f aca="false">IF(OR(W322&gt;تنظیمات!$B$8,X322="بله"),1,0)</f>
        <v>0</v>
      </c>
      <c r="AX322" s="21" t="n">
        <f aca="false">IF(AND(N322="بله",L322&gt;تنظیمات!$B$9),1,0)</f>
        <v>0</v>
      </c>
      <c r="AY322" s="21" t="n">
        <f aca="false">IF(Y322="معکوس",1,0)</f>
        <v>1</v>
      </c>
      <c r="AZ322" s="21" t="n">
        <f aca="false">IF(ABS(AJ322)&gt;تنظیمات!$B$10,1,0)</f>
        <v>0</v>
      </c>
      <c r="BA322" s="21" t="n">
        <f aca="false">IF(AND(OR(AD322="رایگان/VIP",AD322="جانباز"),AF322="خیر"),1,0)</f>
        <v>0</v>
      </c>
      <c r="BB322" s="21" t="n">
        <f aca="false">IF(AE322="",0,IF(COUNTIF($AE$2:$AE$1001,AE322)&gt;1,1,0))</f>
        <v>0</v>
      </c>
      <c r="BC322" s="21" t="n">
        <f aca="false">IF(AND(H322="",I322&gt;تنظیمات!$B$12*60,AM322="خالی"),1,0)</f>
        <v>0</v>
      </c>
      <c r="BD322" s="21" t="n">
        <f aca="false">IF(AND(AP322="بله",I322&lt;تنظیمات!$B$14,AO322="خیر"),1,0)</f>
        <v>0</v>
      </c>
      <c r="BE322" s="21" t="n">
        <f aca="false">IF(AN322="خیر",1,0)</f>
        <v>0</v>
      </c>
      <c r="BF322" s="21" t="n">
        <f aca="false">IF(AND(AD322="فیش مفقودی",AQ322="بله",I322&gt;تنظیمات!$B$12*60),1,0)</f>
        <v>0</v>
      </c>
      <c r="BG322" s="21" t="n">
        <f aca="false">IF(AND(AK322&gt;تنظیمات!$B$11,AL322="بله"),1,0)</f>
        <v>0</v>
      </c>
      <c r="BH322" s="21" t="n">
        <f aca="false">MIN(100,AR322*تنظیمات!$B$21+AS322*تنظیمات!$B$22+AT322*تنظیمات!$B$23+AU322*تنظیمات!$B$24+AV322*تنظیمات!$B$25+AW322*تنظیمات!$B$26+AX322*تنظیمات!$B$27+AY322*تنظیمات!$B$28+AZ322*تنظیمات!$B$29+BA322*تنظیمات!$B$30+BB322*تنظیمات!$B$31+BC322*تنظیمات!$B$32+BD322*تنظیمات!$B$33+BE322*تنظیمات!$B$34+BF322*تنظیمات!$B$35+BG322*تنظیمات!$B$36)</f>
        <v>55</v>
      </c>
      <c r="BI322" s="16" t="str">
        <f aca="false">IF(BH322&gt;=60,"بحرانی",IF(BH322&gt;=30,"مشکوک",IF(BH322&gt;0,"هشدار","عادی")))</f>
        <v>مشکوک</v>
      </c>
      <c r="BJ322" s="16" t="s">
        <v>1440</v>
      </c>
    </row>
    <row r="323" customFormat="false" ht="15" hidden="false" customHeight="false" outlineLevel="0" collapsed="false">
      <c r="A323" s="16" t="s">
        <v>1441</v>
      </c>
      <c r="B323" s="16" t="s">
        <v>1442</v>
      </c>
      <c r="C323" s="16"/>
      <c r="D323" s="16" t="s">
        <v>386</v>
      </c>
      <c r="E323" s="16" t="s">
        <v>345</v>
      </c>
      <c r="F323" s="16" t="s">
        <v>333</v>
      </c>
      <c r="G323" s="17" t="n">
        <v>46285.4407060185</v>
      </c>
      <c r="H323" s="17" t="n">
        <v>46285.5261226852</v>
      </c>
      <c r="I323" s="18" t="n">
        <f aca="false">IF(H323="",ROUND((تنظیمات!$B$7-G323)*1440,0),ROUND((H323-G323)*1440,0))</f>
        <v>123</v>
      </c>
      <c r="J323" s="16" t="s">
        <v>334</v>
      </c>
      <c r="K323" s="16" t="s">
        <v>410</v>
      </c>
      <c r="L323" s="19" t="n">
        <v>0.995</v>
      </c>
      <c r="M323" s="19" t="n">
        <v>0.965</v>
      </c>
      <c r="N323" s="16" t="s">
        <v>335</v>
      </c>
      <c r="O323" s="16" t="s">
        <v>666</v>
      </c>
      <c r="P323" s="16" t="s">
        <v>402</v>
      </c>
      <c r="Q323" s="20" t="n">
        <v>46285</v>
      </c>
      <c r="R323" s="16" t="s">
        <v>1443</v>
      </c>
      <c r="S323" s="16" t="s">
        <v>404</v>
      </c>
      <c r="T323" s="17"/>
      <c r="U323" s="21" t="n">
        <v>1</v>
      </c>
      <c r="V323" s="21" t="n">
        <v>1</v>
      </c>
      <c r="W323" s="22" t="n">
        <v>3.5</v>
      </c>
      <c r="X323" s="16" t="s">
        <v>335</v>
      </c>
      <c r="Y323" s="16" t="s">
        <v>338</v>
      </c>
      <c r="Z323" s="16" t="s">
        <v>413</v>
      </c>
      <c r="AA323" s="16" t="s">
        <v>414</v>
      </c>
      <c r="AB323" s="23" t="s">
        <v>1444</v>
      </c>
      <c r="AC323" s="17" t="n">
        <v>46285.5253703704</v>
      </c>
      <c r="AD323" s="16" t="s">
        <v>338</v>
      </c>
      <c r="AE323" s="16"/>
      <c r="AF323" s="16" t="str">
        <f aca="false">IF(COUNTIF(لیست_سفید!$A$2:$A$21,B323)&gt;0,"بله","خیر")</f>
        <v>خیر</v>
      </c>
      <c r="AG323" s="24" t="n">
        <f aca="false">IF(H323="","",IF(AD323="فیش مفقودی",تنظیمات!$B$6,(INT(I323/1440)*تنظیمات!$B$5+IF(MOD(I323,1440)&lt;=تنظیمات!$B$2,0,MIN(تنظیمات!$B$5,تنظیمات!$B$3+MAX(0,ROUNDUP((MOD(I323,1440)-60)/60,0))*تنظیمات!$B$4)))*INDEX(تعرفه!$B$2:$B$7,MATCH(AD323,تعرفه!$A$2:$A$7,0))))</f>
        <v>48000</v>
      </c>
      <c r="AH323" s="24" t="n">
        <v>48000</v>
      </c>
      <c r="AI323" s="24" t="n">
        <f aca="false">IF(AG323="","",AH323-AG323)</f>
        <v>0</v>
      </c>
      <c r="AJ323" s="21" t="n">
        <v>-2</v>
      </c>
      <c r="AK323" s="21" t="n">
        <v>0</v>
      </c>
      <c r="AL323" s="16" t="s">
        <v>335</v>
      </c>
      <c r="AM323" s="16"/>
      <c r="AN323" s="16" t="s">
        <v>340</v>
      </c>
      <c r="AO323" s="16" t="s">
        <v>340</v>
      </c>
      <c r="AP323" s="16" t="s">
        <v>335</v>
      </c>
      <c r="AQ323" s="16"/>
      <c r="AR323" s="21" t="n">
        <f aca="false">IF(AND(T323&lt;&gt;"",H323&lt;&gt;""),IF(AND((T323-H323)*86400&gt;=0,(T323-H323)*86400&lt;تنظیمات!$B$13),1,0),0)</f>
        <v>0</v>
      </c>
      <c r="AS323" s="21" t="n">
        <f aca="false">IF(Z323="پوز",IF(OR(AB323="",COUNTIF(پوزها!$A$2:$A$5,AA323)=0),1,0),0)</f>
        <v>0</v>
      </c>
      <c r="AT323" s="21" t="n">
        <f aca="false">IF(AI323="",0,IF(AI323&gt;0,1,0))</f>
        <v>0</v>
      </c>
      <c r="AU323" s="21" t="n">
        <f aca="false">IF(AI323="",0,IF(AI323&lt;0,1,0))</f>
        <v>0</v>
      </c>
      <c r="AV323" s="21" t="n">
        <f aca="false">IF(U323&gt;V323,1,0)</f>
        <v>0</v>
      </c>
      <c r="AW323" s="21" t="n">
        <f aca="false">IF(OR(W323&gt;تنظیمات!$B$8,X323="بله"),1,0)</f>
        <v>0</v>
      </c>
      <c r="AX323" s="21" t="n">
        <f aca="false">IF(AND(N323="بله",L323&gt;تنظیمات!$B$9),1,0)</f>
        <v>0</v>
      </c>
      <c r="AY323" s="21" t="n">
        <f aca="false">IF(Y323="معکوس",1,0)</f>
        <v>0</v>
      </c>
      <c r="AZ323" s="21" t="n">
        <f aca="false">IF(ABS(AJ323)&gt;تنظیمات!$B$10,1,0)</f>
        <v>0</v>
      </c>
      <c r="BA323" s="21" t="n">
        <f aca="false">IF(AND(OR(AD323="رایگان/VIP",AD323="جانباز"),AF323="خیر"),1,0)</f>
        <v>0</v>
      </c>
      <c r="BB323" s="21" t="n">
        <f aca="false">IF(AE323="",0,IF(COUNTIF($AE$2:$AE$1001,AE323)&gt;1,1,0))</f>
        <v>0</v>
      </c>
      <c r="BC323" s="21" t="n">
        <f aca="false">IF(AND(H323="",I323&gt;تنظیمات!$B$12*60,AM323="خالی"),1,0)</f>
        <v>0</v>
      </c>
      <c r="BD323" s="21" t="n">
        <f aca="false">IF(AND(AP323="بله",I323&lt;تنظیمات!$B$14,AO323="خیر"),1,0)</f>
        <v>0</v>
      </c>
      <c r="BE323" s="21" t="n">
        <f aca="false">IF(AN323="خیر",1,0)</f>
        <v>0</v>
      </c>
      <c r="BF323" s="21" t="n">
        <f aca="false">IF(AND(AD323="فیش مفقودی",AQ323="بله",I323&gt;تنظیمات!$B$12*60),1,0)</f>
        <v>0</v>
      </c>
      <c r="BG323" s="21" t="n">
        <f aca="false">IF(AND(AK323&gt;تنظیمات!$B$11,AL323="بله"),1,0)</f>
        <v>0</v>
      </c>
      <c r="BH323" s="21" t="n">
        <f aca="false">MIN(100,AR323*تنظیمات!$B$21+AS323*تنظیمات!$B$22+AT323*تنظیمات!$B$23+AU323*تنظیمات!$B$24+AV323*تنظیمات!$B$25+AW323*تنظیمات!$B$26+AX323*تنظیمات!$B$27+AY323*تنظیمات!$B$28+AZ323*تنظیمات!$B$29+BA323*تنظیمات!$B$30+BB323*تنظیمات!$B$31+BC323*تنظیمات!$B$32+BD323*تنظیمات!$B$33+BE323*تنظیمات!$B$34+BF323*تنظیمات!$B$35+BG323*تنظیمات!$B$36)</f>
        <v>0</v>
      </c>
      <c r="BI323" s="16" t="str">
        <f aca="false">IF(BH323&gt;=60,"بحرانی",IF(BH323&gt;=30,"مشکوک",IF(BH323&gt;0,"هشدار","عادی")))</f>
        <v>عادی</v>
      </c>
      <c r="BJ323" s="16" t="s">
        <v>338</v>
      </c>
    </row>
    <row r="324" customFormat="false" ht="15" hidden="false" customHeight="false" outlineLevel="0" collapsed="false">
      <c r="A324" s="16" t="s">
        <v>1445</v>
      </c>
      <c r="B324" s="16" t="s">
        <v>1034</v>
      </c>
      <c r="C324" s="16"/>
      <c r="D324" s="16" t="s">
        <v>418</v>
      </c>
      <c r="E324" s="16" t="s">
        <v>390</v>
      </c>
      <c r="F324" s="16" t="s">
        <v>333</v>
      </c>
      <c r="G324" s="17" t="n">
        <v>46285.44875</v>
      </c>
      <c r="H324" s="17" t="n">
        <v>46285.51125</v>
      </c>
      <c r="I324" s="18" t="n">
        <f aca="false">IF(H324="",ROUND((تنظیمات!$B$7-G324)*1440,0),ROUND((H324-G324)*1440,0))</f>
        <v>90</v>
      </c>
      <c r="J324" s="16" t="s">
        <v>334</v>
      </c>
      <c r="K324" s="16" t="s">
        <v>410</v>
      </c>
      <c r="L324" s="19" t="n">
        <v>0.901</v>
      </c>
      <c r="M324" s="19" t="n">
        <v>0.967</v>
      </c>
      <c r="N324" s="16" t="s">
        <v>335</v>
      </c>
      <c r="O324" s="16" t="s">
        <v>666</v>
      </c>
      <c r="P324" s="16" t="s">
        <v>402</v>
      </c>
      <c r="Q324" s="20" t="n">
        <v>46285</v>
      </c>
      <c r="R324" s="16" t="s">
        <v>1446</v>
      </c>
      <c r="S324" s="16" t="s">
        <v>404</v>
      </c>
      <c r="T324" s="17"/>
      <c r="U324" s="21" t="n">
        <v>1</v>
      </c>
      <c r="V324" s="21" t="n">
        <v>1</v>
      </c>
      <c r="W324" s="22" t="n">
        <v>4.9</v>
      </c>
      <c r="X324" s="16" t="s">
        <v>335</v>
      </c>
      <c r="Y324" s="16" t="s">
        <v>338</v>
      </c>
      <c r="Z324" s="16" t="s">
        <v>405</v>
      </c>
      <c r="AA324" s="16"/>
      <c r="AB324" s="23"/>
      <c r="AC324" s="17"/>
      <c r="AD324" s="16" t="s">
        <v>481</v>
      </c>
      <c r="AE324" s="16" t="s">
        <v>1096</v>
      </c>
      <c r="AF324" s="16" t="str">
        <f aca="false">IF(COUNTIF(لیست_سفید!$A$2:$A$21,B324)&gt;0,"بله","خیر")</f>
        <v>خیر</v>
      </c>
      <c r="AG324" s="24" t="n">
        <f aca="false">IF(H324="","",IF(AD324="فیش مفقودی",تنظیمات!$B$6,(INT(I324/1440)*تنظیمات!$B$5+IF(MOD(I324,1440)&lt;=تنظیمات!$B$2,0,MIN(تنظیمات!$B$5,تنظیمات!$B$3+MAX(0,ROUNDUP((MOD(I324,1440)-60)/60,0))*تنظیمات!$B$4)))*INDEX(تعرفه!$B$2:$B$7,MATCH(AD324,تعرفه!$A$2:$A$7,0))))</f>
        <v>17000</v>
      </c>
      <c r="AH324" s="24" t="n">
        <v>17000</v>
      </c>
      <c r="AI324" s="24" t="n">
        <f aca="false">IF(AG324="","",AH324-AG324)</f>
        <v>0</v>
      </c>
      <c r="AJ324" s="21" t="n">
        <v>-2</v>
      </c>
      <c r="AK324" s="21" t="n">
        <v>0</v>
      </c>
      <c r="AL324" s="16" t="s">
        <v>335</v>
      </c>
      <c r="AM324" s="16"/>
      <c r="AN324" s="16" t="s">
        <v>340</v>
      </c>
      <c r="AO324" s="16" t="s">
        <v>340</v>
      </c>
      <c r="AP324" s="16" t="s">
        <v>335</v>
      </c>
      <c r="AQ324" s="16"/>
      <c r="AR324" s="21" t="n">
        <f aca="false">IF(AND(T324&lt;&gt;"",H324&lt;&gt;""),IF(AND((T324-H324)*86400&gt;=0,(T324-H324)*86400&lt;تنظیمات!$B$13),1,0),0)</f>
        <v>0</v>
      </c>
      <c r="AS324" s="21" t="n">
        <f aca="false">IF(Z324="پوز",IF(OR(AB324="",COUNTIF(پوزها!$A$2:$A$5,AA324)=0),1,0),0)</f>
        <v>0</v>
      </c>
      <c r="AT324" s="21" t="n">
        <f aca="false">IF(AI324="",0,IF(AI324&gt;0,1,0))</f>
        <v>0</v>
      </c>
      <c r="AU324" s="21" t="n">
        <f aca="false">IF(AI324="",0,IF(AI324&lt;0,1,0))</f>
        <v>0</v>
      </c>
      <c r="AV324" s="21" t="n">
        <f aca="false">IF(U324&gt;V324,1,0)</f>
        <v>0</v>
      </c>
      <c r="AW324" s="21" t="n">
        <f aca="false">IF(OR(W324&gt;تنظیمات!$B$8,X324="بله"),1,0)</f>
        <v>0</v>
      </c>
      <c r="AX324" s="21" t="n">
        <f aca="false">IF(AND(N324="بله",L324&gt;تنظیمات!$B$9),1,0)</f>
        <v>0</v>
      </c>
      <c r="AY324" s="21" t="n">
        <f aca="false">IF(Y324="معکوس",1,0)</f>
        <v>0</v>
      </c>
      <c r="AZ324" s="21" t="n">
        <f aca="false">IF(ABS(AJ324)&gt;تنظیمات!$B$10,1,0)</f>
        <v>0</v>
      </c>
      <c r="BA324" s="21" t="n">
        <f aca="false">IF(AND(OR(AD324="رایگان/VIP",AD324="جانباز"),AF324="خیر"),1,0)</f>
        <v>0</v>
      </c>
      <c r="BB324" s="21" t="n">
        <f aca="false">IF(AE324="",0,IF(COUNTIF($AE$2:$AE$1001,AE324)&gt;1,1,0))</f>
        <v>1</v>
      </c>
      <c r="BC324" s="21" t="n">
        <f aca="false">IF(AND(H324="",I324&gt;تنظیمات!$B$12*60,AM324="خالی"),1,0)</f>
        <v>0</v>
      </c>
      <c r="BD324" s="21" t="n">
        <f aca="false">IF(AND(AP324="بله",I324&lt;تنظیمات!$B$14,AO324="خیر"),1,0)</f>
        <v>0</v>
      </c>
      <c r="BE324" s="21" t="n">
        <f aca="false">IF(AN324="خیر",1,0)</f>
        <v>0</v>
      </c>
      <c r="BF324" s="21" t="n">
        <f aca="false">IF(AND(AD324="فیش مفقودی",AQ324="بله",I324&gt;تنظیمات!$B$12*60),1,0)</f>
        <v>0</v>
      </c>
      <c r="BG324" s="21" t="n">
        <f aca="false">IF(AND(AK324&gt;تنظیمات!$B$11,AL324="بله"),1,0)</f>
        <v>0</v>
      </c>
      <c r="BH324" s="21" t="n">
        <f aca="false">MIN(100,AR324*تنظیمات!$B$21+AS324*تنظیمات!$B$22+AT324*تنظیمات!$B$23+AU324*تنظیمات!$B$24+AV324*تنظیمات!$B$25+AW324*تنظیمات!$B$26+AX324*تنظیمات!$B$27+AY324*تنظیمات!$B$28+AZ324*تنظیمات!$B$29+BA324*تنظیمات!$B$30+BB324*تنظیمات!$B$31+BC324*تنظیمات!$B$32+BD324*تنظیمات!$B$33+BE324*تنظیمات!$B$34+BF324*تنظیمات!$B$35+BG324*تنظیمات!$B$36)</f>
        <v>25</v>
      </c>
      <c r="BI324" s="16" t="str">
        <f aca="false">IF(BH324&gt;=60,"بحرانی",IF(BH324&gt;=30,"مشکوک",IF(BH324&gt;0,"هشدار","عادی")))</f>
        <v>هشدار</v>
      </c>
      <c r="BJ324" s="16" t="s">
        <v>950</v>
      </c>
    </row>
    <row r="325" customFormat="false" ht="15" hidden="false" customHeight="false" outlineLevel="0" collapsed="false">
      <c r="A325" s="16" t="s">
        <v>1447</v>
      </c>
      <c r="B325" s="16" t="s">
        <v>1448</v>
      </c>
      <c r="C325" s="16"/>
      <c r="D325" s="16" t="s">
        <v>523</v>
      </c>
      <c r="E325" s="16" t="s">
        <v>363</v>
      </c>
      <c r="F325" s="16" t="s">
        <v>333</v>
      </c>
      <c r="G325" s="17" t="n">
        <v>46285.4566782407</v>
      </c>
      <c r="H325" s="17" t="n">
        <v>46285.6559837963</v>
      </c>
      <c r="I325" s="18" t="n">
        <f aca="false">IF(H325="",ROUND((تنظیمات!$B$7-G325)*1440,0),ROUND((H325-G325)*1440,0))</f>
        <v>287</v>
      </c>
      <c r="J325" s="16" t="s">
        <v>334</v>
      </c>
      <c r="K325" s="16" t="s">
        <v>410</v>
      </c>
      <c r="L325" s="19" t="n">
        <v>0.99</v>
      </c>
      <c r="M325" s="19" t="n">
        <v>0.929</v>
      </c>
      <c r="N325" s="16" t="s">
        <v>335</v>
      </c>
      <c r="O325" s="16" t="s">
        <v>425</v>
      </c>
      <c r="P325" s="16" t="s">
        <v>420</v>
      </c>
      <c r="Q325" s="20" t="n">
        <v>46285</v>
      </c>
      <c r="R325" s="16" t="s">
        <v>1449</v>
      </c>
      <c r="S325" s="16" t="s">
        <v>404</v>
      </c>
      <c r="T325" s="17"/>
      <c r="U325" s="21" t="n">
        <v>1</v>
      </c>
      <c r="V325" s="21" t="n">
        <v>1</v>
      </c>
      <c r="W325" s="22" t="n">
        <v>4.3</v>
      </c>
      <c r="X325" s="16" t="s">
        <v>335</v>
      </c>
      <c r="Y325" s="16" t="s">
        <v>338</v>
      </c>
      <c r="Z325" s="16" t="s">
        <v>443</v>
      </c>
      <c r="AA325" s="16"/>
      <c r="AB325" s="23"/>
      <c r="AC325" s="17"/>
      <c r="AD325" s="16" t="s">
        <v>444</v>
      </c>
      <c r="AE325" s="16"/>
      <c r="AF325" s="16" t="str">
        <f aca="false">IF(COUNTIF(لیست_سفید!$A$2:$A$21,B325)&gt;0,"بله","خیر")</f>
        <v>خیر</v>
      </c>
      <c r="AG325" s="24" t="n">
        <f aca="false">IF(H325="","",IF(AD325="فیش مفقودی",تنظیمات!$B$6,(INT(I325/1440)*تنظیمات!$B$5+IF(MOD(I325,1440)&lt;=تنظیمات!$B$2,0,MIN(تنظیمات!$B$5,تنظیمات!$B$3+MAX(0,ROUNDUP((MOD(I325,1440)-60)/60,0))*تنظیمات!$B$4)))*INDEX(تعرفه!$B$2:$B$7,MATCH(AD325,تعرفه!$A$2:$A$7,0))))</f>
        <v>0</v>
      </c>
      <c r="AH325" s="24" t="n">
        <v>0</v>
      </c>
      <c r="AI325" s="24" t="n">
        <f aca="false">IF(AG325="","",AH325-AG325)</f>
        <v>0</v>
      </c>
      <c r="AJ325" s="21" t="n">
        <v>0</v>
      </c>
      <c r="AK325" s="21" t="n">
        <v>0</v>
      </c>
      <c r="AL325" s="16" t="s">
        <v>335</v>
      </c>
      <c r="AM325" s="16"/>
      <c r="AN325" s="16" t="s">
        <v>340</v>
      </c>
      <c r="AO325" s="16" t="s">
        <v>340</v>
      </c>
      <c r="AP325" s="16" t="s">
        <v>335</v>
      </c>
      <c r="AQ325" s="16"/>
      <c r="AR325" s="21" t="n">
        <f aca="false">IF(AND(T325&lt;&gt;"",H325&lt;&gt;""),IF(AND((T325-H325)*86400&gt;=0,(T325-H325)*86400&lt;تنظیمات!$B$13),1,0),0)</f>
        <v>0</v>
      </c>
      <c r="AS325" s="21" t="n">
        <f aca="false">IF(Z325="پوز",IF(OR(AB325="",COUNTIF(پوزها!$A$2:$A$5,AA325)=0),1,0),0)</f>
        <v>0</v>
      </c>
      <c r="AT325" s="21" t="n">
        <f aca="false">IF(AI325="",0,IF(AI325&gt;0,1,0))</f>
        <v>0</v>
      </c>
      <c r="AU325" s="21" t="n">
        <f aca="false">IF(AI325="",0,IF(AI325&lt;0,1,0))</f>
        <v>0</v>
      </c>
      <c r="AV325" s="21" t="n">
        <f aca="false">IF(U325&gt;V325,1,0)</f>
        <v>0</v>
      </c>
      <c r="AW325" s="21" t="n">
        <f aca="false">IF(OR(W325&gt;تنظیمات!$B$8,X325="بله"),1,0)</f>
        <v>0</v>
      </c>
      <c r="AX325" s="21" t="n">
        <f aca="false">IF(AND(N325="بله",L325&gt;تنظیمات!$B$9),1,0)</f>
        <v>0</v>
      </c>
      <c r="AY325" s="21" t="n">
        <f aca="false">IF(Y325="معکوس",1,0)</f>
        <v>0</v>
      </c>
      <c r="AZ325" s="21" t="n">
        <f aca="false">IF(ABS(AJ325)&gt;تنظیمات!$B$10,1,0)</f>
        <v>0</v>
      </c>
      <c r="BA325" s="21" t="n">
        <f aca="false">IF(AND(OR(AD325="رایگان/VIP",AD325="جانباز"),AF325="خیر"),1,0)</f>
        <v>0</v>
      </c>
      <c r="BB325" s="21" t="n">
        <f aca="false">IF(AE325="",0,IF(COUNTIF($AE$2:$AE$1001,AE325)&gt;1,1,0))</f>
        <v>0</v>
      </c>
      <c r="BC325" s="21" t="n">
        <f aca="false">IF(AND(H325="",I325&gt;تنظیمات!$B$12*60,AM325="خالی"),1,0)</f>
        <v>0</v>
      </c>
      <c r="BD325" s="21" t="n">
        <f aca="false">IF(AND(AP325="بله",I325&lt;تنظیمات!$B$14,AO325="خیر"),1,0)</f>
        <v>0</v>
      </c>
      <c r="BE325" s="21" t="n">
        <f aca="false">IF(AN325="خیر",1,0)</f>
        <v>0</v>
      </c>
      <c r="BF325" s="21" t="n">
        <f aca="false">IF(AND(AD325="فیش مفقودی",AQ325="بله",I325&gt;تنظیمات!$B$12*60),1,0)</f>
        <v>0</v>
      </c>
      <c r="BG325" s="21" t="n">
        <f aca="false">IF(AND(AK325&gt;تنظیمات!$B$11,AL325="بله"),1,0)</f>
        <v>0</v>
      </c>
      <c r="BH325" s="21" t="n">
        <f aca="false">MIN(100,AR325*تنظیمات!$B$21+AS325*تنظیمات!$B$22+AT325*تنظیمات!$B$23+AU325*تنظیمات!$B$24+AV325*تنظیمات!$B$25+AW325*تنظیمات!$B$26+AX325*تنظیمات!$B$27+AY325*تنظیمات!$B$28+AZ325*تنظیمات!$B$29+BA325*تنظیمات!$B$30+BB325*تنظیمات!$B$31+BC325*تنظیمات!$B$32+BD325*تنظیمات!$B$33+BE325*تنظیمات!$B$34+BF325*تنظیمات!$B$35+BG325*تنظیمات!$B$36)</f>
        <v>0</v>
      </c>
      <c r="BI325" s="16" t="str">
        <f aca="false">IF(BH325&gt;=60,"بحرانی",IF(BH325&gt;=30,"مشکوک",IF(BH325&gt;0,"هشدار","عادی")))</f>
        <v>عادی</v>
      </c>
      <c r="BJ325" s="16" t="s">
        <v>338</v>
      </c>
    </row>
    <row r="326" customFormat="false" ht="15" hidden="false" customHeight="false" outlineLevel="0" collapsed="false">
      <c r="A326" s="16" t="s">
        <v>1450</v>
      </c>
      <c r="B326" s="16" t="s">
        <v>1135</v>
      </c>
      <c r="C326" s="16"/>
      <c r="D326" s="16" t="s">
        <v>386</v>
      </c>
      <c r="E326" s="16" t="s">
        <v>363</v>
      </c>
      <c r="F326" s="16" t="s">
        <v>333</v>
      </c>
      <c r="G326" s="17" t="n">
        <v>46285.4662615741</v>
      </c>
      <c r="H326" s="17" t="n">
        <v>46285.5252893519</v>
      </c>
      <c r="I326" s="18" t="n">
        <f aca="false">IF(H326="",ROUND((تنظیمات!$B$7-G326)*1440,0),ROUND((H326-G326)*1440,0))</f>
        <v>85</v>
      </c>
      <c r="J326" s="16" t="s">
        <v>346</v>
      </c>
      <c r="K326" s="16" t="s">
        <v>400</v>
      </c>
      <c r="L326" s="19" t="n">
        <v>0.914</v>
      </c>
      <c r="M326" s="19" t="n">
        <v>0.946</v>
      </c>
      <c r="N326" s="16" t="s">
        <v>335</v>
      </c>
      <c r="O326" s="16" t="s">
        <v>650</v>
      </c>
      <c r="P326" s="16" t="s">
        <v>402</v>
      </c>
      <c r="Q326" s="20" t="n">
        <v>46285</v>
      </c>
      <c r="R326" s="16" t="s">
        <v>1451</v>
      </c>
      <c r="S326" s="16" t="s">
        <v>404</v>
      </c>
      <c r="T326" s="17"/>
      <c r="U326" s="21" t="n">
        <v>1</v>
      </c>
      <c r="V326" s="21" t="n">
        <v>1</v>
      </c>
      <c r="W326" s="22" t="n">
        <v>5.2</v>
      </c>
      <c r="X326" s="16" t="s">
        <v>335</v>
      </c>
      <c r="Y326" s="16" t="s">
        <v>338</v>
      </c>
      <c r="Z326" s="16" t="s">
        <v>413</v>
      </c>
      <c r="AA326" s="16" t="s">
        <v>427</v>
      </c>
      <c r="AB326" s="23" t="s">
        <v>1452</v>
      </c>
      <c r="AC326" s="17" t="n">
        <v>46285.5246527778</v>
      </c>
      <c r="AD326" s="16" t="s">
        <v>338</v>
      </c>
      <c r="AE326" s="16"/>
      <c r="AF326" s="16" t="str">
        <f aca="false">IF(COUNTIF(لیست_سفید!$A$2:$A$21,B326)&gt;0,"بله","خیر")</f>
        <v>خیر</v>
      </c>
      <c r="AG326" s="24" t="n">
        <f aca="false">IF(H326="","",IF(AD326="فیش مفقودی",تنظیمات!$B$6,(INT(I326/1440)*تنظیمات!$B$5+IF(MOD(I326,1440)&lt;=تنظیمات!$B$2,0,MIN(تنظیمات!$B$5,تنظیمات!$B$3+MAX(0,ROUNDUP((MOD(I326,1440)-60)/60,0))*تنظیمات!$B$4)))*INDEX(تعرفه!$B$2:$B$7,MATCH(AD326,تعرفه!$A$2:$A$7,0))))</f>
        <v>34000</v>
      </c>
      <c r="AH326" s="24" t="n">
        <v>34000</v>
      </c>
      <c r="AI326" s="24" t="n">
        <f aca="false">IF(AG326="","",AH326-AG326)</f>
        <v>0</v>
      </c>
      <c r="AJ326" s="21" t="n">
        <v>1</v>
      </c>
      <c r="AK326" s="21" t="n">
        <v>0</v>
      </c>
      <c r="AL326" s="16" t="s">
        <v>335</v>
      </c>
      <c r="AM326" s="16"/>
      <c r="AN326" s="16" t="s">
        <v>340</v>
      </c>
      <c r="AO326" s="16" t="s">
        <v>340</v>
      </c>
      <c r="AP326" s="16" t="s">
        <v>335</v>
      </c>
      <c r="AQ326" s="16"/>
      <c r="AR326" s="21" t="n">
        <f aca="false">IF(AND(T326&lt;&gt;"",H326&lt;&gt;""),IF(AND((T326-H326)*86400&gt;=0,(T326-H326)*86400&lt;تنظیمات!$B$13),1,0),0)</f>
        <v>0</v>
      </c>
      <c r="AS326" s="21" t="n">
        <f aca="false">IF(Z326="پوز",IF(OR(AB326="",COUNTIF(پوزها!$A$2:$A$5,AA326)=0),1,0),0)</f>
        <v>0</v>
      </c>
      <c r="AT326" s="21" t="n">
        <f aca="false">IF(AI326="",0,IF(AI326&gt;0,1,0))</f>
        <v>0</v>
      </c>
      <c r="AU326" s="21" t="n">
        <f aca="false">IF(AI326="",0,IF(AI326&lt;0,1,0))</f>
        <v>0</v>
      </c>
      <c r="AV326" s="21" t="n">
        <f aca="false">IF(U326&gt;V326,1,0)</f>
        <v>0</v>
      </c>
      <c r="AW326" s="21" t="n">
        <f aca="false">IF(OR(W326&gt;تنظیمات!$B$8,X326="بله"),1,0)</f>
        <v>0</v>
      </c>
      <c r="AX326" s="21" t="n">
        <f aca="false">IF(AND(N326="بله",L326&gt;تنظیمات!$B$9),1,0)</f>
        <v>0</v>
      </c>
      <c r="AY326" s="21" t="n">
        <f aca="false">IF(Y326="معکوس",1,0)</f>
        <v>0</v>
      </c>
      <c r="AZ326" s="21" t="n">
        <f aca="false">IF(ABS(AJ326)&gt;تنظیمات!$B$10,1,0)</f>
        <v>0</v>
      </c>
      <c r="BA326" s="21" t="n">
        <f aca="false">IF(AND(OR(AD326="رایگان/VIP",AD326="جانباز"),AF326="خیر"),1,0)</f>
        <v>0</v>
      </c>
      <c r="BB326" s="21" t="n">
        <f aca="false">IF(AE326="",0,IF(COUNTIF($AE$2:$AE$1001,AE326)&gt;1,1,0))</f>
        <v>0</v>
      </c>
      <c r="BC326" s="21" t="n">
        <f aca="false">IF(AND(H326="",I326&gt;تنظیمات!$B$12*60,AM326="خالی"),1,0)</f>
        <v>0</v>
      </c>
      <c r="BD326" s="21" t="n">
        <f aca="false">IF(AND(AP326="بله",I326&lt;تنظیمات!$B$14,AO326="خیر"),1,0)</f>
        <v>0</v>
      </c>
      <c r="BE326" s="21" t="n">
        <f aca="false">IF(AN326="خیر",1,0)</f>
        <v>0</v>
      </c>
      <c r="BF326" s="21" t="n">
        <f aca="false">IF(AND(AD326="فیش مفقودی",AQ326="بله",I326&gt;تنظیمات!$B$12*60),1,0)</f>
        <v>0</v>
      </c>
      <c r="BG326" s="21" t="n">
        <f aca="false">IF(AND(AK326&gt;تنظیمات!$B$11,AL326="بله"),1,0)</f>
        <v>0</v>
      </c>
      <c r="BH326" s="21" t="n">
        <f aca="false">MIN(100,AR326*تنظیمات!$B$21+AS326*تنظیمات!$B$22+AT326*تنظیمات!$B$23+AU326*تنظیمات!$B$24+AV326*تنظیمات!$B$25+AW326*تنظیمات!$B$26+AX326*تنظیمات!$B$27+AY326*تنظیمات!$B$28+AZ326*تنظیمات!$B$29+BA326*تنظیمات!$B$30+BB326*تنظیمات!$B$31+BC326*تنظیمات!$B$32+BD326*تنظیمات!$B$33+BE326*تنظیمات!$B$34+BF326*تنظیمات!$B$35+BG326*تنظیمات!$B$36)</f>
        <v>0</v>
      </c>
      <c r="BI326" s="16" t="str">
        <f aca="false">IF(BH326&gt;=60,"بحرانی",IF(BH326&gt;=30,"مشکوک",IF(BH326&gt;0,"هشدار","عادی")))</f>
        <v>عادی</v>
      </c>
      <c r="BJ326" s="16" t="s">
        <v>338</v>
      </c>
    </row>
    <row r="327" customFormat="false" ht="15" hidden="false" customHeight="false" outlineLevel="0" collapsed="false">
      <c r="A327" s="16" t="s">
        <v>1453</v>
      </c>
      <c r="B327" s="16" t="s">
        <v>1345</v>
      </c>
      <c r="C327" s="16"/>
      <c r="D327" s="16" t="s">
        <v>431</v>
      </c>
      <c r="E327" s="16" t="s">
        <v>375</v>
      </c>
      <c r="F327" s="16" t="s">
        <v>333</v>
      </c>
      <c r="G327" s="17" t="n">
        <v>46285.475</v>
      </c>
      <c r="H327" s="17" t="n">
        <v>46285.5076388889</v>
      </c>
      <c r="I327" s="18" t="n">
        <f aca="false">IF(H327="",ROUND((تنظیمات!$B$7-G327)*1440,0),ROUND((H327-G327)*1440,0))</f>
        <v>47</v>
      </c>
      <c r="J327" s="16" t="s">
        <v>334</v>
      </c>
      <c r="K327" s="16" t="s">
        <v>400</v>
      </c>
      <c r="L327" s="19" t="n">
        <v>0.894</v>
      </c>
      <c r="M327" s="19" t="n">
        <v>0.932</v>
      </c>
      <c r="N327" s="16" t="s">
        <v>335</v>
      </c>
      <c r="O327" s="16" t="s">
        <v>650</v>
      </c>
      <c r="P327" s="16" t="s">
        <v>402</v>
      </c>
      <c r="Q327" s="20" t="n">
        <v>46285</v>
      </c>
      <c r="R327" s="16" t="s">
        <v>1454</v>
      </c>
      <c r="S327" s="16" t="s">
        <v>404</v>
      </c>
      <c r="T327" s="17"/>
      <c r="U327" s="21" t="n">
        <v>1</v>
      </c>
      <c r="V327" s="21" t="n">
        <v>1</v>
      </c>
      <c r="W327" s="22" t="n">
        <v>5</v>
      </c>
      <c r="X327" s="16" t="s">
        <v>335</v>
      </c>
      <c r="Y327" s="16" t="s">
        <v>338</v>
      </c>
      <c r="Z327" s="16" t="s">
        <v>413</v>
      </c>
      <c r="AA327" s="16" t="s">
        <v>427</v>
      </c>
      <c r="AB327" s="23" t="s">
        <v>1455</v>
      </c>
      <c r="AC327" s="17" t="n">
        <v>46285.5070601852</v>
      </c>
      <c r="AD327" s="16" t="s">
        <v>338</v>
      </c>
      <c r="AE327" s="16"/>
      <c r="AF327" s="16" t="str">
        <f aca="false">IF(COUNTIF(لیست_سفید!$A$2:$A$21,B327)&gt;0,"بله","خیر")</f>
        <v>خیر</v>
      </c>
      <c r="AG327" s="24" t="n">
        <f aca="false">IF(H327="","",IF(AD327="فیش مفقودی",تنظیمات!$B$6,(INT(I327/1440)*تنظیمات!$B$5+IF(MOD(I327,1440)&lt;=تنظیمات!$B$2,0,MIN(تنظیمات!$B$5,تنظیمات!$B$3+MAX(0,ROUNDUP((MOD(I327,1440)-60)/60,0))*تنظیمات!$B$4)))*INDEX(تعرفه!$B$2:$B$7,MATCH(AD327,تعرفه!$A$2:$A$7,0))))</f>
        <v>20000</v>
      </c>
      <c r="AH327" s="24" t="n">
        <v>20000</v>
      </c>
      <c r="AI327" s="24" t="n">
        <f aca="false">IF(AG327="","",AH327-AG327)</f>
        <v>0</v>
      </c>
      <c r="AJ327" s="21" t="n">
        <v>4</v>
      </c>
      <c r="AK327" s="21" t="n">
        <v>64</v>
      </c>
      <c r="AL327" s="16" t="s">
        <v>335</v>
      </c>
      <c r="AM327" s="16"/>
      <c r="AN327" s="16" t="s">
        <v>340</v>
      </c>
      <c r="AO327" s="16" t="s">
        <v>340</v>
      </c>
      <c r="AP327" s="16" t="s">
        <v>335</v>
      </c>
      <c r="AQ327" s="16"/>
      <c r="AR327" s="21" t="n">
        <f aca="false">IF(AND(T327&lt;&gt;"",H327&lt;&gt;""),IF(AND((T327-H327)*86400&gt;=0,(T327-H327)*86400&lt;تنظیمات!$B$13),1,0),0)</f>
        <v>0</v>
      </c>
      <c r="AS327" s="21" t="n">
        <f aca="false">IF(Z327="پوز",IF(OR(AB327="",COUNTIF(پوزها!$A$2:$A$5,AA327)=0),1,0),0)</f>
        <v>0</v>
      </c>
      <c r="AT327" s="21" t="n">
        <f aca="false">IF(AI327="",0,IF(AI327&gt;0,1,0))</f>
        <v>0</v>
      </c>
      <c r="AU327" s="21" t="n">
        <f aca="false">IF(AI327="",0,IF(AI327&lt;0,1,0))</f>
        <v>0</v>
      </c>
      <c r="AV327" s="21" t="n">
        <f aca="false">IF(U327&gt;V327,1,0)</f>
        <v>0</v>
      </c>
      <c r="AW327" s="21" t="n">
        <f aca="false">IF(OR(W327&gt;تنظیمات!$B$8,X327="بله"),1,0)</f>
        <v>0</v>
      </c>
      <c r="AX327" s="21" t="n">
        <f aca="false">IF(AND(N327="بله",L327&gt;تنظیمات!$B$9),1,0)</f>
        <v>0</v>
      </c>
      <c r="AY327" s="21" t="n">
        <f aca="false">IF(Y327="معکوس",1,0)</f>
        <v>0</v>
      </c>
      <c r="AZ327" s="21" t="n">
        <f aca="false">IF(ABS(AJ327)&gt;تنظیمات!$B$10,1,0)</f>
        <v>0</v>
      </c>
      <c r="BA327" s="21" t="n">
        <f aca="false">IF(AND(OR(AD327="رایگان/VIP",AD327="جانباز"),AF327="خیر"),1,0)</f>
        <v>0</v>
      </c>
      <c r="BB327" s="21" t="n">
        <f aca="false">IF(AE327="",0,IF(COUNTIF($AE$2:$AE$1001,AE327)&gt;1,1,0))</f>
        <v>0</v>
      </c>
      <c r="BC327" s="21" t="n">
        <f aca="false">IF(AND(H327="",I327&gt;تنظیمات!$B$12*60,AM327="خالی"),1,0)</f>
        <v>0</v>
      </c>
      <c r="BD327" s="21" t="n">
        <f aca="false">IF(AND(AP327="بله",I327&lt;تنظیمات!$B$14,AO327="خیر"),1,0)</f>
        <v>0</v>
      </c>
      <c r="BE327" s="21" t="n">
        <f aca="false">IF(AN327="خیر",1,0)</f>
        <v>0</v>
      </c>
      <c r="BF327" s="21" t="n">
        <f aca="false">IF(AND(AD327="فیش مفقودی",AQ327="بله",I327&gt;تنظیمات!$B$12*60),1,0)</f>
        <v>0</v>
      </c>
      <c r="BG327" s="21" t="n">
        <f aca="false">IF(AND(AK327&gt;تنظیمات!$B$11,AL327="بله"),1,0)</f>
        <v>0</v>
      </c>
      <c r="BH327" s="21" t="n">
        <f aca="false">MIN(100,AR327*تنظیمات!$B$21+AS327*تنظیمات!$B$22+AT327*تنظیمات!$B$23+AU327*تنظیمات!$B$24+AV327*تنظیمات!$B$25+AW327*تنظیمات!$B$26+AX327*تنظیمات!$B$27+AY327*تنظیمات!$B$28+AZ327*تنظیمات!$B$29+BA327*تنظیمات!$B$30+BB327*تنظیمات!$B$31+BC327*تنظیمات!$B$32+BD327*تنظیمات!$B$33+BE327*تنظیمات!$B$34+BF327*تنظیمات!$B$35+BG327*تنظیمات!$B$36)</f>
        <v>0</v>
      </c>
      <c r="BI327" s="16" t="str">
        <f aca="false">IF(BH327&gt;=60,"بحرانی",IF(BH327&gt;=30,"مشکوک",IF(BH327&gt;0,"هشدار","عادی")))</f>
        <v>عادی</v>
      </c>
      <c r="BJ327" s="16" t="s">
        <v>338</v>
      </c>
    </row>
    <row r="328" customFormat="false" ht="15" hidden="false" customHeight="false" outlineLevel="0" collapsed="false">
      <c r="A328" s="16" t="s">
        <v>1456</v>
      </c>
      <c r="B328" s="16" t="s">
        <v>1457</v>
      </c>
      <c r="C328" s="16"/>
      <c r="D328" s="16" t="s">
        <v>450</v>
      </c>
      <c r="E328" s="16" t="s">
        <v>363</v>
      </c>
      <c r="F328" s="16" t="s">
        <v>333</v>
      </c>
      <c r="G328" s="17" t="n">
        <v>46285.4782175926</v>
      </c>
      <c r="H328" s="17" t="n">
        <v>46285.497662037</v>
      </c>
      <c r="I328" s="18" t="n">
        <f aca="false">IF(H328="",ROUND((تنظیمات!$B$7-G328)*1440,0),ROUND((H328-G328)*1440,0))</f>
        <v>28</v>
      </c>
      <c r="J328" s="16" t="s">
        <v>334</v>
      </c>
      <c r="K328" s="16" t="s">
        <v>410</v>
      </c>
      <c r="L328" s="19" t="n">
        <v>0.953</v>
      </c>
      <c r="M328" s="19" t="n">
        <v>0.956</v>
      </c>
      <c r="N328" s="16" t="s">
        <v>335</v>
      </c>
      <c r="O328" s="16" t="s">
        <v>666</v>
      </c>
      <c r="P328" s="16" t="s">
        <v>402</v>
      </c>
      <c r="Q328" s="20" t="n">
        <v>46285</v>
      </c>
      <c r="R328" s="16" t="s">
        <v>1458</v>
      </c>
      <c r="S328" s="16" t="s">
        <v>404</v>
      </c>
      <c r="T328" s="17"/>
      <c r="U328" s="21" t="n">
        <v>1</v>
      </c>
      <c r="V328" s="21" t="n">
        <v>1</v>
      </c>
      <c r="W328" s="22" t="n">
        <v>5.4</v>
      </c>
      <c r="X328" s="16" t="s">
        <v>335</v>
      </c>
      <c r="Y328" s="16" t="s">
        <v>338</v>
      </c>
      <c r="Z328" s="16" t="s">
        <v>405</v>
      </c>
      <c r="AA328" s="16"/>
      <c r="AB328" s="23"/>
      <c r="AC328" s="17"/>
      <c r="AD328" s="16" t="s">
        <v>338</v>
      </c>
      <c r="AE328" s="16"/>
      <c r="AF328" s="16" t="str">
        <f aca="false">IF(COUNTIF(لیست_سفید!$A$2:$A$21,B328)&gt;0,"بله","خیر")</f>
        <v>خیر</v>
      </c>
      <c r="AG328" s="24" t="n">
        <f aca="false">IF(H328="","",IF(AD328="فیش مفقودی",تنظیمات!$B$6,(INT(I328/1440)*تنظیمات!$B$5+IF(MOD(I328,1440)&lt;=تنظیمات!$B$2,0,MIN(تنظیمات!$B$5,تنظیمات!$B$3+MAX(0,ROUNDUP((MOD(I328,1440)-60)/60,0))*تنظیمات!$B$4)))*INDEX(تعرفه!$B$2:$B$7,MATCH(AD328,تعرفه!$A$2:$A$7,0))))</f>
        <v>20000</v>
      </c>
      <c r="AH328" s="24" t="n">
        <v>20000</v>
      </c>
      <c r="AI328" s="24" t="n">
        <f aca="false">IF(AG328="","",AH328-AG328)</f>
        <v>0</v>
      </c>
      <c r="AJ328" s="21" t="n">
        <v>3</v>
      </c>
      <c r="AK328" s="21" t="n">
        <v>0</v>
      </c>
      <c r="AL328" s="16" t="s">
        <v>335</v>
      </c>
      <c r="AM328" s="16"/>
      <c r="AN328" s="16" t="s">
        <v>340</v>
      </c>
      <c r="AO328" s="16" t="s">
        <v>340</v>
      </c>
      <c r="AP328" s="16" t="s">
        <v>335</v>
      </c>
      <c r="AQ328" s="16"/>
      <c r="AR328" s="21" t="n">
        <f aca="false">IF(AND(T328&lt;&gt;"",H328&lt;&gt;""),IF(AND((T328-H328)*86400&gt;=0,(T328-H328)*86400&lt;تنظیمات!$B$13),1,0),0)</f>
        <v>0</v>
      </c>
      <c r="AS328" s="21" t="n">
        <f aca="false">IF(Z328="پوز",IF(OR(AB328="",COUNTIF(پوزها!$A$2:$A$5,AA328)=0),1,0),0)</f>
        <v>0</v>
      </c>
      <c r="AT328" s="21" t="n">
        <f aca="false">IF(AI328="",0,IF(AI328&gt;0,1,0))</f>
        <v>0</v>
      </c>
      <c r="AU328" s="21" t="n">
        <f aca="false">IF(AI328="",0,IF(AI328&lt;0,1,0))</f>
        <v>0</v>
      </c>
      <c r="AV328" s="21" t="n">
        <f aca="false">IF(U328&gt;V328,1,0)</f>
        <v>0</v>
      </c>
      <c r="AW328" s="21" t="n">
        <f aca="false">IF(OR(W328&gt;تنظیمات!$B$8,X328="بله"),1,0)</f>
        <v>0</v>
      </c>
      <c r="AX328" s="21" t="n">
        <f aca="false">IF(AND(N328="بله",L328&gt;تنظیمات!$B$9),1,0)</f>
        <v>0</v>
      </c>
      <c r="AY328" s="21" t="n">
        <f aca="false">IF(Y328="معکوس",1,0)</f>
        <v>0</v>
      </c>
      <c r="AZ328" s="21" t="n">
        <f aca="false">IF(ABS(AJ328)&gt;تنظیمات!$B$10,1,0)</f>
        <v>0</v>
      </c>
      <c r="BA328" s="21" t="n">
        <f aca="false">IF(AND(OR(AD328="رایگان/VIP",AD328="جانباز"),AF328="خیر"),1,0)</f>
        <v>0</v>
      </c>
      <c r="BB328" s="21" t="n">
        <f aca="false">IF(AE328="",0,IF(COUNTIF($AE$2:$AE$1001,AE328)&gt;1,1,0))</f>
        <v>0</v>
      </c>
      <c r="BC328" s="21" t="n">
        <f aca="false">IF(AND(H328="",I328&gt;تنظیمات!$B$12*60,AM328="خالی"),1,0)</f>
        <v>0</v>
      </c>
      <c r="BD328" s="21" t="n">
        <f aca="false">IF(AND(AP328="بله",I328&lt;تنظیمات!$B$14,AO328="خیر"),1,0)</f>
        <v>0</v>
      </c>
      <c r="BE328" s="21" t="n">
        <f aca="false">IF(AN328="خیر",1,0)</f>
        <v>0</v>
      </c>
      <c r="BF328" s="21" t="n">
        <f aca="false">IF(AND(AD328="فیش مفقودی",AQ328="بله",I328&gt;تنظیمات!$B$12*60),1,0)</f>
        <v>0</v>
      </c>
      <c r="BG328" s="21" t="n">
        <f aca="false">IF(AND(AK328&gt;تنظیمات!$B$11,AL328="بله"),1,0)</f>
        <v>0</v>
      </c>
      <c r="BH328" s="21" t="n">
        <f aca="false">MIN(100,AR328*تنظیمات!$B$21+AS328*تنظیمات!$B$22+AT328*تنظیمات!$B$23+AU328*تنظیمات!$B$24+AV328*تنظیمات!$B$25+AW328*تنظیمات!$B$26+AX328*تنظیمات!$B$27+AY328*تنظیمات!$B$28+AZ328*تنظیمات!$B$29+BA328*تنظیمات!$B$30+BB328*تنظیمات!$B$31+BC328*تنظیمات!$B$32+BD328*تنظیمات!$B$33+BE328*تنظیمات!$B$34+BF328*تنظیمات!$B$35+BG328*تنظیمات!$B$36)</f>
        <v>0</v>
      </c>
      <c r="BI328" s="16" t="str">
        <f aca="false">IF(BH328&gt;=60,"بحرانی",IF(BH328&gt;=30,"مشکوک",IF(BH328&gt;0,"هشدار","عادی")))</f>
        <v>عادی</v>
      </c>
      <c r="BJ328" s="16" t="s">
        <v>338</v>
      </c>
    </row>
    <row r="329" customFormat="false" ht="15" hidden="false" customHeight="false" outlineLevel="0" collapsed="false">
      <c r="A329" s="16" t="s">
        <v>1459</v>
      </c>
      <c r="B329" s="16" t="s">
        <v>819</v>
      </c>
      <c r="C329" s="16"/>
      <c r="D329" s="16" t="s">
        <v>344</v>
      </c>
      <c r="E329" s="16" t="s">
        <v>363</v>
      </c>
      <c r="F329" s="16" t="s">
        <v>333</v>
      </c>
      <c r="G329" s="17" t="n">
        <v>46285.4846064815</v>
      </c>
      <c r="H329" s="17" t="n">
        <v>46285.5297453704</v>
      </c>
      <c r="I329" s="18" t="n">
        <f aca="false">IF(H329="",ROUND((تنظیمات!$B$7-G329)*1440,0),ROUND((H329-G329)*1440,0))</f>
        <v>65</v>
      </c>
      <c r="J329" s="16" t="s">
        <v>346</v>
      </c>
      <c r="K329" s="16" t="s">
        <v>400</v>
      </c>
      <c r="L329" s="19" t="n">
        <v>0.928</v>
      </c>
      <c r="M329" s="19" t="n">
        <v>0.929</v>
      </c>
      <c r="N329" s="16" t="s">
        <v>335</v>
      </c>
      <c r="O329" s="16" t="s">
        <v>650</v>
      </c>
      <c r="P329" s="16" t="s">
        <v>402</v>
      </c>
      <c r="Q329" s="20" t="n">
        <v>46285</v>
      </c>
      <c r="R329" s="16" t="s">
        <v>1460</v>
      </c>
      <c r="S329" s="16" t="s">
        <v>404</v>
      </c>
      <c r="T329" s="17"/>
      <c r="U329" s="21" t="n">
        <v>1</v>
      </c>
      <c r="V329" s="21" t="n">
        <v>1</v>
      </c>
      <c r="W329" s="22" t="n">
        <v>5.3</v>
      </c>
      <c r="X329" s="16" t="s">
        <v>335</v>
      </c>
      <c r="Y329" s="16" t="s">
        <v>338</v>
      </c>
      <c r="Z329" s="16" t="s">
        <v>405</v>
      </c>
      <c r="AA329" s="16"/>
      <c r="AB329" s="23"/>
      <c r="AC329" s="17"/>
      <c r="AD329" s="16" t="s">
        <v>338</v>
      </c>
      <c r="AE329" s="16"/>
      <c r="AF329" s="16" t="str">
        <f aca="false">IF(COUNTIF(لیست_سفید!$A$2:$A$21,B329)&gt;0,"بله","خیر")</f>
        <v>خیر</v>
      </c>
      <c r="AG329" s="24" t="n">
        <f aca="false">IF(H329="","",IF(AD329="فیش مفقودی",تنظیمات!$B$6,(INT(I329/1440)*تنظیمات!$B$5+IF(MOD(I329,1440)&lt;=تنظیمات!$B$2,0,MIN(تنظیمات!$B$5,تنظیمات!$B$3+MAX(0,ROUNDUP((MOD(I329,1440)-60)/60,0))*تنظیمات!$B$4)))*INDEX(تعرفه!$B$2:$B$7,MATCH(AD329,تعرفه!$A$2:$A$7,0))))</f>
        <v>34000</v>
      </c>
      <c r="AH329" s="24" t="n">
        <v>34000</v>
      </c>
      <c r="AI329" s="24" t="n">
        <f aca="false">IF(AG329="","",AH329-AG329)</f>
        <v>0</v>
      </c>
      <c r="AJ329" s="21" t="n">
        <v>4</v>
      </c>
      <c r="AK329" s="21" t="n">
        <v>0</v>
      </c>
      <c r="AL329" s="16" t="s">
        <v>335</v>
      </c>
      <c r="AM329" s="16"/>
      <c r="AN329" s="16" t="s">
        <v>340</v>
      </c>
      <c r="AO329" s="16" t="s">
        <v>340</v>
      </c>
      <c r="AP329" s="16" t="s">
        <v>335</v>
      </c>
      <c r="AQ329" s="16"/>
      <c r="AR329" s="21" t="n">
        <f aca="false">IF(AND(T329&lt;&gt;"",H329&lt;&gt;""),IF(AND((T329-H329)*86400&gt;=0,(T329-H329)*86400&lt;تنظیمات!$B$13),1,0),0)</f>
        <v>0</v>
      </c>
      <c r="AS329" s="21" t="n">
        <f aca="false">IF(Z329="پوز",IF(OR(AB329="",COUNTIF(پوزها!$A$2:$A$5,AA329)=0),1,0),0)</f>
        <v>0</v>
      </c>
      <c r="AT329" s="21" t="n">
        <f aca="false">IF(AI329="",0,IF(AI329&gt;0,1,0))</f>
        <v>0</v>
      </c>
      <c r="AU329" s="21" t="n">
        <f aca="false">IF(AI329="",0,IF(AI329&lt;0,1,0))</f>
        <v>0</v>
      </c>
      <c r="AV329" s="21" t="n">
        <f aca="false">IF(U329&gt;V329,1,0)</f>
        <v>0</v>
      </c>
      <c r="AW329" s="21" t="n">
        <f aca="false">IF(OR(W329&gt;تنظیمات!$B$8,X329="بله"),1,0)</f>
        <v>0</v>
      </c>
      <c r="AX329" s="21" t="n">
        <f aca="false">IF(AND(N329="بله",L329&gt;تنظیمات!$B$9),1,0)</f>
        <v>0</v>
      </c>
      <c r="AY329" s="21" t="n">
        <f aca="false">IF(Y329="معکوس",1,0)</f>
        <v>0</v>
      </c>
      <c r="AZ329" s="21" t="n">
        <f aca="false">IF(ABS(AJ329)&gt;تنظیمات!$B$10,1,0)</f>
        <v>0</v>
      </c>
      <c r="BA329" s="21" t="n">
        <f aca="false">IF(AND(OR(AD329="رایگان/VIP",AD329="جانباز"),AF329="خیر"),1,0)</f>
        <v>0</v>
      </c>
      <c r="BB329" s="21" t="n">
        <f aca="false">IF(AE329="",0,IF(COUNTIF($AE$2:$AE$1001,AE329)&gt;1,1,0))</f>
        <v>0</v>
      </c>
      <c r="BC329" s="21" t="n">
        <f aca="false">IF(AND(H329="",I329&gt;تنظیمات!$B$12*60,AM329="خالی"),1,0)</f>
        <v>0</v>
      </c>
      <c r="BD329" s="21" t="n">
        <f aca="false">IF(AND(AP329="بله",I329&lt;تنظیمات!$B$14,AO329="خیر"),1,0)</f>
        <v>0</v>
      </c>
      <c r="BE329" s="21" t="n">
        <f aca="false">IF(AN329="خیر",1,0)</f>
        <v>0</v>
      </c>
      <c r="BF329" s="21" t="n">
        <f aca="false">IF(AND(AD329="فیش مفقودی",AQ329="بله",I329&gt;تنظیمات!$B$12*60),1,0)</f>
        <v>0</v>
      </c>
      <c r="BG329" s="21" t="n">
        <f aca="false">IF(AND(AK329&gt;تنظیمات!$B$11,AL329="بله"),1,0)</f>
        <v>0</v>
      </c>
      <c r="BH329" s="21" t="n">
        <f aca="false">MIN(100,AR329*تنظیمات!$B$21+AS329*تنظیمات!$B$22+AT329*تنظیمات!$B$23+AU329*تنظیمات!$B$24+AV329*تنظیمات!$B$25+AW329*تنظیمات!$B$26+AX329*تنظیمات!$B$27+AY329*تنظیمات!$B$28+AZ329*تنظیمات!$B$29+BA329*تنظیمات!$B$30+BB329*تنظیمات!$B$31+BC329*تنظیمات!$B$32+BD329*تنظیمات!$B$33+BE329*تنظیمات!$B$34+BF329*تنظیمات!$B$35+BG329*تنظیمات!$B$36)</f>
        <v>0</v>
      </c>
      <c r="BI329" s="16" t="str">
        <f aca="false">IF(BH329&gt;=60,"بحرانی",IF(BH329&gt;=30,"مشکوک",IF(BH329&gt;0,"هشدار","عادی")))</f>
        <v>عادی</v>
      </c>
      <c r="BJ329" s="16" t="s">
        <v>338</v>
      </c>
    </row>
    <row r="330" customFormat="false" ht="15" hidden="false" customHeight="false" outlineLevel="0" collapsed="false">
      <c r="A330" s="16" t="s">
        <v>1461</v>
      </c>
      <c r="B330" s="16" t="s">
        <v>1079</v>
      </c>
      <c r="C330" s="16"/>
      <c r="D330" s="16" t="s">
        <v>508</v>
      </c>
      <c r="E330" s="16" t="s">
        <v>332</v>
      </c>
      <c r="F330" s="16" t="s">
        <v>333</v>
      </c>
      <c r="G330" s="17" t="n">
        <v>46285.5056365741</v>
      </c>
      <c r="H330" s="17" t="n">
        <v>46285.607025463</v>
      </c>
      <c r="I330" s="18" t="n">
        <f aca="false">IF(H330="",ROUND((تنظیمات!$B$7-G330)*1440,0),ROUND((H330-G330)*1440,0))</f>
        <v>146</v>
      </c>
      <c r="J330" s="16" t="s">
        <v>334</v>
      </c>
      <c r="K330" s="16" t="s">
        <v>400</v>
      </c>
      <c r="L330" s="19" t="n">
        <v>0.906</v>
      </c>
      <c r="M330" s="19" t="n">
        <v>0.967</v>
      </c>
      <c r="N330" s="16" t="s">
        <v>335</v>
      </c>
      <c r="O330" s="16" t="s">
        <v>677</v>
      </c>
      <c r="P330" s="16" t="s">
        <v>420</v>
      </c>
      <c r="Q330" s="20" t="n">
        <v>46285</v>
      </c>
      <c r="R330" s="16" t="s">
        <v>1462</v>
      </c>
      <c r="S330" s="16" t="s">
        <v>404</v>
      </c>
      <c r="T330" s="17"/>
      <c r="U330" s="21" t="n">
        <v>1</v>
      </c>
      <c r="V330" s="21" t="n">
        <v>1</v>
      </c>
      <c r="W330" s="22" t="n">
        <v>5.3</v>
      </c>
      <c r="X330" s="16" t="s">
        <v>335</v>
      </c>
      <c r="Y330" s="16" t="s">
        <v>338</v>
      </c>
      <c r="Z330" s="16" t="s">
        <v>413</v>
      </c>
      <c r="AA330" s="16" t="s">
        <v>427</v>
      </c>
      <c r="AB330" s="23" t="s">
        <v>1463</v>
      </c>
      <c r="AC330" s="17" t="n">
        <v>46285.606724537</v>
      </c>
      <c r="AD330" s="16" t="s">
        <v>338</v>
      </c>
      <c r="AE330" s="16"/>
      <c r="AF330" s="16" t="str">
        <f aca="false">IF(COUNTIF(لیست_سفید!$A$2:$A$21,B330)&gt;0,"بله","خیر")</f>
        <v>خیر</v>
      </c>
      <c r="AG330" s="24" t="n">
        <f aca="false">IF(H330="","",IF(AD330="فیش مفقودی",تنظیمات!$B$6,(INT(I330/1440)*تنظیمات!$B$5+IF(MOD(I330,1440)&lt;=تنظیمات!$B$2,0,MIN(تنظیمات!$B$5,تنظیمات!$B$3+MAX(0,ROUNDUP((MOD(I330,1440)-60)/60,0))*تنظیمات!$B$4)))*INDEX(تعرفه!$B$2:$B$7,MATCH(AD330,تعرفه!$A$2:$A$7,0))))</f>
        <v>48000</v>
      </c>
      <c r="AH330" s="24" t="n">
        <v>48000</v>
      </c>
      <c r="AI330" s="24" t="n">
        <f aca="false">IF(AG330="","",AH330-AG330)</f>
        <v>0</v>
      </c>
      <c r="AJ330" s="21" t="n">
        <v>-1</v>
      </c>
      <c r="AK330" s="21" t="n">
        <v>0</v>
      </c>
      <c r="AL330" s="16" t="s">
        <v>335</v>
      </c>
      <c r="AM330" s="16"/>
      <c r="AN330" s="16" t="s">
        <v>340</v>
      </c>
      <c r="AO330" s="16" t="s">
        <v>340</v>
      </c>
      <c r="AP330" s="16" t="s">
        <v>335</v>
      </c>
      <c r="AQ330" s="16"/>
      <c r="AR330" s="21" t="n">
        <f aca="false">IF(AND(T330&lt;&gt;"",H330&lt;&gt;""),IF(AND((T330-H330)*86400&gt;=0,(T330-H330)*86400&lt;تنظیمات!$B$13),1,0),0)</f>
        <v>0</v>
      </c>
      <c r="AS330" s="21" t="n">
        <f aca="false">IF(Z330="پوز",IF(OR(AB330="",COUNTIF(پوزها!$A$2:$A$5,AA330)=0),1,0),0)</f>
        <v>0</v>
      </c>
      <c r="AT330" s="21" t="n">
        <f aca="false">IF(AI330="",0,IF(AI330&gt;0,1,0))</f>
        <v>0</v>
      </c>
      <c r="AU330" s="21" t="n">
        <f aca="false">IF(AI330="",0,IF(AI330&lt;0,1,0))</f>
        <v>0</v>
      </c>
      <c r="AV330" s="21" t="n">
        <f aca="false">IF(U330&gt;V330,1,0)</f>
        <v>0</v>
      </c>
      <c r="AW330" s="21" t="n">
        <f aca="false">IF(OR(W330&gt;تنظیمات!$B$8,X330="بله"),1,0)</f>
        <v>0</v>
      </c>
      <c r="AX330" s="21" t="n">
        <f aca="false">IF(AND(N330="بله",L330&gt;تنظیمات!$B$9),1,0)</f>
        <v>0</v>
      </c>
      <c r="AY330" s="21" t="n">
        <f aca="false">IF(Y330="معکوس",1,0)</f>
        <v>0</v>
      </c>
      <c r="AZ330" s="21" t="n">
        <f aca="false">IF(ABS(AJ330)&gt;تنظیمات!$B$10,1,0)</f>
        <v>0</v>
      </c>
      <c r="BA330" s="21" t="n">
        <f aca="false">IF(AND(OR(AD330="رایگان/VIP",AD330="جانباز"),AF330="خیر"),1,0)</f>
        <v>0</v>
      </c>
      <c r="BB330" s="21" t="n">
        <f aca="false">IF(AE330="",0,IF(COUNTIF($AE$2:$AE$1001,AE330)&gt;1,1,0))</f>
        <v>0</v>
      </c>
      <c r="BC330" s="21" t="n">
        <f aca="false">IF(AND(H330="",I330&gt;تنظیمات!$B$12*60,AM330="خالی"),1,0)</f>
        <v>0</v>
      </c>
      <c r="BD330" s="21" t="n">
        <f aca="false">IF(AND(AP330="بله",I330&lt;تنظیمات!$B$14,AO330="خیر"),1,0)</f>
        <v>0</v>
      </c>
      <c r="BE330" s="21" t="n">
        <f aca="false">IF(AN330="خیر",1,0)</f>
        <v>0</v>
      </c>
      <c r="BF330" s="21" t="n">
        <f aca="false">IF(AND(AD330="فیش مفقودی",AQ330="بله",I330&gt;تنظیمات!$B$12*60),1,0)</f>
        <v>0</v>
      </c>
      <c r="BG330" s="21" t="n">
        <f aca="false">IF(AND(AK330&gt;تنظیمات!$B$11,AL330="بله"),1,0)</f>
        <v>0</v>
      </c>
      <c r="BH330" s="21" t="n">
        <f aca="false">MIN(100,AR330*تنظیمات!$B$21+AS330*تنظیمات!$B$22+AT330*تنظیمات!$B$23+AU330*تنظیمات!$B$24+AV330*تنظیمات!$B$25+AW330*تنظیمات!$B$26+AX330*تنظیمات!$B$27+AY330*تنظیمات!$B$28+AZ330*تنظیمات!$B$29+BA330*تنظیمات!$B$30+BB330*تنظیمات!$B$31+BC330*تنظیمات!$B$32+BD330*تنظیمات!$B$33+BE330*تنظیمات!$B$34+BF330*تنظیمات!$B$35+BG330*تنظیمات!$B$36)</f>
        <v>0</v>
      </c>
      <c r="BI330" s="16" t="str">
        <f aca="false">IF(BH330&gt;=60,"بحرانی",IF(BH330&gt;=30,"مشکوک",IF(BH330&gt;0,"هشدار","عادی")))</f>
        <v>عادی</v>
      </c>
      <c r="BJ330" s="16" t="s">
        <v>338</v>
      </c>
    </row>
    <row r="331" customFormat="false" ht="15" hidden="false" customHeight="false" outlineLevel="0" collapsed="false">
      <c r="A331" s="16" t="s">
        <v>1464</v>
      </c>
      <c r="B331" s="16" t="s">
        <v>1465</v>
      </c>
      <c r="C331" s="16"/>
      <c r="D331" s="16" t="s">
        <v>523</v>
      </c>
      <c r="E331" s="16" t="s">
        <v>363</v>
      </c>
      <c r="F331" s="16" t="s">
        <v>333</v>
      </c>
      <c r="G331" s="17" t="n">
        <v>46285.5152083333</v>
      </c>
      <c r="H331" s="17" t="n">
        <v>46285.5422916667</v>
      </c>
      <c r="I331" s="18" t="n">
        <f aca="false">IF(H331="",ROUND((تنظیمات!$B$7-G331)*1440,0),ROUND((H331-G331)*1440,0))</f>
        <v>39</v>
      </c>
      <c r="J331" s="16" t="s">
        <v>334</v>
      </c>
      <c r="K331" s="16" t="s">
        <v>400</v>
      </c>
      <c r="L331" s="19" t="n">
        <v>0.984</v>
      </c>
      <c r="M331" s="19" t="n">
        <v>0.901</v>
      </c>
      <c r="N331" s="16" t="s">
        <v>335</v>
      </c>
      <c r="O331" s="16" t="s">
        <v>650</v>
      </c>
      <c r="P331" s="16" t="s">
        <v>402</v>
      </c>
      <c r="Q331" s="20" t="n">
        <v>46285</v>
      </c>
      <c r="R331" s="16" t="s">
        <v>1466</v>
      </c>
      <c r="S331" s="16" t="s">
        <v>404</v>
      </c>
      <c r="T331" s="17"/>
      <c r="U331" s="21" t="n">
        <v>1</v>
      </c>
      <c r="V331" s="21" t="n">
        <v>1</v>
      </c>
      <c r="W331" s="22" t="n">
        <v>3.3</v>
      </c>
      <c r="X331" s="16" t="s">
        <v>335</v>
      </c>
      <c r="Y331" s="16" t="s">
        <v>338</v>
      </c>
      <c r="Z331" s="16" t="s">
        <v>405</v>
      </c>
      <c r="AA331" s="16"/>
      <c r="AB331" s="23"/>
      <c r="AC331" s="17"/>
      <c r="AD331" s="16" t="s">
        <v>338</v>
      </c>
      <c r="AE331" s="16"/>
      <c r="AF331" s="16" t="str">
        <f aca="false">IF(COUNTIF(لیست_سفید!$A$2:$A$21,B331)&gt;0,"بله","خیر")</f>
        <v>خیر</v>
      </c>
      <c r="AG331" s="24" t="n">
        <f aca="false">IF(H331="","",IF(AD331="فیش مفقودی",تنظیمات!$B$6,(INT(I331/1440)*تنظیمات!$B$5+IF(MOD(I331,1440)&lt;=تنظیمات!$B$2,0,MIN(تنظیمات!$B$5,تنظیمات!$B$3+MAX(0,ROUNDUP((MOD(I331,1440)-60)/60,0))*تنظیمات!$B$4)))*INDEX(تعرفه!$B$2:$B$7,MATCH(AD331,تعرفه!$A$2:$A$7,0))))</f>
        <v>20000</v>
      </c>
      <c r="AH331" s="24" t="n">
        <v>20000</v>
      </c>
      <c r="AI331" s="24" t="n">
        <f aca="false">IF(AG331="","",AH331-AG331)</f>
        <v>0</v>
      </c>
      <c r="AJ331" s="21" t="n">
        <v>-2</v>
      </c>
      <c r="AK331" s="21" t="n">
        <v>0</v>
      </c>
      <c r="AL331" s="16" t="s">
        <v>335</v>
      </c>
      <c r="AM331" s="16"/>
      <c r="AN331" s="16" t="s">
        <v>340</v>
      </c>
      <c r="AO331" s="16" t="s">
        <v>340</v>
      </c>
      <c r="AP331" s="16" t="s">
        <v>335</v>
      </c>
      <c r="AQ331" s="16"/>
      <c r="AR331" s="21" t="n">
        <f aca="false">IF(AND(T331&lt;&gt;"",H331&lt;&gt;""),IF(AND((T331-H331)*86400&gt;=0,(T331-H331)*86400&lt;تنظیمات!$B$13),1,0),0)</f>
        <v>0</v>
      </c>
      <c r="AS331" s="21" t="n">
        <f aca="false">IF(Z331="پوز",IF(OR(AB331="",COUNTIF(پوزها!$A$2:$A$5,AA331)=0),1,0),0)</f>
        <v>0</v>
      </c>
      <c r="AT331" s="21" t="n">
        <f aca="false">IF(AI331="",0,IF(AI331&gt;0,1,0))</f>
        <v>0</v>
      </c>
      <c r="AU331" s="21" t="n">
        <f aca="false">IF(AI331="",0,IF(AI331&lt;0,1,0))</f>
        <v>0</v>
      </c>
      <c r="AV331" s="21" t="n">
        <f aca="false">IF(U331&gt;V331,1,0)</f>
        <v>0</v>
      </c>
      <c r="AW331" s="21" t="n">
        <f aca="false">IF(OR(W331&gt;تنظیمات!$B$8,X331="بله"),1,0)</f>
        <v>0</v>
      </c>
      <c r="AX331" s="21" t="n">
        <f aca="false">IF(AND(N331="بله",L331&gt;تنظیمات!$B$9),1,0)</f>
        <v>0</v>
      </c>
      <c r="AY331" s="21" t="n">
        <f aca="false">IF(Y331="معکوس",1,0)</f>
        <v>0</v>
      </c>
      <c r="AZ331" s="21" t="n">
        <f aca="false">IF(ABS(AJ331)&gt;تنظیمات!$B$10,1,0)</f>
        <v>0</v>
      </c>
      <c r="BA331" s="21" t="n">
        <f aca="false">IF(AND(OR(AD331="رایگان/VIP",AD331="جانباز"),AF331="خیر"),1,0)</f>
        <v>0</v>
      </c>
      <c r="BB331" s="21" t="n">
        <f aca="false">IF(AE331="",0,IF(COUNTIF($AE$2:$AE$1001,AE331)&gt;1,1,0))</f>
        <v>0</v>
      </c>
      <c r="BC331" s="21" t="n">
        <f aca="false">IF(AND(H331="",I331&gt;تنظیمات!$B$12*60,AM331="خالی"),1,0)</f>
        <v>0</v>
      </c>
      <c r="BD331" s="21" t="n">
        <f aca="false">IF(AND(AP331="بله",I331&lt;تنظیمات!$B$14,AO331="خیر"),1,0)</f>
        <v>0</v>
      </c>
      <c r="BE331" s="21" t="n">
        <f aca="false">IF(AN331="خیر",1,0)</f>
        <v>0</v>
      </c>
      <c r="BF331" s="21" t="n">
        <f aca="false">IF(AND(AD331="فیش مفقودی",AQ331="بله",I331&gt;تنظیمات!$B$12*60),1,0)</f>
        <v>0</v>
      </c>
      <c r="BG331" s="21" t="n">
        <f aca="false">IF(AND(AK331&gt;تنظیمات!$B$11,AL331="بله"),1,0)</f>
        <v>0</v>
      </c>
      <c r="BH331" s="21" t="n">
        <f aca="false">MIN(100,AR331*تنظیمات!$B$21+AS331*تنظیمات!$B$22+AT331*تنظیمات!$B$23+AU331*تنظیمات!$B$24+AV331*تنظیمات!$B$25+AW331*تنظیمات!$B$26+AX331*تنظیمات!$B$27+AY331*تنظیمات!$B$28+AZ331*تنظیمات!$B$29+BA331*تنظیمات!$B$30+BB331*تنظیمات!$B$31+BC331*تنظیمات!$B$32+BD331*تنظیمات!$B$33+BE331*تنظیمات!$B$34+BF331*تنظیمات!$B$35+BG331*تنظیمات!$B$36)</f>
        <v>0</v>
      </c>
      <c r="BI331" s="16" t="str">
        <f aca="false">IF(BH331&gt;=60,"بحرانی",IF(BH331&gt;=30,"مشکوک",IF(BH331&gt;0,"هشدار","عادی")))</f>
        <v>عادی</v>
      </c>
      <c r="BJ331" s="16" t="s">
        <v>338</v>
      </c>
    </row>
    <row r="332" customFormat="false" ht="15" hidden="false" customHeight="false" outlineLevel="0" collapsed="false">
      <c r="A332" s="16" t="s">
        <v>1467</v>
      </c>
      <c r="B332" s="16" t="s">
        <v>640</v>
      </c>
      <c r="C332" s="16"/>
      <c r="D332" s="16" t="s">
        <v>370</v>
      </c>
      <c r="E332" s="16" t="s">
        <v>332</v>
      </c>
      <c r="F332" s="16" t="s">
        <v>333</v>
      </c>
      <c r="G332" s="17" t="n">
        <v>46285.5285416667</v>
      </c>
      <c r="H332" s="17" t="n">
        <v>46285.5750694444</v>
      </c>
      <c r="I332" s="18" t="n">
        <f aca="false">IF(H332="",ROUND((تنظیمات!$B$7-G332)*1440,0),ROUND((H332-G332)*1440,0))</f>
        <v>67</v>
      </c>
      <c r="J332" s="16" t="s">
        <v>334</v>
      </c>
      <c r="K332" s="16" t="s">
        <v>410</v>
      </c>
      <c r="L332" s="19" t="n">
        <v>0.924</v>
      </c>
      <c r="M332" s="19" t="n">
        <v>0.987</v>
      </c>
      <c r="N332" s="16" t="s">
        <v>335</v>
      </c>
      <c r="O332" s="16" t="s">
        <v>666</v>
      </c>
      <c r="P332" s="16" t="s">
        <v>402</v>
      </c>
      <c r="Q332" s="20" t="n">
        <v>46285</v>
      </c>
      <c r="R332" s="16" t="s">
        <v>1468</v>
      </c>
      <c r="S332" s="16" t="s">
        <v>404</v>
      </c>
      <c r="T332" s="17"/>
      <c r="U332" s="21" t="n">
        <v>1</v>
      </c>
      <c r="V332" s="21" t="n">
        <v>1</v>
      </c>
      <c r="W332" s="22" t="n">
        <v>5.1</v>
      </c>
      <c r="X332" s="16" t="s">
        <v>335</v>
      </c>
      <c r="Y332" s="16" t="s">
        <v>338</v>
      </c>
      <c r="Z332" s="16" t="s">
        <v>413</v>
      </c>
      <c r="AA332" s="16" t="s">
        <v>414</v>
      </c>
      <c r="AB332" s="23" t="s">
        <v>1469</v>
      </c>
      <c r="AC332" s="17" t="n">
        <v>46285.574525463</v>
      </c>
      <c r="AD332" s="16" t="s">
        <v>338</v>
      </c>
      <c r="AE332" s="16"/>
      <c r="AF332" s="16" t="str">
        <f aca="false">IF(COUNTIF(لیست_سفید!$A$2:$A$21,B332)&gt;0,"بله","خیر")</f>
        <v>خیر</v>
      </c>
      <c r="AG332" s="24" t="n">
        <f aca="false">IF(H332="","",IF(AD332="فیش مفقودی",تنظیمات!$B$6,(INT(I332/1440)*تنظیمات!$B$5+IF(MOD(I332,1440)&lt;=تنظیمات!$B$2,0,MIN(تنظیمات!$B$5,تنظیمات!$B$3+MAX(0,ROUNDUP((MOD(I332,1440)-60)/60,0))*تنظیمات!$B$4)))*INDEX(تعرفه!$B$2:$B$7,MATCH(AD332,تعرفه!$A$2:$A$7,0))))</f>
        <v>34000</v>
      </c>
      <c r="AH332" s="24" t="n">
        <v>34000</v>
      </c>
      <c r="AI332" s="24" t="n">
        <f aca="false">IF(AG332="","",AH332-AG332)</f>
        <v>0</v>
      </c>
      <c r="AJ332" s="21" t="n">
        <v>0</v>
      </c>
      <c r="AK332" s="21" t="n">
        <v>0</v>
      </c>
      <c r="AL332" s="16" t="s">
        <v>335</v>
      </c>
      <c r="AM332" s="16"/>
      <c r="AN332" s="16" t="s">
        <v>340</v>
      </c>
      <c r="AO332" s="16" t="s">
        <v>340</v>
      </c>
      <c r="AP332" s="16" t="s">
        <v>335</v>
      </c>
      <c r="AQ332" s="16"/>
      <c r="AR332" s="21" t="n">
        <f aca="false">IF(AND(T332&lt;&gt;"",H332&lt;&gt;""),IF(AND((T332-H332)*86400&gt;=0,(T332-H332)*86400&lt;تنظیمات!$B$13),1,0),0)</f>
        <v>0</v>
      </c>
      <c r="AS332" s="21" t="n">
        <f aca="false">IF(Z332="پوز",IF(OR(AB332="",COUNTIF(پوزها!$A$2:$A$5,AA332)=0),1,0),0)</f>
        <v>0</v>
      </c>
      <c r="AT332" s="21" t="n">
        <f aca="false">IF(AI332="",0,IF(AI332&gt;0,1,0))</f>
        <v>0</v>
      </c>
      <c r="AU332" s="21" t="n">
        <f aca="false">IF(AI332="",0,IF(AI332&lt;0,1,0))</f>
        <v>0</v>
      </c>
      <c r="AV332" s="21" t="n">
        <f aca="false">IF(U332&gt;V332,1,0)</f>
        <v>0</v>
      </c>
      <c r="AW332" s="21" t="n">
        <f aca="false">IF(OR(W332&gt;تنظیمات!$B$8,X332="بله"),1,0)</f>
        <v>0</v>
      </c>
      <c r="AX332" s="21" t="n">
        <f aca="false">IF(AND(N332="بله",L332&gt;تنظیمات!$B$9),1,0)</f>
        <v>0</v>
      </c>
      <c r="AY332" s="21" t="n">
        <f aca="false">IF(Y332="معکوس",1,0)</f>
        <v>0</v>
      </c>
      <c r="AZ332" s="21" t="n">
        <f aca="false">IF(ABS(AJ332)&gt;تنظیمات!$B$10,1,0)</f>
        <v>0</v>
      </c>
      <c r="BA332" s="21" t="n">
        <f aca="false">IF(AND(OR(AD332="رایگان/VIP",AD332="جانباز"),AF332="خیر"),1,0)</f>
        <v>0</v>
      </c>
      <c r="BB332" s="21" t="n">
        <f aca="false">IF(AE332="",0,IF(COUNTIF($AE$2:$AE$1001,AE332)&gt;1,1,0))</f>
        <v>0</v>
      </c>
      <c r="BC332" s="21" t="n">
        <f aca="false">IF(AND(H332="",I332&gt;تنظیمات!$B$12*60,AM332="خالی"),1,0)</f>
        <v>0</v>
      </c>
      <c r="BD332" s="21" t="n">
        <f aca="false">IF(AND(AP332="بله",I332&lt;تنظیمات!$B$14,AO332="خیر"),1,0)</f>
        <v>0</v>
      </c>
      <c r="BE332" s="21" t="n">
        <f aca="false">IF(AN332="خیر",1,0)</f>
        <v>0</v>
      </c>
      <c r="BF332" s="21" t="n">
        <f aca="false">IF(AND(AD332="فیش مفقودی",AQ332="بله",I332&gt;تنظیمات!$B$12*60),1,0)</f>
        <v>0</v>
      </c>
      <c r="BG332" s="21" t="n">
        <f aca="false">IF(AND(AK332&gt;تنظیمات!$B$11,AL332="بله"),1,0)</f>
        <v>0</v>
      </c>
      <c r="BH332" s="21" t="n">
        <f aca="false">MIN(100,AR332*تنظیمات!$B$21+AS332*تنظیمات!$B$22+AT332*تنظیمات!$B$23+AU332*تنظیمات!$B$24+AV332*تنظیمات!$B$25+AW332*تنظیمات!$B$26+AX332*تنظیمات!$B$27+AY332*تنظیمات!$B$28+AZ332*تنظیمات!$B$29+BA332*تنظیمات!$B$30+BB332*تنظیمات!$B$31+BC332*تنظیمات!$B$32+BD332*تنظیمات!$B$33+BE332*تنظیمات!$B$34+BF332*تنظیمات!$B$35+BG332*تنظیمات!$B$36)</f>
        <v>0</v>
      </c>
      <c r="BI332" s="16" t="str">
        <f aca="false">IF(BH332&gt;=60,"بحرانی",IF(BH332&gt;=30,"مشکوک",IF(BH332&gt;0,"هشدار","عادی")))</f>
        <v>عادی</v>
      </c>
      <c r="BJ332" s="16" t="s">
        <v>338</v>
      </c>
    </row>
    <row r="333" customFormat="false" ht="15" hidden="false" customHeight="false" outlineLevel="0" collapsed="false">
      <c r="A333" s="16" t="s">
        <v>1470</v>
      </c>
      <c r="B333" s="16" t="s">
        <v>1471</v>
      </c>
      <c r="C333" s="16" t="s">
        <v>1472</v>
      </c>
      <c r="D333" s="16" t="s">
        <v>431</v>
      </c>
      <c r="E333" s="16" t="s">
        <v>363</v>
      </c>
      <c r="F333" s="16" t="s">
        <v>333</v>
      </c>
      <c r="G333" s="17" t="n">
        <v>46285.5343981482</v>
      </c>
      <c r="H333" s="17" t="n">
        <v>46285.5427314815</v>
      </c>
      <c r="I333" s="18" t="n">
        <f aca="false">IF(H333="",ROUND((تنظیمات!$B$7-G333)*1440,0),ROUND((H333-G333)*1440,0))</f>
        <v>12</v>
      </c>
      <c r="J333" s="16" t="s">
        <v>334</v>
      </c>
      <c r="K333" s="16" t="s">
        <v>410</v>
      </c>
      <c r="L333" s="19" t="n">
        <v>0.894</v>
      </c>
      <c r="M333" s="19" t="n">
        <v>0.985</v>
      </c>
      <c r="N333" s="16" t="s">
        <v>340</v>
      </c>
      <c r="O333" s="16" t="s">
        <v>666</v>
      </c>
      <c r="P333" s="16" t="s">
        <v>402</v>
      </c>
      <c r="Q333" s="20" t="n">
        <v>46285</v>
      </c>
      <c r="R333" s="16" t="s">
        <v>1473</v>
      </c>
      <c r="S333" s="16" t="s">
        <v>404</v>
      </c>
      <c r="T333" s="17"/>
      <c r="U333" s="21" t="n">
        <v>1</v>
      </c>
      <c r="V333" s="21" t="n">
        <v>1</v>
      </c>
      <c r="W333" s="22" t="n">
        <v>5.4</v>
      </c>
      <c r="X333" s="16" t="s">
        <v>335</v>
      </c>
      <c r="Y333" s="16" t="s">
        <v>338</v>
      </c>
      <c r="Z333" s="16" t="s">
        <v>413</v>
      </c>
      <c r="AA333" s="16" t="s">
        <v>414</v>
      </c>
      <c r="AB333" s="23" t="s">
        <v>1474</v>
      </c>
      <c r="AC333" s="17" t="n">
        <v>46285.5422685185</v>
      </c>
      <c r="AD333" s="16" t="s">
        <v>338</v>
      </c>
      <c r="AE333" s="16"/>
      <c r="AF333" s="16" t="str">
        <f aca="false">IF(COUNTIF(لیست_سفید!$A$2:$A$21,B333)&gt;0,"بله","خیر")</f>
        <v>خیر</v>
      </c>
      <c r="AG333" s="24" t="n">
        <f aca="false">IF(H333="","",IF(AD333="فیش مفقودی",تنظیمات!$B$6,(INT(I333/1440)*تنظیمات!$B$5+IF(MOD(I333,1440)&lt;=تنظیمات!$B$2,0,MIN(تنظیمات!$B$5,تنظیمات!$B$3+MAX(0,ROUNDUP((MOD(I333,1440)-60)/60,0))*تنظیمات!$B$4)))*INDEX(تعرفه!$B$2:$B$7,MATCH(AD333,تعرفه!$A$2:$A$7,0))))</f>
        <v>20000</v>
      </c>
      <c r="AH333" s="24" t="n">
        <v>20000</v>
      </c>
      <c r="AI333" s="24" t="n">
        <f aca="false">IF(AG333="","",AH333-AG333)</f>
        <v>0</v>
      </c>
      <c r="AJ333" s="21" t="n">
        <v>1</v>
      </c>
      <c r="AK333" s="21" t="n">
        <v>0</v>
      </c>
      <c r="AL333" s="16" t="s">
        <v>335</v>
      </c>
      <c r="AM333" s="16"/>
      <c r="AN333" s="16" t="s">
        <v>340</v>
      </c>
      <c r="AO333" s="16" t="s">
        <v>340</v>
      </c>
      <c r="AP333" s="16" t="s">
        <v>335</v>
      </c>
      <c r="AQ333" s="16"/>
      <c r="AR333" s="21" t="n">
        <f aca="false">IF(AND(T333&lt;&gt;"",H333&lt;&gt;""),IF(AND((T333-H333)*86400&gt;=0,(T333-H333)*86400&lt;تنظیمات!$B$13),1,0),0)</f>
        <v>0</v>
      </c>
      <c r="AS333" s="21" t="n">
        <f aca="false">IF(Z333="پوز",IF(OR(AB333="",COUNTIF(پوزها!$A$2:$A$5,AA333)=0),1,0),0)</f>
        <v>0</v>
      </c>
      <c r="AT333" s="21" t="n">
        <f aca="false">IF(AI333="",0,IF(AI333&gt;0,1,0))</f>
        <v>0</v>
      </c>
      <c r="AU333" s="21" t="n">
        <f aca="false">IF(AI333="",0,IF(AI333&lt;0,1,0))</f>
        <v>0</v>
      </c>
      <c r="AV333" s="21" t="n">
        <f aca="false">IF(U333&gt;V333,1,0)</f>
        <v>0</v>
      </c>
      <c r="AW333" s="21" t="n">
        <f aca="false">IF(OR(W333&gt;تنظیمات!$B$8,X333="بله"),1,0)</f>
        <v>0</v>
      </c>
      <c r="AX333" s="21" t="n">
        <f aca="false">IF(AND(N333="بله",L333&gt;تنظیمات!$B$9),1,0)</f>
        <v>1</v>
      </c>
      <c r="AY333" s="21" t="n">
        <f aca="false">IF(Y333="معکوس",1,0)</f>
        <v>0</v>
      </c>
      <c r="AZ333" s="21" t="n">
        <f aca="false">IF(ABS(AJ333)&gt;تنظیمات!$B$10,1,0)</f>
        <v>0</v>
      </c>
      <c r="BA333" s="21" t="n">
        <f aca="false">IF(AND(OR(AD333="رایگان/VIP",AD333="جانباز"),AF333="خیر"),1,0)</f>
        <v>0</v>
      </c>
      <c r="BB333" s="21" t="n">
        <f aca="false">IF(AE333="",0,IF(COUNTIF($AE$2:$AE$1001,AE333)&gt;1,1,0))</f>
        <v>0</v>
      </c>
      <c r="BC333" s="21" t="n">
        <f aca="false">IF(AND(H333="",I333&gt;تنظیمات!$B$12*60,AM333="خالی"),1,0)</f>
        <v>0</v>
      </c>
      <c r="BD333" s="21" t="n">
        <f aca="false">IF(AND(AP333="بله",I333&lt;تنظیمات!$B$14,AO333="خیر"),1,0)</f>
        <v>0</v>
      </c>
      <c r="BE333" s="21" t="n">
        <f aca="false">IF(AN333="خیر",1,0)</f>
        <v>0</v>
      </c>
      <c r="BF333" s="21" t="n">
        <f aca="false">IF(AND(AD333="فیش مفقودی",AQ333="بله",I333&gt;تنظیمات!$B$12*60),1,0)</f>
        <v>0</v>
      </c>
      <c r="BG333" s="21" t="n">
        <f aca="false">IF(AND(AK333&gt;تنظیمات!$B$11,AL333="بله"),1,0)</f>
        <v>0</v>
      </c>
      <c r="BH333" s="21" t="n">
        <f aca="false">MIN(100,AR333*تنظیمات!$B$21+AS333*تنظیمات!$B$22+AT333*تنظیمات!$B$23+AU333*تنظیمات!$B$24+AV333*تنظیمات!$B$25+AW333*تنظیمات!$B$26+AX333*تنظیمات!$B$27+AY333*تنظیمات!$B$28+AZ333*تنظیمات!$B$29+BA333*تنظیمات!$B$30+BB333*تنظیمات!$B$31+BC333*تنظیمات!$B$32+BD333*تنظیمات!$B$33+BE333*تنظیمات!$B$34+BF333*تنظیمات!$B$35+BG333*تنظیمات!$B$36)</f>
        <v>30</v>
      </c>
      <c r="BI333" s="16" t="str">
        <f aca="false">IF(BH333&gt;=60,"بحرانی",IF(BH333&gt;=30,"مشکوک",IF(BH333&gt;0,"هشدار","عادی")))</f>
        <v>مشکوک</v>
      </c>
      <c r="BJ333" s="16" t="s">
        <v>622</v>
      </c>
    </row>
    <row r="334" customFormat="false" ht="15" hidden="false" customHeight="false" outlineLevel="0" collapsed="false">
      <c r="A334" s="16" t="s">
        <v>1475</v>
      </c>
      <c r="B334" s="16" t="s">
        <v>1034</v>
      </c>
      <c r="C334" s="16"/>
      <c r="D334" s="16" t="s">
        <v>418</v>
      </c>
      <c r="E334" s="16" t="s">
        <v>390</v>
      </c>
      <c r="F334" s="16" t="s">
        <v>333</v>
      </c>
      <c r="G334" s="17" t="n">
        <v>46285.5349305556</v>
      </c>
      <c r="H334" s="17" t="n">
        <v>46285.6064583333</v>
      </c>
      <c r="I334" s="18" t="n">
        <f aca="false">IF(H334="",ROUND((تنظیمات!$B$7-G334)*1440,0),ROUND((H334-G334)*1440,0))</f>
        <v>103</v>
      </c>
      <c r="J334" s="16" t="s">
        <v>346</v>
      </c>
      <c r="K334" s="16" t="s">
        <v>410</v>
      </c>
      <c r="L334" s="19" t="n">
        <v>0.903</v>
      </c>
      <c r="M334" s="19" t="n">
        <v>0.948</v>
      </c>
      <c r="N334" s="16" t="s">
        <v>335</v>
      </c>
      <c r="O334" s="16" t="s">
        <v>425</v>
      </c>
      <c r="P334" s="16" t="s">
        <v>420</v>
      </c>
      <c r="Q334" s="20" t="n">
        <v>46285</v>
      </c>
      <c r="R334" s="16" t="s">
        <v>1476</v>
      </c>
      <c r="S334" s="16" t="s">
        <v>404</v>
      </c>
      <c r="T334" s="17"/>
      <c r="U334" s="21" t="n">
        <v>1</v>
      </c>
      <c r="V334" s="21" t="n">
        <v>1</v>
      </c>
      <c r="W334" s="22" t="n">
        <v>5</v>
      </c>
      <c r="X334" s="16" t="s">
        <v>335</v>
      </c>
      <c r="Y334" s="16" t="s">
        <v>338</v>
      </c>
      <c r="Z334" s="16" t="s">
        <v>405</v>
      </c>
      <c r="AA334" s="16"/>
      <c r="AB334" s="23"/>
      <c r="AC334" s="17"/>
      <c r="AD334" s="16" t="s">
        <v>338</v>
      </c>
      <c r="AE334" s="16"/>
      <c r="AF334" s="16" t="str">
        <f aca="false">IF(COUNTIF(لیست_سفید!$A$2:$A$21,B334)&gt;0,"بله","خیر")</f>
        <v>خیر</v>
      </c>
      <c r="AG334" s="24" t="n">
        <f aca="false">IF(H334="","",IF(AD334="فیش مفقودی",تنظیمات!$B$6,(INT(I334/1440)*تنظیمات!$B$5+IF(MOD(I334,1440)&lt;=تنظیمات!$B$2,0,MIN(تنظیمات!$B$5,تنظیمات!$B$3+MAX(0,ROUNDUP((MOD(I334,1440)-60)/60,0))*تنظیمات!$B$4)))*INDEX(تعرفه!$B$2:$B$7,MATCH(AD334,تعرفه!$A$2:$A$7,0))))</f>
        <v>34000</v>
      </c>
      <c r="AH334" s="24" t="n">
        <v>34000</v>
      </c>
      <c r="AI334" s="24" t="n">
        <f aca="false">IF(AG334="","",AH334-AG334)</f>
        <v>0</v>
      </c>
      <c r="AJ334" s="21" t="n">
        <v>3</v>
      </c>
      <c r="AK334" s="21" t="n">
        <v>0</v>
      </c>
      <c r="AL334" s="16" t="s">
        <v>335</v>
      </c>
      <c r="AM334" s="16"/>
      <c r="AN334" s="16" t="s">
        <v>340</v>
      </c>
      <c r="AO334" s="16" t="s">
        <v>340</v>
      </c>
      <c r="AP334" s="16" t="s">
        <v>335</v>
      </c>
      <c r="AQ334" s="16"/>
      <c r="AR334" s="21" t="n">
        <f aca="false">IF(AND(T334&lt;&gt;"",H334&lt;&gt;""),IF(AND((T334-H334)*86400&gt;=0,(T334-H334)*86400&lt;تنظیمات!$B$13),1,0),0)</f>
        <v>0</v>
      </c>
      <c r="AS334" s="21" t="n">
        <f aca="false">IF(Z334="پوز",IF(OR(AB334="",COUNTIF(پوزها!$A$2:$A$5,AA334)=0),1,0),0)</f>
        <v>0</v>
      </c>
      <c r="AT334" s="21" t="n">
        <f aca="false">IF(AI334="",0,IF(AI334&gt;0,1,0))</f>
        <v>0</v>
      </c>
      <c r="AU334" s="21" t="n">
        <f aca="false">IF(AI334="",0,IF(AI334&lt;0,1,0))</f>
        <v>0</v>
      </c>
      <c r="AV334" s="21" t="n">
        <f aca="false">IF(U334&gt;V334,1,0)</f>
        <v>0</v>
      </c>
      <c r="AW334" s="21" t="n">
        <f aca="false">IF(OR(W334&gt;تنظیمات!$B$8,X334="بله"),1,0)</f>
        <v>0</v>
      </c>
      <c r="AX334" s="21" t="n">
        <f aca="false">IF(AND(N334="بله",L334&gt;تنظیمات!$B$9),1,0)</f>
        <v>0</v>
      </c>
      <c r="AY334" s="21" t="n">
        <f aca="false">IF(Y334="معکوس",1,0)</f>
        <v>0</v>
      </c>
      <c r="AZ334" s="21" t="n">
        <f aca="false">IF(ABS(AJ334)&gt;تنظیمات!$B$10,1,0)</f>
        <v>0</v>
      </c>
      <c r="BA334" s="21" t="n">
        <f aca="false">IF(AND(OR(AD334="رایگان/VIP",AD334="جانباز"),AF334="خیر"),1,0)</f>
        <v>0</v>
      </c>
      <c r="BB334" s="21" t="n">
        <f aca="false">IF(AE334="",0,IF(COUNTIF($AE$2:$AE$1001,AE334)&gt;1,1,0))</f>
        <v>0</v>
      </c>
      <c r="BC334" s="21" t="n">
        <f aca="false">IF(AND(H334="",I334&gt;تنظیمات!$B$12*60,AM334="خالی"),1,0)</f>
        <v>0</v>
      </c>
      <c r="BD334" s="21" t="n">
        <f aca="false">IF(AND(AP334="بله",I334&lt;تنظیمات!$B$14,AO334="خیر"),1,0)</f>
        <v>0</v>
      </c>
      <c r="BE334" s="21" t="n">
        <f aca="false">IF(AN334="خیر",1,0)</f>
        <v>0</v>
      </c>
      <c r="BF334" s="21" t="n">
        <f aca="false">IF(AND(AD334="فیش مفقودی",AQ334="بله",I334&gt;تنظیمات!$B$12*60),1,0)</f>
        <v>0</v>
      </c>
      <c r="BG334" s="21" t="n">
        <f aca="false">IF(AND(AK334&gt;تنظیمات!$B$11,AL334="بله"),1,0)</f>
        <v>0</v>
      </c>
      <c r="BH334" s="21" t="n">
        <f aca="false">MIN(100,AR334*تنظیمات!$B$21+AS334*تنظیمات!$B$22+AT334*تنظیمات!$B$23+AU334*تنظیمات!$B$24+AV334*تنظیمات!$B$25+AW334*تنظیمات!$B$26+AX334*تنظیمات!$B$27+AY334*تنظیمات!$B$28+AZ334*تنظیمات!$B$29+BA334*تنظیمات!$B$30+BB334*تنظیمات!$B$31+BC334*تنظیمات!$B$32+BD334*تنظیمات!$B$33+BE334*تنظیمات!$B$34+BF334*تنظیمات!$B$35+BG334*تنظیمات!$B$36)</f>
        <v>0</v>
      </c>
      <c r="BI334" s="16" t="str">
        <f aca="false">IF(BH334&gt;=60,"بحرانی",IF(BH334&gt;=30,"مشکوک",IF(BH334&gt;0,"هشدار","عادی")))</f>
        <v>عادی</v>
      </c>
      <c r="BJ334" s="16" t="s">
        <v>338</v>
      </c>
    </row>
    <row r="335" customFormat="false" ht="15" hidden="false" customHeight="false" outlineLevel="0" collapsed="false">
      <c r="A335" s="16" t="s">
        <v>1477</v>
      </c>
      <c r="B335" s="16" t="s">
        <v>526</v>
      </c>
      <c r="C335" s="16"/>
      <c r="D335" s="16" t="s">
        <v>382</v>
      </c>
      <c r="E335" s="16" t="s">
        <v>332</v>
      </c>
      <c r="F335" s="16" t="s">
        <v>333</v>
      </c>
      <c r="G335" s="17" t="n">
        <v>46285.5549884259</v>
      </c>
      <c r="H335" s="17" t="n">
        <v>46285.5730439815</v>
      </c>
      <c r="I335" s="18" t="n">
        <f aca="false">IF(H335="",ROUND((تنظیمات!$B$7-G335)*1440,0),ROUND((H335-G335)*1440,0))</f>
        <v>26</v>
      </c>
      <c r="J335" s="16" t="s">
        <v>346</v>
      </c>
      <c r="K335" s="16" t="s">
        <v>410</v>
      </c>
      <c r="L335" s="19" t="n">
        <v>0.929</v>
      </c>
      <c r="M335" s="19" t="n">
        <v>0.976</v>
      </c>
      <c r="N335" s="16" t="s">
        <v>335</v>
      </c>
      <c r="O335" s="16" t="s">
        <v>666</v>
      </c>
      <c r="P335" s="16" t="s">
        <v>402</v>
      </c>
      <c r="Q335" s="20" t="n">
        <v>46285</v>
      </c>
      <c r="R335" s="16" t="s">
        <v>1478</v>
      </c>
      <c r="S335" s="16" t="s">
        <v>404</v>
      </c>
      <c r="T335" s="17"/>
      <c r="U335" s="21" t="n">
        <v>1</v>
      </c>
      <c r="V335" s="21" t="n">
        <v>1</v>
      </c>
      <c r="W335" s="22" t="n">
        <v>4.5</v>
      </c>
      <c r="X335" s="16" t="s">
        <v>335</v>
      </c>
      <c r="Y335" s="16" t="s">
        <v>338</v>
      </c>
      <c r="Z335" s="16" t="s">
        <v>413</v>
      </c>
      <c r="AA335" s="16" t="s">
        <v>414</v>
      </c>
      <c r="AB335" s="23" t="s">
        <v>1479</v>
      </c>
      <c r="AC335" s="17" t="n">
        <v>46285.5722685185</v>
      </c>
      <c r="AD335" s="16" t="s">
        <v>338</v>
      </c>
      <c r="AE335" s="16"/>
      <c r="AF335" s="16" t="str">
        <f aca="false">IF(COUNTIF(لیست_سفید!$A$2:$A$21,B335)&gt;0,"بله","خیر")</f>
        <v>خیر</v>
      </c>
      <c r="AG335" s="24" t="n">
        <f aca="false">IF(H335="","",IF(AD335="فیش مفقودی",تنظیمات!$B$6,(INT(I335/1440)*تنظیمات!$B$5+IF(MOD(I335,1440)&lt;=تنظیمات!$B$2,0,MIN(تنظیمات!$B$5,تنظیمات!$B$3+MAX(0,ROUNDUP((MOD(I335,1440)-60)/60,0))*تنظیمات!$B$4)))*INDEX(تعرفه!$B$2:$B$7,MATCH(AD335,تعرفه!$A$2:$A$7,0))))</f>
        <v>20000</v>
      </c>
      <c r="AH335" s="24" t="n">
        <v>20000</v>
      </c>
      <c r="AI335" s="24" t="n">
        <f aca="false">IF(AG335="","",AH335-AG335)</f>
        <v>0</v>
      </c>
      <c r="AJ335" s="21" t="n">
        <v>1</v>
      </c>
      <c r="AK335" s="21" t="n">
        <v>76</v>
      </c>
      <c r="AL335" s="16" t="s">
        <v>335</v>
      </c>
      <c r="AM335" s="16"/>
      <c r="AN335" s="16" t="s">
        <v>340</v>
      </c>
      <c r="AO335" s="16" t="s">
        <v>340</v>
      </c>
      <c r="AP335" s="16" t="s">
        <v>335</v>
      </c>
      <c r="AQ335" s="16"/>
      <c r="AR335" s="21" t="n">
        <f aca="false">IF(AND(T335&lt;&gt;"",H335&lt;&gt;""),IF(AND((T335-H335)*86400&gt;=0,(T335-H335)*86400&lt;تنظیمات!$B$13),1,0),0)</f>
        <v>0</v>
      </c>
      <c r="AS335" s="21" t="n">
        <f aca="false">IF(Z335="پوز",IF(OR(AB335="",COUNTIF(پوزها!$A$2:$A$5,AA335)=0),1,0),0)</f>
        <v>0</v>
      </c>
      <c r="AT335" s="21" t="n">
        <f aca="false">IF(AI335="",0,IF(AI335&gt;0,1,0))</f>
        <v>0</v>
      </c>
      <c r="AU335" s="21" t="n">
        <f aca="false">IF(AI335="",0,IF(AI335&lt;0,1,0))</f>
        <v>0</v>
      </c>
      <c r="AV335" s="21" t="n">
        <f aca="false">IF(U335&gt;V335,1,0)</f>
        <v>0</v>
      </c>
      <c r="AW335" s="21" t="n">
        <f aca="false">IF(OR(W335&gt;تنظیمات!$B$8,X335="بله"),1,0)</f>
        <v>0</v>
      </c>
      <c r="AX335" s="21" t="n">
        <f aca="false">IF(AND(N335="بله",L335&gt;تنظیمات!$B$9),1,0)</f>
        <v>0</v>
      </c>
      <c r="AY335" s="21" t="n">
        <f aca="false">IF(Y335="معکوس",1,0)</f>
        <v>0</v>
      </c>
      <c r="AZ335" s="21" t="n">
        <f aca="false">IF(ABS(AJ335)&gt;تنظیمات!$B$10,1,0)</f>
        <v>0</v>
      </c>
      <c r="BA335" s="21" t="n">
        <f aca="false">IF(AND(OR(AD335="رایگان/VIP",AD335="جانباز"),AF335="خیر"),1,0)</f>
        <v>0</v>
      </c>
      <c r="BB335" s="21" t="n">
        <f aca="false">IF(AE335="",0,IF(COUNTIF($AE$2:$AE$1001,AE335)&gt;1,1,0))</f>
        <v>0</v>
      </c>
      <c r="BC335" s="21" t="n">
        <f aca="false">IF(AND(H335="",I335&gt;تنظیمات!$B$12*60,AM335="خالی"),1,0)</f>
        <v>0</v>
      </c>
      <c r="BD335" s="21" t="n">
        <f aca="false">IF(AND(AP335="بله",I335&lt;تنظیمات!$B$14,AO335="خیر"),1,0)</f>
        <v>0</v>
      </c>
      <c r="BE335" s="21" t="n">
        <f aca="false">IF(AN335="خیر",1,0)</f>
        <v>0</v>
      </c>
      <c r="BF335" s="21" t="n">
        <f aca="false">IF(AND(AD335="فیش مفقودی",AQ335="بله",I335&gt;تنظیمات!$B$12*60),1,0)</f>
        <v>0</v>
      </c>
      <c r="BG335" s="21" t="n">
        <f aca="false">IF(AND(AK335&gt;تنظیمات!$B$11,AL335="بله"),1,0)</f>
        <v>0</v>
      </c>
      <c r="BH335" s="21" t="n">
        <f aca="false">MIN(100,AR335*تنظیمات!$B$21+AS335*تنظیمات!$B$22+AT335*تنظیمات!$B$23+AU335*تنظیمات!$B$24+AV335*تنظیمات!$B$25+AW335*تنظیمات!$B$26+AX335*تنظیمات!$B$27+AY335*تنظیمات!$B$28+AZ335*تنظیمات!$B$29+BA335*تنظیمات!$B$30+BB335*تنظیمات!$B$31+BC335*تنظیمات!$B$32+BD335*تنظیمات!$B$33+BE335*تنظیمات!$B$34+BF335*تنظیمات!$B$35+BG335*تنظیمات!$B$36)</f>
        <v>0</v>
      </c>
      <c r="BI335" s="16" t="str">
        <f aca="false">IF(BH335&gt;=60,"بحرانی",IF(BH335&gt;=30,"مشکوک",IF(BH335&gt;0,"هشدار","عادی")))</f>
        <v>عادی</v>
      </c>
      <c r="BJ335" s="16" t="s">
        <v>338</v>
      </c>
    </row>
    <row r="336" customFormat="false" ht="15" hidden="false" customHeight="false" outlineLevel="0" collapsed="false">
      <c r="A336" s="16" t="s">
        <v>1480</v>
      </c>
      <c r="B336" s="16" t="s">
        <v>1481</v>
      </c>
      <c r="C336" s="16"/>
      <c r="D336" s="16" t="s">
        <v>386</v>
      </c>
      <c r="E336" s="16" t="s">
        <v>332</v>
      </c>
      <c r="F336" s="16" t="s">
        <v>333</v>
      </c>
      <c r="G336" s="17" t="n">
        <v>46285.5571527778</v>
      </c>
      <c r="H336" s="17" t="n">
        <v>46285.7502083333</v>
      </c>
      <c r="I336" s="18" t="n">
        <f aca="false">IF(H336="",ROUND((تنظیمات!$B$7-G336)*1440,0),ROUND((H336-G336)*1440,0))</f>
        <v>278</v>
      </c>
      <c r="J336" s="16" t="s">
        <v>334</v>
      </c>
      <c r="K336" s="16" t="s">
        <v>400</v>
      </c>
      <c r="L336" s="19" t="n">
        <v>0.957</v>
      </c>
      <c r="M336" s="19" t="n">
        <v>0.995</v>
      </c>
      <c r="N336" s="16" t="s">
        <v>335</v>
      </c>
      <c r="O336" s="16" t="s">
        <v>677</v>
      </c>
      <c r="P336" s="16" t="s">
        <v>420</v>
      </c>
      <c r="Q336" s="20" t="n">
        <v>46285</v>
      </c>
      <c r="R336" s="16" t="s">
        <v>1482</v>
      </c>
      <c r="S336" s="16" t="s">
        <v>404</v>
      </c>
      <c r="T336" s="17"/>
      <c r="U336" s="21" t="n">
        <v>1</v>
      </c>
      <c r="V336" s="21" t="n">
        <v>1</v>
      </c>
      <c r="W336" s="22" t="n">
        <v>3.5</v>
      </c>
      <c r="X336" s="16" t="s">
        <v>335</v>
      </c>
      <c r="Y336" s="16" t="s">
        <v>338</v>
      </c>
      <c r="Z336" s="16" t="s">
        <v>443</v>
      </c>
      <c r="AA336" s="16"/>
      <c r="AB336" s="23"/>
      <c r="AC336" s="17"/>
      <c r="AD336" s="16" t="s">
        <v>444</v>
      </c>
      <c r="AE336" s="16"/>
      <c r="AF336" s="16" t="str">
        <f aca="false">IF(COUNTIF(لیست_سفید!$A$2:$A$21,B336)&gt;0,"بله","خیر")</f>
        <v>خیر</v>
      </c>
      <c r="AG336" s="24" t="n">
        <f aca="false">IF(H336="","",IF(AD336="فیش مفقودی",تنظیمات!$B$6,(INT(I336/1440)*تنظیمات!$B$5+IF(MOD(I336,1440)&lt;=تنظیمات!$B$2,0,MIN(تنظیمات!$B$5,تنظیمات!$B$3+MAX(0,ROUNDUP((MOD(I336,1440)-60)/60,0))*تنظیمات!$B$4)))*INDEX(تعرفه!$B$2:$B$7,MATCH(AD336,تعرفه!$A$2:$A$7,0))))</f>
        <v>0</v>
      </c>
      <c r="AH336" s="24" t="n">
        <v>0</v>
      </c>
      <c r="AI336" s="24" t="n">
        <f aca="false">IF(AG336="","",AH336-AG336)</f>
        <v>0</v>
      </c>
      <c r="AJ336" s="21" t="n">
        <v>0</v>
      </c>
      <c r="AK336" s="21" t="n">
        <v>0</v>
      </c>
      <c r="AL336" s="16" t="s">
        <v>335</v>
      </c>
      <c r="AM336" s="16"/>
      <c r="AN336" s="16" t="s">
        <v>340</v>
      </c>
      <c r="AO336" s="16" t="s">
        <v>340</v>
      </c>
      <c r="AP336" s="16" t="s">
        <v>335</v>
      </c>
      <c r="AQ336" s="16"/>
      <c r="AR336" s="21" t="n">
        <f aca="false">IF(AND(T336&lt;&gt;"",H336&lt;&gt;""),IF(AND((T336-H336)*86400&gt;=0,(T336-H336)*86400&lt;تنظیمات!$B$13),1,0),0)</f>
        <v>0</v>
      </c>
      <c r="AS336" s="21" t="n">
        <f aca="false">IF(Z336="پوز",IF(OR(AB336="",COUNTIF(پوزها!$A$2:$A$5,AA336)=0),1,0),0)</f>
        <v>0</v>
      </c>
      <c r="AT336" s="21" t="n">
        <f aca="false">IF(AI336="",0,IF(AI336&gt;0,1,0))</f>
        <v>0</v>
      </c>
      <c r="AU336" s="21" t="n">
        <f aca="false">IF(AI336="",0,IF(AI336&lt;0,1,0))</f>
        <v>0</v>
      </c>
      <c r="AV336" s="21" t="n">
        <f aca="false">IF(U336&gt;V336,1,0)</f>
        <v>0</v>
      </c>
      <c r="AW336" s="21" t="n">
        <f aca="false">IF(OR(W336&gt;تنظیمات!$B$8,X336="بله"),1,0)</f>
        <v>0</v>
      </c>
      <c r="AX336" s="21" t="n">
        <f aca="false">IF(AND(N336="بله",L336&gt;تنظیمات!$B$9),1,0)</f>
        <v>0</v>
      </c>
      <c r="AY336" s="21" t="n">
        <f aca="false">IF(Y336="معکوس",1,0)</f>
        <v>0</v>
      </c>
      <c r="AZ336" s="21" t="n">
        <f aca="false">IF(ABS(AJ336)&gt;تنظیمات!$B$10,1,0)</f>
        <v>0</v>
      </c>
      <c r="BA336" s="21" t="n">
        <f aca="false">IF(AND(OR(AD336="رایگان/VIP",AD336="جانباز"),AF336="خیر"),1,0)</f>
        <v>0</v>
      </c>
      <c r="BB336" s="21" t="n">
        <f aca="false">IF(AE336="",0,IF(COUNTIF($AE$2:$AE$1001,AE336)&gt;1,1,0))</f>
        <v>0</v>
      </c>
      <c r="BC336" s="21" t="n">
        <f aca="false">IF(AND(H336="",I336&gt;تنظیمات!$B$12*60,AM336="خالی"),1,0)</f>
        <v>0</v>
      </c>
      <c r="BD336" s="21" t="n">
        <f aca="false">IF(AND(AP336="بله",I336&lt;تنظیمات!$B$14,AO336="خیر"),1,0)</f>
        <v>0</v>
      </c>
      <c r="BE336" s="21" t="n">
        <f aca="false">IF(AN336="خیر",1,0)</f>
        <v>0</v>
      </c>
      <c r="BF336" s="21" t="n">
        <f aca="false">IF(AND(AD336="فیش مفقودی",AQ336="بله",I336&gt;تنظیمات!$B$12*60),1,0)</f>
        <v>0</v>
      </c>
      <c r="BG336" s="21" t="n">
        <f aca="false">IF(AND(AK336&gt;تنظیمات!$B$11,AL336="بله"),1,0)</f>
        <v>0</v>
      </c>
      <c r="BH336" s="21" t="n">
        <f aca="false">MIN(100,AR336*تنظیمات!$B$21+AS336*تنظیمات!$B$22+AT336*تنظیمات!$B$23+AU336*تنظیمات!$B$24+AV336*تنظیمات!$B$25+AW336*تنظیمات!$B$26+AX336*تنظیمات!$B$27+AY336*تنظیمات!$B$28+AZ336*تنظیمات!$B$29+BA336*تنظیمات!$B$30+BB336*تنظیمات!$B$31+BC336*تنظیمات!$B$32+BD336*تنظیمات!$B$33+BE336*تنظیمات!$B$34+BF336*تنظیمات!$B$35+BG336*تنظیمات!$B$36)</f>
        <v>0</v>
      </c>
      <c r="BI336" s="16" t="str">
        <f aca="false">IF(BH336&gt;=60,"بحرانی",IF(BH336&gt;=30,"مشکوک",IF(BH336&gt;0,"هشدار","عادی")))</f>
        <v>عادی</v>
      </c>
      <c r="BJ336" s="16" t="s">
        <v>338</v>
      </c>
    </row>
    <row r="337" customFormat="false" ht="15" hidden="false" customHeight="false" outlineLevel="0" collapsed="false">
      <c r="A337" s="16" t="s">
        <v>1483</v>
      </c>
      <c r="B337" s="16" t="s">
        <v>843</v>
      </c>
      <c r="C337" s="16"/>
      <c r="D337" s="16" t="s">
        <v>540</v>
      </c>
      <c r="E337" s="16" t="s">
        <v>332</v>
      </c>
      <c r="F337" s="16" t="s">
        <v>359</v>
      </c>
      <c r="G337" s="17" t="n">
        <v>46285.5603703704</v>
      </c>
      <c r="H337" s="17" t="n">
        <v>46285.6312037037</v>
      </c>
      <c r="I337" s="18" t="n">
        <f aca="false">IF(H337="",ROUND((تنظیمات!$B$7-G337)*1440,0),ROUND((H337-G337)*1440,0))</f>
        <v>102</v>
      </c>
      <c r="J337" s="16" t="s">
        <v>334</v>
      </c>
      <c r="K337" s="16" t="s">
        <v>400</v>
      </c>
      <c r="L337" s="19" t="n">
        <v>0.944</v>
      </c>
      <c r="M337" s="19" t="n">
        <v>0.939</v>
      </c>
      <c r="N337" s="16" t="s">
        <v>335</v>
      </c>
      <c r="O337" s="16" t="s">
        <v>677</v>
      </c>
      <c r="P337" s="16" t="s">
        <v>420</v>
      </c>
      <c r="Q337" s="20" t="n">
        <v>46285</v>
      </c>
      <c r="R337" s="16" t="s">
        <v>1484</v>
      </c>
      <c r="S337" s="16" t="s">
        <v>452</v>
      </c>
      <c r="T337" s="17" t="n">
        <v>46285.6284837963</v>
      </c>
      <c r="U337" s="21" t="n">
        <v>1</v>
      </c>
      <c r="V337" s="21" t="n">
        <v>1</v>
      </c>
      <c r="W337" s="22" t="n">
        <v>4.6</v>
      </c>
      <c r="X337" s="16" t="s">
        <v>335</v>
      </c>
      <c r="Y337" s="16" t="s">
        <v>338</v>
      </c>
      <c r="Z337" s="16" t="s">
        <v>413</v>
      </c>
      <c r="AA337" s="16" t="s">
        <v>427</v>
      </c>
      <c r="AB337" s="23" t="s">
        <v>1485</v>
      </c>
      <c r="AC337" s="17" t="n">
        <v>46285.6305208333</v>
      </c>
      <c r="AD337" s="16" t="s">
        <v>481</v>
      </c>
      <c r="AE337" s="16" t="s">
        <v>1486</v>
      </c>
      <c r="AF337" s="16" t="str">
        <f aca="false">IF(COUNTIF(لیست_سفید!$A$2:$A$21,B337)&gt;0,"بله","خیر")</f>
        <v>خیر</v>
      </c>
      <c r="AG337" s="24" t="n">
        <f aca="false">IF(H337="","",IF(AD337="فیش مفقودی",تنظیمات!$B$6,(INT(I337/1440)*تنظیمات!$B$5+IF(MOD(I337,1440)&lt;=تنظیمات!$B$2,0,MIN(تنظیمات!$B$5,تنظیمات!$B$3+MAX(0,ROUNDUP((MOD(I337,1440)-60)/60,0))*تنظیمات!$B$4)))*INDEX(تعرفه!$B$2:$B$7,MATCH(AD337,تعرفه!$A$2:$A$7,0))))</f>
        <v>17000</v>
      </c>
      <c r="AH337" s="24" t="n">
        <v>17000</v>
      </c>
      <c r="AI337" s="24" t="n">
        <f aca="false">IF(AG337="","",AH337-AG337)</f>
        <v>0</v>
      </c>
      <c r="AJ337" s="21" t="n">
        <v>-1</v>
      </c>
      <c r="AK337" s="21" t="n">
        <v>0</v>
      </c>
      <c r="AL337" s="16" t="s">
        <v>335</v>
      </c>
      <c r="AM337" s="16"/>
      <c r="AN337" s="16" t="s">
        <v>340</v>
      </c>
      <c r="AO337" s="16" t="s">
        <v>340</v>
      </c>
      <c r="AP337" s="16" t="s">
        <v>335</v>
      </c>
      <c r="AQ337" s="16"/>
      <c r="AR337" s="21" t="n">
        <f aca="false">IF(AND(T337&lt;&gt;"",H337&lt;&gt;""),IF(AND((T337-H337)*86400&gt;=0,(T337-H337)*86400&lt;تنظیمات!$B$13),1,0),0)</f>
        <v>0</v>
      </c>
      <c r="AS337" s="21" t="n">
        <f aca="false">IF(Z337="پوز",IF(OR(AB337="",COUNTIF(پوزها!$A$2:$A$5,AA337)=0),1,0),0)</f>
        <v>0</v>
      </c>
      <c r="AT337" s="21" t="n">
        <f aca="false">IF(AI337="",0,IF(AI337&gt;0,1,0))</f>
        <v>0</v>
      </c>
      <c r="AU337" s="21" t="n">
        <f aca="false">IF(AI337="",0,IF(AI337&lt;0,1,0))</f>
        <v>0</v>
      </c>
      <c r="AV337" s="21" t="n">
        <f aca="false">IF(U337&gt;V337,1,0)</f>
        <v>0</v>
      </c>
      <c r="AW337" s="21" t="n">
        <f aca="false">IF(OR(W337&gt;تنظیمات!$B$8,X337="بله"),1,0)</f>
        <v>0</v>
      </c>
      <c r="AX337" s="21" t="n">
        <f aca="false">IF(AND(N337="بله",L337&gt;تنظیمات!$B$9),1,0)</f>
        <v>0</v>
      </c>
      <c r="AY337" s="21" t="n">
        <f aca="false">IF(Y337="معکوس",1,0)</f>
        <v>0</v>
      </c>
      <c r="AZ337" s="21" t="n">
        <f aca="false">IF(ABS(AJ337)&gt;تنظیمات!$B$10,1,0)</f>
        <v>0</v>
      </c>
      <c r="BA337" s="21" t="n">
        <f aca="false">IF(AND(OR(AD337="رایگان/VIP",AD337="جانباز"),AF337="خیر"),1,0)</f>
        <v>0</v>
      </c>
      <c r="BB337" s="21" t="n">
        <f aca="false">IF(AE337="",0,IF(COUNTIF($AE$2:$AE$1001,AE337)&gt;1,1,0))</f>
        <v>0</v>
      </c>
      <c r="BC337" s="21" t="n">
        <f aca="false">IF(AND(H337="",I337&gt;تنظیمات!$B$12*60,AM337="خالی"),1,0)</f>
        <v>0</v>
      </c>
      <c r="BD337" s="21" t="n">
        <f aca="false">IF(AND(AP337="بله",I337&lt;تنظیمات!$B$14,AO337="خیر"),1,0)</f>
        <v>0</v>
      </c>
      <c r="BE337" s="21" t="n">
        <f aca="false">IF(AN337="خیر",1,0)</f>
        <v>0</v>
      </c>
      <c r="BF337" s="21" t="n">
        <f aca="false">IF(AND(AD337="فیش مفقودی",AQ337="بله",I337&gt;تنظیمات!$B$12*60),1,0)</f>
        <v>0</v>
      </c>
      <c r="BG337" s="21" t="n">
        <f aca="false">IF(AND(AK337&gt;تنظیمات!$B$11,AL337="بله"),1,0)</f>
        <v>0</v>
      </c>
      <c r="BH337" s="21" t="n">
        <f aca="false">MIN(100,AR337*تنظیمات!$B$21+AS337*تنظیمات!$B$22+AT337*تنظیمات!$B$23+AU337*تنظیمات!$B$24+AV337*تنظیمات!$B$25+AW337*تنظیمات!$B$26+AX337*تنظیمات!$B$27+AY337*تنظیمات!$B$28+AZ337*تنظیمات!$B$29+BA337*تنظیمات!$B$30+BB337*تنظیمات!$B$31+BC337*تنظیمات!$B$32+BD337*تنظیمات!$B$33+BE337*تنظیمات!$B$34+BF337*تنظیمات!$B$35+BG337*تنظیمات!$B$36)</f>
        <v>0</v>
      </c>
      <c r="BI337" s="16" t="str">
        <f aca="false">IF(BH337&gt;=60,"بحرانی",IF(BH337&gt;=30,"مشکوک",IF(BH337&gt;0,"هشدار","عادی")))</f>
        <v>عادی</v>
      </c>
      <c r="BJ337" s="16" t="s">
        <v>338</v>
      </c>
    </row>
    <row r="338" customFormat="false" ht="15" hidden="false" customHeight="false" outlineLevel="0" collapsed="false">
      <c r="A338" s="16" t="s">
        <v>1487</v>
      </c>
      <c r="B338" s="16" t="s">
        <v>1416</v>
      </c>
      <c r="C338" s="16"/>
      <c r="D338" s="16" t="s">
        <v>508</v>
      </c>
      <c r="E338" s="16" t="s">
        <v>363</v>
      </c>
      <c r="F338" s="16" t="s">
        <v>333</v>
      </c>
      <c r="G338" s="17" t="n">
        <v>46285.565474537</v>
      </c>
      <c r="H338" s="17" t="n">
        <v>46285.7495023148</v>
      </c>
      <c r="I338" s="18" t="n">
        <f aca="false">IF(H338="",ROUND((تنظیمات!$B$7-G338)*1440,0),ROUND((H338-G338)*1440,0))</f>
        <v>265</v>
      </c>
      <c r="J338" s="16" t="s">
        <v>334</v>
      </c>
      <c r="K338" s="16" t="s">
        <v>334</v>
      </c>
      <c r="L338" s="19" t="n">
        <v>0.977</v>
      </c>
      <c r="M338" s="19" t="n">
        <v>0.965</v>
      </c>
      <c r="N338" s="16" t="s">
        <v>335</v>
      </c>
      <c r="O338" s="16" t="s">
        <v>425</v>
      </c>
      <c r="P338" s="16" t="s">
        <v>420</v>
      </c>
      <c r="Q338" s="20" t="n">
        <v>46285</v>
      </c>
      <c r="R338" s="16" t="s">
        <v>1488</v>
      </c>
      <c r="S338" s="16" t="s">
        <v>404</v>
      </c>
      <c r="T338" s="17"/>
      <c r="U338" s="21" t="n">
        <v>1</v>
      </c>
      <c r="V338" s="21" t="n">
        <v>1</v>
      </c>
      <c r="W338" s="22" t="n">
        <v>4.3</v>
      </c>
      <c r="X338" s="16" t="s">
        <v>335</v>
      </c>
      <c r="Y338" s="16" t="s">
        <v>1438</v>
      </c>
      <c r="Z338" s="16" t="s">
        <v>1439</v>
      </c>
      <c r="AA338" s="16"/>
      <c r="AB338" s="23"/>
      <c r="AC338" s="17"/>
      <c r="AD338" s="16" t="s">
        <v>338</v>
      </c>
      <c r="AE338" s="16"/>
      <c r="AF338" s="16" t="str">
        <f aca="false">IF(COUNTIF(لیست_سفید!$A$2:$A$21,B338)&gt;0,"بله","خیر")</f>
        <v>خیر</v>
      </c>
      <c r="AG338" s="24" t="n">
        <f aca="false">IF(H338="","",IF(AD338="فیش مفقودی",تنظیمات!$B$6,(INT(I338/1440)*تنظیمات!$B$5+IF(MOD(I338,1440)&lt;=تنظیمات!$B$2,0,MIN(تنظیمات!$B$5,تنظیمات!$B$3+MAX(0,ROUNDUP((MOD(I338,1440)-60)/60,0))*تنظیمات!$B$4)))*INDEX(تعرفه!$B$2:$B$7,MATCH(AD338,تعرفه!$A$2:$A$7,0))))</f>
        <v>76000</v>
      </c>
      <c r="AH338" s="24" t="n">
        <v>0</v>
      </c>
      <c r="AI338" s="24" t="n">
        <f aca="false">IF(AG338="","",AH338-AG338)</f>
        <v>-76000</v>
      </c>
      <c r="AJ338" s="21" t="n">
        <v>3</v>
      </c>
      <c r="AK338" s="21" t="n">
        <v>0</v>
      </c>
      <c r="AL338" s="16" t="s">
        <v>335</v>
      </c>
      <c r="AM338" s="16"/>
      <c r="AN338" s="16" t="s">
        <v>340</v>
      </c>
      <c r="AO338" s="16" t="s">
        <v>340</v>
      </c>
      <c r="AP338" s="16" t="s">
        <v>335</v>
      </c>
      <c r="AQ338" s="16"/>
      <c r="AR338" s="21" t="n">
        <f aca="false">IF(AND(T338&lt;&gt;"",H338&lt;&gt;""),IF(AND((T338-H338)*86400&gt;=0,(T338-H338)*86400&lt;تنظیمات!$B$13),1,0),0)</f>
        <v>0</v>
      </c>
      <c r="AS338" s="21" t="n">
        <f aca="false">IF(Z338="پوز",IF(OR(AB338="",COUNTIF(پوزها!$A$2:$A$5,AA338)=0),1,0),0)</f>
        <v>0</v>
      </c>
      <c r="AT338" s="21" t="n">
        <f aca="false">IF(AI338="",0,IF(AI338&gt;0,1,0))</f>
        <v>0</v>
      </c>
      <c r="AU338" s="21" t="n">
        <f aca="false">IF(AI338="",0,IF(AI338&lt;0,1,0))</f>
        <v>1</v>
      </c>
      <c r="AV338" s="21" t="n">
        <f aca="false">IF(U338&gt;V338,1,0)</f>
        <v>0</v>
      </c>
      <c r="AW338" s="21" t="n">
        <f aca="false">IF(OR(W338&gt;تنظیمات!$B$8,X338="بله"),1,0)</f>
        <v>0</v>
      </c>
      <c r="AX338" s="21" t="n">
        <f aca="false">IF(AND(N338="بله",L338&gt;تنظیمات!$B$9),1,0)</f>
        <v>0</v>
      </c>
      <c r="AY338" s="21" t="n">
        <f aca="false">IF(Y338="معکوس",1,0)</f>
        <v>1</v>
      </c>
      <c r="AZ338" s="21" t="n">
        <f aca="false">IF(ABS(AJ338)&gt;تنظیمات!$B$10,1,0)</f>
        <v>0</v>
      </c>
      <c r="BA338" s="21" t="n">
        <f aca="false">IF(AND(OR(AD338="رایگان/VIP",AD338="جانباز"),AF338="خیر"),1,0)</f>
        <v>0</v>
      </c>
      <c r="BB338" s="21" t="n">
        <f aca="false">IF(AE338="",0,IF(COUNTIF($AE$2:$AE$1001,AE338)&gt;1,1,0))</f>
        <v>0</v>
      </c>
      <c r="BC338" s="21" t="n">
        <f aca="false">IF(AND(H338="",I338&gt;تنظیمات!$B$12*60,AM338="خالی"),1,0)</f>
        <v>0</v>
      </c>
      <c r="BD338" s="21" t="n">
        <f aca="false">IF(AND(AP338="بله",I338&lt;تنظیمات!$B$14,AO338="خیر"),1,0)</f>
        <v>0</v>
      </c>
      <c r="BE338" s="21" t="n">
        <f aca="false">IF(AN338="خیر",1,0)</f>
        <v>0</v>
      </c>
      <c r="BF338" s="21" t="n">
        <f aca="false">IF(AND(AD338="فیش مفقودی",AQ338="بله",I338&gt;تنظیمات!$B$12*60),1,0)</f>
        <v>0</v>
      </c>
      <c r="BG338" s="21" t="n">
        <f aca="false">IF(AND(AK338&gt;تنظیمات!$B$11,AL338="بله"),1,0)</f>
        <v>0</v>
      </c>
      <c r="BH338" s="21" t="n">
        <f aca="false">MIN(100,AR338*تنظیمات!$B$21+AS338*تنظیمات!$B$22+AT338*تنظیمات!$B$23+AU338*تنظیمات!$B$24+AV338*تنظیمات!$B$25+AW338*تنظیمات!$B$26+AX338*تنظیمات!$B$27+AY338*تنظیمات!$B$28+AZ338*تنظیمات!$B$29+BA338*تنظیمات!$B$30+BB338*تنظیمات!$B$31+BC338*تنظیمات!$B$32+BD338*تنظیمات!$B$33+BE338*تنظیمات!$B$34+BF338*تنظیمات!$B$35+BG338*تنظیمات!$B$36)</f>
        <v>55</v>
      </c>
      <c r="BI338" s="16" t="str">
        <f aca="false">IF(BH338&gt;=60,"بحرانی",IF(BH338&gt;=30,"مشکوک",IF(BH338&gt;0,"هشدار","عادی")))</f>
        <v>مشکوک</v>
      </c>
      <c r="BJ338" s="16" t="s">
        <v>1440</v>
      </c>
    </row>
    <row r="339" customFormat="false" ht="15" hidden="false" customHeight="false" outlineLevel="0" collapsed="false">
      <c r="A339" s="16" t="s">
        <v>1489</v>
      </c>
      <c r="B339" s="16" t="s">
        <v>1490</v>
      </c>
      <c r="C339" s="16"/>
      <c r="D339" s="16" t="s">
        <v>344</v>
      </c>
      <c r="E339" s="16" t="s">
        <v>345</v>
      </c>
      <c r="F339" s="16" t="s">
        <v>333</v>
      </c>
      <c r="G339" s="17" t="n">
        <v>46285.5665972222</v>
      </c>
      <c r="H339" s="17" t="n">
        <v>46285.819375</v>
      </c>
      <c r="I339" s="18" t="n">
        <f aca="false">IF(H339="",ROUND((تنظیمات!$B$7-G339)*1440,0),ROUND((H339-G339)*1440,0))</f>
        <v>364</v>
      </c>
      <c r="J339" s="16" t="s">
        <v>346</v>
      </c>
      <c r="K339" s="16" t="s">
        <v>410</v>
      </c>
      <c r="L339" s="19" t="n">
        <v>0.995</v>
      </c>
      <c r="M339" s="19" t="n">
        <v>0.872</v>
      </c>
      <c r="N339" s="16" t="s">
        <v>335</v>
      </c>
      <c r="O339" s="16" t="s">
        <v>425</v>
      </c>
      <c r="P339" s="16" t="s">
        <v>420</v>
      </c>
      <c r="Q339" s="20" t="n">
        <v>46285</v>
      </c>
      <c r="R339" s="16" t="s">
        <v>1491</v>
      </c>
      <c r="S339" s="16" t="s">
        <v>404</v>
      </c>
      <c r="T339" s="17"/>
      <c r="U339" s="21" t="n">
        <v>1</v>
      </c>
      <c r="V339" s="21" t="n">
        <v>1</v>
      </c>
      <c r="W339" s="22" t="n">
        <v>7.1</v>
      </c>
      <c r="X339" s="16" t="s">
        <v>335</v>
      </c>
      <c r="Y339" s="16" t="s">
        <v>338</v>
      </c>
      <c r="Z339" s="16" t="s">
        <v>413</v>
      </c>
      <c r="AA339" s="16" t="s">
        <v>414</v>
      </c>
      <c r="AB339" s="23" t="s">
        <v>1492</v>
      </c>
      <c r="AC339" s="17" t="n">
        <v>46285.8183564815</v>
      </c>
      <c r="AD339" s="16" t="s">
        <v>338</v>
      </c>
      <c r="AE339" s="16"/>
      <c r="AF339" s="16" t="str">
        <f aca="false">IF(COUNTIF(لیست_سفید!$A$2:$A$21,B339)&gt;0,"بله","خیر")</f>
        <v>خیر</v>
      </c>
      <c r="AG339" s="24" t="n">
        <f aca="false">IF(H339="","",IF(AD339="فیش مفقودی",تنظیمات!$B$6,(INT(I339/1440)*تنظیمات!$B$5+IF(MOD(I339,1440)&lt;=تنظیمات!$B$2,0,MIN(تنظیمات!$B$5,تنظیمات!$B$3+MAX(0,ROUNDUP((MOD(I339,1440)-60)/60,0))*تنظیمات!$B$4)))*INDEX(تعرفه!$B$2:$B$7,MATCH(AD339,تعرفه!$A$2:$A$7,0))))</f>
        <v>104000</v>
      </c>
      <c r="AH339" s="24" t="n">
        <v>104000</v>
      </c>
      <c r="AI339" s="24" t="n">
        <f aca="false">IF(AG339="","",AH339-AG339)</f>
        <v>0</v>
      </c>
      <c r="AJ339" s="21" t="n">
        <v>0</v>
      </c>
      <c r="AK339" s="21" t="n">
        <v>0</v>
      </c>
      <c r="AL339" s="16" t="s">
        <v>335</v>
      </c>
      <c r="AM339" s="16"/>
      <c r="AN339" s="16" t="s">
        <v>340</v>
      </c>
      <c r="AO339" s="16" t="s">
        <v>340</v>
      </c>
      <c r="AP339" s="16" t="s">
        <v>335</v>
      </c>
      <c r="AQ339" s="16"/>
      <c r="AR339" s="21" t="n">
        <f aca="false">IF(AND(T339&lt;&gt;"",H339&lt;&gt;""),IF(AND((T339-H339)*86400&gt;=0,(T339-H339)*86400&lt;تنظیمات!$B$13),1,0),0)</f>
        <v>0</v>
      </c>
      <c r="AS339" s="21" t="n">
        <f aca="false">IF(Z339="پوز",IF(OR(AB339="",COUNTIF(پوزها!$A$2:$A$5,AA339)=0),1,0),0)</f>
        <v>0</v>
      </c>
      <c r="AT339" s="21" t="n">
        <f aca="false">IF(AI339="",0,IF(AI339&gt;0,1,0))</f>
        <v>0</v>
      </c>
      <c r="AU339" s="21" t="n">
        <f aca="false">IF(AI339="",0,IF(AI339&lt;0,1,0))</f>
        <v>0</v>
      </c>
      <c r="AV339" s="21" t="n">
        <f aca="false">IF(U339&gt;V339,1,0)</f>
        <v>0</v>
      </c>
      <c r="AW339" s="21" t="n">
        <f aca="false">IF(OR(W339&gt;تنظیمات!$B$8,X339="بله"),1,0)</f>
        <v>0</v>
      </c>
      <c r="AX339" s="21" t="n">
        <f aca="false">IF(AND(N339="بله",L339&gt;تنظیمات!$B$9),1,0)</f>
        <v>0</v>
      </c>
      <c r="AY339" s="21" t="n">
        <f aca="false">IF(Y339="معکوس",1,0)</f>
        <v>0</v>
      </c>
      <c r="AZ339" s="21" t="n">
        <f aca="false">IF(ABS(AJ339)&gt;تنظیمات!$B$10,1,0)</f>
        <v>0</v>
      </c>
      <c r="BA339" s="21" t="n">
        <f aca="false">IF(AND(OR(AD339="رایگان/VIP",AD339="جانباز"),AF339="خیر"),1,0)</f>
        <v>0</v>
      </c>
      <c r="BB339" s="21" t="n">
        <f aca="false">IF(AE339="",0,IF(COUNTIF($AE$2:$AE$1001,AE339)&gt;1,1,0))</f>
        <v>0</v>
      </c>
      <c r="BC339" s="21" t="n">
        <f aca="false">IF(AND(H339="",I339&gt;تنظیمات!$B$12*60,AM339="خالی"),1,0)</f>
        <v>0</v>
      </c>
      <c r="BD339" s="21" t="n">
        <f aca="false">IF(AND(AP339="بله",I339&lt;تنظیمات!$B$14,AO339="خیر"),1,0)</f>
        <v>0</v>
      </c>
      <c r="BE339" s="21" t="n">
        <f aca="false">IF(AN339="خیر",1,0)</f>
        <v>0</v>
      </c>
      <c r="BF339" s="21" t="n">
        <f aca="false">IF(AND(AD339="فیش مفقودی",AQ339="بله",I339&gt;تنظیمات!$B$12*60),1,0)</f>
        <v>0</v>
      </c>
      <c r="BG339" s="21" t="n">
        <f aca="false">IF(AND(AK339&gt;تنظیمات!$B$11,AL339="بله"),1,0)</f>
        <v>0</v>
      </c>
      <c r="BH339" s="21" t="n">
        <f aca="false">MIN(100,AR339*تنظیمات!$B$21+AS339*تنظیمات!$B$22+AT339*تنظیمات!$B$23+AU339*تنظیمات!$B$24+AV339*تنظیمات!$B$25+AW339*تنظیمات!$B$26+AX339*تنظیمات!$B$27+AY339*تنظیمات!$B$28+AZ339*تنظیمات!$B$29+BA339*تنظیمات!$B$30+BB339*تنظیمات!$B$31+BC339*تنظیمات!$B$32+BD339*تنظیمات!$B$33+BE339*تنظیمات!$B$34+BF339*تنظیمات!$B$35+BG339*تنظیمات!$B$36)</f>
        <v>0</v>
      </c>
      <c r="BI339" s="16" t="str">
        <f aca="false">IF(BH339&gt;=60,"بحرانی",IF(BH339&gt;=30,"مشکوک",IF(BH339&gt;0,"هشدار","عادی")))</f>
        <v>عادی</v>
      </c>
      <c r="BJ339" s="16" t="s">
        <v>338</v>
      </c>
    </row>
    <row r="340" customFormat="false" ht="15" hidden="false" customHeight="false" outlineLevel="0" collapsed="false">
      <c r="A340" s="16" t="s">
        <v>1493</v>
      </c>
      <c r="B340" s="16" t="s">
        <v>954</v>
      </c>
      <c r="C340" s="16"/>
      <c r="D340" s="16" t="s">
        <v>386</v>
      </c>
      <c r="E340" s="16" t="s">
        <v>345</v>
      </c>
      <c r="F340" s="16" t="s">
        <v>333</v>
      </c>
      <c r="G340" s="17" t="n">
        <v>46285.5949537037</v>
      </c>
      <c r="H340" s="17" t="n">
        <v>46285.6678703704</v>
      </c>
      <c r="I340" s="18" t="n">
        <f aca="false">IF(H340="",ROUND((تنظیمات!$B$7-G340)*1440,0),ROUND((H340-G340)*1440,0))</f>
        <v>105</v>
      </c>
      <c r="J340" s="16" t="s">
        <v>334</v>
      </c>
      <c r="K340" s="16" t="s">
        <v>410</v>
      </c>
      <c r="L340" s="19" t="n">
        <v>0.897</v>
      </c>
      <c r="M340" s="19" t="n">
        <v>0.995</v>
      </c>
      <c r="N340" s="16" t="s">
        <v>335</v>
      </c>
      <c r="O340" s="16" t="s">
        <v>425</v>
      </c>
      <c r="P340" s="16" t="s">
        <v>420</v>
      </c>
      <c r="Q340" s="20" t="n">
        <v>46285</v>
      </c>
      <c r="R340" s="16" t="s">
        <v>1494</v>
      </c>
      <c r="S340" s="16" t="s">
        <v>404</v>
      </c>
      <c r="T340" s="17"/>
      <c r="U340" s="21" t="n">
        <v>1</v>
      </c>
      <c r="V340" s="21" t="n">
        <v>1</v>
      </c>
      <c r="W340" s="22" t="n">
        <v>4.3</v>
      </c>
      <c r="X340" s="16" t="s">
        <v>335</v>
      </c>
      <c r="Y340" s="16" t="s">
        <v>338</v>
      </c>
      <c r="Z340" s="16" t="s">
        <v>413</v>
      </c>
      <c r="AA340" s="16" t="s">
        <v>414</v>
      </c>
      <c r="AB340" s="23" t="s">
        <v>1495</v>
      </c>
      <c r="AC340" s="17" t="n">
        <v>46285.6670949074</v>
      </c>
      <c r="AD340" s="16" t="s">
        <v>338</v>
      </c>
      <c r="AE340" s="16"/>
      <c r="AF340" s="16" t="str">
        <f aca="false">IF(COUNTIF(لیست_سفید!$A$2:$A$21,B340)&gt;0,"بله","خیر")</f>
        <v>خیر</v>
      </c>
      <c r="AG340" s="24" t="n">
        <f aca="false">IF(H340="","",IF(AD340="فیش مفقودی",تنظیمات!$B$6,(INT(I340/1440)*تنظیمات!$B$5+IF(MOD(I340,1440)&lt;=تنظیمات!$B$2,0,MIN(تنظیمات!$B$5,تنظیمات!$B$3+MAX(0,ROUNDUP((MOD(I340,1440)-60)/60,0))*تنظیمات!$B$4)))*INDEX(تعرفه!$B$2:$B$7,MATCH(AD340,تعرفه!$A$2:$A$7,0))))</f>
        <v>34000</v>
      </c>
      <c r="AH340" s="24" t="n">
        <v>34000</v>
      </c>
      <c r="AI340" s="24" t="n">
        <f aca="false">IF(AG340="","",AH340-AG340)</f>
        <v>0</v>
      </c>
      <c r="AJ340" s="21" t="n">
        <v>0</v>
      </c>
      <c r="AK340" s="21" t="n">
        <v>0</v>
      </c>
      <c r="AL340" s="16" t="s">
        <v>335</v>
      </c>
      <c r="AM340" s="16"/>
      <c r="AN340" s="16" t="s">
        <v>340</v>
      </c>
      <c r="AO340" s="16" t="s">
        <v>340</v>
      </c>
      <c r="AP340" s="16" t="s">
        <v>335</v>
      </c>
      <c r="AQ340" s="16"/>
      <c r="AR340" s="21" t="n">
        <f aca="false">IF(AND(T340&lt;&gt;"",H340&lt;&gt;""),IF(AND((T340-H340)*86400&gt;=0,(T340-H340)*86400&lt;تنظیمات!$B$13),1,0),0)</f>
        <v>0</v>
      </c>
      <c r="AS340" s="21" t="n">
        <f aca="false">IF(Z340="پوز",IF(OR(AB340="",COUNTIF(پوزها!$A$2:$A$5,AA340)=0),1,0),0)</f>
        <v>0</v>
      </c>
      <c r="AT340" s="21" t="n">
        <f aca="false">IF(AI340="",0,IF(AI340&gt;0,1,0))</f>
        <v>0</v>
      </c>
      <c r="AU340" s="21" t="n">
        <f aca="false">IF(AI340="",0,IF(AI340&lt;0,1,0))</f>
        <v>0</v>
      </c>
      <c r="AV340" s="21" t="n">
        <f aca="false">IF(U340&gt;V340,1,0)</f>
        <v>0</v>
      </c>
      <c r="AW340" s="21" t="n">
        <f aca="false">IF(OR(W340&gt;تنظیمات!$B$8,X340="بله"),1,0)</f>
        <v>0</v>
      </c>
      <c r="AX340" s="21" t="n">
        <f aca="false">IF(AND(N340="بله",L340&gt;تنظیمات!$B$9),1,0)</f>
        <v>0</v>
      </c>
      <c r="AY340" s="21" t="n">
        <f aca="false">IF(Y340="معکوس",1,0)</f>
        <v>0</v>
      </c>
      <c r="AZ340" s="21" t="n">
        <f aca="false">IF(ABS(AJ340)&gt;تنظیمات!$B$10,1,0)</f>
        <v>0</v>
      </c>
      <c r="BA340" s="21" t="n">
        <f aca="false">IF(AND(OR(AD340="رایگان/VIP",AD340="جانباز"),AF340="خیر"),1,0)</f>
        <v>0</v>
      </c>
      <c r="BB340" s="21" t="n">
        <f aca="false">IF(AE340="",0,IF(COUNTIF($AE$2:$AE$1001,AE340)&gt;1,1,0))</f>
        <v>0</v>
      </c>
      <c r="BC340" s="21" t="n">
        <f aca="false">IF(AND(H340="",I340&gt;تنظیمات!$B$12*60,AM340="خالی"),1,0)</f>
        <v>0</v>
      </c>
      <c r="BD340" s="21" t="n">
        <f aca="false">IF(AND(AP340="بله",I340&lt;تنظیمات!$B$14,AO340="خیر"),1,0)</f>
        <v>0</v>
      </c>
      <c r="BE340" s="21" t="n">
        <f aca="false">IF(AN340="خیر",1,0)</f>
        <v>0</v>
      </c>
      <c r="BF340" s="21" t="n">
        <f aca="false">IF(AND(AD340="فیش مفقودی",AQ340="بله",I340&gt;تنظیمات!$B$12*60),1,0)</f>
        <v>0</v>
      </c>
      <c r="BG340" s="21" t="n">
        <f aca="false">IF(AND(AK340&gt;تنظیمات!$B$11,AL340="بله"),1,0)</f>
        <v>0</v>
      </c>
      <c r="BH340" s="21" t="n">
        <f aca="false">MIN(100,AR340*تنظیمات!$B$21+AS340*تنظیمات!$B$22+AT340*تنظیمات!$B$23+AU340*تنظیمات!$B$24+AV340*تنظیمات!$B$25+AW340*تنظیمات!$B$26+AX340*تنظیمات!$B$27+AY340*تنظیمات!$B$28+AZ340*تنظیمات!$B$29+BA340*تنظیمات!$B$30+BB340*تنظیمات!$B$31+BC340*تنظیمات!$B$32+BD340*تنظیمات!$B$33+BE340*تنظیمات!$B$34+BF340*تنظیمات!$B$35+BG340*تنظیمات!$B$36)</f>
        <v>0</v>
      </c>
      <c r="BI340" s="16" t="str">
        <f aca="false">IF(BH340&gt;=60,"بحرانی",IF(BH340&gt;=30,"مشکوک",IF(BH340&gt;0,"هشدار","عادی")))</f>
        <v>عادی</v>
      </c>
      <c r="BJ340" s="16" t="s">
        <v>338</v>
      </c>
    </row>
    <row r="341" customFormat="false" ht="15" hidden="false" customHeight="false" outlineLevel="0" collapsed="false">
      <c r="A341" s="16" t="s">
        <v>1496</v>
      </c>
      <c r="B341" s="16" t="s">
        <v>1497</v>
      </c>
      <c r="C341" s="16"/>
      <c r="D341" s="16" t="s">
        <v>382</v>
      </c>
      <c r="E341" s="16" t="s">
        <v>390</v>
      </c>
      <c r="F341" s="16" t="s">
        <v>333</v>
      </c>
      <c r="G341" s="17" t="n">
        <v>46285.5969907407</v>
      </c>
      <c r="H341" s="17" t="n">
        <v>46285.8018518519</v>
      </c>
      <c r="I341" s="18" t="n">
        <f aca="false">IF(H341="",ROUND((تنظیمات!$B$7-G341)*1440,0),ROUND((H341-G341)*1440,0))</f>
        <v>295</v>
      </c>
      <c r="J341" s="16" t="s">
        <v>334</v>
      </c>
      <c r="K341" s="16" t="s">
        <v>400</v>
      </c>
      <c r="L341" s="19" t="n">
        <v>0.875</v>
      </c>
      <c r="M341" s="19" t="n">
        <v>0.925</v>
      </c>
      <c r="N341" s="16" t="s">
        <v>335</v>
      </c>
      <c r="O341" s="16" t="s">
        <v>677</v>
      </c>
      <c r="P341" s="16" t="s">
        <v>420</v>
      </c>
      <c r="Q341" s="20" t="n">
        <v>46285</v>
      </c>
      <c r="R341" s="16" t="s">
        <v>1498</v>
      </c>
      <c r="S341" s="16" t="s">
        <v>404</v>
      </c>
      <c r="T341" s="17"/>
      <c r="U341" s="21" t="n">
        <v>1</v>
      </c>
      <c r="V341" s="21" t="n">
        <v>1</v>
      </c>
      <c r="W341" s="22" t="n">
        <v>6</v>
      </c>
      <c r="X341" s="16" t="s">
        <v>335</v>
      </c>
      <c r="Y341" s="16" t="s">
        <v>338</v>
      </c>
      <c r="Z341" s="16" t="s">
        <v>443</v>
      </c>
      <c r="AA341" s="16"/>
      <c r="AB341" s="23"/>
      <c r="AC341" s="17"/>
      <c r="AD341" s="16" t="s">
        <v>444</v>
      </c>
      <c r="AE341" s="16"/>
      <c r="AF341" s="16" t="str">
        <f aca="false">IF(COUNTIF(لیست_سفید!$A$2:$A$21,B341)&gt;0,"بله","خیر")</f>
        <v>خیر</v>
      </c>
      <c r="AG341" s="24" t="n">
        <f aca="false">IF(H341="","",IF(AD341="فیش مفقودی",تنظیمات!$B$6,(INT(I341/1440)*تنظیمات!$B$5+IF(MOD(I341,1440)&lt;=تنظیمات!$B$2,0,MIN(تنظیمات!$B$5,تنظیمات!$B$3+MAX(0,ROUNDUP((MOD(I341,1440)-60)/60,0))*تنظیمات!$B$4)))*INDEX(تعرفه!$B$2:$B$7,MATCH(AD341,تعرفه!$A$2:$A$7,0))))</f>
        <v>0</v>
      </c>
      <c r="AH341" s="24" t="n">
        <v>0</v>
      </c>
      <c r="AI341" s="24" t="n">
        <f aca="false">IF(AG341="","",AH341-AG341)</f>
        <v>0</v>
      </c>
      <c r="AJ341" s="21" t="n">
        <v>-1</v>
      </c>
      <c r="AK341" s="21" t="n">
        <v>0</v>
      </c>
      <c r="AL341" s="16" t="s">
        <v>335</v>
      </c>
      <c r="AM341" s="16"/>
      <c r="AN341" s="16" t="s">
        <v>340</v>
      </c>
      <c r="AO341" s="16" t="s">
        <v>340</v>
      </c>
      <c r="AP341" s="16" t="s">
        <v>335</v>
      </c>
      <c r="AQ341" s="16"/>
      <c r="AR341" s="21" t="n">
        <f aca="false">IF(AND(T341&lt;&gt;"",H341&lt;&gt;""),IF(AND((T341-H341)*86400&gt;=0,(T341-H341)*86400&lt;تنظیمات!$B$13),1,0),0)</f>
        <v>0</v>
      </c>
      <c r="AS341" s="21" t="n">
        <f aca="false">IF(Z341="پوز",IF(OR(AB341="",COUNTIF(پوزها!$A$2:$A$5,AA341)=0),1,0),0)</f>
        <v>0</v>
      </c>
      <c r="AT341" s="21" t="n">
        <f aca="false">IF(AI341="",0,IF(AI341&gt;0,1,0))</f>
        <v>0</v>
      </c>
      <c r="AU341" s="21" t="n">
        <f aca="false">IF(AI341="",0,IF(AI341&lt;0,1,0))</f>
        <v>0</v>
      </c>
      <c r="AV341" s="21" t="n">
        <f aca="false">IF(U341&gt;V341,1,0)</f>
        <v>0</v>
      </c>
      <c r="AW341" s="21" t="n">
        <f aca="false">IF(OR(W341&gt;تنظیمات!$B$8,X341="بله"),1,0)</f>
        <v>0</v>
      </c>
      <c r="AX341" s="21" t="n">
        <f aca="false">IF(AND(N341="بله",L341&gt;تنظیمات!$B$9),1,0)</f>
        <v>0</v>
      </c>
      <c r="AY341" s="21" t="n">
        <f aca="false">IF(Y341="معکوس",1,0)</f>
        <v>0</v>
      </c>
      <c r="AZ341" s="21" t="n">
        <f aca="false">IF(ABS(AJ341)&gt;تنظیمات!$B$10,1,0)</f>
        <v>0</v>
      </c>
      <c r="BA341" s="21" t="n">
        <f aca="false">IF(AND(OR(AD341="رایگان/VIP",AD341="جانباز"),AF341="خیر"),1,0)</f>
        <v>0</v>
      </c>
      <c r="BB341" s="21" t="n">
        <f aca="false">IF(AE341="",0,IF(COUNTIF($AE$2:$AE$1001,AE341)&gt;1,1,0))</f>
        <v>0</v>
      </c>
      <c r="BC341" s="21" t="n">
        <f aca="false">IF(AND(H341="",I341&gt;تنظیمات!$B$12*60,AM341="خالی"),1,0)</f>
        <v>0</v>
      </c>
      <c r="BD341" s="21" t="n">
        <f aca="false">IF(AND(AP341="بله",I341&lt;تنظیمات!$B$14,AO341="خیر"),1,0)</f>
        <v>0</v>
      </c>
      <c r="BE341" s="21" t="n">
        <f aca="false">IF(AN341="خیر",1,0)</f>
        <v>0</v>
      </c>
      <c r="BF341" s="21" t="n">
        <f aca="false">IF(AND(AD341="فیش مفقودی",AQ341="بله",I341&gt;تنظیمات!$B$12*60),1,0)</f>
        <v>0</v>
      </c>
      <c r="BG341" s="21" t="n">
        <f aca="false">IF(AND(AK341&gt;تنظیمات!$B$11,AL341="بله"),1,0)</f>
        <v>0</v>
      </c>
      <c r="BH341" s="21" t="n">
        <f aca="false">MIN(100,AR341*تنظیمات!$B$21+AS341*تنظیمات!$B$22+AT341*تنظیمات!$B$23+AU341*تنظیمات!$B$24+AV341*تنظیمات!$B$25+AW341*تنظیمات!$B$26+AX341*تنظیمات!$B$27+AY341*تنظیمات!$B$28+AZ341*تنظیمات!$B$29+BA341*تنظیمات!$B$30+BB341*تنظیمات!$B$31+BC341*تنظیمات!$B$32+BD341*تنظیمات!$B$33+BE341*تنظیمات!$B$34+BF341*تنظیمات!$B$35+BG341*تنظیمات!$B$36)</f>
        <v>0</v>
      </c>
      <c r="BI341" s="16" t="str">
        <f aca="false">IF(BH341&gt;=60,"بحرانی",IF(BH341&gt;=30,"مشکوک",IF(BH341&gt;0,"هشدار","عادی")))</f>
        <v>عادی</v>
      </c>
      <c r="BJ341" s="16" t="s">
        <v>338</v>
      </c>
    </row>
    <row r="342" customFormat="false" ht="15" hidden="false" customHeight="false" outlineLevel="0" collapsed="false">
      <c r="A342" s="16" t="s">
        <v>1499</v>
      </c>
      <c r="B342" s="16" t="s">
        <v>349</v>
      </c>
      <c r="C342" s="16"/>
      <c r="D342" s="16" t="s">
        <v>350</v>
      </c>
      <c r="E342" s="16" t="s">
        <v>351</v>
      </c>
      <c r="F342" s="16" t="s">
        <v>333</v>
      </c>
      <c r="G342" s="17" t="n">
        <v>46285.6092476852</v>
      </c>
      <c r="H342" s="17" t="n">
        <v>46285.6446643519</v>
      </c>
      <c r="I342" s="18" t="n">
        <f aca="false">IF(H342="",ROUND((تنظیمات!$B$7-G342)*1440,0),ROUND((H342-G342)*1440,0))</f>
        <v>51</v>
      </c>
      <c r="J342" s="16" t="s">
        <v>334</v>
      </c>
      <c r="K342" s="16" t="s">
        <v>400</v>
      </c>
      <c r="L342" s="19" t="n">
        <v>0.995</v>
      </c>
      <c r="M342" s="19" t="n">
        <v>0.905</v>
      </c>
      <c r="N342" s="16" t="s">
        <v>335</v>
      </c>
      <c r="O342" s="16" t="s">
        <v>677</v>
      </c>
      <c r="P342" s="16" t="s">
        <v>420</v>
      </c>
      <c r="Q342" s="20" t="n">
        <v>46285</v>
      </c>
      <c r="R342" s="16" t="s">
        <v>1500</v>
      </c>
      <c r="S342" s="16" t="s">
        <v>404</v>
      </c>
      <c r="T342" s="17"/>
      <c r="U342" s="21" t="n">
        <v>1</v>
      </c>
      <c r="V342" s="21" t="n">
        <v>1</v>
      </c>
      <c r="W342" s="22" t="n">
        <v>4.1</v>
      </c>
      <c r="X342" s="16" t="s">
        <v>335</v>
      </c>
      <c r="Y342" s="16" t="s">
        <v>338</v>
      </c>
      <c r="Z342" s="16" t="s">
        <v>413</v>
      </c>
      <c r="AA342" s="16" t="s">
        <v>427</v>
      </c>
      <c r="AB342" s="23" t="s">
        <v>1501</v>
      </c>
      <c r="AC342" s="17" t="n">
        <v>46285.6442361111</v>
      </c>
      <c r="AD342" s="16" t="s">
        <v>338</v>
      </c>
      <c r="AE342" s="16"/>
      <c r="AF342" s="16" t="str">
        <f aca="false">IF(COUNTIF(لیست_سفید!$A$2:$A$21,B342)&gt;0,"بله","خیر")</f>
        <v>خیر</v>
      </c>
      <c r="AG342" s="24" t="n">
        <f aca="false">IF(H342="","",IF(AD342="فیش مفقودی",تنظیمات!$B$6,(INT(I342/1440)*تنظیمات!$B$5+IF(MOD(I342,1440)&lt;=تنظیمات!$B$2,0,MIN(تنظیمات!$B$5,تنظیمات!$B$3+MAX(0,ROUNDUP((MOD(I342,1440)-60)/60,0))*تنظیمات!$B$4)))*INDEX(تعرفه!$B$2:$B$7,MATCH(AD342,تعرفه!$A$2:$A$7,0))))</f>
        <v>20000</v>
      </c>
      <c r="AH342" s="24" t="n">
        <v>20000</v>
      </c>
      <c r="AI342" s="24" t="n">
        <f aca="false">IF(AG342="","",AH342-AG342)</f>
        <v>0</v>
      </c>
      <c r="AJ342" s="21" t="n">
        <v>0</v>
      </c>
      <c r="AK342" s="21" t="n">
        <v>0</v>
      </c>
      <c r="AL342" s="16" t="s">
        <v>335</v>
      </c>
      <c r="AM342" s="16"/>
      <c r="AN342" s="16" t="s">
        <v>340</v>
      </c>
      <c r="AO342" s="16" t="s">
        <v>340</v>
      </c>
      <c r="AP342" s="16" t="s">
        <v>335</v>
      </c>
      <c r="AQ342" s="16"/>
      <c r="AR342" s="21" t="n">
        <f aca="false">IF(AND(T342&lt;&gt;"",H342&lt;&gt;""),IF(AND((T342-H342)*86400&gt;=0,(T342-H342)*86400&lt;تنظیمات!$B$13),1,0),0)</f>
        <v>0</v>
      </c>
      <c r="AS342" s="21" t="n">
        <f aca="false">IF(Z342="پوز",IF(OR(AB342="",COUNTIF(پوزها!$A$2:$A$5,AA342)=0),1,0),0)</f>
        <v>0</v>
      </c>
      <c r="AT342" s="21" t="n">
        <f aca="false">IF(AI342="",0,IF(AI342&gt;0,1,0))</f>
        <v>0</v>
      </c>
      <c r="AU342" s="21" t="n">
        <f aca="false">IF(AI342="",0,IF(AI342&lt;0,1,0))</f>
        <v>0</v>
      </c>
      <c r="AV342" s="21" t="n">
        <f aca="false">IF(U342&gt;V342,1,0)</f>
        <v>0</v>
      </c>
      <c r="AW342" s="21" t="n">
        <f aca="false">IF(OR(W342&gt;تنظیمات!$B$8,X342="بله"),1,0)</f>
        <v>0</v>
      </c>
      <c r="AX342" s="21" t="n">
        <f aca="false">IF(AND(N342="بله",L342&gt;تنظیمات!$B$9),1,0)</f>
        <v>0</v>
      </c>
      <c r="AY342" s="21" t="n">
        <f aca="false">IF(Y342="معکوس",1,0)</f>
        <v>0</v>
      </c>
      <c r="AZ342" s="21" t="n">
        <f aca="false">IF(ABS(AJ342)&gt;تنظیمات!$B$10,1,0)</f>
        <v>0</v>
      </c>
      <c r="BA342" s="21" t="n">
        <f aca="false">IF(AND(OR(AD342="رایگان/VIP",AD342="جانباز"),AF342="خیر"),1,0)</f>
        <v>0</v>
      </c>
      <c r="BB342" s="21" t="n">
        <f aca="false">IF(AE342="",0,IF(COUNTIF($AE$2:$AE$1001,AE342)&gt;1,1,0))</f>
        <v>0</v>
      </c>
      <c r="BC342" s="21" t="n">
        <f aca="false">IF(AND(H342="",I342&gt;تنظیمات!$B$12*60,AM342="خالی"),1,0)</f>
        <v>0</v>
      </c>
      <c r="BD342" s="21" t="n">
        <f aca="false">IF(AND(AP342="بله",I342&lt;تنظیمات!$B$14,AO342="خیر"),1,0)</f>
        <v>0</v>
      </c>
      <c r="BE342" s="21" t="n">
        <f aca="false">IF(AN342="خیر",1,0)</f>
        <v>0</v>
      </c>
      <c r="BF342" s="21" t="n">
        <f aca="false">IF(AND(AD342="فیش مفقودی",AQ342="بله",I342&gt;تنظیمات!$B$12*60),1,0)</f>
        <v>0</v>
      </c>
      <c r="BG342" s="21" t="n">
        <f aca="false">IF(AND(AK342&gt;تنظیمات!$B$11,AL342="بله"),1,0)</f>
        <v>0</v>
      </c>
      <c r="BH342" s="21" t="n">
        <f aca="false">MIN(100,AR342*تنظیمات!$B$21+AS342*تنظیمات!$B$22+AT342*تنظیمات!$B$23+AU342*تنظیمات!$B$24+AV342*تنظیمات!$B$25+AW342*تنظیمات!$B$26+AX342*تنظیمات!$B$27+AY342*تنظیمات!$B$28+AZ342*تنظیمات!$B$29+BA342*تنظیمات!$B$30+BB342*تنظیمات!$B$31+BC342*تنظیمات!$B$32+BD342*تنظیمات!$B$33+BE342*تنظیمات!$B$34+BF342*تنظیمات!$B$35+BG342*تنظیمات!$B$36)</f>
        <v>0</v>
      </c>
      <c r="BI342" s="16" t="str">
        <f aca="false">IF(BH342&gt;=60,"بحرانی",IF(BH342&gt;=30,"مشکوک",IF(BH342&gt;0,"هشدار","عادی")))</f>
        <v>عادی</v>
      </c>
      <c r="BJ342" s="16" t="s">
        <v>338</v>
      </c>
    </row>
    <row r="343" customFormat="false" ht="15" hidden="false" customHeight="false" outlineLevel="0" collapsed="false">
      <c r="A343" s="16" t="s">
        <v>1502</v>
      </c>
      <c r="B343" s="16" t="s">
        <v>1094</v>
      </c>
      <c r="C343" s="16"/>
      <c r="D343" s="16" t="s">
        <v>531</v>
      </c>
      <c r="E343" s="16" t="s">
        <v>375</v>
      </c>
      <c r="F343" s="16" t="s">
        <v>333</v>
      </c>
      <c r="G343" s="17" t="n">
        <v>46285.6098958333</v>
      </c>
      <c r="H343" s="17" t="n">
        <v>46285.6654513889</v>
      </c>
      <c r="I343" s="18" t="n">
        <f aca="false">IF(H343="",ROUND((تنظیمات!$B$7-G343)*1440,0),ROUND((H343-G343)*1440,0))</f>
        <v>80</v>
      </c>
      <c r="J343" s="16" t="s">
        <v>346</v>
      </c>
      <c r="K343" s="16" t="s">
        <v>400</v>
      </c>
      <c r="L343" s="19" t="n">
        <v>0.995</v>
      </c>
      <c r="M343" s="19" t="n">
        <v>0.93</v>
      </c>
      <c r="N343" s="16" t="s">
        <v>335</v>
      </c>
      <c r="O343" s="16" t="s">
        <v>677</v>
      </c>
      <c r="P343" s="16" t="s">
        <v>420</v>
      </c>
      <c r="Q343" s="20" t="n">
        <v>46285</v>
      </c>
      <c r="R343" s="16" t="s">
        <v>1503</v>
      </c>
      <c r="S343" s="16" t="s">
        <v>404</v>
      </c>
      <c r="T343" s="17"/>
      <c r="U343" s="21" t="n">
        <v>1</v>
      </c>
      <c r="V343" s="21" t="n">
        <v>1</v>
      </c>
      <c r="W343" s="22" t="n">
        <v>6.4</v>
      </c>
      <c r="X343" s="16" t="s">
        <v>335</v>
      </c>
      <c r="Y343" s="16" t="s">
        <v>338</v>
      </c>
      <c r="Z343" s="16" t="s">
        <v>413</v>
      </c>
      <c r="AA343" s="16" t="s">
        <v>427</v>
      </c>
      <c r="AB343" s="23" t="s">
        <v>1504</v>
      </c>
      <c r="AC343" s="17" t="n">
        <v>46285.6646527778</v>
      </c>
      <c r="AD343" s="16" t="s">
        <v>338</v>
      </c>
      <c r="AE343" s="16"/>
      <c r="AF343" s="16" t="str">
        <f aca="false">IF(COUNTIF(لیست_سفید!$A$2:$A$21,B343)&gt;0,"بله","خیر")</f>
        <v>خیر</v>
      </c>
      <c r="AG343" s="24" t="n">
        <f aca="false">IF(H343="","",IF(AD343="فیش مفقودی",تنظیمات!$B$6,(INT(I343/1440)*تنظیمات!$B$5+IF(MOD(I343,1440)&lt;=تنظیمات!$B$2,0,MIN(تنظیمات!$B$5,تنظیمات!$B$3+MAX(0,ROUNDUP((MOD(I343,1440)-60)/60,0))*تنظیمات!$B$4)))*INDEX(تعرفه!$B$2:$B$7,MATCH(AD343,تعرفه!$A$2:$A$7,0))))</f>
        <v>34000</v>
      </c>
      <c r="AH343" s="24" t="n">
        <v>34000</v>
      </c>
      <c r="AI343" s="24" t="n">
        <f aca="false">IF(AG343="","",AH343-AG343)</f>
        <v>0</v>
      </c>
      <c r="AJ343" s="21" t="n">
        <v>-4</v>
      </c>
      <c r="AK343" s="21" t="n">
        <v>0</v>
      </c>
      <c r="AL343" s="16" t="s">
        <v>335</v>
      </c>
      <c r="AM343" s="16"/>
      <c r="AN343" s="16" t="s">
        <v>340</v>
      </c>
      <c r="AO343" s="16" t="s">
        <v>340</v>
      </c>
      <c r="AP343" s="16" t="s">
        <v>335</v>
      </c>
      <c r="AQ343" s="16"/>
      <c r="AR343" s="21" t="n">
        <f aca="false">IF(AND(T343&lt;&gt;"",H343&lt;&gt;""),IF(AND((T343-H343)*86400&gt;=0,(T343-H343)*86400&lt;تنظیمات!$B$13),1,0),0)</f>
        <v>0</v>
      </c>
      <c r="AS343" s="21" t="n">
        <f aca="false">IF(Z343="پوز",IF(OR(AB343="",COUNTIF(پوزها!$A$2:$A$5,AA343)=0),1,0),0)</f>
        <v>0</v>
      </c>
      <c r="AT343" s="21" t="n">
        <f aca="false">IF(AI343="",0,IF(AI343&gt;0,1,0))</f>
        <v>0</v>
      </c>
      <c r="AU343" s="21" t="n">
        <f aca="false">IF(AI343="",0,IF(AI343&lt;0,1,0))</f>
        <v>0</v>
      </c>
      <c r="AV343" s="21" t="n">
        <f aca="false">IF(U343&gt;V343,1,0)</f>
        <v>0</v>
      </c>
      <c r="AW343" s="21" t="n">
        <f aca="false">IF(OR(W343&gt;تنظیمات!$B$8,X343="بله"),1,0)</f>
        <v>0</v>
      </c>
      <c r="AX343" s="21" t="n">
        <f aca="false">IF(AND(N343="بله",L343&gt;تنظیمات!$B$9),1,0)</f>
        <v>0</v>
      </c>
      <c r="AY343" s="21" t="n">
        <f aca="false">IF(Y343="معکوس",1,0)</f>
        <v>0</v>
      </c>
      <c r="AZ343" s="21" t="n">
        <f aca="false">IF(ABS(AJ343)&gt;تنظیمات!$B$10,1,0)</f>
        <v>0</v>
      </c>
      <c r="BA343" s="21" t="n">
        <f aca="false">IF(AND(OR(AD343="رایگان/VIP",AD343="جانباز"),AF343="خیر"),1,0)</f>
        <v>0</v>
      </c>
      <c r="BB343" s="21" t="n">
        <f aca="false">IF(AE343="",0,IF(COUNTIF($AE$2:$AE$1001,AE343)&gt;1,1,0))</f>
        <v>0</v>
      </c>
      <c r="BC343" s="21" t="n">
        <f aca="false">IF(AND(H343="",I343&gt;تنظیمات!$B$12*60,AM343="خالی"),1,0)</f>
        <v>0</v>
      </c>
      <c r="BD343" s="21" t="n">
        <f aca="false">IF(AND(AP343="بله",I343&lt;تنظیمات!$B$14,AO343="خیر"),1,0)</f>
        <v>0</v>
      </c>
      <c r="BE343" s="21" t="n">
        <f aca="false">IF(AN343="خیر",1,0)</f>
        <v>0</v>
      </c>
      <c r="BF343" s="21" t="n">
        <f aca="false">IF(AND(AD343="فیش مفقودی",AQ343="بله",I343&gt;تنظیمات!$B$12*60),1,0)</f>
        <v>0</v>
      </c>
      <c r="BG343" s="21" t="n">
        <f aca="false">IF(AND(AK343&gt;تنظیمات!$B$11,AL343="بله"),1,0)</f>
        <v>0</v>
      </c>
      <c r="BH343" s="21" t="n">
        <f aca="false">MIN(100,AR343*تنظیمات!$B$21+AS343*تنظیمات!$B$22+AT343*تنظیمات!$B$23+AU343*تنظیمات!$B$24+AV343*تنظیمات!$B$25+AW343*تنظیمات!$B$26+AX343*تنظیمات!$B$27+AY343*تنظیمات!$B$28+AZ343*تنظیمات!$B$29+BA343*تنظیمات!$B$30+BB343*تنظیمات!$B$31+BC343*تنظیمات!$B$32+BD343*تنظیمات!$B$33+BE343*تنظیمات!$B$34+BF343*تنظیمات!$B$35+BG343*تنظیمات!$B$36)</f>
        <v>0</v>
      </c>
      <c r="BI343" s="16" t="str">
        <f aca="false">IF(BH343&gt;=60,"بحرانی",IF(BH343&gt;=30,"مشکوک",IF(BH343&gt;0,"هشدار","عادی")))</f>
        <v>عادی</v>
      </c>
      <c r="BJ343" s="16" t="s">
        <v>338</v>
      </c>
    </row>
    <row r="344" customFormat="false" ht="15" hidden="false" customHeight="false" outlineLevel="0" collapsed="false">
      <c r="A344" s="16" t="s">
        <v>1505</v>
      </c>
      <c r="B344" s="16" t="s">
        <v>823</v>
      </c>
      <c r="C344" s="16"/>
      <c r="D344" s="16" t="s">
        <v>331</v>
      </c>
      <c r="E344" s="16" t="s">
        <v>345</v>
      </c>
      <c r="F344" s="16" t="s">
        <v>333</v>
      </c>
      <c r="G344" s="17" t="n">
        <v>46285.6218287037</v>
      </c>
      <c r="H344" s="17" t="n">
        <v>46285.6919675926</v>
      </c>
      <c r="I344" s="18" t="n">
        <f aca="false">IF(H344="",ROUND((تنظیمات!$B$7-G344)*1440,0),ROUND((H344-G344)*1440,0))</f>
        <v>101</v>
      </c>
      <c r="J344" s="16" t="s">
        <v>346</v>
      </c>
      <c r="K344" s="16" t="s">
        <v>400</v>
      </c>
      <c r="L344" s="19" t="n">
        <v>0.914</v>
      </c>
      <c r="M344" s="19" t="n">
        <v>0.881</v>
      </c>
      <c r="N344" s="16" t="s">
        <v>335</v>
      </c>
      <c r="O344" s="16" t="s">
        <v>677</v>
      </c>
      <c r="P344" s="16" t="s">
        <v>420</v>
      </c>
      <c r="Q344" s="20" t="n">
        <v>46285</v>
      </c>
      <c r="R344" s="16" t="s">
        <v>1506</v>
      </c>
      <c r="S344" s="16" t="s">
        <v>404</v>
      </c>
      <c r="T344" s="17"/>
      <c r="U344" s="21" t="n">
        <v>1</v>
      </c>
      <c r="V344" s="21" t="n">
        <v>1</v>
      </c>
      <c r="W344" s="22" t="n">
        <v>5</v>
      </c>
      <c r="X344" s="16" t="s">
        <v>335</v>
      </c>
      <c r="Y344" s="16" t="s">
        <v>338</v>
      </c>
      <c r="Z344" s="16" t="s">
        <v>413</v>
      </c>
      <c r="AA344" s="16" t="s">
        <v>427</v>
      </c>
      <c r="AB344" s="23" t="s">
        <v>1507</v>
      </c>
      <c r="AC344" s="17" t="n">
        <v>46285.6915393519</v>
      </c>
      <c r="AD344" s="16" t="s">
        <v>338</v>
      </c>
      <c r="AE344" s="16"/>
      <c r="AF344" s="16" t="str">
        <f aca="false">IF(COUNTIF(لیست_سفید!$A$2:$A$21,B344)&gt;0,"بله","خیر")</f>
        <v>خیر</v>
      </c>
      <c r="AG344" s="24" t="n">
        <f aca="false">IF(H344="","",IF(AD344="فیش مفقودی",تنظیمات!$B$6,(INT(I344/1440)*تنظیمات!$B$5+IF(MOD(I344,1440)&lt;=تنظیمات!$B$2,0,MIN(تنظیمات!$B$5,تنظیمات!$B$3+MAX(0,ROUNDUP((MOD(I344,1440)-60)/60,0))*تنظیمات!$B$4)))*INDEX(تعرفه!$B$2:$B$7,MATCH(AD344,تعرفه!$A$2:$A$7,0))))</f>
        <v>34000</v>
      </c>
      <c r="AH344" s="24" t="n">
        <v>34000</v>
      </c>
      <c r="AI344" s="24" t="n">
        <f aca="false">IF(AG344="","",AH344-AG344)</f>
        <v>0</v>
      </c>
      <c r="AJ344" s="21" t="n">
        <v>0</v>
      </c>
      <c r="AK344" s="21" t="n">
        <v>0</v>
      </c>
      <c r="AL344" s="16" t="s">
        <v>335</v>
      </c>
      <c r="AM344" s="16"/>
      <c r="AN344" s="16" t="s">
        <v>340</v>
      </c>
      <c r="AO344" s="16" t="s">
        <v>340</v>
      </c>
      <c r="AP344" s="16" t="s">
        <v>335</v>
      </c>
      <c r="AQ344" s="16"/>
      <c r="AR344" s="21" t="n">
        <f aca="false">IF(AND(T344&lt;&gt;"",H344&lt;&gt;""),IF(AND((T344-H344)*86400&gt;=0,(T344-H344)*86400&lt;تنظیمات!$B$13),1,0),0)</f>
        <v>0</v>
      </c>
      <c r="AS344" s="21" t="n">
        <f aca="false">IF(Z344="پوز",IF(OR(AB344="",COUNTIF(پوزها!$A$2:$A$5,AA344)=0),1,0),0)</f>
        <v>0</v>
      </c>
      <c r="AT344" s="21" t="n">
        <f aca="false">IF(AI344="",0,IF(AI344&gt;0,1,0))</f>
        <v>0</v>
      </c>
      <c r="AU344" s="21" t="n">
        <f aca="false">IF(AI344="",0,IF(AI344&lt;0,1,0))</f>
        <v>0</v>
      </c>
      <c r="AV344" s="21" t="n">
        <f aca="false">IF(U344&gt;V344,1,0)</f>
        <v>0</v>
      </c>
      <c r="AW344" s="21" t="n">
        <f aca="false">IF(OR(W344&gt;تنظیمات!$B$8,X344="بله"),1,0)</f>
        <v>0</v>
      </c>
      <c r="AX344" s="21" t="n">
        <f aca="false">IF(AND(N344="بله",L344&gt;تنظیمات!$B$9),1,0)</f>
        <v>0</v>
      </c>
      <c r="AY344" s="21" t="n">
        <f aca="false">IF(Y344="معکوس",1,0)</f>
        <v>0</v>
      </c>
      <c r="AZ344" s="21" t="n">
        <f aca="false">IF(ABS(AJ344)&gt;تنظیمات!$B$10,1,0)</f>
        <v>0</v>
      </c>
      <c r="BA344" s="21" t="n">
        <f aca="false">IF(AND(OR(AD344="رایگان/VIP",AD344="جانباز"),AF344="خیر"),1,0)</f>
        <v>0</v>
      </c>
      <c r="BB344" s="21" t="n">
        <f aca="false">IF(AE344="",0,IF(COUNTIF($AE$2:$AE$1001,AE344)&gt;1,1,0))</f>
        <v>0</v>
      </c>
      <c r="BC344" s="21" t="n">
        <f aca="false">IF(AND(H344="",I344&gt;تنظیمات!$B$12*60,AM344="خالی"),1,0)</f>
        <v>0</v>
      </c>
      <c r="BD344" s="21" t="n">
        <f aca="false">IF(AND(AP344="بله",I344&lt;تنظیمات!$B$14,AO344="خیر"),1,0)</f>
        <v>0</v>
      </c>
      <c r="BE344" s="21" t="n">
        <f aca="false">IF(AN344="خیر",1,0)</f>
        <v>0</v>
      </c>
      <c r="BF344" s="21" t="n">
        <f aca="false">IF(AND(AD344="فیش مفقودی",AQ344="بله",I344&gt;تنظیمات!$B$12*60),1,0)</f>
        <v>0</v>
      </c>
      <c r="BG344" s="21" t="n">
        <f aca="false">IF(AND(AK344&gt;تنظیمات!$B$11,AL344="بله"),1,0)</f>
        <v>0</v>
      </c>
      <c r="BH344" s="21" t="n">
        <f aca="false">MIN(100,AR344*تنظیمات!$B$21+AS344*تنظیمات!$B$22+AT344*تنظیمات!$B$23+AU344*تنظیمات!$B$24+AV344*تنظیمات!$B$25+AW344*تنظیمات!$B$26+AX344*تنظیمات!$B$27+AY344*تنظیمات!$B$28+AZ344*تنظیمات!$B$29+BA344*تنظیمات!$B$30+BB344*تنظیمات!$B$31+BC344*تنظیمات!$B$32+BD344*تنظیمات!$B$33+BE344*تنظیمات!$B$34+BF344*تنظیمات!$B$35+BG344*تنظیمات!$B$36)</f>
        <v>0</v>
      </c>
      <c r="BI344" s="16" t="str">
        <f aca="false">IF(BH344&gt;=60,"بحرانی",IF(BH344&gt;=30,"مشکوک",IF(BH344&gt;0,"هشدار","عادی")))</f>
        <v>عادی</v>
      </c>
      <c r="BJ344" s="16" t="s">
        <v>338</v>
      </c>
    </row>
    <row r="345" customFormat="false" ht="15" hidden="false" customHeight="false" outlineLevel="0" collapsed="false">
      <c r="A345" s="16" t="s">
        <v>1508</v>
      </c>
      <c r="B345" s="16" t="s">
        <v>1509</v>
      </c>
      <c r="C345" s="16"/>
      <c r="D345" s="16" t="s">
        <v>370</v>
      </c>
      <c r="E345" s="16" t="s">
        <v>363</v>
      </c>
      <c r="F345" s="16" t="s">
        <v>333</v>
      </c>
      <c r="G345" s="17" t="n">
        <v>46285.6373958333</v>
      </c>
      <c r="H345" s="17" t="n">
        <v>46285.6408680556</v>
      </c>
      <c r="I345" s="18" t="n">
        <f aca="false">IF(H345="",ROUND((تنظیمات!$B$7-G345)*1440,0),ROUND((H345-G345)*1440,0))</f>
        <v>5</v>
      </c>
      <c r="J345" s="16" t="s">
        <v>346</v>
      </c>
      <c r="K345" s="16" t="s">
        <v>410</v>
      </c>
      <c r="L345" s="19" t="n">
        <v>0.943</v>
      </c>
      <c r="M345" s="19" t="n">
        <v>0.991</v>
      </c>
      <c r="N345" s="16" t="s">
        <v>335</v>
      </c>
      <c r="O345" s="16" t="s">
        <v>425</v>
      </c>
      <c r="P345" s="16" t="s">
        <v>420</v>
      </c>
      <c r="Q345" s="20" t="n">
        <v>46285</v>
      </c>
      <c r="R345" s="16" t="s">
        <v>1510</v>
      </c>
      <c r="S345" s="16" t="s">
        <v>404</v>
      </c>
      <c r="T345" s="17"/>
      <c r="U345" s="21" t="n">
        <v>1</v>
      </c>
      <c r="V345" s="21" t="n">
        <v>1</v>
      </c>
      <c r="W345" s="22" t="n">
        <v>4.8</v>
      </c>
      <c r="X345" s="16" t="s">
        <v>335</v>
      </c>
      <c r="Y345" s="16" t="s">
        <v>338</v>
      </c>
      <c r="Z345" s="16" t="s">
        <v>628</v>
      </c>
      <c r="AA345" s="16"/>
      <c r="AB345" s="23"/>
      <c r="AC345" s="17"/>
      <c r="AD345" s="16" t="s">
        <v>338</v>
      </c>
      <c r="AE345" s="16"/>
      <c r="AF345" s="16" t="str">
        <f aca="false">IF(COUNTIF(لیست_سفید!$A$2:$A$21,B345)&gt;0,"بله","خیر")</f>
        <v>خیر</v>
      </c>
      <c r="AG345" s="24" t="n">
        <f aca="false">IF(H345="","",IF(AD345="فیش مفقودی",تنظیمات!$B$6,(INT(I345/1440)*تنظیمات!$B$5+IF(MOD(I345,1440)&lt;=تنظیمات!$B$2,0,MIN(تنظیمات!$B$5,تنظیمات!$B$3+MAX(0,ROUNDUP((MOD(I345,1440)-60)/60,0))*تنظیمات!$B$4)))*INDEX(تعرفه!$B$2:$B$7,MATCH(AD345,تعرفه!$A$2:$A$7,0))))</f>
        <v>0</v>
      </c>
      <c r="AH345" s="24" t="n">
        <v>0</v>
      </c>
      <c r="AI345" s="24" t="n">
        <f aca="false">IF(AG345="","",AH345-AG345)</f>
        <v>0</v>
      </c>
      <c r="AJ345" s="21" t="n">
        <v>4</v>
      </c>
      <c r="AK345" s="21" t="n">
        <v>0</v>
      </c>
      <c r="AL345" s="16" t="s">
        <v>335</v>
      </c>
      <c r="AM345" s="16"/>
      <c r="AN345" s="16" t="s">
        <v>340</v>
      </c>
      <c r="AO345" s="16" t="s">
        <v>340</v>
      </c>
      <c r="AP345" s="16" t="s">
        <v>335</v>
      </c>
      <c r="AQ345" s="16"/>
      <c r="AR345" s="21" t="n">
        <f aca="false">IF(AND(T345&lt;&gt;"",H345&lt;&gt;""),IF(AND((T345-H345)*86400&gt;=0,(T345-H345)*86400&lt;تنظیمات!$B$13),1,0),0)</f>
        <v>0</v>
      </c>
      <c r="AS345" s="21" t="n">
        <f aca="false">IF(Z345="پوز",IF(OR(AB345="",COUNTIF(پوزها!$A$2:$A$5,AA345)=0),1,0),0)</f>
        <v>0</v>
      </c>
      <c r="AT345" s="21" t="n">
        <f aca="false">IF(AI345="",0,IF(AI345&gt;0,1,0))</f>
        <v>0</v>
      </c>
      <c r="AU345" s="21" t="n">
        <f aca="false">IF(AI345="",0,IF(AI345&lt;0,1,0))</f>
        <v>0</v>
      </c>
      <c r="AV345" s="21" t="n">
        <f aca="false">IF(U345&gt;V345,1,0)</f>
        <v>0</v>
      </c>
      <c r="AW345" s="21" t="n">
        <f aca="false">IF(OR(W345&gt;تنظیمات!$B$8,X345="بله"),1,0)</f>
        <v>0</v>
      </c>
      <c r="AX345" s="21" t="n">
        <f aca="false">IF(AND(N345="بله",L345&gt;تنظیمات!$B$9),1,0)</f>
        <v>0</v>
      </c>
      <c r="AY345" s="21" t="n">
        <f aca="false">IF(Y345="معکوس",1,0)</f>
        <v>0</v>
      </c>
      <c r="AZ345" s="21" t="n">
        <f aca="false">IF(ABS(AJ345)&gt;تنظیمات!$B$10,1,0)</f>
        <v>0</v>
      </c>
      <c r="BA345" s="21" t="n">
        <f aca="false">IF(AND(OR(AD345="رایگان/VIP",AD345="جانباز"),AF345="خیر"),1,0)</f>
        <v>0</v>
      </c>
      <c r="BB345" s="21" t="n">
        <f aca="false">IF(AE345="",0,IF(COUNTIF($AE$2:$AE$1001,AE345)&gt;1,1,0))</f>
        <v>0</v>
      </c>
      <c r="BC345" s="21" t="n">
        <f aca="false">IF(AND(H345="",I345&gt;تنظیمات!$B$12*60,AM345="خالی"),1,0)</f>
        <v>0</v>
      </c>
      <c r="BD345" s="21" t="n">
        <f aca="false">IF(AND(AP345="بله",I345&lt;تنظیمات!$B$14,AO345="خیر"),1,0)</f>
        <v>0</v>
      </c>
      <c r="BE345" s="21" t="n">
        <f aca="false">IF(AN345="خیر",1,0)</f>
        <v>0</v>
      </c>
      <c r="BF345" s="21" t="n">
        <f aca="false">IF(AND(AD345="فیش مفقودی",AQ345="بله",I345&gt;تنظیمات!$B$12*60),1,0)</f>
        <v>0</v>
      </c>
      <c r="BG345" s="21" t="n">
        <f aca="false">IF(AND(AK345&gt;تنظیمات!$B$11,AL345="بله"),1,0)</f>
        <v>0</v>
      </c>
      <c r="BH345" s="21" t="n">
        <f aca="false">MIN(100,AR345*تنظیمات!$B$21+AS345*تنظیمات!$B$22+AT345*تنظیمات!$B$23+AU345*تنظیمات!$B$24+AV345*تنظیمات!$B$25+AW345*تنظیمات!$B$26+AX345*تنظیمات!$B$27+AY345*تنظیمات!$B$28+AZ345*تنظیمات!$B$29+BA345*تنظیمات!$B$30+BB345*تنظیمات!$B$31+BC345*تنظیمات!$B$32+BD345*تنظیمات!$B$33+BE345*تنظیمات!$B$34+BF345*تنظیمات!$B$35+BG345*تنظیمات!$B$36)</f>
        <v>0</v>
      </c>
      <c r="BI345" s="16" t="str">
        <f aca="false">IF(BH345&gt;=60,"بحرانی",IF(BH345&gt;=30,"مشکوک",IF(BH345&gt;0,"هشدار","عادی")))</f>
        <v>عادی</v>
      </c>
      <c r="BJ345" s="16" t="s">
        <v>338</v>
      </c>
    </row>
    <row r="346" customFormat="false" ht="15" hidden="false" customHeight="false" outlineLevel="0" collapsed="false">
      <c r="A346" s="16" t="s">
        <v>1511</v>
      </c>
      <c r="B346" s="16" t="s">
        <v>430</v>
      </c>
      <c r="C346" s="16"/>
      <c r="D346" s="16" t="s">
        <v>431</v>
      </c>
      <c r="E346" s="16" t="s">
        <v>363</v>
      </c>
      <c r="F346" s="16" t="s">
        <v>333</v>
      </c>
      <c r="G346" s="17" t="n">
        <v>46285.6390740741</v>
      </c>
      <c r="H346" s="17" t="n">
        <v>46285.7175462963</v>
      </c>
      <c r="I346" s="18" t="n">
        <f aca="false">IF(H346="",ROUND((تنظیمات!$B$7-G346)*1440,0),ROUND((H346-G346)*1440,0))</f>
        <v>113</v>
      </c>
      <c r="J346" s="16" t="s">
        <v>346</v>
      </c>
      <c r="K346" s="16" t="s">
        <v>400</v>
      </c>
      <c r="L346" s="19" t="n">
        <v>0.948</v>
      </c>
      <c r="M346" s="19" t="n">
        <v>0.953</v>
      </c>
      <c r="N346" s="16" t="s">
        <v>335</v>
      </c>
      <c r="O346" s="16" t="s">
        <v>677</v>
      </c>
      <c r="P346" s="16" t="s">
        <v>420</v>
      </c>
      <c r="Q346" s="20" t="n">
        <v>46285</v>
      </c>
      <c r="R346" s="16" t="s">
        <v>1512</v>
      </c>
      <c r="S346" s="16" t="s">
        <v>404</v>
      </c>
      <c r="T346" s="17"/>
      <c r="U346" s="21" t="n">
        <v>1</v>
      </c>
      <c r="V346" s="21" t="n">
        <v>1</v>
      </c>
      <c r="W346" s="22" t="n">
        <v>3.6</v>
      </c>
      <c r="X346" s="16" t="s">
        <v>335</v>
      </c>
      <c r="Y346" s="16" t="s">
        <v>338</v>
      </c>
      <c r="Z346" s="16" t="s">
        <v>413</v>
      </c>
      <c r="AA346" s="16" t="s">
        <v>427</v>
      </c>
      <c r="AB346" s="23" t="s">
        <v>1513</v>
      </c>
      <c r="AC346" s="17" t="n">
        <v>46285.7169444444</v>
      </c>
      <c r="AD346" s="16" t="s">
        <v>338</v>
      </c>
      <c r="AE346" s="16"/>
      <c r="AF346" s="16" t="str">
        <f aca="false">IF(COUNTIF(لیست_سفید!$A$2:$A$21,B346)&gt;0,"بله","خیر")</f>
        <v>خیر</v>
      </c>
      <c r="AG346" s="24" t="n">
        <f aca="false">IF(H346="","",IF(AD346="فیش مفقودی",تنظیمات!$B$6,(INT(I346/1440)*تنظیمات!$B$5+IF(MOD(I346,1440)&lt;=تنظیمات!$B$2,0,MIN(تنظیمات!$B$5,تنظیمات!$B$3+MAX(0,ROUNDUP((MOD(I346,1440)-60)/60,0))*تنظیمات!$B$4)))*INDEX(تعرفه!$B$2:$B$7,MATCH(AD346,تعرفه!$A$2:$A$7,0))))</f>
        <v>34000</v>
      </c>
      <c r="AH346" s="24" t="n">
        <v>34000</v>
      </c>
      <c r="AI346" s="24" t="n">
        <f aca="false">IF(AG346="","",AH346-AG346)</f>
        <v>0</v>
      </c>
      <c r="AJ346" s="21" t="n">
        <v>0</v>
      </c>
      <c r="AK346" s="21" t="n">
        <v>46</v>
      </c>
      <c r="AL346" s="16" t="s">
        <v>335</v>
      </c>
      <c r="AM346" s="16"/>
      <c r="AN346" s="16" t="s">
        <v>340</v>
      </c>
      <c r="AO346" s="16" t="s">
        <v>340</v>
      </c>
      <c r="AP346" s="16" t="s">
        <v>335</v>
      </c>
      <c r="AQ346" s="16"/>
      <c r="AR346" s="21" t="n">
        <f aca="false">IF(AND(T346&lt;&gt;"",H346&lt;&gt;""),IF(AND((T346-H346)*86400&gt;=0,(T346-H346)*86400&lt;تنظیمات!$B$13),1,0),0)</f>
        <v>0</v>
      </c>
      <c r="AS346" s="21" t="n">
        <f aca="false">IF(Z346="پوز",IF(OR(AB346="",COUNTIF(پوزها!$A$2:$A$5,AA346)=0),1,0),0)</f>
        <v>0</v>
      </c>
      <c r="AT346" s="21" t="n">
        <f aca="false">IF(AI346="",0,IF(AI346&gt;0,1,0))</f>
        <v>0</v>
      </c>
      <c r="AU346" s="21" t="n">
        <f aca="false">IF(AI346="",0,IF(AI346&lt;0,1,0))</f>
        <v>0</v>
      </c>
      <c r="AV346" s="21" t="n">
        <f aca="false">IF(U346&gt;V346,1,0)</f>
        <v>0</v>
      </c>
      <c r="AW346" s="21" t="n">
        <f aca="false">IF(OR(W346&gt;تنظیمات!$B$8,X346="بله"),1,0)</f>
        <v>0</v>
      </c>
      <c r="AX346" s="21" t="n">
        <f aca="false">IF(AND(N346="بله",L346&gt;تنظیمات!$B$9),1,0)</f>
        <v>0</v>
      </c>
      <c r="AY346" s="21" t="n">
        <f aca="false">IF(Y346="معکوس",1,0)</f>
        <v>0</v>
      </c>
      <c r="AZ346" s="21" t="n">
        <f aca="false">IF(ABS(AJ346)&gt;تنظیمات!$B$10,1,0)</f>
        <v>0</v>
      </c>
      <c r="BA346" s="21" t="n">
        <f aca="false">IF(AND(OR(AD346="رایگان/VIP",AD346="جانباز"),AF346="خیر"),1,0)</f>
        <v>0</v>
      </c>
      <c r="BB346" s="21" t="n">
        <f aca="false">IF(AE346="",0,IF(COUNTIF($AE$2:$AE$1001,AE346)&gt;1,1,0))</f>
        <v>0</v>
      </c>
      <c r="BC346" s="21" t="n">
        <f aca="false">IF(AND(H346="",I346&gt;تنظیمات!$B$12*60,AM346="خالی"),1,0)</f>
        <v>0</v>
      </c>
      <c r="BD346" s="21" t="n">
        <f aca="false">IF(AND(AP346="بله",I346&lt;تنظیمات!$B$14,AO346="خیر"),1,0)</f>
        <v>0</v>
      </c>
      <c r="BE346" s="21" t="n">
        <f aca="false">IF(AN346="خیر",1,0)</f>
        <v>0</v>
      </c>
      <c r="BF346" s="21" t="n">
        <f aca="false">IF(AND(AD346="فیش مفقودی",AQ346="بله",I346&gt;تنظیمات!$B$12*60),1,0)</f>
        <v>0</v>
      </c>
      <c r="BG346" s="21" t="n">
        <f aca="false">IF(AND(AK346&gt;تنظیمات!$B$11,AL346="بله"),1,0)</f>
        <v>0</v>
      </c>
      <c r="BH346" s="21" t="n">
        <f aca="false">MIN(100,AR346*تنظیمات!$B$21+AS346*تنظیمات!$B$22+AT346*تنظیمات!$B$23+AU346*تنظیمات!$B$24+AV346*تنظیمات!$B$25+AW346*تنظیمات!$B$26+AX346*تنظیمات!$B$27+AY346*تنظیمات!$B$28+AZ346*تنظیمات!$B$29+BA346*تنظیمات!$B$30+BB346*تنظیمات!$B$31+BC346*تنظیمات!$B$32+BD346*تنظیمات!$B$33+BE346*تنظیمات!$B$34+BF346*تنظیمات!$B$35+BG346*تنظیمات!$B$36)</f>
        <v>0</v>
      </c>
      <c r="BI346" s="16" t="str">
        <f aca="false">IF(BH346&gt;=60,"بحرانی",IF(BH346&gt;=30,"مشکوک",IF(BH346&gt;0,"هشدار","عادی")))</f>
        <v>عادی</v>
      </c>
      <c r="BJ346" s="16" t="s">
        <v>338</v>
      </c>
    </row>
    <row r="347" customFormat="false" ht="15" hidden="false" customHeight="false" outlineLevel="0" collapsed="false">
      <c r="A347" s="16" t="s">
        <v>1514</v>
      </c>
      <c r="B347" s="16" t="s">
        <v>1005</v>
      </c>
      <c r="C347" s="16"/>
      <c r="D347" s="16" t="s">
        <v>450</v>
      </c>
      <c r="E347" s="16" t="s">
        <v>332</v>
      </c>
      <c r="F347" s="16" t="s">
        <v>333</v>
      </c>
      <c r="G347" s="17" t="n">
        <v>46285.6447685185</v>
      </c>
      <c r="H347" s="17" t="n">
        <v>46285.6857407407</v>
      </c>
      <c r="I347" s="18" t="n">
        <f aca="false">IF(H347="",ROUND((تنظیمات!$B$7-G347)*1440,0),ROUND((H347-G347)*1440,0))</f>
        <v>59</v>
      </c>
      <c r="J347" s="16" t="s">
        <v>346</v>
      </c>
      <c r="K347" s="16" t="s">
        <v>410</v>
      </c>
      <c r="L347" s="19" t="n">
        <v>0.963</v>
      </c>
      <c r="M347" s="19" t="n">
        <v>0.88</v>
      </c>
      <c r="N347" s="16" t="s">
        <v>335</v>
      </c>
      <c r="O347" s="16" t="s">
        <v>425</v>
      </c>
      <c r="P347" s="16" t="s">
        <v>420</v>
      </c>
      <c r="Q347" s="20" t="n">
        <v>46285</v>
      </c>
      <c r="R347" s="16" t="s">
        <v>1515</v>
      </c>
      <c r="S347" s="16" t="s">
        <v>404</v>
      </c>
      <c r="T347" s="17"/>
      <c r="U347" s="21" t="n">
        <v>1</v>
      </c>
      <c r="V347" s="21" t="n">
        <v>1</v>
      </c>
      <c r="W347" s="22" t="n">
        <v>4.9</v>
      </c>
      <c r="X347" s="16" t="s">
        <v>335</v>
      </c>
      <c r="Y347" s="16" t="s">
        <v>338</v>
      </c>
      <c r="Z347" s="16" t="s">
        <v>405</v>
      </c>
      <c r="AA347" s="16"/>
      <c r="AB347" s="23"/>
      <c r="AC347" s="17"/>
      <c r="AD347" s="16" t="s">
        <v>338</v>
      </c>
      <c r="AE347" s="16"/>
      <c r="AF347" s="16" t="str">
        <f aca="false">IF(COUNTIF(لیست_سفید!$A$2:$A$21,B347)&gt;0,"بله","خیر")</f>
        <v>خیر</v>
      </c>
      <c r="AG347" s="24" t="n">
        <f aca="false">IF(H347="","",IF(AD347="فیش مفقودی",تنظیمات!$B$6,(INT(I347/1440)*تنظیمات!$B$5+IF(MOD(I347,1440)&lt;=تنظیمات!$B$2,0,MIN(تنظیمات!$B$5,تنظیمات!$B$3+MAX(0,ROUNDUP((MOD(I347,1440)-60)/60,0))*تنظیمات!$B$4)))*INDEX(تعرفه!$B$2:$B$7,MATCH(AD347,تعرفه!$A$2:$A$7,0))))</f>
        <v>20000</v>
      </c>
      <c r="AH347" s="24" t="n">
        <v>20000</v>
      </c>
      <c r="AI347" s="24" t="n">
        <f aca="false">IF(AG347="","",AH347-AG347)</f>
        <v>0</v>
      </c>
      <c r="AJ347" s="21" t="n">
        <v>3</v>
      </c>
      <c r="AK347" s="21" t="n">
        <v>0</v>
      </c>
      <c r="AL347" s="16" t="s">
        <v>335</v>
      </c>
      <c r="AM347" s="16"/>
      <c r="AN347" s="16" t="s">
        <v>340</v>
      </c>
      <c r="AO347" s="16" t="s">
        <v>340</v>
      </c>
      <c r="AP347" s="16" t="s">
        <v>335</v>
      </c>
      <c r="AQ347" s="16"/>
      <c r="AR347" s="21" t="n">
        <f aca="false">IF(AND(T347&lt;&gt;"",H347&lt;&gt;""),IF(AND((T347-H347)*86400&gt;=0,(T347-H347)*86400&lt;تنظیمات!$B$13),1,0),0)</f>
        <v>0</v>
      </c>
      <c r="AS347" s="21" t="n">
        <f aca="false">IF(Z347="پوز",IF(OR(AB347="",COUNTIF(پوزها!$A$2:$A$5,AA347)=0),1,0),0)</f>
        <v>0</v>
      </c>
      <c r="AT347" s="21" t="n">
        <f aca="false">IF(AI347="",0,IF(AI347&gt;0,1,0))</f>
        <v>0</v>
      </c>
      <c r="AU347" s="21" t="n">
        <f aca="false">IF(AI347="",0,IF(AI347&lt;0,1,0))</f>
        <v>0</v>
      </c>
      <c r="AV347" s="21" t="n">
        <f aca="false">IF(U347&gt;V347,1,0)</f>
        <v>0</v>
      </c>
      <c r="AW347" s="21" t="n">
        <f aca="false">IF(OR(W347&gt;تنظیمات!$B$8,X347="بله"),1,0)</f>
        <v>0</v>
      </c>
      <c r="AX347" s="21" t="n">
        <f aca="false">IF(AND(N347="بله",L347&gt;تنظیمات!$B$9),1,0)</f>
        <v>0</v>
      </c>
      <c r="AY347" s="21" t="n">
        <f aca="false">IF(Y347="معکوس",1,0)</f>
        <v>0</v>
      </c>
      <c r="AZ347" s="21" t="n">
        <f aca="false">IF(ABS(AJ347)&gt;تنظیمات!$B$10,1,0)</f>
        <v>0</v>
      </c>
      <c r="BA347" s="21" t="n">
        <f aca="false">IF(AND(OR(AD347="رایگان/VIP",AD347="جانباز"),AF347="خیر"),1,0)</f>
        <v>0</v>
      </c>
      <c r="BB347" s="21" t="n">
        <f aca="false">IF(AE347="",0,IF(COUNTIF($AE$2:$AE$1001,AE347)&gt;1,1,0))</f>
        <v>0</v>
      </c>
      <c r="BC347" s="21" t="n">
        <f aca="false">IF(AND(H347="",I347&gt;تنظیمات!$B$12*60,AM347="خالی"),1,0)</f>
        <v>0</v>
      </c>
      <c r="BD347" s="21" t="n">
        <f aca="false">IF(AND(AP347="بله",I347&lt;تنظیمات!$B$14,AO347="خیر"),1,0)</f>
        <v>0</v>
      </c>
      <c r="BE347" s="21" t="n">
        <f aca="false">IF(AN347="خیر",1,0)</f>
        <v>0</v>
      </c>
      <c r="BF347" s="21" t="n">
        <f aca="false">IF(AND(AD347="فیش مفقودی",AQ347="بله",I347&gt;تنظیمات!$B$12*60),1,0)</f>
        <v>0</v>
      </c>
      <c r="BG347" s="21" t="n">
        <f aca="false">IF(AND(AK347&gt;تنظیمات!$B$11,AL347="بله"),1,0)</f>
        <v>0</v>
      </c>
      <c r="BH347" s="21" t="n">
        <f aca="false">MIN(100,AR347*تنظیمات!$B$21+AS347*تنظیمات!$B$22+AT347*تنظیمات!$B$23+AU347*تنظیمات!$B$24+AV347*تنظیمات!$B$25+AW347*تنظیمات!$B$26+AX347*تنظیمات!$B$27+AY347*تنظیمات!$B$28+AZ347*تنظیمات!$B$29+BA347*تنظیمات!$B$30+BB347*تنظیمات!$B$31+BC347*تنظیمات!$B$32+BD347*تنظیمات!$B$33+BE347*تنظیمات!$B$34+BF347*تنظیمات!$B$35+BG347*تنظیمات!$B$36)</f>
        <v>0</v>
      </c>
      <c r="BI347" s="16" t="str">
        <f aca="false">IF(BH347&gt;=60,"بحرانی",IF(BH347&gt;=30,"مشکوک",IF(BH347&gt;0,"هشدار","عادی")))</f>
        <v>عادی</v>
      </c>
      <c r="BJ347" s="16" t="s">
        <v>338</v>
      </c>
    </row>
    <row r="348" customFormat="false" ht="15" hidden="false" customHeight="false" outlineLevel="0" collapsed="false">
      <c r="A348" s="16" t="s">
        <v>1516</v>
      </c>
      <c r="B348" s="16" t="s">
        <v>399</v>
      </c>
      <c r="C348" s="16"/>
      <c r="D348" s="16" t="s">
        <v>382</v>
      </c>
      <c r="E348" s="16" t="s">
        <v>351</v>
      </c>
      <c r="F348" s="16" t="s">
        <v>333</v>
      </c>
      <c r="G348" s="17" t="n">
        <v>46285.6582175926</v>
      </c>
      <c r="H348" s="17" t="n">
        <v>46285.6929398148</v>
      </c>
      <c r="I348" s="18" t="n">
        <f aca="false">IF(H348="",ROUND((تنظیمات!$B$7-G348)*1440,0),ROUND((H348-G348)*1440,0))</f>
        <v>50</v>
      </c>
      <c r="J348" s="16" t="s">
        <v>346</v>
      </c>
      <c r="K348" s="16" t="s">
        <v>400</v>
      </c>
      <c r="L348" s="19" t="n">
        <v>0.882</v>
      </c>
      <c r="M348" s="19" t="n">
        <v>0.971</v>
      </c>
      <c r="N348" s="16" t="s">
        <v>335</v>
      </c>
      <c r="O348" s="16" t="s">
        <v>677</v>
      </c>
      <c r="P348" s="16" t="s">
        <v>420</v>
      </c>
      <c r="Q348" s="20" t="n">
        <v>46285</v>
      </c>
      <c r="R348" s="16" t="s">
        <v>1517</v>
      </c>
      <c r="S348" s="16" t="s">
        <v>404</v>
      </c>
      <c r="T348" s="17"/>
      <c r="U348" s="21" t="n">
        <v>1</v>
      </c>
      <c r="V348" s="21" t="n">
        <v>1</v>
      </c>
      <c r="W348" s="22" t="n">
        <v>5.3</v>
      </c>
      <c r="X348" s="16" t="s">
        <v>335</v>
      </c>
      <c r="Y348" s="16" t="s">
        <v>338</v>
      </c>
      <c r="Z348" s="16" t="s">
        <v>413</v>
      </c>
      <c r="AA348" s="16" t="s">
        <v>427</v>
      </c>
      <c r="AB348" s="23" t="s">
        <v>1518</v>
      </c>
      <c r="AC348" s="17" t="n">
        <v>46285.6922569444</v>
      </c>
      <c r="AD348" s="16" t="s">
        <v>338</v>
      </c>
      <c r="AE348" s="16"/>
      <c r="AF348" s="16" t="str">
        <f aca="false">IF(COUNTIF(لیست_سفید!$A$2:$A$21,B348)&gt;0,"بله","خیر")</f>
        <v>خیر</v>
      </c>
      <c r="AG348" s="24" t="n">
        <f aca="false">IF(H348="","",IF(AD348="فیش مفقودی",تنظیمات!$B$6,(INT(I348/1440)*تنظیمات!$B$5+IF(MOD(I348,1440)&lt;=تنظیمات!$B$2,0,MIN(تنظیمات!$B$5,تنظیمات!$B$3+MAX(0,ROUNDUP((MOD(I348,1440)-60)/60,0))*تنظیمات!$B$4)))*INDEX(تعرفه!$B$2:$B$7,MATCH(AD348,تعرفه!$A$2:$A$7,0))))</f>
        <v>20000</v>
      </c>
      <c r="AH348" s="24" t="n">
        <v>20000</v>
      </c>
      <c r="AI348" s="24" t="n">
        <f aca="false">IF(AG348="","",AH348-AG348)</f>
        <v>0</v>
      </c>
      <c r="AJ348" s="21" t="n">
        <v>-2</v>
      </c>
      <c r="AK348" s="21" t="n">
        <v>0</v>
      </c>
      <c r="AL348" s="16" t="s">
        <v>335</v>
      </c>
      <c r="AM348" s="16"/>
      <c r="AN348" s="16" t="s">
        <v>340</v>
      </c>
      <c r="AO348" s="16" t="s">
        <v>340</v>
      </c>
      <c r="AP348" s="16" t="s">
        <v>335</v>
      </c>
      <c r="AQ348" s="16"/>
      <c r="AR348" s="21" t="n">
        <f aca="false">IF(AND(T348&lt;&gt;"",H348&lt;&gt;""),IF(AND((T348-H348)*86400&gt;=0,(T348-H348)*86400&lt;تنظیمات!$B$13),1,0),0)</f>
        <v>0</v>
      </c>
      <c r="AS348" s="21" t="n">
        <f aca="false">IF(Z348="پوز",IF(OR(AB348="",COUNTIF(پوزها!$A$2:$A$5,AA348)=0),1,0),0)</f>
        <v>0</v>
      </c>
      <c r="AT348" s="21" t="n">
        <f aca="false">IF(AI348="",0,IF(AI348&gt;0,1,0))</f>
        <v>0</v>
      </c>
      <c r="AU348" s="21" t="n">
        <f aca="false">IF(AI348="",0,IF(AI348&lt;0,1,0))</f>
        <v>0</v>
      </c>
      <c r="AV348" s="21" t="n">
        <f aca="false">IF(U348&gt;V348,1,0)</f>
        <v>0</v>
      </c>
      <c r="AW348" s="21" t="n">
        <f aca="false">IF(OR(W348&gt;تنظیمات!$B$8,X348="بله"),1,0)</f>
        <v>0</v>
      </c>
      <c r="AX348" s="21" t="n">
        <f aca="false">IF(AND(N348="بله",L348&gt;تنظیمات!$B$9),1,0)</f>
        <v>0</v>
      </c>
      <c r="AY348" s="21" t="n">
        <f aca="false">IF(Y348="معکوس",1,0)</f>
        <v>0</v>
      </c>
      <c r="AZ348" s="21" t="n">
        <f aca="false">IF(ABS(AJ348)&gt;تنظیمات!$B$10,1,0)</f>
        <v>0</v>
      </c>
      <c r="BA348" s="21" t="n">
        <f aca="false">IF(AND(OR(AD348="رایگان/VIP",AD348="جانباز"),AF348="خیر"),1,0)</f>
        <v>0</v>
      </c>
      <c r="BB348" s="21" t="n">
        <f aca="false">IF(AE348="",0,IF(COUNTIF($AE$2:$AE$1001,AE348)&gt;1,1,0))</f>
        <v>0</v>
      </c>
      <c r="BC348" s="21" t="n">
        <f aca="false">IF(AND(H348="",I348&gt;تنظیمات!$B$12*60,AM348="خالی"),1,0)</f>
        <v>0</v>
      </c>
      <c r="BD348" s="21" t="n">
        <f aca="false">IF(AND(AP348="بله",I348&lt;تنظیمات!$B$14,AO348="خیر"),1,0)</f>
        <v>0</v>
      </c>
      <c r="BE348" s="21" t="n">
        <f aca="false">IF(AN348="خیر",1,0)</f>
        <v>0</v>
      </c>
      <c r="BF348" s="21" t="n">
        <f aca="false">IF(AND(AD348="فیش مفقودی",AQ348="بله",I348&gt;تنظیمات!$B$12*60),1,0)</f>
        <v>0</v>
      </c>
      <c r="BG348" s="21" t="n">
        <f aca="false">IF(AND(AK348&gt;تنظیمات!$B$11,AL348="بله"),1,0)</f>
        <v>0</v>
      </c>
      <c r="BH348" s="21" t="n">
        <f aca="false">MIN(100,AR348*تنظیمات!$B$21+AS348*تنظیمات!$B$22+AT348*تنظیمات!$B$23+AU348*تنظیمات!$B$24+AV348*تنظیمات!$B$25+AW348*تنظیمات!$B$26+AX348*تنظیمات!$B$27+AY348*تنظیمات!$B$28+AZ348*تنظیمات!$B$29+BA348*تنظیمات!$B$30+BB348*تنظیمات!$B$31+BC348*تنظیمات!$B$32+BD348*تنظیمات!$B$33+BE348*تنظیمات!$B$34+BF348*تنظیمات!$B$35+BG348*تنظیمات!$B$36)</f>
        <v>0</v>
      </c>
      <c r="BI348" s="16" t="str">
        <f aca="false">IF(BH348&gt;=60,"بحرانی",IF(BH348&gt;=30,"مشکوک",IF(BH348&gt;0,"هشدار","عادی")))</f>
        <v>عادی</v>
      </c>
      <c r="BJ348" s="16" t="s">
        <v>338</v>
      </c>
    </row>
    <row r="349" customFormat="false" ht="15" hidden="false" customHeight="false" outlineLevel="0" collapsed="false">
      <c r="A349" s="16" t="s">
        <v>1519</v>
      </c>
      <c r="B349" s="16" t="s">
        <v>604</v>
      </c>
      <c r="C349" s="16"/>
      <c r="D349" s="16" t="s">
        <v>344</v>
      </c>
      <c r="E349" s="16" t="s">
        <v>363</v>
      </c>
      <c r="F349" s="16" t="s">
        <v>333</v>
      </c>
      <c r="G349" s="17" t="n">
        <v>46285.6630902778</v>
      </c>
      <c r="H349" s="17" t="n">
        <v>46285.7179513889</v>
      </c>
      <c r="I349" s="18" t="n">
        <f aca="false">IF(H349="",ROUND((تنظیمات!$B$7-G349)*1440,0),ROUND((H349-G349)*1440,0))</f>
        <v>79</v>
      </c>
      <c r="J349" s="16" t="s">
        <v>334</v>
      </c>
      <c r="K349" s="16" t="s">
        <v>400</v>
      </c>
      <c r="L349" s="19" t="n">
        <v>0.906</v>
      </c>
      <c r="M349" s="19" t="n">
        <v>0.98</v>
      </c>
      <c r="N349" s="16" t="s">
        <v>335</v>
      </c>
      <c r="O349" s="16" t="s">
        <v>677</v>
      </c>
      <c r="P349" s="16" t="s">
        <v>420</v>
      </c>
      <c r="Q349" s="20" t="n">
        <v>46285</v>
      </c>
      <c r="R349" s="16" t="s">
        <v>1520</v>
      </c>
      <c r="S349" s="16" t="s">
        <v>404</v>
      </c>
      <c r="T349" s="17"/>
      <c r="U349" s="21" t="n">
        <v>1</v>
      </c>
      <c r="V349" s="21" t="n">
        <v>1</v>
      </c>
      <c r="W349" s="22" t="n">
        <v>7.2</v>
      </c>
      <c r="X349" s="16" t="s">
        <v>335</v>
      </c>
      <c r="Y349" s="16" t="s">
        <v>338</v>
      </c>
      <c r="Z349" s="16" t="s">
        <v>413</v>
      </c>
      <c r="AA349" s="16" t="s">
        <v>427</v>
      </c>
      <c r="AB349" s="23" t="s">
        <v>1521</v>
      </c>
      <c r="AC349" s="17" t="n">
        <v>46285.7169791667</v>
      </c>
      <c r="AD349" s="16" t="s">
        <v>338</v>
      </c>
      <c r="AE349" s="16"/>
      <c r="AF349" s="16" t="str">
        <f aca="false">IF(COUNTIF(لیست_سفید!$A$2:$A$21,B349)&gt;0,"بله","خیر")</f>
        <v>خیر</v>
      </c>
      <c r="AG349" s="24" t="n">
        <f aca="false">IF(H349="","",IF(AD349="فیش مفقودی",تنظیمات!$B$6,(INT(I349/1440)*تنظیمات!$B$5+IF(MOD(I349,1440)&lt;=تنظیمات!$B$2,0,MIN(تنظیمات!$B$5,تنظیمات!$B$3+MAX(0,ROUNDUP((MOD(I349,1440)-60)/60,0))*تنظیمات!$B$4)))*INDEX(تعرفه!$B$2:$B$7,MATCH(AD349,تعرفه!$A$2:$A$7,0))))</f>
        <v>34000</v>
      </c>
      <c r="AH349" s="24" t="n">
        <v>34000</v>
      </c>
      <c r="AI349" s="24" t="n">
        <f aca="false">IF(AG349="","",AH349-AG349)</f>
        <v>0</v>
      </c>
      <c r="AJ349" s="21" t="n">
        <v>3</v>
      </c>
      <c r="AK349" s="21" t="n">
        <v>0</v>
      </c>
      <c r="AL349" s="16" t="s">
        <v>335</v>
      </c>
      <c r="AM349" s="16"/>
      <c r="AN349" s="16" t="s">
        <v>340</v>
      </c>
      <c r="AO349" s="16" t="s">
        <v>340</v>
      </c>
      <c r="AP349" s="16" t="s">
        <v>335</v>
      </c>
      <c r="AQ349" s="16"/>
      <c r="AR349" s="21" t="n">
        <f aca="false">IF(AND(T349&lt;&gt;"",H349&lt;&gt;""),IF(AND((T349-H349)*86400&gt;=0,(T349-H349)*86400&lt;تنظیمات!$B$13),1,0),0)</f>
        <v>0</v>
      </c>
      <c r="AS349" s="21" t="n">
        <f aca="false">IF(Z349="پوز",IF(OR(AB349="",COUNTIF(پوزها!$A$2:$A$5,AA349)=0),1,0),0)</f>
        <v>0</v>
      </c>
      <c r="AT349" s="21" t="n">
        <f aca="false">IF(AI349="",0,IF(AI349&gt;0,1,0))</f>
        <v>0</v>
      </c>
      <c r="AU349" s="21" t="n">
        <f aca="false">IF(AI349="",0,IF(AI349&lt;0,1,0))</f>
        <v>0</v>
      </c>
      <c r="AV349" s="21" t="n">
        <f aca="false">IF(U349&gt;V349,1,0)</f>
        <v>0</v>
      </c>
      <c r="AW349" s="21" t="n">
        <f aca="false">IF(OR(W349&gt;تنظیمات!$B$8,X349="بله"),1,0)</f>
        <v>0</v>
      </c>
      <c r="AX349" s="21" t="n">
        <f aca="false">IF(AND(N349="بله",L349&gt;تنظیمات!$B$9),1,0)</f>
        <v>0</v>
      </c>
      <c r="AY349" s="21" t="n">
        <f aca="false">IF(Y349="معکوس",1,0)</f>
        <v>0</v>
      </c>
      <c r="AZ349" s="21" t="n">
        <f aca="false">IF(ABS(AJ349)&gt;تنظیمات!$B$10,1,0)</f>
        <v>0</v>
      </c>
      <c r="BA349" s="21" t="n">
        <f aca="false">IF(AND(OR(AD349="رایگان/VIP",AD349="جانباز"),AF349="خیر"),1,0)</f>
        <v>0</v>
      </c>
      <c r="BB349" s="21" t="n">
        <f aca="false">IF(AE349="",0,IF(COUNTIF($AE$2:$AE$1001,AE349)&gt;1,1,0))</f>
        <v>0</v>
      </c>
      <c r="BC349" s="21" t="n">
        <f aca="false">IF(AND(H349="",I349&gt;تنظیمات!$B$12*60,AM349="خالی"),1,0)</f>
        <v>0</v>
      </c>
      <c r="BD349" s="21" t="n">
        <f aca="false">IF(AND(AP349="بله",I349&lt;تنظیمات!$B$14,AO349="خیر"),1,0)</f>
        <v>0</v>
      </c>
      <c r="BE349" s="21" t="n">
        <f aca="false">IF(AN349="خیر",1,0)</f>
        <v>0</v>
      </c>
      <c r="BF349" s="21" t="n">
        <f aca="false">IF(AND(AD349="فیش مفقودی",AQ349="بله",I349&gt;تنظیمات!$B$12*60),1,0)</f>
        <v>0</v>
      </c>
      <c r="BG349" s="21" t="n">
        <f aca="false">IF(AND(AK349&gt;تنظیمات!$B$11,AL349="بله"),1,0)</f>
        <v>0</v>
      </c>
      <c r="BH349" s="21" t="n">
        <f aca="false">MIN(100,AR349*تنظیمات!$B$21+AS349*تنظیمات!$B$22+AT349*تنظیمات!$B$23+AU349*تنظیمات!$B$24+AV349*تنظیمات!$B$25+AW349*تنظیمات!$B$26+AX349*تنظیمات!$B$27+AY349*تنظیمات!$B$28+AZ349*تنظیمات!$B$29+BA349*تنظیمات!$B$30+BB349*تنظیمات!$B$31+BC349*تنظیمات!$B$32+BD349*تنظیمات!$B$33+BE349*تنظیمات!$B$34+BF349*تنظیمات!$B$35+BG349*تنظیمات!$B$36)</f>
        <v>0</v>
      </c>
      <c r="BI349" s="16" t="str">
        <f aca="false">IF(BH349&gt;=60,"بحرانی",IF(BH349&gt;=30,"مشکوک",IF(BH349&gt;0,"هشدار","عادی")))</f>
        <v>عادی</v>
      </c>
      <c r="BJ349" s="16" t="s">
        <v>338</v>
      </c>
    </row>
    <row r="350" customFormat="false" ht="15" hidden="false" customHeight="false" outlineLevel="0" collapsed="false">
      <c r="A350" s="16" t="s">
        <v>1522</v>
      </c>
      <c r="B350" s="16" t="s">
        <v>1413</v>
      </c>
      <c r="C350" s="16"/>
      <c r="D350" s="16" t="s">
        <v>386</v>
      </c>
      <c r="E350" s="16" t="s">
        <v>332</v>
      </c>
      <c r="F350" s="16" t="s">
        <v>333</v>
      </c>
      <c r="G350" s="17" t="n">
        <v>46285.6728703704</v>
      </c>
      <c r="H350" s="17" t="n">
        <v>46285.7173148148</v>
      </c>
      <c r="I350" s="18" t="n">
        <f aca="false">IF(H350="",ROUND((تنظیمات!$B$7-G350)*1440,0),ROUND((H350-G350)*1440,0))</f>
        <v>64</v>
      </c>
      <c r="J350" s="16" t="s">
        <v>346</v>
      </c>
      <c r="K350" s="16" t="s">
        <v>400</v>
      </c>
      <c r="L350" s="19" t="n">
        <v>0.936</v>
      </c>
      <c r="M350" s="19" t="n">
        <v>0.911</v>
      </c>
      <c r="N350" s="16" t="s">
        <v>335</v>
      </c>
      <c r="O350" s="16" t="s">
        <v>677</v>
      </c>
      <c r="P350" s="16" t="s">
        <v>420</v>
      </c>
      <c r="Q350" s="20" t="n">
        <v>46285</v>
      </c>
      <c r="R350" s="16" t="s">
        <v>1523</v>
      </c>
      <c r="S350" s="16" t="s">
        <v>404</v>
      </c>
      <c r="T350" s="17"/>
      <c r="U350" s="21" t="n">
        <v>1</v>
      </c>
      <c r="V350" s="21" t="n">
        <v>1</v>
      </c>
      <c r="W350" s="22" t="n">
        <v>6</v>
      </c>
      <c r="X350" s="16" t="s">
        <v>335</v>
      </c>
      <c r="Y350" s="16" t="s">
        <v>338</v>
      </c>
      <c r="Z350" s="16" t="s">
        <v>413</v>
      </c>
      <c r="AA350" s="16" t="s">
        <v>427</v>
      </c>
      <c r="AB350" s="23" t="s">
        <v>1524</v>
      </c>
      <c r="AC350" s="17" t="n">
        <v>46285.7169675926</v>
      </c>
      <c r="AD350" s="16" t="s">
        <v>338</v>
      </c>
      <c r="AE350" s="16"/>
      <c r="AF350" s="16" t="str">
        <f aca="false">IF(COUNTIF(لیست_سفید!$A$2:$A$21,B350)&gt;0,"بله","خیر")</f>
        <v>خیر</v>
      </c>
      <c r="AG350" s="24" t="n">
        <f aca="false">IF(H350="","",IF(AD350="فیش مفقودی",تنظیمات!$B$6,(INT(I350/1440)*تنظیمات!$B$5+IF(MOD(I350,1440)&lt;=تنظیمات!$B$2,0,MIN(تنظیمات!$B$5,تنظیمات!$B$3+MAX(0,ROUNDUP((MOD(I350,1440)-60)/60,0))*تنظیمات!$B$4)))*INDEX(تعرفه!$B$2:$B$7,MATCH(AD350,تعرفه!$A$2:$A$7,0))))</f>
        <v>34000</v>
      </c>
      <c r="AH350" s="24" t="n">
        <v>34000</v>
      </c>
      <c r="AI350" s="24" t="n">
        <f aca="false">IF(AG350="","",AH350-AG350)</f>
        <v>0</v>
      </c>
      <c r="AJ350" s="21" t="n">
        <v>-3</v>
      </c>
      <c r="AK350" s="21" t="n">
        <v>0</v>
      </c>
      <c r="AL350" s="16" t="s">
        <v>335</v>
      </c>
      <c r="AM350" s="16"/>
      <c r="AN350" s="16" t="s">
        <v>340</v>
      </c>
      <c r="AO350" s="16" t="s">
        <v>340</v>
      </c>
      <c r="AP350" s="16" t="s">
        <v>335</v>
      </c>
      <c r="AQ350" s="16"/>
      <c r="AR350" s="21" t="n">
        <f aca="false">IF(AND(T350&lt;&gt;"",H350&lt;&gt;""),IF(AND((T350-H350)*86400&gt;=0,(T350-H350)*86400&lt;تنظیمات!$B$13),1,0),0)</f>
        <v>0</v>
      </c>
      <c r="AS350" s="21" t="n">
        <f aca="false">IF(Z350="پوز",IF(OR(AB350="",COUNTIF(پوزها!$A$2:$A$5,AA350)=0),1,0),0)</f>
        <v>0</v>
      </c>
      <c r="AT350" s="21" t="n">
        <f aca="false">IF(AI350="",0,IF(AI350&gt;0,1,0))</f>
        <v>0</v>
      </c>
      <c r="AU350" s="21" t="n">
        <f aca="false">IF(AI350="",0,IF(AI350&lt;0,1,0))</f>
        <v>0</v>
      </c>
      <c r="AV350" s="21" t="n">
        <f aca="false">IF(U350&gt;V350,1,0)</f>
        <v>0</v>
      </c>
      <c r="AW350" s="21" t="n">
        <f aca="false">IF(OR(W350&gt;تنظیمات!$B$8,X350="بله"),1,0)</f>
        <v>0</v>
      </c>
      <c r="AX350" s="21" t="n">
        <f aca="false">IF(AND(N350="بله",L350&gt;تنظیمات!$B$9),1,0)</f>
        <v>0</v>
      </c>
      <c r="AY350" s="21" t="n">
        <f aca="false">IF(Y350="معکوس",1,0)</f>
        <v>0</v>
      </c>
      <c r="AZ350" s="21" t="n">
        <f aca="false">IF(ABS(AJ350)&gt;تنظیمات!$B$10,1,0)</f>
        <v>0</v>
      </c>
      <c r="BA350" s="21" t="n">
        <f aca="false">IF(AND(OR(AD350="رایگان/VIP",AD350="جانباز"),AF350="خیر"),1,0)</f>
        <v>0</v>
      </c>
      <c r="BB350" s="21" t="n">
        <f aca="false">IF(AE350="",0,IF(COUNTIF($AE$2:$AE$1001,AE350)&gt;1,1,0))</f>
        <v>0</v>
      </c>
      <c r="BC350" s="21" t="n">
        <f aca="false">IF(AND(H350="",I350&gt;تنظیمات!$B$12*60,AM350="خالی"),1,0)</f>
        <v>0</v>
      </c>
      <c r="BD350" s="21" t="n">
        <f aca="false">IF(AND(AP350="بله",I350&lt;تنظیمات!$B$14,AO350="خیر"),1,0)</f>
        <v>0</v>
      </c>
      <c r="BE350" s="21" t="n">
        <f aca="false">IF(AN350="خیر",1,0)</f>
        <v>0</v>
      </c>
      <c r="BF350" s="21" t="n">
        <f aca="false">IF(AND(AD350="فیش مفقودی",AQ350="بله",I350&gt;تنظیمات!$B$12*60),1,0)</f>
        <v>0</v>
      </c>
      <c r="BG350" s="21" t="n">
        <f aca="false">IF(AND(AK350&gt;تنظیمات!$B$11,AL350="بله"),1,0)</f>
        <v>0</v>
      </c>
      <c r="BH350" s="21" t="n">
        <f aca="false">MIN(100,AR350*تنظیمات!$B$21+AS350*تنظیمات!$B$22+AT350*تنظیمات!$B$23+AU350*تنظیمات!$B$24+AV350*تنظیمات!$B$25+AW350*تنظیمات!$B$26+AX350*تنظیمات!$B$27+AY350*تنظیمات!$B$28+AZ350*تنظیمات!$B$29+BA350*تنظیمات!$B$30+BB350*تنظیمات!$B$31+BC350*تنظیمات!$B$32+BD350*تنظیمات!$B$33+BE350*تنظیمات!$B$34+BF350*تنظیمات!$B$35+BG350*تنظیمات!$B$36)</f>
        <v>0</v>
      </c>
      <c r="BI350" s="16" t="str">
        <f aca="false">IF(BH350&gt;=60,"بحرانی",IF(BH350&gt;=30,"مشکوک",IF(BH350&gt;0,"هشدار","عادی")))</f>
        <v>عادی</v>
      </c>
      <c r="BJ350" s="16" t="s">
        <v>338</v>
      </c>
    </row>
    <row r="351" customFormat="false" ht="15" hidden="false" customHeight="false" outlineLevel="0" collapsed="false">
      <c r="A351" s="16" t="s">
        <v>1525</v>
      </c>
      <c r="B351" s="16" t="s">
        <v>1526</v>
      </c>
      <c r="C351" s="16"/>
      <c r="D351" s="16" t="s">
        <v>431</v>
      </c>
      <c r="E351" s="16" t="s">
        <v>351</v>
      </c>
      <c r="F351" s="16" t="s">
        <v>333</v>
      </c>
      <c r="G351" s="17" t="n">
        <v>46285.6756712963</v>
      </c>
      <c r="H351" s="17" t="n">
        <v>46285.7228935185</v>
      </c>
      <c r="I351" s="18" t="n">
        <f aca="false">IF(H351="",ROUND((تنظیمات!$B$7-G351)*1440,0),ROUND((H351-G351)*1440,0))</f>
        <v>68</v>
      </c>
      <c r="J351" s="16" t="s">
        <v>346</v>
      </c>
      <c r="K351" s="16" t="s">
        <v>400</v>
      </c>
      <c r="L351" s="19" t="n">
        <v>0.895</v>
      </c>
      <c r="M351" s="19" t="n">
        <v>0.937</v>
      </c>
      <c r="N351" s="16" t="s">
        <v>335</v>
      </c>
      <c r="O351" s="16" t="s">
        <v>677</v>
      </c>
      <c r="P351" s="16" t="s">
        <v>420</v>
      </c>
      <c r="Q351" s="20" t="n">
        <v>46285</v>
      </c>
      <c r="R351" s="16" t="s">
        <v>1527</v>
      </c>
      <c r="S351" s="16" t="s">
        <v>404</v>
      </c>
      <c r="T351" s="17"/>
      <c r="U351" s="21" t="n">
        <v>1</v>
      </c>
      <c r="V351" s="21" t="n">
        <v>1</v>
      </c>
      <c r="W351" s="22" t="n">
        <v>6.5</v>
      </c>
      <c r="X351" s="16" t="s">
        <v>335</v>
      </c>
      <c r="Y351" s="16" t="s">
        <v>338</v>
      </c>
      <c r="Z351" s="16" t="s">
        <v>413</v>
      </c>
      <c r="AA351" s="16" t="s">
        <v>427</v>
      </c>
      <c r="AB351" s="23" t="s">
        <v>1528</v>
      </c>
      <c r="AC351" s="17" t="n">
        <v>46285.7223842593</v>
      </c>
      <c r="AD351" s="16" t="s">
        <v>338</v>
      </c>
      <c r="AE351" s="16"/>
      <c r="AF351" s="16" t="str">
        <f aca="false">IF(COUNTIF(لیست_سفید!$A$2:$A$21,B351)&gt;0,"بله","خیر")</f>
        <v>خیر</v>
      </c>
      <c r="AG351" s="24" t="n">
        <f aca="false">IF(H351="","",IF(AD351="فیش مفقودی",تنظیمات!$B$6,(INT(I351/1440)*تنظیمات!$B$5+IF(MOD(I351,1440)&lt;=تنظیمات!$B$2,0,MIN(تنظیمات!$B$5,تنظیمات!$B$3+MAX(0,ROUNDUP((MOD(I351,1440)-60)/60,0))*تنظیمات!$B$4)))*INDEX(تعرفه!$B$2:$B$7,MATCH(AD351,تعرفه!$A$2:$A$7,0))))</f>
        <v>34000</v>
      </c>
      <c r="AH351" s="24" t="n">
        <v>34000</v>
      </c>
      <c r="AI351" s="24" t="n">
        <f aca="false">IF(AG351="","",AH351-AG351)</f>
        <v>0</v>
      </c>
      <c r="AJ351" s="21" t="n">
        <v>0</v>
      </c>
      <c r="AK351" s="21" t="n">
        <v>0</v>
      </c>
      <c r="AL351" s="16" t="s">
        <v>335</v>
      </c>
      <c r="AM351" s="16"/>
      <c r="AN351" s="16" t="s">
        <v>340</v>
      </c>
      <c r="AO351" s="16" t="s">
        <v>340</v>
      </c>
      <c r="AP351" s="16" t="s">
        <v>335</v>
      </c>
      <c r="AQ351" s="16"/>
      <c r="AR351" s="21" t="n">
        <f aca="false">IF(AND(T351&lt;&gt;"",H351&lt;&gt;""),IF(AND((T351-H351)*86400&gt;=0,(T351-H351)*86400&lt;تنظیمات!$B$13),1,0),0)</f>
        <v>0</v>
      </c>
      <c r="AS351" s="21" t="n">
        <f aca="false">IF(Z351="پوز",IF(OR(AB351="",COUNTIF(پوزها!$A$2:$A$5,AA351)=0),1,0),0)</f>
        <v>0</v>
      </c>
      <c r="AT351" s="21" t="n">
        <f aca="false">IF(AI351="",0,IF(AI351&gt;0,1,0))</f>
        <v>0</v>
      </c>
      <c r="AU351" s="21" t="n">
        <f aca="false">IF(AI351="",0,IF(AI351&lt;0,1,0))</f>
        <v>0</v>
      </c>
      <c r="AV351" s="21" t="n">
        <f aca="false">IF(U351&gt;V351,1,0)</f>
        <v>0</v>
      </c>
      <c r="AW351" s="21" t="n">
        <f aca="false">IF(OR(W351&gt;تنظیمات!$B$8,X351="بله"),1,0)</f>
        <v>0</v>
      </c>
      <c r="AX351" s="21" t="n">
        <f aca="false">IF(AND(N351="بله",L351&gt;تنظیمات!$B$9),1,0)</f>
        <v>0</v>
      </c>
      <c r="AY351" s="21" t="n">
        <f aca="false">IF(Y351="معکوس",1,0)</f>
        <v>0</v>
      </c>
      <c r="AZ351" s="21" t="n">
        <f aca="false">IF(ABS(AJ351)&gt;تنظیمات!$B$10,1,0)</f>
        <v>0</v>
      </c>
      <c r="BA351" s="21" t="n">
        <f aca="false">IF(AND(OR(AD351="رایگان/VIP",AD351="جانباز"),AF351="خیر"),1,0)</f>
        <v>0</v>
      </c>
      <c r="BB351" s="21" t="n">
        <f aca="false">IF(AE351="",0,IF(COUNTIF($AE$2:$AE$1001,AE351)&gt;1,1,0))</f>
        <v>0</v>
      </c>
      <c r="BC351" s="21" t="n">
        <f aca="false">IF(AND(H351="",I351&gt;تنظیمات!$B$12*60,AM351="خالی"),1,0)</f>
        <v>0</v>
      </c>
      <c r="BD351" s="21" t="n">
        <f aca="false">IF(AND(AP351="بله",I351&lt;تنظیمات!$B$14,AO351="خیر"),1,0)</f>
        <v>0</v>
      </c>
      <c r="BE351" s="21" t="n">
        <f aca="false">IF(AN351="خیر",1,0)</f>
        <v>0</v>
      </c>
      <c r="BF351" s="21" t="n">
        <f aca="false">IF(AND(AD351="فیش مفقودی",AQ351="بله",I351&gt;تنظیمات!$B$12*60),1,0)</f>
        <v>0</v>
      </c>
      <c r="BG351" s="21" t="n">
        <f aca="false">IF(AND(AK351&gt;تنظیمات!$B$11,AL351="بله"),1,0)</f>
        <v>0</v>
      </c>
      <c r="BH351" s="21" t="n">
        <f aca="false">MIN(100,AR351*تنظیمات!$B$21+AS351*تنظیمات!$B$22+AT351*تنظیمات!$B$23+AU351*تنظیمات!$B$24+AV351*تنظیمات!$B$25+AW351*تنظیمات!$B$26+AX351*تنظیمات!$B$27+AY351*تنظیمات!$B$28+AZ351*تنظیمات!$B$29+BA351*تنظیمات!$B$30+BB351*تنظیمات!$B$31+BC351*تنظیمات!$B$32+BD351*تنظیمات!$B$33+BE351*تنظیمات!$B$34+BF351*تنظیمات!$B$35+BG351*تنظیمات!$B$36)</f>
        <v>0</v>
      </c>
      <c r="BI351" s="16" t="str">
        <f aca="false">IF(BH351&gt;=60,"بحرانی",IF(BH351&gt;=30,"مشکوک",IF(BH351&gt;0,"هشدار","عادی")))</f>
        <v>عادی</v>
      </c>
      <c r="BJ351" s="16" t="s">
        <v>338</v>
      </c>
    </row>
    <row r="352" customFormat="false" ht="15" hidden="false" customHeight="false" outlineLevel="0" collapsed="false">
      <c r="A352" s="16" t="s">
        <v>1529</v>
      </c>
      <c r="B352" s="16" t="s">
        <v>579</v>
      </c>
      <c r="C352" s="16"/>
      <c r="D352" s="16" t="s">
        <v>350</v>
      </c>
      <c r="E352" s="16" t="s">
        <v>375</v>
      </c>
      <c r="F352" s="16" t="s">
        <v>333</v>
      </c>
      <c r="G352" s="17" t="n">
        <v>46285.6905324074</v>
      </c>
      <c r="H352" s="17" t="n">
        <v>46285.8009490741</v>
      </c>
      <c r="I352" s="18" t="n">
        <f aca="false">IF(H352="",ROUND((تنظیمات!$B$7-G352)*1440,0),ROUND((H352-G352)*1440,0))</f>
        <v>159</v>
      </c>
      <c r="J352" s="16" t="s">
        <v>334</v>
      </c>
      <c r="K352" s="16" t="s">
        <v>400</v>
      </c>
      <c r="L352" s="19" t="n">
        <v>0.957</v>
      </c>
      <c r="M352" s="19" t="n">
        <v>0.951</v>
      </c>
      <c r="N352" s="16" t="s">
        <v>335</v>
      </c>
      <c r="O352" s="16" t="s">
        <v>677</v>
      </c>
      <c r="P352" s="16" t="s">
        <v>420</v>
      </c>
      <c r="Q352" s="20" t="n">
        <v>46285</v>
      </c>
      <c r="R352" s="16" t="s">
        <v>1530</v>
      </c>
      <c r="S352" s="16" t="s">
        <v>404</v>
      </c>
      <c r="T352" s="17"/>
      <c r="U352" s="21" t="n">
        <v>1</v>
      </c>
      <c r="V352" s="21" t="n">
        <v>1</v>
      </c>
      <c r="W352" s="22" t="n">
        <v>4.2</v>
      </c>
      <c r="X352" s="16" t="s">
        <v>335</v>
      </c>
      <c r="Y352" s="16" t="s">
        <v>338</v>
      </c>
      <c r="Z352" s="16" t="s">
        <v>405</v>
      </c>
      <c r="AA352" s="16"/>
      <c r="AB352" s="23"/>
      <c r="AC352" s="17"/>
      <c r="AD352" s="16" t="s">
        <v>338</v>
      </c>
      <c r="AE352" s="16"/>
      <c r="AF352" s="16" t="str">
        <f aca="false">IF(COUNTIF(لیست_سفید!$A$2:$A$21,B352)&gt;0,"بله","خیر")</f>
        <v>خیر</v>
      </c>
      <c r="AG352" s="24" t="n">
        <f aca="false">IF(H352="","",IF(AD352="فیش مفقودی",تنظیمات!$B$6,(INT(I352/1440)*تنظیمات!$B$5+IF(MOD(I352,1440)&lt;=تنظیمات!$B$2,0,MIN(تنظیمات!$B$5,تنظیمات!$B$3+MAX(0,ROUNDUP((MOD(I352,1440)-60)/60,0))*تنظیمات!$B$4)))*INDEX(تعرفه!$B$2:$B$7,MATCH(AD352,تعرفه!$A$2:$A$7,0))))</f>
        <v>48000</v>
      </c>
      <c r="AH352" s="24" t="n">
        <v>48000</v>
      </c>
      <c r="AI352" s="24" t="n">
        <f aca="false">IF(AG352="","",AH352-AG352)</f>
        <v>0</v>
      </c>
      <c r="AJ352" s="21" t="n">
        <v>-5</v>
      </c>
      <c r="AK352" s="21" t="n">
        <v>0</v>
      </c>
      <c r="AL352" s="16" t="s">
        <v>335</v>
      </c>
      <c r="AM352" s="16"/>
      <c r="AN352" s="16" t="s">
        <v>340</v>
      </c>
      <c r="AO352" s="16" t="s">
        <v>340</v>
      </c>
      <c r="AP352" s="16" t="s">
        <v>335</v>
      </c>
      <c r="AQ352" s="16"/>
      <c r="AR352" s="21" t="n">
        <f aca="false">IF(AND(T352&lt;&gt;"",H352&lt;&gt;""),IF(AND((T352-H352)*86400&gt;=0,(T352-H352)*86400&lt;تنظیمات!$B$13),1,0),0)</f>
        <v>0</v>
      </c>
      <c r="AS352" s="21" t="n">
        <f aca="false">IF(Z352="پوز",IF(OR(AB352="",COUNTIF(پوزها!$A$2:$A$5,AA352)=0),1,0),0)</f>
        <v>0</v>
      </c>
      <c r="AT352" s="21" t="n">
        <f aca="false">IF(AI352="",0,IF(AI352&gt;0,1,0))</f>
        <v>0</v>
      </c>
      <c r="AU352" s="21" t="n">
        <f aca="false">IF(AI352="",0,IF(AI352&lt;0,1,0))</f>
        <v>0</v>
      </c>
      <c r="AV352" s="21" t="n">
        <f aca="false">IF(U352&gt;V352,1,0)</f>
        <v>0</v>
      </c>
      <c r="AW352" s="21" t="n">
        <f aca="false">IF(OR(W352&gt;تنظیمات!$B$8,X352="بله"),1,0)</f>
        <v>0</v>
      </c>
      <c r="AX352" s="21" t="n">
        <f aca="false">IF(AND(N352="بله",L352&gt;تنظیمات!$B$9),1,0)</f>
        <v>0</v>
      </c>
      <c r="AY352" s="21" t="n">
        <f aca="false">IF(Y352="معکوس",1,0)</f>
        <v>0</v>
      </c>
      <c r="AZ352" s="21" t="n">
        <f aca="false">IF(ABS(AJ352)&gt;تنظیمات!$B$10,1,0)</f>
        <v>0</v>
      </c>
      <c r="BA352" s="21" t="n">
        <f aca="false">IF(AND(OR(AD352="رایگان/VIP",AD352="جانباز"),AF352="خیر"),1,0)</f>
        <v>0</v>
      </c>
      <c r="BB352" s="21" t="n">
        <f aca="false">IF(AE352="",0,IF(COUNTIF($AE$2:$AE$1001,AE352)&gt;1,1,0))</f>
        <v>0</v>
      </c>
      <c r="BC352" s="21" t="n">
        <f aca="false">IF(AND(H352="",I352&gt;تنظیمات!$B$12*60,AM352="خالی"),1,0)</f>
        <v>0</v>
      </c>
      <c r="BD352" s="21" t="n">
        <f aca="false">IF(AND(AP352="بله",I352&lt;تنظیمات!$B$14,AO352="خیر"),1,0)</f>
        <v>0</v>
      </c>
      <c r="BE352" s="21" t="n">
        <f aca="false">IF(AN352="خیر",1,0)</f>
        <v>0</v>
      </c>
      <c r="BF352" s="21" t="n">
        <f aca="false">IF(AND(AD352="فیش مفقودی",AQ352="بله",I352&gt;تنظیمات!$B$12*60),1,0)</f>
        <v>0</v>
      </c>
      <c r="BG352" s="21" t="n">
        <f aca="false">IF(AND(AK352&gt;تنظیمات!$B$11,AL352="بله"),1,0)</f>
        <v>0</v>
      </c>
      <c r="BH352" s="21" t="n">
        <f aca="false">MIN(100,AR352*تنظیمات!$B$21+AS352*تنظیمات!$B$22+AT352*تنظیمات!$B$23+AU352*تنظیمات!$B$24+AV352*تنظیمات!$B$25+AW352*تنظیمات!$B$26+AX352*تنظیمات!$B$27+AY352*تنظیمات!$B$28+AZ352*تنظیمات!$B$29+BA352*تنظیمات!$B$30+BB352*تنظیمات!$B$31+BC352*تنظیمات!$B$32+BD352*تنظیمات!$B$33+BE352*تنظیمات!$B$34+BF352*تنظیمات!$B$35+BG352*تنظیمات!$B$36)</f>
        <v>0</v>
      </c>
      <c r="BI352" s="16" t="str">
        <f aca="false">IF(BH352&gt;=60,"بحرانی",IF(BH352&gt;=30,"مشکوک",IF(BH352&gt;0,"هشدار","عادی")))</f>
        <v>عادی</v>
      </c>
      <c r="BJ352" s="16" t="s">
        <v>338</v>
      </c>
    </row>
    <row r="353" customFormat="false" ht="15" hidden="false" customHeight="false" outlineLevel="0" collapsed="false">
      <c r="A353" s="16" t="s">
        <v>1531</v>
      </c>
      <c r="B353" s="16" t="s">
        <v>1532</v>
      </c>
      <c r="C353" s="16"/>
      <c r="D353" s="16" t="s">
        <v>350</v>
      </c>
      <c r="E353" s="16" t="s">
        <v>351</v>
      </c>
      <c r="F353" s="16" t="s">
        <v>333</v>
      </c>
      <c r="G353" s="17" t="n">
        <v>46285.6936458333</v>
      </c>
      <c r="H353" s="17" t="n">
        <v>46285.7936458333</v>
      </c>
      <c r="I353" s="18" t="n">
        <f aca="false">IF(H353="",ROUND((تنظیمات!$B$7-G353)*1440,0),ROUND((H353-G353)*1440,0))</f>
        <v>144</v>
      </c>
      <c r="J353" s="16" t="s">
        <v>346</v>
      </c>
      <c r="K353" s="16" t="s">
        <v>400</v>
      </c>
      <c r="L353" s="19" t="n">
        <v>0.956</v>
      </c>
      <c r="M353" s="19" t="n">
        <v>0.923</v>
      </c>
      <c r="N353" s="16" t="s">
        <v>335</v>
      </c>
      <c r="O353" s="16" t="s">
        <v>677</v>
      </c>
      <c r="P353" s="16" t="s">
        <v>420</v>
      </c>
      <c r="Q353" s="20" t="n">
        <v>46285</v>
      </c>
      <c r="R353" s="16" t="s">
        <v>1533</v>
      </c>
      <c r="S353" s="16" t="s">
        <v>404</v>
      </c>
      <c r="T353" s="17"/>
      <c r="U353" s="21" t="n">
        <v>1</v>
      </c>
      <c r="V353" s="21" t="n">
        <v>1</v>
      </c>
      <c r="W353" s="22" t="n">
        <v>6.1</v>
      </c>
      <c r="X353" s="16" t="s">
        <v>335</v>
      </c>
      <c r="Y353" s="16" t="s">
        <v>338</v>
      </c>
      <c r="Z353" s="16" t="s">
        <v>413</v>
      </c>
      <c r="AA353" s="16" t="s">
        <v>427</v>
      </c>
      <c r="AB353" s="23" t="s">
        <v>1534</v>
      </c>
      <c r="AC353" s="17" t="n">
        <v>46285.7926736111</v>
      </c>
      <c r="AD353" s="16" t="s">
        <v>338</v>
      </c>
      <c r="AE353" s="16"/>
      <c r="AF353" s="16" t="str">
        <f aca="false">IF(COUNTIF(لیست_سفید!$A$2:$A$21,B353)&gt;0,"بله","خیر")</f>
        <v>خیر</v>
      </c>
      <c r="AG353" s="24" t="n">
        <f aca="false">IF(H353="","",IF(AD353="فیش مفقودی",تنظیمات!$B$6,(INT(I353/1440)*تنظیمات!$B$5+IF(MOD(I353,1440)&lt;=تنظیمات!$B$2,0,MIN(تنظیمات!$B$5,تنظیمات!$B$3+MAX(0,ROUNDUP((MOD(I353,1440)-60)/60,0))*تنظیمات!$B$4)))*INDEX(تعرفه!$B$2:$B$7,MATCH(AD353,تعرفه!$A$2:$A$7,0))))</f>
        <v>48000</v>
      </c>
      <c r="AH353" s="24" t="n">
        <v>48000</v>
      </c>
      <c r="AI353" s="24" t="n">
        <f aca="false">IF(AG353="","",AH353-AG353)</f>
        <v>0</v>
      </c>
      <c r="AJ353" s="21" t="n">
        <v>1</v>
      </c>
      <c r="AK353" s="21" t="n">
        <v>0</v>
      </c>
      <c r="AL353" s="16" t="s">
        <v>335</v>
      </c>
      <c r="AM353" s="16"/>
      <c r="AN353" s="16" t="s">
        <v>340</v>
      </c>
      <c r="AO353" s="16" t="s">
        <v>340</v>
      </c>
      <c r="AP353" s="16" t="s">
        <v>335</v>
      </c>
      <c r="AQ353" s="16"/>
      <c r="AR353" s="21" t="n">
        <f aca="false">IF(AND(T353&lt;&gt;"",H353&lt;&gt;""),IF(AND((T353-H353)*86400&gt;=0,(T353-H353)*86400&lt;تنظیمات!$B$13),1,0),0)</f>
        <v>0</v>
      </c>
      <c r="AS353" s="21" t="n">
        <f aca="false">IF(Z353="پوز",IF(OR(AB353="",COUNTIF(پوزها!$A$2:$A$5,AA353)=0),1,0),0)</f>
        <v>0</v>
      </c>
      <c r="AT353" s="21" t="n">
        <f aca="false">IF(AI353="",0,IF(AI353&gt;0,1,0))</f>
        <v>0</v>
      </c>
      <c r="AU353" s="21" t="n">
        <f aca="false">IF(AI353="",0,IF(AI353&lt;0,1,0))</f>
        <v>0</v>
      </c>
      <c r="AV353" s="21" t="n">
        <f aca="false">IF(U353&gt;V353,1,0)</f>
        <v>0</v>
      </c>
      <c r="AW353" s="21" t="n">
        <f aca="false">IF(OR(W353&gt;تنظیمات!$B$8,X353="بله"),1,0)</f>
        <v>0</v>
      </c>
      <c r="AX353" s="21" t="n">
        <f aca="false">IF(AND(N353="بله",L353&gt;تنظیمات!$B$9),1,0)</f>
        <v>0</v>
      </c>
      <c r="AY353" s="21" t="n">
        <f aca="false">IF(Y353="معکوس",1,0)</f>
        <v>0</v>
      </c>
      <c r="AZ353" s="21" t="n">
        <f aca="false">IF(ABS(AJ353)&gt;تنظیمات!$B$10,1,0)</f>
        <v>0</v>
      </c>
      <c r="BA353" s="21" t="n">
        <f aca="false">IF(AND(OR(AD353="رایگان/VIP",AD353="جانباز"),AF353="خیر"),1,0)</f>
        <v>0</v>
      </c>
      <c r="BB353" s="21" t="n">
        <f aca="false">IF(AE353="",0,IF(COUNTIF($AE$2:$AE$1001,AE353)&gt;1,1,0))</f>
        <v>0</v>
      </c>
      <c r="BC353" s="21" t="n">
        <f aca="false">IF(AND(H353="",I353&gt;تنظیمات!$B$12*60,AM353="خالی"),1,0)</f>
        <v>0</v>
      </c>
      <c r="BD353" s="21" t="n">
        <f aca="false">IF(AND(AP353="بله",I353&lt;تنظیمات!$B$14,AO353="خیر"),1,0)</f>
        <v>0</v>
      </c>
      <c r="BE353" s="21" t="n">
        <f aca="false">IF(AN353="خیر",1,0)</f>
        <v>0</v>
      </c>
      <c r="BF353" s="21" t="n">
        <f aca="false">IF(AND(AD353="فیش مفقودی",AQ353="بله",I353&gt;تنظیمات!$B$12*60),1,0)</f>
        <v>0</v>
      </c>
      <c r="BG353" s="21" t="n">
        <f aca="false">IF(AND(AK353&gt;تنظیمات!$B$11,AL353="بله"),1,0)</f>
        <v>0</v>
      </c>
      <c r="BH353" s="21" t="n">
        <f aca="false">MIN(100,AR353*تنظیمات!$B$21+AS353*تنظیمات!$B$22+AT353*تنظیمات!$B$23+AU353*تنظیمات!$B$24+AV353*تنظیمات!$B$25+AW353*تنظیمات!$B$26+AX353*تنظیمات!$B$27+AY353*تنظیمات!$B$28+AZ353*تنظیمات!$B$29+BA353*تنظیمات!$B$30+BB353*تنظیمات!$B$31+BC353*تنظیمات!$B$32+BD353*تنظیمات!$B$33+BE353*تنظیمات!$B$34+BF353*تنظیمات!$B$35+BG353*تنظیمات!$B$36)</f>
        <v>0</v>
      </c>
      <c r="BI353" s="16" t="str">
        <f aca="false">IF(BH353&gt;=60,"بحرانی",IF(BH353&gt;=30,"مشکوک",IF(BH353&gt;0,"هشدار","عادی")))</f>
        <v>عادی</v>
      </c>
      <c r="BJ353" s="16" t="s">
        <v>338</v>
      </c>
    </row>
    <row r="354" customFormat="false" ht="15" hidden="false" customHeight="false" outlineLevel="0" collapsed="false">
      <c r="A354" s="16" t="s">
        <v>1535</v>
      </c>
      <c r="B354" s="16" t="s">
        <v>1536</v>
      </c>
      <c r="C354" s="16"/>
      <c r="D354" s="16" t="s">
        <v>418</v>
      </c>
      <c r="E354" s="16" t="s">
        <v>375</v>
      </c>
      <c r="F354" s="16" t="s">
        <v>333</v>
      </c>
      <c r="G354" s="17" t="n">
        <v>46285.6986689815</v>
      </c>
      <c r="H354" s="17" t="n">
        <v>46285.735474537</v>
      </c>
      <c r="I354" s="18" t="n">
        <f aca="false">IF(H354="",ROUND((تنظیمات!$B$7-G354)*1440,0),ROUND((H354-G354)*1440,0))</f>
        <v>53</v>
      </c>
      <c r="J354" s="16" t="s">
        <v>334</v>
      </c>
      <c r="K354" s="16" t="s">
        <v>410</v>
      </c>
      <c r="L354" s="19" t="n">
        <v>0.948</v>
      </c>
      <c r="M354" s="19" t="n">
        <v>0.904</v>
      </c>
      <c r="N354" s="16" t="s">
        <v>335</v>
      </c>
      <c r="O354" s="16" t="s">
        <v>425</v>
      </c>
      <c r="P354" s="16" t="s">
        <v>420</v>
      </c>
      <c r="Q354" s="20" t="n">
        <v>46285</v>
      </c>
      <c r="R354" s="16" t="s">
        <v>1537</v>
      </c>
      <c r="S354" s="16" t="s">
        <v>404</v>
      </c>
      <c r="T354" s="17"/>
      <c r="U354" s="21" t="n">
        <v>1</v>
      </c>
      <c r="V354" s="21" t="n">
        <v>1</v>
      </c>
      <c r="W354" s="22" t="n">
        <v>6.9</v>
      </c>
      <c r="X354" s="16" t="s">
        <v>335</v>
      </c>
      <c r="Y354" s="16" t="s">
        <v>338</v>
      </c>
      <c r="Z354" s="16" t="s">
        <v>413</v>
      </c>
      <c r="AA354" s="16" t="s">
        <v>414</v>
      </c>
      <c r="AB354" s="23" t="s">
        <v>1538</v>
      </c>
      <c r="AC354" s="17" t="n">
        <v>46285.7349305556</v>
      </c>
      <c r="AD354" s="16" t="s">
        <v>338</v>
      </c>
      <c r="AE354" s="16"/>
      <c r="AF354" s="16" t="str">
        <f aca="false">IF(COUNTIF(لیست_سفید!$A$2:$A$21,B354)&gt;0,"بله","خیر")</f>
        <v>خیر</v>
      </c>
      <c r="AG354" s="24" t="n">
        <f aca="false">IF(H354="","",IF(AD354="فیش مفقودی",تنظیمات!$B$6,(INT(I354/1440)*تنظیمات!$B$5+IF(MOD(I354,1440)&lt;=تنظیمات!$B$2,0,MIN(تنظیمات!$B$5,تنظیمات!$B$3+MAX(0,ROUNDUP((MOD(I354,1440)-60)/60,0))*تنظیمات!$B$4)))*INDEX(تعرفه!$B$2:$B$7,MATCH(AD354,تعرفه!$A$2:$A$7,0))))</f>
        <v>20000</v>
      </c>
      <c r="AH354" s="24" t="n">
        <v>20000</v>
      </c>
      <c r="AI354" s="24" t="n">
        <f aca="false">IF(AG354="","",AH354-AG354)</f>
        <v>0</v>
      </c>
      <c r="AJ354" s="21" t="n">
        <v>1</v>
      </c>
      <c r="AK354" s="21" t="n">
        <v>0</v>
      </c>
      <c r="AL354" s="16" t="s">
        <v>335</v>
      </c>
      <c r="AM354" s="16"/>
      <c r="AN354" s="16" t="s">
        <v>340</v>
      </c>
      <c r="AO354" s="16" t="s">
        <v>340</v>
      </c>
      <c r="AP354" s="16" t="s">
        <v>335</v>
      </c>
      <c r="AQ354" s="16"/>
      <c r="AR354" s="21" t="n">
        <f aca="false">IF(AND(T354&lt;&gt;"",H354&lt;&gt;""),IF(AND((T354-H354)*86400&gt;=0,(T354-H354)*86400&lt;تنظیمات!$B$13),1,0),0)</f>
        <v>0</v>
      </c>
      <c r="AS354" s="21" t="n">
        <f aca="false">IF(Z354="پوز",IF(OR(AB354="",COUNTIF(پوزها!$A$2:$A$5,AA354)=0),1,0),0)</f>
        <v>0</v>
      </c>
      <c r="AT354" s="21" t="n">
        <f aca="false">IF(AI354="",0,IF(AI354&gt;0,1,0))</f>
        <v>0</v>
      </c>
      <c r="AU354" s="21" t="n">
        <f aca="false">IF(AI354="",0,IF(AI354&lt;0,1,0))</f>
        <v>0</v>
      </c>
      <c r="AV354" s="21" t="n">
        <f aca="false">IF(U354&gt;V354,1,0)</f>
        <v>0</v>
      </c>
      <c r="AW354" s="21" t="n">
        <f aca="false">IF(OR(W354&gt;تنظیمات!$B$8,X354="بله"),1,0)</f>
        <v>0</v>
      </c>
      <c r="AX354" s="21" t="n">
        <f aca="false">IF(AND(N354="بله",L354&gt;تنظیمات!$B$9),1,0)</f>
        <v>0</v>
      </c>
      <c r="AY354" s="21" t="n">
        <f aca="false">IF(Y354="معکوس",1,0)</f>
        <v>0</v>
      </c>
      <c r="AZ354" s="21" t="n">
        <f aca="false">IF(ABS(AJ354)&gt;تنظیمات!$B$10,1,0)</f>
        <v>0</v>
      </c>
      <c r="BA354" s="21" t="n">
        <f aca="false">IF(AND(OR(AD354="رایگان/VIP",AD354="جانباز"),AF354="خیر"),1,0)</f>
        <v>0</v>
      </c>
      <c r="BB354" s="21" t="n">
        <f aca="false">IF(AE354="",0,IF(COUNTIF($AE$2:$AE$1001,AE354)&gt;1,1,0))</f>
        <v>0</v>
      </c>
      <c r="BC354" s="21" t="n">
        <f aca="false">IF(AND(H354="",I354&gt;تنظیمات!$B$12*60,AM354="خالی"),1,0)</f>
        <v>0</v>
      </c>
      <c r="BD354" s="21" t="n">
        <f aca="false">IF(AND(AP354="بله",I354&lt;تنظیمات!$B$14,AO354="خیر"),1,0)</f>
        <v>0</v>
      </c>
      <c r="BE354" s="21" t="n">
        <f aca="false">IF(AN354="خیر",1,0)</f>
        <v>0</v>
      </c>
      <c r="BF354" s="21" t="n">
        <f aca="false">IF(AND(AD354="فیش مفقودی",AQ354="بله",I354&gt;تنظیمات!$B$12*60),1,0)</f>
        <v>0</v>
      </c>
      <c r="BG354" s="21" t="n">
        <f aca="false">IF(AND(AK354&gt;تنظیمات!$B$11,AL354="بله"),1,0)</f>
        <v>0</v>
      </c>
      <c r="BH354" s="21" t="n">
        <f aca="false">MIN(100,AR354*تنظیمات!$B$21+AS354*تنظیمات!$B$22+AT354*تنظیمات!$B$23+AU354*تنظیمات!$B$24+AV354*تنظیمات!$B$25+AW354*تنظیمات!$B$26+AX354*تنظیمات!$B$27+AY354*تنظیمات!$B$28+AZ354*تنظیمات!$B$29+BA354*تنظیمات!$B$30+BB354*تنظیمات!$B$31+BC354*تنظیمات!$B$32+BD354*تنظیمات!$B$33+BE354*تنظیمات!$B$34+BF354*تنظیمات!$B$35+BG354*تنظیمات!$B$36)</f>
        <v>0</v>
      </c>
      <c r="BI354" s="16" t="str">
        <f aca="false">IF(BH354&gt;=60,"بحرانی",IF(BH354&gt;=30,"مشکوک",IF(BH354&gt;0,"هشدار","عادی")))</f>
        <v>عادی</v>
      </c>
      <c r="BJ354" s="16" t="s">
        <v>338</v>
      </c>
    </row>
    <row r="355" customFormat="false" ht="15" hidden="false" customHeight="false" outlineLevel="0" collapsed="false">
      <c r="A355" s="16" t="s">
        <v>1539</v>
      </c>
      <c r="B355" s="16" t="s">
        <v>1090</v>
      </c>
      <c r="C355" s="16"/>
      <c r="D355" s="16" t="s">
        <v>531</v>
      </c>
      <c r="E355" s="16" t="s">
        <v>375</v>
      </c>
      <c r="F355" s="16" t="s">
        <v>333</v>
      </c>
      <c r="G355" s="17" t="n">
        <v>46285.701724537</v>
      </c>
      <c r="H355" s="17" t="n">
        <v>46285.7357523148</v>
      </c>
      <c r="I355" s="18" t="n">
        <f aca="false">IF(H355="",ROUND((تنظیمات!$B$7-G355)*1440,0),ROUND((H355-G355)*1440,0))</f>
        <v>49</v>
      </c>
      <c r="J355" s="16" t="s">
        <v>346</v>
      </c>
      <c r="K355" s="16" t="s">
        <v>410</v>
      </c>
      <c r="L355" s="19" t="n">
        <v>0.933</v>
      </c>
      <c r="M355" s="19"/>
      <c r="N355" s="16" t="s">
        <v>335</v>
      </c>
      <c r="O355" s="16" t="s">
        <v>425</v>
      </c>
      <c r="P355" s="16" t="s">
        <v>420</v>
      </c>
      <c r="Q355" s="20" t="n">
        <v>46285</v>
      </c>
      <c r="R355" s="16" t="s">
        <v>1540</v>
      </c>
      <c r="S355" s="16" t="s">
        <v>404</v>
      </c>
      <c r="T355" s="17"/>
      <c r="U355" s="21" t="n">
        <v>1</v>
      </c>
      <c r="V355" s="21" t="n">
        <v>1</v>
      </c>
      <c r="W355" s="22" t="n">
        <v>5.6</v>
      </c>
      <c r="X355" s="16" t="s">
        <v>335</v>
      </c>
      <c r="Y355" s="16" t="s">
        <v>338</v>
      </c>
      <c r="Z355" s="16" t="s">
        <v>413</v>
      </c>
      <c r="AA355" s="16" t="s">
        <v>414</v>
      </c>
      <c r="AB355" s="23" t="s">
        <v>1541</v>
      </c>
      <c r="AC355" s="17" t="n">
        <v>46285.7349305556</v>
      </c>
      <c r="AD355" s="16" t="s">
        <v>338</v>
      </c>
      <c r="AE355" s="16"/>
      <c r="AF355" s="16" t="str">
        <f aca="false">IF(COUNTIF(لیست_سفید!$A$2:$A$21,B355)&gt;0,"بله","خیر")</f>
        <v>خیر</v>
      </c>
      <c r="AG355" s="24" t="n">
        <f aca="false">IF(H355="","",IF(AD355="فیش مفقودی",تنظیمات!$B$6,(INT(I355/1440)*تنظیمات!$B$5+IF(MOD(I355,1440)&lt;=تنظیمات!$B$2,0,MIN(تنظیمات!$B$5,تنظیمات!$B$3+MAX(0,ROUNDUP((MOD(I355,1440)-60)/60,0))*تنظیمات!$B$4)))*INDEX(تعرفه!$B$2:$B$7,MATCH(AD355,تعرفه!$A$2:$A$7,0))))</f>
        <v>20000</v>
      </c>
      <c r="AH355" s="24" t="n">
        <v>20000</v>
      </c>
      <c r="AI355" s="24" t="n">
        <f aca="false">IF(AG355="","",AH355-AG355)</f>
        <v>0</v>
      </c>
      <c r="AJ355" s="21" t="n">
        <v>0</v>
      </c>
      <c r="AK355" s="21" t="n">
        <v>580</v>
      </c>
      <c r="AL355" s="16" t="s">
        <v>340</v>
      </c>
      <c r="AM355" s="16"/>
      <c r="AN355" s="16" t="s">
        <v>340</v>
      </c>
      <c r="AO355" s="16" t="s">
        <v>340</v>
      </c>
      <c r="AP355" s="16" t="s">
        <v>335</v>
      </c>
      <c r="AQ355" s="16"/>
      <c r="AR355" s="21" t="n">
        <f aca="false">IF(AND(T355&lt;&gt;"",H355&lt;&gt;""),IF(AND((T355-H355)*86400&gt;=0,(T355-H355)*86400&lt;تنظیمات!$B$13),1,0),0)</f>
        <v>0</v>
      </c>
      <c r="AS355" s="21" t="n">
        <f aca="false">IF(Z355="پوز",IF(OR(AB355="",COUNTIF(پوزها!$A$2:$A$5,AA355)=0),1,0),0)</f>
        <v>0</v>
      </c>
      <c r="AT355" s="21" t="n">
        <f aca="false">IF(AI355="",0,IF(AI355&gt;0,1,0))</f>
        <v>0</v>
      </c>
      <c r="AU355" s="21" t="n">
        <f aca="false">IF(AI355="",0,IF(AI355&lt;0,1,0))</f>
        <v>0</v>
      </c>
      <c r="AV355" s="21" t="n">
        <f aca="false">IF(U355&gt;V355,1,0)</f>
        <v>0</v>
      </c>
      <c r="AW355" s="21" t="n">
        <f aca="false">IF(OR(W355&gt;تنظیمات!$B$8,X355="بله"),1,0)</f>
        <v>0</v>
      </c>
      <c r="AX355" s="21" t="n">
        <f aca="false">IF(AND(N355="بله",L355&gt;تنظیمات!$B$9),1,0)</f>
        <v>0</v>
      </c>
      <c r="AY355" s="21" t="n">
        <f aca="false">IF(Y355="معکوس",1,0)</f>
        <v>0</v>
      </c>
      <c r="AZ355" s="21" t="n">
        <f aca="false">IF(ABS(AJ355)&gt;تنظیمات!$B$10,1,0)</f>
        <v>0</v>
      </c>
      <c r="BA355" s="21" t="n">
        <f aca="false">IF(AND(OR(AD355="رایگان/VIP",AD355="جانباز"),AF355="خیر"),1,0)</f>
        <v>0</v>
      </c>
      <c r="BB355" s="21" t="n">
        <f aca="false">IF(AE355="",0,IF(COUNTIF($AE$2:$AE$1001,AE355)&gt;1,1,0))</f>
        <v>0</v>
      </c>
      <c r="BC355" s="21" t="n">
        <f aca="false">IF(AND(H355="",I355&gt;تنظیمات!$B$12*60,AM355="خالی"),1,0)</f>
        <v>0</v>
      </c>
      <c r="BD355" s="21" t="n">
        <f aca="false">IF(AND(AP355="بله",I355&lt;تنظیمات!$B$14,AO355="خیر"),1,0)</f>
        <v>0</v>
      </c>
      <c r="BE355" s="21" t="n">
        <f aca="false">IF(AN355="خیر",1,0)</f>
        <v>0</v>
      </c>
      <c r="BF355" s="21" t="n">
        <f aca="false">IF(AND(AD355="فیش مفقودی",AQ355="بله",I355&gt;تنظیمات!$B$12*60),1,0)</f>
        <v>0</v>
      </c>
      <c r="BG355" s="21" t="n">
        <f aca="false">IF(AND(AK355&gt;تنظیمات!$B$11,AL355="بله"),1,0)</f>
        <v>1</v>
      </c>
      <c r="BH355" s="21" t="n">
        <f aca="false">MIN(100,AR355*تنظیمات!$B$21+AS355*تنظیمات!$B$22+AT355*تنظیمات!$B$23+AU355*تنظیمات!$B$24+AV355*تنظیمات!$B$25+AW355*تنظیمات!$B$26+AX355*تنظیمات!$B$27+AY355*تنظیمات!$B$28+AZ355*تنظیمات!$B$29+BA355*تنظیمات!$B$30+BB355*تنظیمات!$B$31+BC355*تنظیمات!$B$32+BD355*تنظیمات!$B$33+BE355*تنظیمات!$B$34+BF355*تنظیمات!$B$35+BG355*تنظیمات!$B$36)</f>
        <v>15</v>
      </c>
      <c r="BI355" s="16" t="str">
        <f aca="false">IF(BH355&gt;=60,"بحرانی",IF(BH355&gt;=30,"مشکوک",IF(BH355&gt;0,"هشدار","عادی")))</f>
        <v>هشدار</v>
      </c>
      <c r="BJ355" s="16" t="s">
        <v>918</v>
      </c>
    </row>
    <row r="356" customFormat="false" ht="15" hidden="false" customHeight="false" outlineLevel="0" collapsed="false">
      <c r="A356" s="16" t="s">
        <v>1542</v>
      </c>
      <c r="B356" s="16" t="s">
        <v>983</v>
      </c>
      <c r="C356" s="16"/>
      <c r="D356" s="16" t="s">
        <v>450</v>
      </c>
      <c r="E356" s="16" t="s">
        <v>351</v>
      </c>
      <c r="F356" s="16" t="s">
        <v>333</v>
      </c>
      <c r="G356" s="17" t="n">
        <v>46285.7027083333</v>
      </c>
      <c r="H356" s="17" t="n">
        <v>46285.7395138889</v>
      </c>
      <c r="I356" s="18" t="n">
        <f aca="false">IF(H356="",ROUND((تنظیمات!$B$7-G356)*1440,0),ROUND((H356-G356)*1440,0))</f>
        <v>53</v>
      </c>
      <c r="J356" s="16" t="s">
        <v>346</v>
      </c>
      <c r="K356" s="16" t="s">
        <v>400</v>
      </c>
      <c r="L356" s="19" t="n">
        <v>0.921</v>
      </c>
      <c r="M356" s="19" t="n">
        <v>0.947</v>
      </c>
      <c r="N356" s="16" t="s">
        <v>335</v>
      </c>
      <c r="O356" s="16" t="s">
        <v>677</v>
      </c>
      <c r="P356" s="16" t="s">
        <v>420</v>
      </c>
      <c r="Q356" s="20" t="n">
        <v>46285</v>
      </c>
      <c r="R356" s="16" t="s">
        <v>1543</v>
      </c>
      <c r="S356" s="16" t="s">
        <v>404</v>
      </c>
      <c r="T356" s="17"/>
      <c r="U356" s="21" t="n">
        <v>3</v>
      </c>
      <c r="V356" s="21" t="n">
        <v>1</v>
      </c>
      <c r="W356" s="22" t="n">
        <v>11.2</v>
      </c>
      <c r="X356" s="16" t="s">
        <v>335</v>
      </c>
      <c r="Y356" s="16" t="s">
        <v>338</v>
      </c>
      <c r="Z356" s="16" t="s">
        <v>413</v>
      </c>
      <c r="AA356" s="16" t="s">
        <v>427</v>
      </c>
      <c r="AB356" s="23" t="s">
        <v>1544</v>
      </c>
      <c r="AC356" s="17" t="n">
        <v>46285.7387615741</v>
      </c>
      <c r="AD356" s="16" t="s">
        <v>338</v>
      </c>
      <c r="AE356" s="16"/>
      <c r="AF356" s="16" t="str">
        <f aca="false">IF(COUNTIF(لیست_سفید!$A$2:$A$21,B356)&gt;0,"بله","خیر")</f>
        <v>خیر</v>
      </c>
      <c r="AG356" s="24" t="n">
        <f aca="false">IF(H356="","",IF(AD356="فیش مفقودی",تنظیمات!$B$6,(INT(I356/1440)*تنظیمات!$B$5+IF(MOD(I356,1440)&lt;=تنظیمات!$B$2,0,MIN(تنظیمات!$B$5,تنظیمات!$B$3+MAX(0,ROUNDUP((MOD(I356,1440)-60)/60,0))*تنظیمات!$B$4)))*INDEX(تعرفه!$B$2:$B$7,MATCH(AD356,تعرفه!$A$2:$A$7,0))))</f>
        <v>20000</v>
      </c>
      <c r="AH356" s="24" t="n">
        <v>20000</v>
      </c>
      <c r="AI356" s="24" t="n">
        <f aca="false">IF(AG356="","",AH356-AG356)</f>
        <v>0</v>
      </c>
      <c r="AJ356" s="21" t="n">
        <v>-2</v>
      </c>
      <c r="AK356" s="21" t="n">
        <v>0</v>
      </c>
      <c r="AL356" s="16" t="s">
        <v>335</v>
      </c>
      <c r="AM356" s="16"/>
      <c r="AN356" s="16" t="s">
        <v>340</v>
      </c>
      <c r="AO356" s="16" t="s">
        <v>340</v>
      </c>
      <c r="AP356" s="16" t="s">
        <v>335</v>
      </c>
      <c r="AQ356" s="16"/>
      <c r="AR356" s="21" t="n">
        <f aca="false">IF(AND(T356&lt;&gt;"",H356&lt;&gt;""),IF(AND((T356-H356)*86400&gt;=0,(T356-H356)*86400&lt;تنظیمات!$B$13),1,0),0)</f>
        <v>0</v>
      </c>
      <c r="AS356" s="21" t="n">
        <f aca="false">IF(Z356="پوز",IF(OR(AB356="",COUNTIF(پوزها!$A$2:$A$5,AA356)=0),1,0),0)</f>
        <v>0</v>
      </c>
      <c r="AT356" s="21" t="n">
        <f aca="false">IF(AI356="",0,IF(AI356&gt;0,1,0))</f>
        <v>0</v>
      </c>
      <c r="AU356" s="21" t="n">
        <f aca="false">IF(AI356="",0,IF(AI356&lt;0,1,0))</f>
        <v>0</v>
      </c>
      <c r="AV356" s="21" t="n">
        <f aca="false">IF(U356&gt;V356,1,0)</f>
        <v>1</v>
      </c>
      <c r="AW356" s="21" t="n">
        <f aca="false">IF(OR(W356&gt;تنظیمات!$B$8,X356="بله"),1,0)</f>
        <v>0</v>
      </c>
      <c r="AX356" s="21" t="n">
        <f aca="false">IF(AND(N356="بله",L356&gt;تنظیمات!$B$9),1,0)</f>
        <v>0</v>
      </c>
      <c r="AY356" s="21" t="n">
        <f aca="false">IF(Y356="معکوس",1,0)</f>
        <v>0</v>
      </c>
      <c r="AZ356" s="21" t="n">
        <f aca="false">IF(ABS(AJ356)&gt;تنظیمات!$B$10,1,0)</f>
        <v>0</v>
      </c>
      <c r="BA356" s="21" t="n">
        <f aca="false">IF(AND(OR(AD356="رایگان/VIP",AD356="جانباز"),AF356="خیر"),1,0)</f>
        <v>0</v>
      </c>
      <c r="BB356" s="21" t="n">
        <f aca="false">IF(AE356="",0,IF(COUNTIF($AE$2:$AE$1001,AE356)&gt;1,1,0))</f>
        <v>0</v>
      </c>
      <c r="BC356" s="21" t="n">
        <f aca="false">IF(AND(H356="",I356&gt;تنظیمات!$B$12*60,AM356="خالی"),1,0)</f>
        <v>0</v>
      </c>
      <c r="BD356" s="21" t="n">
        <f aca="false">IF(AND(AP356="بله",I356&lt;تنظیمات!$B$14,AO356="خیر"),1,0)</f>
        <v>0</v>
      </c>
      <c r="BE356" s="21" t="n">
        <f aca="false">IF(AN356="خیر",1,0)</f>
        <v>0</v>
      </c>
      <c r="BF356" s="21" t="n">
        <f aca="false">IF(AND(AD356="فیش مفقودی",AQ356="بله",I356&gt;تنظیمات!$B$12*60),1,0)</f>
        <v>0</v>
      </c>
      <c r="BG356" s="21" t="n">
        <f aca="false">IF(AND(AK356&gt;تنظیمات!$B$11,AL356="بله"),1,0)</f>
        <v>0</v>
      </c>
      <c r="BH356" s="21" t="n">
        <f aca="false">MIN(100,AR356*تنظیمات!$B$21+AS356*تنظیمات!$B$22+AT356*تنظیمات!$B$23+AU356*تنظیمات!$B$24+AV356*تنظیمات!$B$25+AW356*تنظیمات!$B$26+AX356*تنظیمات!$B$27+AY356*تنظیمات!$B$28+AZ356*تنظیمات!$B$29+BA356*تنظیمات!$B$30+BB356*تنظیمات!$B$31+BC356*تنظیمات!$B$32+BD356*تنظیمات!$B$33+BE356*تنظیمات!$B$34+BF356*تنظیمات!$B$35+BG356*تنظیمات!$B$36)</f>
        <v>30</v>
      </c>
      <c r="BI356" s="16" t="str">
        <f aca="false">IF(BH356&gt;=60,"بحرانی",IF(BH356&gt;=30,"مشکوک",IF(BH356&gt;0,"هشدار","عادی")))</f>
        <v>مشکوک</v>
      </c>
      <c r="BJ356" s="16" t="s">
        <v>516</v>
      </c>
    </row>
    <row r="357" customFormat="false" ht="15" hidden="false" customHeight="false" outlineLevel="0" collapsed="false">
      <c r="A357" s="16" t="s">
        <v>1545</v>
      </c>
      <c r="B357" s="16" t="s">
        <v>1546</v>
      </c>
      <c r="C357" s="16"/>
      <c r="D357" s="16" t="s">
        <v>418</v>
      </c>
      <c r="E357" s="16" t="s">
        <v>332</v>
      </c>
      <c r="F357" s="16" t="s">
        <v>333</v>
      </c>
      <c r="G357" s="17" t="n">
        <v>46285.7036458333</v>
      </c>
      <c r="H357" s="17" t="n">
        <v>46285.7411458333</v>
      </c>
      <c r="I357" s="18" t="n">
        <f aca="false">IF(H357="",ROUND((تنظیمات!$B$7-G357)*1440,0),ROUND((H357-G357)*1440,0))</f>
        <v>54</v>
      </c>
      <c r="J357" s="16" t="s">
        <v>346</v>
      </c>
      <c r="K357" s="16" t="s">
        <v>410</v>
      </c>
      <c r="L357" s="19" t="n">
        <v>0.921</v>
      </c>
      <c r="M357" s="19" t="n">
        <v>0.98</v>
      </c>
      <c r="N357" s="16" t="s">
        <v>335</v>
      </c>
      <c r="O357" s="16" t="s">
        <v>425</v>
      </c>
      <c r="P357" s="16" t="s">
        <v>420</v>
      </c>
      <c r="Q357" s="20" t="n">
        <v>46285</v>
      </c>
      <c r="R357" s="16" t="s">
        <v>1547</v>
      </c>
      <c r="S357" s="16" t="s">
        <v>404</v>
      </c>
      <c r="T357" s="17"/>
      <c r="U357" s="21" t="n">
        <v>1</v>
      </c>
      <c r="V357" s="21" t="n">
        <v>1</v>
      </c>
      <c r="W357" s="22" t="n">
        <v>2.5</v>
      </c>
      <c r="X357" s="16" t="s">
        <v>335</v>
      </c>
      <c r="Y357" s="16" t="s">
        <v>338</v>
      </c>
      <c r="Z357" s="16" t="s">
        <v>405</v>
      </c>
      <c r="AA357" s="16"/>
      <c r="AB357" s="23"/>
      <c r="AC357" s="17"/>
      <c r="AD357" s="16" t="s">
        <v>338</v>
      </c>
      <c r="AE357" s="16"/>
      <c r="AF357" s="16" t="str">
        <f aca="false">IF(COUNTIF(لیست_سفید!$A$2:$A$21,B357)&gt;0,"بله","خیر")</f>
        <v>خیر</v>
      </c>
      <c r="AG357" s="24" t="n">
        <f aca="false">IF(H357="","",IF(AD357="فیش مفقودی",تنظیمات!$B$6,(INT(I357/1440)*تنظیمات!$B$5+IF(MOD(I357,1440)&lt;=تنظیمات!$B$2,0,MIN(تنظیمات!$B$5,تنظیمات!$B$3+MAX(0,ROUNDUP((MOD(I357,1440)-60)/60,0))*تنظیمات!$B$4)))*INDEX(تعرفه!$B$2:$B$7,MATCH(AD357,تعرفه!$A$2:$A$7,0))))</f>
        <v>20000</v>
      </c>
      <c r="AH357" s="24" t="n">
        <v>20000</v>
      </c>
      <c r="AI357" s="24" t="n">
        <f aca="false">IF(AG357="","",AH357-AG357)</f>
        <v>0</v>
      </c>
      <c r="AJ357" s="21" t="n">
        <v>0</v>
      </c>
      <c r="AK357" s="21" t="n">
        <v>0</v>
      </c>
      <c r="AL357" s="16" t="s">
        <v>335</v>
      </c>
      <c r="AM357" s="16"/>
      <c r="AN357" s="16" t="s">
        <v>340</v>
      </c>
      <c r="AO357" s="16" t="s">
        <v>340</v>
      </c>
      <c r="AP357" s="16" t="s">
        <v>335</v>
      </c>
      <c r="AQ357" s="16"/>
      <c r="AR357" s="21" t="n">
        <f aca="false">IF(AND(T357&lt;&gt;"",H357&lt;&gt;""),IF(AND((T357-H357)*86400&gt;=0,(T357-H357)*86400&lt;تنظیمات!$B$13),1,0),0)</f>
        <v>0</v>
      </c>
      <c r="AS357" s="21" t="n">
        <f aca="false">IF(Z357="پوز",IF(OR(AB357="",COUNTIF(پوزها!$A$2:$A$5,AA357)=0),1,0),0)</f>
        <v>0</v>
      </c>
      <c r="AT357" s="21" t="n">
        <f aca="false">IF(AI357="",0,IF(AI357&gt;0,1,0))</f>
        <v>0</v>
      </c>
      <c r="AU357" s="21" t="n">
        <f aca="false">IF(AI357="",0,IF(AI357&lt;0,1,0))</f>
        <v>0</v>
      </c>
      <c r="AV357" s="21" t="n">
        <f aca="false">IF(U357&gt;V357,1,0)</f>
        <v>0</v>
      </c>
      <c r="AW357" s="21" t="n">
        <f aca="false">IF(OR(W357&gt;تنظیمات!$B$8,X357="بله"),1,0)</f>
        <v>0</v>
      </c>
      <c r="AX357" s="21" t="n">
        <f aca="false">IF(AND(N357="بله",L357&gt;تنظیمات!$B$9),1,0)</f>
        <v>0</v>
      </c>
      <c r="AY357" s="21" t="n">
        <f aca="false">IF(Y357="معکوس",1,0)</f>
        <v>0</v>
      </c>
      <c r="AZ357" s="21" t="n">
        <f aca="false">IF(ABS(AJ357)&gt;تنظیمات!$B$10,1,0)</f>
        <v>0</v>
      </c>
      <c r="BA357" s="21" t="n">
        <f aca="false">IF(AND(OR(AD357="رایگان/VIP",AD357="جانباز"),AF357="خیر"),1,0)</f>
        <v>0</v>
      </c>
      <c r="BB357" s="21" t="n">
        <f aca="false">IF(AE357="",0,IF(COUNTIF($AE$2:$AE$1001,AE357)&gt;1,1,0))</f>
        <v>0</v>
      </c>
      <c r="BC357" s="21" t="n">
        <f aca="false">IF(AND(H357="",I357&gt;تنظیمات!$B$12*60,AM357="خالی"),1,0)</f>
        <v>0</v>
      </c>
      <c r="BD357" s="21" t="n">
        <f aca="false">IF(AND(AP357="بله",I357&lt;تنظیمات!$B$14,AO357="خیر"),1,0)</f>
        <v>0</v>
      </c>
      <c r="BE357" s="21" t="n">
        <f aca="false">IF(AN357="خیر",1,0)</f>
        <v>0</v>
      </c>
      <c r="BF357" s="21" t="n">
        <f aca="false">IF(AND(AD357="فیش مفقودی",AQ357="بله",I357&gt;تنظیمات!$B$12*60),1,0)</f>
        <v>0</v>
      </c>
      <c r="BG357" s="21" t="n">
        <f aca="false">IF(AND(AK357&gt;تنظیمات!$B$11,AL357="بله"),1,0)</f>
        <v>0</v>
      </c>
      <c r="BH357" s="21" t="n">
        <f aca="false">MIN(100,AR357*تنظیمات!$B$21+AS357*تنظیمات!$B$22+AT357*تنظیمات!$B$23+AU357*تنظیمات!$B$24+AV357*تنظیمات!$B$25+AW357*تنظیمات!$B$26+AX357*تنظیمات!$B$27+AY357*تنظیمات!$B$28+AZ357*تنظیمات!$B$29+BA357*تنظیمات!$B$30+BB357*تنظیمات!$B$31+BC357*تنظیمات!$B$32+BD357*تنظیمات!$B$33+BE357*تنظیمات!$B$34+BF357*تنظیمات!$B$35+BG357*تنظیمات!$B$36)</f>
        <v>0</v>
      </c>
      <c r="BI357" s="16" t="str">
        <f aca="false">IF(BH357&gt;=60,"بحرانی",IF(BH357&gt;=30,"مشکوک",IF(BH357&gt;0,"هشدار","عادی")))</f>
        <v>عادی</v>
      </c>
      <c r="BJ357" s="16" t="s">
        <v>338</v>
      </c>
    </row>
    <row r="358" customFormat="false" ht="15" hidden="false" customHeight="false" outlineLevel="0" collapsed="false">
      <c r="A358" s="16" t="s">
        <v>1548</v>
      </c>
      <c r="B358" s="16" t="s">
        <v>1549</v>
      </c>
      <c r="C358" s="16"/>
      <c r="D358" s="16" t="s">
        <v>358</v>
      </c>
      <c r="E358" s="16" t="s">
        <v>363</v>
      </c>
      <c r="F358" s="16" t="s">
        <v>359</v>
      </c>
      <c r="G358" s="17" t="n">
        <v>46285.7082291667</v>
      </c>
      <c r="H358" s="17" t="n">
        <v>46285.9422569444</v>
      </c>
      <c r="I358" s="18" t="n">
        <f aca="false">IF(H358="",ROUND((تنظیمات!$B$7-G358)*1440,0),ROUND((H358-G358)*1440,0))</f>
        <v>337</v>
      </c>
      <c r="J358" s="16" t="s">
        <v>334</v>
      </c>
      <c r="K358" s="16" t="s">
        <v>400</v>
      </c>
      <c r="L358" s="19" t="n">
        <v>0.908</v>
      </c>
      <c r="M358" s="19" t="n">
        <v>0.969</v>
      </c>
      <c r="N358" s="16" t="s">
        <v>335</v>
      </c>
      <c r="O358" s="16" t="s">
        <v>441</v>
      </c>
      <c r="P358" s="16" t="s">
        <v>651</v>
      </c>
      <c r="Q358" s="20" t="n">
        <v>46285</v>
      </c>
      <c r="R358" s="16" t="s">
        <v>1550</v>
      </c>
      <c r="S358" s="16" t="s">
        <v>404</v>
      </c>
      <c r="T358" s="17"/>
      <c r="U358" s="21" t="n">
        <v>1</v>
      </c>
      <c r="V358" s="21" t="n">
        <v>1</v>
      </c>
      <c r="W358" s="22" t="n">
        <v>6.1</v>
      </c>
      <c r="X358" s="16" t="s">
        <v>335</v>
      </c>
      <c r="Y358" s="16" t="s">
        <v>338</v>
      </c>
      <c r="Z358" s="16" t="s">
        <v>413</v>
      </c>
      <c r="AA358" s="16" t="s">
        <v>427</v>
      </c>
      <c r="AB358" s="23" t="s">
        <v>1551</v>
      </c>
      <c r="AC358" s="17" t="n">
        <v>46285.9418055556</v>
      </c>
      <c r="AD358" s="16" t="s">
        <v>338</v>
      </c>
      <c r="AE358" s="16"/>
      <c r="AF358" s="16" t="str">
        <f aca="false">IF(COUNTIF(لیست_سفید!$A$2:$A$21,B358)&gt;0,"بله","خیر")</f>
        <v>خیر</v>
      </c>
      <c r="AG358" s="24" t="n">
        <f aca="false">IF(H358="","",IF(AD358="فیش مفقودی",تنظیمات!$B$6,(INT(I358/1440)*تنظیمات!$B$5+IF(MOD(I358,1440)&lt;=تنظیمات!$B$2,0,MIN(تنظیمات!$B$5,تنظیمات!$B$3+MAX(0,ROUNDUP((MOD(I358,1440)-60)/60,0))*تنظیمات!$B$4)))*INDEX(تعرفه!$B$2:$B$7,MATCH(AD358,تعرفه!$A$2:$A$7,0))))</f>
        <v>90000</v>
      </c>
      <c r="AH358" s="24" t="n">
        <v>90000</v>
      </c>
      <c r="AI358" s="24" t="n">
        <f aca="false">IF(AG358="","",AH358-AG358)</f>
        <v>0</v>
      </c>
      <c r="AJ358" s="21" t="n">
        <v>1</v>
      </c>
      <c r="AK358" s="21" t="n">
        <v>0</v>
      </c>
      <c r="AL358" s="16" t="s">
        <v>335</v>
      </c>
      <c r="AM358" s="16"/>
      <c r="AN358" s="16" t="s">
        <v>340</v>
      </c>
      <c r="AO358" s="16" t="s">
        <v>340</v>
      </c>
      <c r="AP358" s="16" t="s">
        <v>335</v>
      </c>
      <c r="AQ358" s="16"/>
      <c r="AR358" s="21" t="n">
        <f aca="false">IF(AND(T358&lt;&gt;"",H358&lt;&gt;""),IF(AND((T358-H358)*86400&gt;=0,(T358-H358)*86400&lt;تنظیمات!$B$13),1,0),0)</f>
        <v>0</v>
      </c>
      <c r="AS358" s="21" t="n">
        <f aca="false">IF(Z358="پوز",IF(OR(AB358="",COUNTIF(پوزها!$A$2:$A$5,AA358)=0),1,0),0)</f>
        <v>0</v>
      </c>
      <c r="AT358" s="21" t="n">
        <f aca="false">IF(AI358="",0,IF(AI358&gt;0,1,0))</f>
        <v>0</v>
      </c>
      <c r="AU358" s="21" t="n">
        <f aca="false">IF(AI358="",0,IF(AI358&lt;0,1,0))</f>
        <v>0</v>
      </c>
      <c r="AV358" s="21" t="n">
        <f aca="false">IF(U358&gt;V358,1,0)</f>
        <v>0</v>
      </c>
      <c r="AW358" s="21" t="n">
        <f aca="false">IF(OR(W358&gt;تنظیمات!$B$8,X358="بله"),1,0)</f>
        <v>0</v>
      </c>
      <c r="AX358" s="21" t="n">
        <f aca="false">IF(AND(N358="بله",L358&gt;تنظیمات!$B$9),1,0)</f>
        <v>0</v>
      </c>
      <c r="AY358" s="21" t="n">
        <f aca="false">IF(Y358="معکوس",1,0)</f>
        <v>0</v>
      </c>
      <c r="AZ358" s="21" t="n">
        <f aca="false">IF(ABS(AJ358)&gt;تنظیمات!$B$10,1,0)</f>
        <v>0</v>
      </c>
      <c r="BA358" s="21" t="n">
        <f aca="false">IF(AND(OR(AD358="رایگان/VIP",AD358="جانباز"),AF358="خیر"),1,0)</f>
        <v>0</v>
      </c>
      <c r="BB358" s="21" t="n">
        <f aca="false">IF(AE358="",0,IF(COUNTIF($AE$2:$AE$1001,AE358)&gt;1,1,0))</f>
        <v>0</v>
      </c>
      <c r="BC358" s="21" t="n">
        <f aca="false">IF(AND(H358="",I358&gt;تنظیمات!$B$12*60,AM358="خالی"),1,0)</f>
        <v>0</v>
      </c>
      <c r="BD358" s="21" t="n">
        <f aca="false">IF(AND(AP358="بله",I358&lt;تنظیمات!$B$14,AO358="خیر"),1,0)</f>
        <v>0</v>
      </c>
      <c r="BE358" s="21" t="n">
        <f aca="false">IF(AN358="خیر",1,0)</f>
        <v>0</v>
      </c>
      <c r="BF358" s="21" t="n">
        <f aca="false">IF(AND(AD358="فیش مفقودی",AQ358="بله",I358&gt;تنظیمات!$B$12*60),1,0)</f>
        <v>0</v>
      </c>
      <c r="BG358" s="21" t="n">
        <f aca="false">IF(AND(AK358&gt;تنظیمات!$B$11,AL358="بله"),1,0)</f>
        <v>0</v>
      </c>
      <c r="BH358" s="21" t="n">
        <f aca="false">MIN(100,AR358*تنظیمات!$B$21+AS358*تنظیمات!$B$22+AT358*تنظیمات!$B$23+AU358*تنظیمات!$B$24+AV358*تنظیمات!$B$25+AW358*تنظیمات!$B$26+AX358*تنظیمات!$B$27+AY358*تنظیمات!$B$28+AZ358*تنظیمات!$B$29+BA358*تنظیمات!$B$30+BB358*تنظیمات!$B$31+BC358*تنظیمات!$B$32+BD358*تنظیمات!$B$33+BE358*تنظیمات!$B$34+BF358*تنظیمات!$B$35+BG358*تنظیمات!$B$36)</f>
        <v>0</v>
      </c>
      <c r="BI358" s="16" t="str">
        <f aca="false">IF(BH358&gt;=60,"بحرانی",IF(BH358&gt;=30,"مشکوک",IF(BH358&gt;0,"هشدار","عادی")))</f>
        <v>عادی</v>
      </c>
      <c r="BJ358" s="16" t="s">
        <v>338</v>
      </c>
    </row>
    <row r="359" customFormat="false" ht="15" hidden="false" customHeight="false" outlineLevel="0" collapsed="false">
      <c r="A359" s="16" t="s">
        <v>1552</v>
      </c>
      <c r="B359" s="16" t="s">
        <v>958</v>
      </c>
      <c r="C359" s="16"/>
      <c r="D359" s="16" t="s">
        <v>431</v>
      </c>
      <c r="E359" s="16" t="s">
        <v>351</v>
      </c>
      <c r="F359" s="16" t="s">
        <v>333</v>
      </c>
      <c r="G359" s="17" t="n">
        <v>46285.7093402778</v>
      </c>
      <c r="H359" s="17" t="n">
        <v>46285.7148958333</v>
      </c>
      <c r="I359" s="18" t="n">
        <f aca="false">IF(H359="",ROUND((تنظیمات!$B$7-G359)*1440,0),ROUND((H359-G359)*1440,0))</f>
        <v>8</v>
      </c>
      <c r="J359" s="16" t="s">
        <v>346</v>
      </c>
      <c r="K359" s="16" t="s">
        <v>410</v>
      </c>
      <c r="L359" s="19" t="n">
        <v>0.945</v>
      </c>
      <c r="M359" s="19" t="n">
        <v>0.967</v>
      </c>
      <c r="N359" s="16" t="s">
        <v>335</v>
      </c>
      <c r="O359" s="16" t="s">
        <v>425</v>
      </c>
      <c r="P359" s="16" t="s">
        <v>420</v>
      </c>
      <c r="Q359" s="20" t="n">
        <v>46285</v>
      </c>
      <c r="R359" s="16" t="s">
        <v>1553</v>
      </c>
      <c r="S359" s="16" t="s">
        <v>404</v>
      </c>
      <c r="T359" s="17"/>
      <c r="U359" s="21" t="n">
        <v>1</v>
      </c>
      <c r="V359" s="21" t="n">
        <v>1</v>
      </c>
      <c r="W359" s="22" t="n">
        <v>3.8</v>
      </c>
      <c r="X359" s="16" t="s">
        <v>335</v>
      </c>
      <c r="Y359" s="16" t="s">
        <v>338</v>
      </c>
      <c r="Z359" s="16" t="s">
        <v>628</v>
      </c>
      <c r="AA359" s="16"/>
      <c r="AB359" s="23"/>
      <c r="AC359" s="17"/>
      <c r="AD359" s="16" t="s">
        <v>338</v>
      </c>
      <c r="AE359" s="16"/>
      <c r="AF359" s="16" t="str">
        <f aca="false">IF(COUNTIF(لیست_سفید!$A$2:$A$21,B359)&gt;0,"بله","خیر")</f>
        <v>خیر</v>
      </c>
      <c r="AG359" s="24" t="n">
        <f aca="false">IF(H359="","",IF(AD359="فیش مفقودی",تنظیمات!$B$6,(INT(I359/1440)*تنظیمات!$B$5+IF(MOD(I359,1440)&lt;=تنظیمات!$B$2,0,MIN(تنظیمات!$B$5,تنظیمات!$B$3+MAX(0,ROUNDUP((MOD(I359,1440)-60)/60,0))*تنظیمات!$B$4)))*INDEX(تعرفه!$B$2:$B$7,MATCH(AD359,تعرفه!$A$2:$A$7,0))))</f>
        <v>0</v>
      </c>
      <c r="AH359" s="24" t="n">
        <v>0</v>
      </c>
      <c r="AI359" s="24" t="n">
        <f aca="false">IF(AG359="","",AH359-AG359)</f>
        <v>0</v>
      </c>
      <c r="AJ359" s="21" t="n">
        <v>6</v>
      </c>
      <c r="AK359" s="21" t="n">
        <v>0</v>
      </c>
      <c r="AL359" s="16" t="s">
        <v>335</v>
      </c>
      <c r="AM359" s="16"/>
      <c r="AN359" s="16" t="s">
        <v>340</v>
      </c>
      <c r="AO359" s="16" t="s">
        <v>340</v>
      </c>
      <c r="AP359" s="16" t="s">
        <v>335</v>
      </c>
      <c r="AQ359" s="16"/>
      <c r="AR359" s="21" t="n">
        <f aca="false">IF(AND(T359&lt;&gt;"",H359&lt;&gt;""),IF(AND((T359-H359)*86400&gt;=0,(T359-H359)*86400&lt;تنظیمات!$B$13),1,0),0)</f>
        <v>0</v>
      </c>
      <c r="AS359" s="21" t="n">
        <f aca="false">IF(Z359="پوز",IF(OR(AB359="",COUNTIF(پوزها!$A$2:$A$5,AA359)=0),1,0),0)</f>
        <v>0</v>
      </c>
      <c r="AT359" s="21" t="n">
        <f aca="false">IF(AI359="",0,IF(AI359&gt;0,1,0))</f>
        <v>0</v>
      </c>
      <c r="AU359" s="21" t="n">
        <f aca="false">IF(AI359="",0,IF(AI359&lt;0,1,0))</f>
        <v>0</v>
      </c>
      <c r="AV359" s="21" t="n">
        <f aca="false">IF(U359&gt;V359,1,0)</f>
        <v>0</v>
      </c>
      <c r="AW359" s="21" t="n">
        <f aca="false">IF(OR(W359&gt;تنظیمات!$B$8,X359="بله"),1,0)</f>
        <v>0</v>
      </c>
      <c r="AX359" s="21" t="n">
        <f aca="false">IF(AND(N359="بله",L359&gt;تنظیمات!$B$9),1,0)</f>
        <v>0</v>
      </c>
      <c r="AY359" s="21" t="n">
        <f aca="false">IF(Y359="معکوس",1,0)</f>
        <v>0</v>
      </c>
      <c r="AZ359" s="21" t="n">
        <f aca="false">IF(ABS(AJ359)&gt;تنظیمات!$B$10,1,0)</f>
        <v>0</v>
      </c>
      <c r="BA359" s="21" t="n">
        <f aca="false">IF(AND(OR(AD359="رایگان/VIP",AD359="جانباز"),AF359="خیر"),1,0)</f>
        <v>0</v>
      </c>
      <c r="BB359" s="21" t="n">
        <f aca="false">IF(AE359="",0,IF(COUNTIF($AE$2:$AE$1001,AE359)&gt;1,1,0))</f>
        <v>0</v>
      </c>
      <c r="BC359" s="21" t="n">
        <f aca="false">IF(AND(H359="",I359&gt;تنظیمات!$B$12*60,AM359="خالی"),1,0)</f>
        <v>0</v>
      </c>
      <c r="BD359" s="21" t="n">
        <f aca="false">IF(AND(AP359="بله",I359&lt;تنظیمات!$B$14,AO359="خیر"),1,0)</f>
        <v>0</v>
      </c>
      <c r="BE359" s="21" t="n">
        <f aca="false">IF(AN359="خیر",1,0)</f>
        <v>0</v>
      </c>
      <c r="BF359" s="21" t="n">
        <f aca="false">IF(AND(AD359="فیش مفقودی",AQ359="بله",I359&gt;تنظیمات!$B$12*60),1,0)</f>
        <v>0</v>
      </c>
      <c r="BG359" s="21" t="n">
        <f aca="false">IF(AND(AK359&gt;تنظیمات!$B$11,AL359="بله"),1,0)</f>
        <v>0</v>
      </c>
      <c r="BH359" s="21" t="n">
        <f aca="false">MIN(100,AR359*تنظیمات!$B$21+AS359*تنظیمات!$B$22+AT359*تنظیمات!$B$23+AU359*تنظیمات!$B$24+AV359*تنظیمات!$B$25+AW359*تنظیمات!$B$26+AX359*تنظیمات!$B$27+AY359*تنظیمات!$B$28+AZ359*تنظیمات!$B$29+BA359*تنظیمات!$B$30+BB359*تنظیمات!$B$31+BC359*تنظیمات!$B$32+BD359*تنظیمات!$B$33+BE359*تنظیمات!$B$34+BF359*تنظیمات!$B$35+BG359*تنظیمات!$B$36)</f>
        <v>0</v>
      </c>
      <c r="BI359" s="16" t="str">
        <f aca="false">IF(BH359&gt;=60,"بحرانی",IF(BH359&gt;=30,"مشکوک",IF(BH359&gt;0,"هشدار","عادی")))</f>
        <v>عادی</v>
      </c>
      <c r="BJ359" s="16" t="s">
        <v>338</v>
      </c>
    </row>
    <row r="360" customFormat="false" ht="15" hidden="false" customHeight="false" outlineLevel="0" collapsed="false">
      <c r="A360" s="16" t="s">
        <v>1554</v>
      </c>
      <c r="B360" s="16" t="s">
        <v>1016</v>
      </c>
      <c r="C360" s="16"/>
      <c r="D360" s="16" t="s">
        <v>531</v>
      </c>
      <c r="E360" s="16" t="s">
        <v>332</v>
      </c>
      <c r="F360" s="16" t="s">
        <v>333</v>
      </c>
      <c r="G360" s="17" t="n">
        <v>46285.7121643519</v>
      </c>
      <c r="H360" s="17" t="n">
        <v>46285.7628587963</v>
      </c>
      <c r="I360" s="18" t="n">
        <f aca="false">IF(H360="",ROUND((تنظیمات!$B$7-G360)*1440,0),ROUND((H360-G360)*1440,0))</f>
        <v>73</v>
      </c>
      <c r="J360" s="16" t="s">
        <v>334</v>
      </c>
      <c r="K360" s="16" t="s">
        <v>410</v>
      </c>
      <c r="L360" s="19" t="n">
        <v>0.916</v>
      </c>
      <c r="M360" s="19"/>
      <c r="N360" s="16" t="s">
        <v>335</v>
      </c>
      <c r="O360" s="16" t="s">
        <v>425</v>
      </c>
      <c r="P360" s="16" t="s">
        <v>420</v>
      </c>
      <c r="Q360" s="20" t="n">
        <v>46285</v>
      </c>
      <c r="R360" s="16" t="s">
        <v>1555</v>
      </c>
      <c r="S360" s="16" t="s">
        <v>404</v>
      </c>
      <c r="T360" s="17"/>
      <c r="U360" s="21" t="n">
        <v>1</v>
      </c>
      <c r="V360" s="21" t="n">
        <v>1</v>
      </c>
      <c r="W360" s="22" t="n">
        <v>6.5</v>
      </c>
      <c r="X360" s="16" t="s">
        <v>335</v>
      </c>
      <c r="Y360" s="16" t="s">
        <v>338</v>
      </c>
      <c r="Z360" s="16" t="s">
        <v>405</v>
      </c>
      <c r="AA360" s="16"/>
      <c r="AB360" s="23"/>
      <c r="AC360" s="17"/>
      <c r="AD360" s="16" t="s">
        <v>338</v>
      </c>
      <c r="AE360" s="16"/>
      <c r="AF360" s="16" t="str">
        <f aca="false">IF(COUNTIF(لیست_سفید!$A$2:$A$21,B360)&gt;0,"بله","خیر")</f>
        <v>خیر</v>
      </c>
      <c r="AG360" s="24" t="n">
        <f aca="false">IF(H360="","",IF(AD360="فیش مفقودی",تنظیمات!$B$6,(INT(I360/1440)*تنظیمات!$B$5+IF(MOD(I360,1440)&lt;=تنظیمات!$B$2,0,MIN(تنظیمات!$B$5,تنظیمات!$B$3+MAX(0,ROUNDUP((MOD(I360,1440)-60)/60,0))*تنظیمات!$B$4)))*INDEX(تعرفه!$B$2:$B$7,MATCH(AD360,تعرفه!$A$2:$A$7,0))))</f>
        <v>34000</v>
      </c>
      <c r="AH360" s="24" t="n">
        <v>34000</v>
      </c>
      <c r="AI360" s="24" t="n">
        <f aca="false">IF(AG360="","",AH360-AG360)</f>
        <v>0</v>
      </c>
      <c r="AJ360" s="21" t="n">
        <v>0</v>
      </c>
      <c r="AK360" s="21" t="n">
        <v>536</v>
      </c>
      <c r="AL360" s="16" t="s">
        <v>340</v>
      </c>
      <c r="AM360" s="16"/>
      <c r="AN360" s="16" t="s">
        <v>340</v>
      </c>
      <c r="AO360" s="16" t="s">
        <v>340</v>
      </c>
      <c r="AP360" s="16" t="s">
        <v>335</v>
      </c>
      <c r="AQ360" s="16"/>
      <c r="AR360" s="21" t="n">
        <f aca="false">IF(AND(T360&lt;&gt;"",H360&lt;&gt;""),IF(AND((T360-H360)*86400&gt;=0,(T360-H360)*86400&lt;تنظیمات!$B$13),1,0),0)</f>
        <v>0</v>
      </c>
      <c r="AS360" s="21" t="n">
        <f aca="false">IF(Z360="پوز",IF(OR(AB360="",COUNTIF(پوزها!$A$2:$A$5,AA360)=0),1,0),0)</f>
        <v>0</v>
      </c>
      <c r="AT360" s="21" t="n">
        <f aca="false">IF(AI360="",0,IF(AI360&gt;0,1,0))</f>
        <v>0</v>
      </c>
      <c r="AU360" s="21" t="n">
        <f aca="false">IF(AI360="",0,IF(AI360&lt;0,1,0))</f>
        <v>0</v>
      </c>
      <c r="AV360" s="21" t="n">
        <f aca="false">IF(U360&gt;V360,1,0)</f>
        <v>0</v>
      </c>
      <c r="AW360" s="21" t="n">
        <f aca="false">IF(OR(W360&gt;تنظیمات!$B$8,X360="بله"),1,0)</f>
        <v>0</v>
      </c>
      <c r="AX360" s="21" t="n">
        <f aca="false">IF(AND(N360="بله",L360&gt;تنظیمات!$B$9),1,0)</f>
        <v>0</v>
      </c>
      <c r="AY360" s="21" t="n">
        <f aca="false">IF(Y360="معکوس",1,0)</f>
        <v>0</v>
      </c>
      <c r="AZ360" s="21" t="n">
        <f aca="false">IF(ABS(AJ360)&gt;تنظیمات!$B$10,1,0)</f>
        <v>0</v>
      </c>
      <c r="BA360" s="21" t="n">
        <f aca="false">IF(AND(OR(AD360="رایگان/VIP",AD360="جانباز"),AF360="خیر"),1,0)</f>
        <v>0</v>
      </c>
      <c r="BB360" s="21" t="n">
        <f aca="false">IF(AE360="",0,IF(COUNTIF($AE$2:$AE$1001,AE360)&gt;1,1,0))</f>
        <v>0</v>
      </c>
      <c r="BC360" s="21" t="n">
        <f aca="false">IF(AND(H360="",I360&gt;تنظیمات!$B$12*60,AM360="خالی"),1,0)</f>
        <v>0</v>
      </c>
      <c r="BD360" s="21" t="n">
        <f aca="false">IF(AND(AP360="بله",I360&lt;تنظیمات!$B$14,AO360="خیر"),1,0)</f>
        <v>0</v>
      </c>
      <c r="BE360" s="21" t="n">
        <f aca="false">IF(AN360="خیر",1,0)</f>
        <v>0</v>
      </c>
      <c r="BF360" s="21" t="n">
        <f aca="false">IF(AND(AD360="فیش مفقودی",AQ360="بله",I360&gt;تنظیمات!$B$12*60),1,0)</f>
        <v>0</v>
      </c>
      <c r="BG360" s="21" t="n">
        <f aca="false">IF(AND(AK360&gt;تنظیمات!$B$11,AL360="بله"),1,0)</f>
        <v>1</v>
      </c>
      <c r="BH360" s="21" t="n">
        <f aca="false">MIN(100,AR360*تنظیمات!$B$21+AS360*تنظیمات!$B$22+AT360*تنظیمات!$B$23+AU360*تنظیمات!$B$24+AV360*تنظیمات!$B$25+AW360*تنظیمات!$B$26+AX360*تنظیمات!$B$27+AY360*تنظیمات!$B$28+AZ360*تنظیمات!$B$29+BA360*تنظیمات!$B$30+BB360*تنظیمات!$B$31+BC360*تنظیمات!$B$32+BD360*تنظیمات!$B$33+BE360*تنظیمات!$B$34+BF360*تنظیمات!$B$35+BG360*تنظیمات!$B$36)</f>
        <v>15</v>
      </c>
      <c r="BI360" s="16" t="str">
        <f aca="false">IF(BH360&gt;=60,"بحرانی",IF(BH360&gt;=30,"مشکوک",IF(BH360&gt;0,"هشدار","عادی")))</f>
        <v>هشدار</v>
      </c>
      <c r="BJ360" s="16" t="s">
        <v>918</v>
      </c>
    </row>
    <row r="361" customFormat="false" ht="15" hidden="false" customHeight="false" outlineLevel="0" collapsed="false">
      <c r="A361" s="16" t="s">
        <v>1556</v>
      </c>
      <c r="B361" s="16" t="s">
        <v>624</v>
      </c>
      <c r="C361" s="16"/>
      <c r="D361" s="16" t="s">
        <v>469</v>
      </c>
      <c r="E361" s="16" t="s">
        <v>332</v>
      </c>
      <c r="F361" s="16" t="s">
        <v>359</v>
      </c>
      <c r="G361" s="17" t="n">
        <v>46285.7128356482</v>
      </c>
      <c r="H361" s="17" t="n">
        <v>46285.7621412037</v>
      </c>
      <c r="I361" s="18" t="n">
        <f aca="false">IF(H361="",ROUND((تنظیمات!$B$7-G361)*1440,0),ROUND((H361-G361)*1440,0))</f>
        <v>71</v>
      </c>
      <c r="J361" s="16" t="s">
        <v>334</v>
      </c>
      <c r="K361" s="16" t="s">
        <v>400</v>
      </c>
      <c r="L361" s="19" t="n">
        <v>0.965</v>
      </c>
      <c r="M361" s="19" t="n">
        <v>0.9</v>
      </c>
      <c r="N361" s="16" t="s">
        <v>335</v>
      </c>
      <c r="O361" s="16" t="s">
        <v>677</v>
      </c>
      <c r="P361" s="16" t="s">
        <v>420</v>
      </c>
      <c r="Q361" s="20" t="n">
        <v>46285</v>
      </c>
      <c r="R361" s="16" t="s">
        <v>1557</v>
      </c>
      <c r="S361" s="16" t="s">
        <v>404</v>
      </c>
      <c r="T361" s="17"/>
      <c r="U361" s="21" t="n">
        <v>1</v>
      </c>
      <c r="V361" s="21" t="n">
        <v>1</v>
      </c>
      <c r="W361" s="22" t="n">
        <v>5.2</v>
      </c>
      <c r="X361" s="16" t="s">
        <v>335</v>
      </c>
      <c r="Y361" s="16" t="s">
        <v>338</v>
      </c>
      <c r="Z361" s="16" t="s">
        <v>413</v>
      </c>
      <c r="AA361" s="16" t="s">
        <v>427</v>
      </c>
      <c r="AB361" s="23" t="s">
        <v>1558</v>
      </c>
      <c r="AC361" s="17" t="n">
        <v>46285.7611921296</v>
      </c>
      <c r="AD361" s="16" t="s">
        <v>338</v>
      </c>
      <c r="AE361" s="16"/>
      <c r="AF361" s="16" t="str">
        <f aca="false">IF(COUNTIF(لیست_سفید!$A$2:$A$21,B361)&gt;0,"بله","خیر")</f>
        <v>خیر</v>
      </c>
      <c r="AG361" s="24" t="n">
        <f aca="false">IF(H361="","",IF(AD361="فیش مفقودی",تنظیمات!$B$6,(INT(I361/1440)*تنظیمات!$B$5+IF(MOD(I361,1440)&lt;=تنظیمات!$B$2,0,MIN(تنظیمات!$B$5,تنظیمات!$B$3+MAX(0,ROUNDUP((MOD(I361,1440)-60)/60,0))*تنظیمات!$B$4)))*INDEX(تعرفه!$B$2:$B$7,MATCH(AD361,تعرفه!$A$2:$A$7,0))))</f>
        <v>34000</v>
      </c>
      <c r="AH361" s="24" t="n">
        <v>34000</v>
      </c>
      <c r="AI361" s="24" t="n">
        <f aca="false">IF(AG361="","",AH361-AG361)</f>
        <v>0</v>
      </c>
      <c r="AJ361" s="21" t="n">
        <v>0</v>
      </c>
      <c r="AK361" s="21" t="n">
        <v>0</v>
      </c>
      <c r="AL361" s="16" t="s">
        <v>335</v>
      </c>
      <c r="AM361" s="16"/>
      <c r="AN361" s="16" t="s">
        <v>340</v>
      </c>
      <c r="AO361" s="16" t="s">
        <v>340</v>
      </c>
      <c r="AP361" s="16" t="s">
        <v>335</v>
      </c>
      <c r="AQ361" s="16"/>
      <c r="AR361" s="21" t="n">
        <f aca="false">IF(AND(T361&lt;&gt;"",H361&lt;&gt;""),IF(AND((T361-H361)*86400&gt;=0,(T361-H361)*86400&lt;تنظیمات!$B$13),1,0),0)</f>
        <v>0</v>
      </c>
      <c r="AS361" s="21" t="n">
        <f aca="false">IF(Z361="پوز",IF(OR(AB361="",COUNTIF(پوزها!$A$2:$A$5,AA361)=0),1,0),0)</f>
        <v>0</v>
      </c>
      <c r="AT361" s="21" t="n">
        <f aca="false">IF(AI361="",0,IF(AI361&gt;0,1,0))</f>
        <v>0</v>
      </c>
      <c r="AU361" s="21" t="n">
        <f aca="false">IF(AI361="",0,IF(AI361&lt;0,1,0))</f>
        <v>0</v>
      </c>
      <c r="AV361" s="21" t="n">
        <f aca="false">IF(U361&gt;V361,1,0)</f>
        <v>0</v>
      </c>
      <c r="AW361" s="21" t="n">
        <f aca="false">IF(OR(W361&gt;تنظیمات!$B$8,X361="بله"),1,0)</f>
        <v>0</v>
      </c>
      <c r="AX361" s="21" t="n">
        <f aca="false">IF(AND(N361="بله",L361&gt;تنظیمات!$B$9),1,0)</f>
        <v>0</v>
      </c>
      <c r="AY361" s="21" t="n">
        <f aca="false">IF(Y361="معکوس",1,0)</f>
        <v>0</v>
      </c>
      <c r="AZ361" s="21" t="n">
        <f aca="false">IF(ABS(AJ361)&gt;تنظیمات!$B$10,1,0)</f>
        <v>0</v>
      </c>
      <c r="BA361" s="21" t="n">
        <f aca="false">IF(AND(OR(AD361="رایگان/VIP",AD361="جانباز"),AF361="خیر"),1,0)</f>
        <v>0</v>
      </c>
      <c r="BB361" s="21" t="n">
        <f aca="false">IF(AE361="",0,IF(COUNTIF($AE$2:$AE$1001,AE361)&gt;1,1,0))</f>
        <v>0</v>
      </c>
      <c r="BC361" s="21" t="n">
        <f aca="false">IF(AND(H361="",I361&gt;تنظیمات!$B$12*60,AM361="خالی"),1,0)</f>
        <v>0</v>
      </c>
      <c r="BD361" s="21" t="n">
        <f aca="false">IF(AND(AP361="بله",I361&lt;تنظیمات!$B$14,AO361="خیر"),1,0)</f>
        <v>0</v>
      </c>
      <c r="BE361" s="21" t="n">
        <f aca="false">IF(AN361="خیر",1,0)</f>
        <v>0</v>
      </c>
      <c r="BF361" s="21" t="n">
        <f aca="false">IF(AND(AD361="فیش مفقودی",AQ361="بله",I361&gt;تنظیمات!$B$12*60),1,0)</f>
        <v>0</v>
      </c>
      <c r="BG361" s="21" t="n">
        <f aca="false">IF(AND(AK361&gt;تنظیمات!$B$11,AL361="بله"),1,0)</f>
        <v>0</v>
      </c>
      <c r="BH361" s="21" t="n">
        <f aca="false">MIN(100,AR361*تنظیمات!$B$21+AS361*تنظیمات!$B$22+AT361*تنظیمات!$B$23+AU361*تنظیمات!$B$24+AV361*تنظیمات!$B$25+AW361*تنظیمات!$B$26+AX361*تنظیمات!$B$27+AY361*تنظیمات!$B$28+AZ361*تنظیمات!$B$29+BA361*تنظیمات!$B$30+BB361*تنظیمات!$B$31+BC361*تنظیمات!$B$32+BD361*تنظیمات!$B$33+BE361*تنظیمات!$B$34+BF361*تنظیمات!$B$35+BG361*تنظیمات!$B$36)</f>
        <v>0</v>
      </c>
      <c r="BI361" s="16" t="str">
        <f aca="false">IF(BH361&gt;=60,"بحرانی",IF(BH361&gt;=30,"مشکوک",IF(BH361&gt;0,"هشدار","عادی")))</f>
        <v>عادی</v>
      </c>
      <c r="BJ361" s="16" t="s">
        <v>338</v>
      </c>
    </row>
    <row r="362" customFormat="false" ht="15" hidden="false" customHeight="false" outlineLevel="0" collapsed="false">
      <c r="A362" s="16" t="s">
        <v>1559</v>
      </c>
      <c r="B362" s="16" t="s">
        <v>1255</v>
      </c>
      <c r="C362" s="16"/>
      <c r="D362" s="16" t="s">
        <v>523</v>
      </c>
      <c r="E362" s="16" t="s">
        <v>390</v>
      </c>
      <c r="F362" s="16" t="s">
        <v>333</v>
      </c>
      <c r="G362" s="17" t="n">
        <v>46285.713275463</v>
      </c>
      <c r="H362" s="17" t="n">
        <v>46285.7556365741</v>
      </c>
      <c r="I362" s="18" t="n">
        <f aca="false">IF(H362="",ROUND((تنظیمات!$B$7-G362)*1440,0),ROUND((H362-G362)*1440,0))</f>
        <v>61</v>
      </c>
      <c r="J362" s="16" t="s">
        <v>334</v>
      </c>
      <c r="K362" s="16" t="s">
        <v>400</v>
      </c>
      <c r="L362" s="19" t="n">
        <v>0.927</v>
      </c>
      <c r="M362" s="19" t="n">
        <v>0.924</v>
      </c>
      <c r="N362" s="16" t="s">
        <v>335</v>
      </c>
      <c r="O362" s="16" t="s">
        <v>677</v>
      </c>
      <c r="P362" s="16" t="s">
        <v>420</v>
      </c>
      <c r="Q362" s="20" t="n">
        <v>46285</v>
      </c>
      <c r="R362" s="16" t="s">
        <v>1560</v>
      </c>
      <c r="S362" s="16" t="s">
        <v>404</v>
      </c>
      <c r="T362" s="17"/>
      <c r="U362" s="21" t="n">
        <v>1</v>
      </c>
      <c r="V362" s="21" t="n">
        <v>1</v>
      </c>
      <c r="W362" s="22" t="n">
        <v>5.8</v>
      </c>
      <c r="X362" s="16" t="s">
        <v>335</v>
      </c>
      <c r="Y362" s="16" t="s">
        <v>338</v>
      </c>
      <c r="Z362" s="16" t="s">
        <v>405</v>
      </c>
      <c r="AA362" s="16"/>
      <c r="AB362" s="23"/>
      <c r="AC362" s="17"/>
      <c r="AD362" s="16" t="s">
        <v>338</v>
      </c>
      <c r="AE362" s="16"/>
      <c r="AF362" s="16" t="str">
        <f aca="false">IF(COUNTIF(لیست_سفید!$A$2:$A$21,B362)&gt;0,"بله","خیر")</f>
        <v>خیر</v>
      </c>
      <c r="AG362" s="24" t="n">
        <f aca="false">IF(H362="","",IF(AD362="فیش مفقودی",تنظیمات!$B$6,(INT(I362/1440)*تنظیمات!$B$5+IF(MOD(I362,1440)&lt;=تنظیمات!$B$2,0,MIN(تنظیمات!$B$5,تنظیمات!$B$3+MAX(0,ROUNDUP((MOD(I362,1440)-60)/60,0))*تنظیمات!$B$4)))*INDEX(تعرفه!$B$2:$B$7,MATCH(AD362,تعرفه!$A$2:$A$7,0))))</f>
        <v>34000</v>
      </c>
      <c r="AH362" s="24" t="n">
        <v>34000</v>
      </c>
      <c r="AI362" s="24" t="n">
        <f aca="false">IF(AG362="","",AH362-AG362)</f>
        <v>0</v>
      </c>
      <c r="AJ362" s="21" t="n">
        <v>-2</v>
      </c>
      <c r="AK362" s="21" t="n">
        <v>0</v>
      </c>
      <c r="AL362" s="16" t="s">
        <v>335</v>
      </c>
      <c r="AM362" s="16"/>
      <c r="AN362" s="16" t="s">
        <v>340</v>
      </c>
      <c r="AO362" s="16" t="s">
        <v>340</v>
      </c>
      <c r="AP362" s="16" t="s">
        <v>335</v>
      </c>
      <c r="AQ362" s="16"/>
      <c r="AR362" s="21" t="n">
        <f aca="false">IF(AND(T362&lt;&gt;"",H362&lt;&gt;""),IF(AND((T362-H362)*86400&gt;=0,(T362-H362)*86400&lt;تنظیمات!$B$13),1,0),0)</f>
        <v>0</v>
      </c>
      <c r="AS362" s="21" t="n">
        <f aca="false">IF(Z362="پوز",IF(OR(AB362="",COUNTIF(پوزها!$A$2:$A$5,AA362)=0),1,0),0)</f>
        <v>0</v>
      </c>
      <c r="AT362" s="21" t="n">
        <f aca="false">IF(AI362="",0,IF(AI362&gt;0,1,0))</f>
        <v>0</v>
      </c>
      <c r="AU362" s="21" t="n">
        <f aca="false">IF(AI362="",0,IF(AI362&lt;0,1,0))</f>
        <v>0</v>
      </c>
      <c r="AV362" s="21" t="n">
        <f aca="false">IF(U362&gt;V362,1,0)</f>
        <v>0</v>
      </c>
      <c r="AW362" s="21" t="n">
        <f aca="false">IF(OR(W362&gt;تنظیمات!$B$8,X362="بله"),1,0)</f>
        <v>0</v>
      </c>
      <c r="AX362" s="21" t="n">
        <f aca="false">IF(AND(N362="بله",L362&gt;تنظیمات!$B$9),1,0)</f>
        <v>0</v>
      </c>
      <c r="AY362" s="21" t="n">
        <f aca="false">IF(Y362="معکوس",1,0)</f>
        <v>0</v>
      </c>
      <c r="AZ362" s="21" t="n">
        <f aca="false">IF(ABS(AJ362)&gt;تنظیمات!$B$10,1,0)</f>
        <v>0</v>
      </c>
      <c r="BA362" s="21" t="n">
        <f aca="false">IF(AND(OR(AD362="رایگان/VIP",AD362="جانباز"),AF362="خیر"),1,0)</f>
        <v>0</v>
      </c>
      <c r="BB362" s="21" t="n">
        <f aca="false">IF(AE362="",0,IF(COUNTIF($AE$2:$AE$1001,AE362)&gt;1,1,0))</f>
        <v>0</v>
      </c>
      <c r="BC362" s="21" t="n">
        <f aca="false">IF(AND(H362="",I362&gt;تنظیمات!$B$12*60,AM362="خالی"),1,0)</f>
        <v>0</v>
      </c>
      <c r="BD362" s="21" t="n">
        <f aca="false">IF(AND(AP362="بله",I362&lt;تنظیمات!$B$14,AO362="خیر"),1,0)</f>
        <v>0</v>
      </c>
      <c r="BE362" s="21" t="n">
        <f aca="false">IF(AN362="خیر",1,0)</f>
        <v>0</v>
      </c>
      <c r="BF362" s="21" t="n">
        <f aca="false">IF(AND(AD362="فیش مفقودی",AQ362="بله",I362&gt;تنظیمات!$B$12*60),1,0)</f>
        <v>0</v>
      </c>
      <c r="BG362" s="21" t="n">
        <f aca="false">IF(AND(AK362&gt;تنظیمات!$B$11,AL362="بله"),1,0)</f>
        <v>0</v>
      </c>
      <c r="BH362" s="21" t="n">
        <f aca="false">MIN(100,AR362*تنظیمات!$B$21+AS362*تنظیمات!$B$22+AT362*تنظیمات!$B$23+AU362*تنظیمات!$B$24+AV362*تنظیمات!$B$25+AW362*تنظیمات!$B$26+AX362*تنظیمات!$B$27+AY362*تنظیمات!$B$28+AZ362*تنظیمات!$B$29+BA362*تنظیمات!$B$30+BB362*تنظیمات!$B$31+BC362*تنظیمات!$B$32+BD362*تنظیمات!$B$33+BE362*تنظیمات!$B$34+BF362*تنظیمات!$B$35+BG362*تنظیمات!$B$36)</f>
        <v>0</v>
      </c>
      <c r="BI362" s="16" t="str">
        <f aca="false">IF(BH362&gt;=60,"بحرانی",IF(BH362&gt;=30,"مشکوک",IF(BH362&gt;0,"هشدار","عادی")))</f>
        <v>عادی</v>
      </c>
      <c r="BJ362" s="16" t="s">
        <v>338</v>
      </c>
    </row>
    <row r="363" customFormat="false" ht="15" hidden="false" customHeight="false" outlineLevel="0" collapsed="false">
      <c r="A363" s="16" t="s">
        <v>1561</v>
      </c>
      <c r="B363" s="16" t="s">
        <v>705</v>
      </c>
      <c r="C363" s="16" t="s">
        <v>1562</v>
      </c>
      <c r="D363" s="16" t="s">
        <v>418</v>
      </c>
      <c r="E363" s="16" t="s">
        <v>345</v>
      </c>
      <c r="F363" s="16" t="s">
        <v>333</v>
      </c>
      <c r="G363" s="17" t="n">
        <v>46285.7218171296</v>
      </c>
      <c r="H363" s="17" t="n">
        <v>46285.7350115741</v>
      </c>
      <c r="I363" s="18" t="n">
        <f aca="false">IF(H363="",ROUND((تنظیمات!$B$7-G363)*1440,0),ROUND((H363-G363)*1440,0))</f>
        <v>19</v>
      </c>
      <c r="J363" s="16" t="s">
        <v>346</v>
      </c>
      <c r="K363" s="16" t="s">
        <v>410</v>
      </c>
      <c r="L363" s="19" t="n">
        <v>0.568</v>
      </c>
      <c r="M363" s="19" t="n">
        <v>0.908</v>
      </c>
      <c r="N363" s="16" t="s">
        <v>340</v>
      </c>
      <c r="O363" s="16" t="s">
        <v>425</v>
      </c>
      <c r="P363" s="16" t="s">
        <v>420</v>
      </c>
      <c r="Q363" s="20" t="n">
        <v>46285</v>
      </c>
      <c r="R363" s="16" t="s">
        <v>1563</v>
      </c>
      <c r="S363" s="16" t="s">
        <v>404</v>
      </c>
      <c r="T363" s="17"/>
      <c r="U363" s="21" t="n">
        <v>1</v>
      </c>
      <c r="V363" s="21" t="n">
        <v>1</v>
      </c>
      <c r="W363" s="22" t="n">
        <v>5</v>
      </c>
      <c r="X363" s="16" t="s">
        <v>335</v>
      </c>
      <c r="Y363" s="16" t="s">
        <v>338</v>
      </c>
      <c r="Z363" s="16" t="s">
        <v>413</v>
      </c>
      <c r="AA363" s="16" t="s">
        <v>414</v>
      </c>
      <c r="AB363" s="23" t="s">
        <v>1564</v>
      </c>
      <c r="AC363" s="17" t="n">
        <v>46285.7340740741</v>
      </c>
      <c r="AD363" s="16" t="s">
        <v>338</v>
      </c>
      <c r="AE363" s="16"/>
      <c r="AF363" s="16" t="str">
        <f aca="false">IF(COUNTIF(لیست_سفید!$A$2:$A$21,B363)&gt;0,"بله","خیر")</f>
        <v>خیر</v>
      </c>
      <c r="AG363" s="24" t="n">
        <f aca="false">IF(H363="","",IF(AD363="فیش مفقودی",تنظیمات!$B$6,(INT(I363/1440)*تنظیمات!$B$5+IF(MOD(I363,1440)&lt;=تنظیمات!$B$2,0,MIN(تنظیمات!$B$5,تنظیمات!$B$3+MAX(0,ROUNDUP((MOD(I363,1440)-60)/60,0))*تنظیمات!$B$4)))*INDEX(تعرفه!$B$2:$B$7,MATCH(AD363,تعرفه!$A$2:$A$7,0))))</f>
        <v>20000</v>
      </c>
      <c r="AH363" s="24" t="n">
        <v>20000</v>
      </c>
      <c r="AI363" s="24" t="n">
        <f aca="false">IF(AG363="","",AH363-AG363)</f>
        <v>0</v>
      </c>
      <c r="AJ363" s="21" t="n">
        <v>0</v>
      </c>
      <c r="AK363" s="21" t="n">
        <v>0</v>
      </c>
      <c r="AL363" s="16" t="s">
        <v>335</v>
      </c>
      <c r="AM363" s="16"/>
      <c r="AN363" s="16" t="s">
        <v>340</v>
      </c>
      <c r="AO363" s="16" t="s">
        <v>340</v>
      </c>
      <c r="AP363" s="16" t="s">
        <v>335</v>
      </c>
      <c r="AQ363" s="16"/>
      <c r="AR363" s="21" t="n">
        <f aca="false">IF(AND(T363&lt;&gt;"",H363&lt;&gt;""),IF(AND((T363-H363)*86400&gt;=0,(T363-H363)*86400&lt;تنظیمات!$B$13),1,0),0)</f>
        <v>0</v>
      </c>
      <c r="AS363" s="21" t="n">
        <f aca="false">IF(Z363="پوز",IF(OR(AB363="",COUNTIF(پوزها!$A$2:$A$5,AA363)=0),1,0),0)</f>
        <v>0</v>
      </c>
      <c r="AT363" s="21" t="n">
        <f aca="false">IF(AI363="",0,IF(AI363&gt;0,1,0))</f>
        <v>0</v>
      </c>
      <c r="AU363" s="21" t="n">
        <f aca="false">IF(AI363="",0,IF(AI363&lt;0,1,0))</f>
        <v>0</v>
      </c>
      <c r="AV363" s="21" t="n">
        <f aca="false">IF(U363&gt;V363,1,0)</f>
        <v>0</v>
      </c>
      <c r="AW363" s="21" t="n">
        <f aca="false">IF(OR(W363&gt;تنظیمات!$B$8,X363="بله"),1,0)</f>
        <v>0</v>
      </c>
      <c r="AX363" s="21" t="n">
        <f aca="false">IF(AND(N363="بله",L363&gt;تنظیمات!$B$9),1,0)</f>
        <v>0</v>
      </c>
      <c r="AY363" s="21" t="n">
        <f aca="false">IF(Y363="معکوس",1,0)</f>
        <v>0</v>
      </c>
      <c r="AZ363" s="21" t="n">
        <f aca="false">IF(ABS(AJ363)&gt;تنظیمات!$B$10,1,0)</f>
        <v>0</v>
      </c>
      <c r="BA363" s="21" t="n">
        <f aca="false">IF(AND(OR(AD363="رایگان/VIP",AD363="جانباز"),AF363="خیر"),1,0)</f>
        <v>0</v>
      </c>
      <c r="BB363" s="21" t="n">
        <f aca="false">IF(AE363="",0,IF(COUNTIF($AE$2:$AE$1001,AE363)&gt;1,1,0))</f>
        <v>0</v>
      </c>
      <c r="BC363" s="21" t="n">
        <f aca="false">IF(AND(H363="",I363&gt;تنظیمات!$B$12*60,AM363="خالی"),1,0)</f>
        <v>0</v>
      </c>
      <c r="BD363" s="21" t="n">
        <f aca="false">IF(AND(AP363="بله",I363&lt;تنظیمات!$B$14,AO363="خیر"),1,0)</f>
        <v>0</v>
      </c>
      <c r="BE363" s="21" t="n">
        <f aca="false">IF(AN363="خیر",1,0)</f>
        <v>0</v>
      </c>
      <c r="BF363" s="21" t="n">
        <f aca="false">IF(AND(AD363="فیش مفقودی",AQ363="بله",I363&gt;تنظیمات!$B$12*60),1,0)</f>
        <v>0</v>
      </c>
      <c r="BG363" s="21" t="n">
        <f aca="false">IF(AND(AK363&gt;تنظیمات!$B$11,AL363="بله"),1,0)</f>
        <v>0</v>
      </c>
      <c r="BH363" s="21" t="n">
        <f aca="false">MIN(100,AR363*تنظیمات!$B$21+AS363*تنظیمات!$B$22+AT363*تنظیمات!$B$23+AU363*تنظیمات!$B$24+AV363*تنظیمات!$B$25+AW363*تنظیمات!$B$26+AX363*تنظیمات!$B$27+AY363*تنظیمات!$B$28+AZ363*تنظیمات!$B$29+BA363*تنظیمات!$B$30+BB363*تنظیمات!$B$31+BC363*تنظیمات!$B$32+BD363*تنظیمات!$B$33+BE363*تنظیمات!$B$34+BF363*تنظیمات!$B$35+BG363*تنظیمات!$B$36)</f>
        <v>0</v>
      </c>
      <c r="BI363" s="16" t="str">
        <f aca="false">IF(BH363&gt;=60,"بحرانی",IF(BH363&gt;=30,"مشکوک",IF(BH363&gt;0,"هشدار","عادی")))</f>
        <v>عادی</v>
      </c>
      <c r="BJ363" s="16" t="s">
        <v>338</v>
      </c>
    </row>
    <row r="364" customFormat="false" ht="15" hidden="false" customHeight="false" outlineLevel="0" collapsed="false">
      <c r="A364" s="16" t="s">
        <v>1565</v>
      </c>
      <c r="B364" s="16" t="s">
        <v>1139</v>
      </c>
      <c r="C364" s="16"/>
      <c r="D364" s="16" t="s">
        <v>382</v>
      </c>
      <c r="E364" s="16" t="s">
        <v>363</v>
      </c>
      <c r="F364" s="16" t="s">
        <v>333</v>
      </c>
      <c r="G364" s="17" t="n">
        <v>46285.7280324074</v>
      </c>
      <c r="H364" s="17" t="n">
        <v>46285.7315046296</v>
      </c>
      <c r="I364" s="18" t="n">
        <f aca="false">IF(H364="",ROUND((تنظیمات!$B$7-G364)*1440,0),ROUND((H364-G364)*1440,0))</f>
        <v>5</v>
      </c>
      <c r="J364" s="16" t="s">
        <v>346</v>
      </c>
      <c r="K364" s="16" t="s">
        <v>400</v>
      </c>
      <c r="L364" s="19" t="n">
        <v>0.958</v>
      </c>
      <c r="M364" s="19" t="n">
        <v>0.9</v>
      </c>
      <c r="N364" s="16" t="s">
        <v>335</v>
      </c>
      <c r="O364" s="16" t="s">
        <v>677</v>
      </c>
      <c r="P364" s="16" t="s">
        <v>420</v>
      </c>
      <c r="Q364" s="20" t="n">
        <v>46285</v>
      </c>
      <c r="R364" s="16" t="s">
        <v>1566</v>
      </c>
      <c r="S364" s="16" t="s">
        <v>404</v>
      </c>
      <c r="T364" s="17"/>
      <c r="U364" s="21" t="n">
        <v>1</v>
      </c>
      <c r="V364" s="21" t="n">
        <v>1</v>
      </c>
      <c r="W364" s="22" t="n">
        <v>4.1</v>
      </c>
      <c r="X364" s="16" t="s">
        <v>335</v>
      </c>
      <c r="Y364" s="16" t="s">
        <v>338</v>
      </c>
      <c r="Z364" s="16" t="s">
        <v>628</v>
      </c>
      <c r="AA364" s="16"/>
      <c r="AB364" s="23"/>
      <c r="AC364" s="17"/>
      <c r="AD364" s="16" t="s">
        <v>338</v>
      </c>
      <c r="AE364" s="16"/>
      <c r="AF364" s="16" t="str">
        <f aca="false">IF(COUNTIF(لیست_سفید!$A$2:$A$21,B364)&gt;0,"بله","خیر")</f>
        <v>خیر</v>
      </c>
      <c r="AG364" s="24" t="n">
        <f aca="false">IF(H364="","",IF(AD364="فیش مفقودی",تنظیمات!$B$6,(INT(I364/1440)*تنظیمات!$B$5+IF(MOD(I364,1440)&lt;=تنظیمات!$B$2,0,MIN(تنظیمات!$B$5,تنظیمات!$B$3+MAX(0,ROUNDUP((MOD(I364,1440)-60)/60,0))*تنظیمات!$B$4)))*INDEX(تعرفه!$B$2:$B$7,MATCH(AD364,تعرفه!$A$2:$A$7,0))))</f>
        <v>0</v>
      </c>
      <c r="AH364" s="24" t="n">
        <v>0</v>
      </c>
      <c r="AI364" s="24" t="n">
        <f aca="false">IF(AG364="","",AH364-AG364)</f>
        <v>0</v>
      </c>
      <c r="AJ364" s="21" t="n">
        <v>-1</v>
      </c>
      <c r="AK364" s="21" t="n">
        <v>0</v>
      </c>
      <c r="AL364" s="16" t="s">
        <v>335</v>
      </c>
      <c r="AM364" s="16"/>
      <c r="AN364" s="16" t="s">
        <v>340</v>
      </c>
      <c r="AO364" s="16" t="s">
        <v>340</v>
      </c>
      <c r="AP364" s="16" t="s">
        <v>335</v>
      </c>
      <c r="AQ364" s="16"/>
      <c r="AR364" s="21" t="n">
        <f aca="false">IF(AND(T364&lt;&gt;"",H364&lt;&gt;""),IF(AND((T364-H364)*86400&gt;=0,(T364-H364)*86400&lt;تنظیمات!$B$13),1,0),0)</f>
        <v>0</v>
      </c>
      <c r="AS364" s="21" t="n">
        <f aca="false">IF(Z364="پوز",IF(OR(AB364="",COUNTIF(پوزها!$A$2:$A$5,AA364)=0),1,0),0)</f>
        <v>0</v>
      </c>
      <c r="AT364" s="21" t="n">
        <f aca="false">IF(AI364="",0,IF(AI364&gt;0,1,0))</f>
        <v>0</v>
      </c>
      <c r="AU364" s="21" t="n">
        <f aca="false">IF(AI364="",0,IF(AI364&lt;0,1,0))</f>
        <v>0</v>
      </c>
      <c r="AV364" s="21" t="n">
        <f aca="false">IF(U364&gt;V364,1,0)</f>
        <v>0</v>
      </c>
      <c r="AW364" s="21" t="n">
        <f aca="false">IF(OR(W364&gt;تنظیمات!$B$8,X364="بله"),1,0)</f>
        <v>0</v>
      </c>
      <c r="AX364" s="21" t="n">
        <f aca="false">IF(AND(N364="بله",L364&gt;تنظیمات!$B$9),1,0)</f>
        <v>0</v>
      </c>
      <c r="AY364" s="21" t="n">
        <f aca="false">IF(Y364="معکوس",1,0)</f>
        <v>0</v>
      </c>
      <c r="AZ364" s="21" t="n">
        <f aca="false">IF(ABS(AJ364)&gt;تنظیمات!$B$10,1,0)</f>
        <v>0</v>
      </c>
      <c r="BA364" s="21" t="n">
        <f aca="false">IF(AND(OR(AD364="رایگان/VIP",AD364="جانباز"),AF364="خیر"),1,0)</f>
        <v>0</v>
      </c>
      <c r="BB364" s="21" t="n">
        <f aca="false">IF(AE364="",0,IF(COUNTIF($AE$2:$AE$1001,AE364)&gt;1,1,0))</f>
        <v>0</v>
      </c>
      <c r="BC364" s="21" t="n">
        <f aca="false">IF(AND(H364="",I364&gt;تنظیمات!$B$12*60,AM364="خالی"),1,0)</f>
        <v>0</v>
      </c>
      <c r="BD364" s="21" t="n">
        <f aca="false">IF(AND(AP364="بله",I364&lt;تنظیمات!$B$14,AO364="خیر"),1,0)</f>
        <v>0</v>
      </c>
      <c r="BE364" s="21" t="n">
        <f aca="false">IF(AN364="خیر",1,0)</f>
        <v>0</v>
      </c>
      <c r="BF364" s="21" t="n">
        <f aca="false">IF(AND(AD364="فیش مفقودی",AQ364="بله",I364&gt;تنظیمات!$B$12*60),1,0)</f>
        <v>0</v>
      </c>
      <c r="BG364" s="21" t="n">
        <f aca="false">IF(AND(AK364&gt;تنظیمات!$B$11,AL364="بله"),1,0)</f>
        <v>0</v>
      </c>
      <c r="BH364" s="21" t="n">
        <f aca="false">MIN(100,AR364*تنظیمات!$B$21+AS364*تنظیمات!$B$22+AT364*تنظیمات!$B$23+AU364*تنظیمات!$B$24+AV364*تنظیمات!$B$25+AW364*تنظیمات!$B$26+AX364*تنظیمات!$B$27+AY364*تنظیمات!$B$28+AZ364*تنظیمات!$B$29+BA364*تنظیمات!$B$30+BB364*تنظیمات!$B$31+BC364*تنظیمات!$B$32+BD364*تنظیمات!$B$33+BE364*تنظیمات!$B$34+BF364*تنظیمات!$B$35+BG364*تنظیمات!$B$36)</f>
        <v>0</v>
      </c>
      <c r="BI364" s="16" t="str">
        <f aca="false">IF(BH364&gt;=60,"بحرانی",IF(BH364&gt;=30,"مشکوک",IF(BH364&gt;0,"هشدار","عادی")))</f>
        <v>عادی</v>
      </c>
      <c r="BJ364" s="16" t="s">
        <v>338</v>
      </c>
    </row>
    <row r="365" customFormat="false" ht="15" hidden="false" customHeight="false" outlineLevel="0" collapsed="false">
      <c r="A365" s="16" t="s">
        <v>1567</v>
      </c>
      <c r="B365" s="16" t="s">
        <v>579</v>
      </c>
      <c r="C365" s="16"/>
      <c r="D365" s="16" t="s">
        <v>350</v>
      </c>
      <c r="E365" s="16" t="s">
        <v>375</v>
      </c>
      <c r="F365" s="16" t="s">
        <v>333</v>
      </c>
      <c r="G365" s="17" t="n">
        <v>46285.729849537</v>
      </c>
      <c r="H365" s="17" t="n">
        <v>46285.8340162037</v>
      </c>
      <c r="I365" s="18" t="n">
        <f aca="false">IF(H365="",ROUND((تنظیمات!$B$7-G365)*1440,0),ROUND((H365-G365)*1440,0))</f>
        <v>150</v>
      </c>
      <c r="J365" s="16" t="s">
        <v>346</v>
      </c>
      <c r="K365" s="16" t="s">
        <v>410</v>
      </c>
      <c r="L365" s="19" t="n">
        <v>0.937</v>
      </c>
      <c r="M365" s="19" t="n">
        <v>0.943</v>
      </c>
      <c r="N365" s="16" t="s">
        <v>335</v>
      </c>
      <c r="O365" s="16" t="s">
        <v>425</v>
      </c>
      <c r="P365" s="16" t="s">
        <v>420</v>
      </c>
      <c r="Q365" s="20" t="n">
        <v>46285</v>
      </c>
      <c r="R365" s="16" t="s">
        <v>1568</v>
      </c>
      <c r="S365" s="16" t="s">
        <v>404</v>
      </c>
      <c r="T365" s="17"/>
      <c r="U365" s="21" t="n">
        <v>1</v>
      </c>
      <c r="V365" s="21" t="n">
        <v>1</v>
      </c>
      <c r="W365" s="22" t="n">
        <v>4</v>
      </c>
      <c r="X365" s="16" t="s">
        <v>335</v>
      </c>
      <c r="Y365" s="16" t="s">
        <v>338</v>
      </c>
      <c r="Z365" s="16" t="s">
        <v>413</v>
      </c>
      <c r="AA365" s="16" t="s">
        <v>414</v>
      </c>
      <c r="AB365" s="23" t="s">
        <v>1569</v>
      </c>
      <c r="AC365" s="17" t="n">
        <v>46285.8334837963</v>
      </c>
      <c r="AD365" s="16" t="s">
        <v>406</v>
      </c>
      <c r="AE365" s="16"/>
      <c r="AF365" s="16" t="str">
        <f aca="false">IF(COUNTIF(لیست_سفید!$A$2:$A$21,B365)&gt;0,"بله","خیر")</f>
        <v>خیر</v>
      </c>
      <c r="AG365" s="24" t="n">
        <f aca="false">IF(H365="","",IF(AD365="فیش مفقودی",تنظیمات!$B$6,(INT(I365/1440)*تنظیمات!$B$5+IF(MOD(I365,1440)&lt;=تنظیمات!$B$2,0,MIN(تنظیمات!$B$5,تنظیمات!$B$3+MAX(0,ROUNDUP((MOD(I365,1440)-60)/60,0))*تنظیمات!$B$4)))*INDEX(تعرفه!$B$2:$B$7,MATCH(AD365,تعرفه!$A$2:$A$7,0))))</f>
        <v>300000</v>
      </c>
      <c r="AH365" s="24" t="n">
        <v>300000</v>
      </c>
      <c r="AI365" s="24" t="n">
        <f aca="false">IF(AG365="","",AH365-AG365)</f>
        <v>0</v>
      </c>
      <c r="AJ365" s="21" t="n">
        <v>-1</v>
      </c>
      <c r="AK365" s="21" t="n">
        <v>0</v>
      </c>
      <c r="AL365" s="16" t="s">
        <v>335</v>
      </c>
      <c r="AM365" s="16"/>
      <c r="AN365" s="16" t="s">
        <v>340</v>
      </c>
      <c r="AO365" s="16" t="s">
        <v>340</v>
      </c>
      <c r="AP365" s="16" t="s">
        <v>335</v>
      </c>
      <c r="AQ365" s="16" t="s">
        <v>340</v>
      </c>
      <c r="AR365" s="21" t="n">
        <f aca="false">IF(AND(T365&lt;&gt;"",H365&lt;&gt;""),IF(AND((T365-H365)*86400&gt;=0,(T365-H365)*86400&lt;تنظیمات!$B$13),1,0),0)</f>
        <v>0</v>
      </c>
      <c r="AS365" s="21" t="n">
        <f aca="false">IF(Z365="پوز",IF(OR(AB365="",COUNTIF(پوزها!$A$2:$A$5,AA365)=0),1,0),0)</f>
        <v>0</v>
      </c>
      <c r="AT365" s="21" t="n">
        <f aca="false">IF(AI365="",0,IF(AI365&gt;0,1,0))</f>
        <v>0</v>
      </c>
      <c r="AU365" s="21" t="n">
        <f aca="false">IF(AI365="",0,IF(AI365&lt;0,1,0))</f>
        <v>0</v>
      </c>
      <c r="AV365" s="21" t="n">
        <f aca="false">IF(U365&gt;V365,1,0)</f>
        <v>0</v>
      </c>
      <c r="AW365" s="21" t="n">
        <f aca="false">IF(OR(W365&gt;تنظیمات!$B$8,X365="بله"),1,0)</f>
        <v>0</v>
      </c>
      <c r="AX365" s="21" t="n">
        <f aca="false">IF(AND(N365="بله",L365&gt;تنظیمات!$B$9),1,0)</f>
        <v>0</v>
      </c>
      <c r="AY365" s="21" t="n">
        <f aca="false">IF(Y365="معکوس",1,0)</f>
        <v>0</v>
      </c>
      <c r="AZ365" s="21" t="n">
        <f aca="false">IF(ABS(AJ365)&gt;تنظیمات!$B$10,1,0)</f>
        <v>0</v>
      </c>
      <c r="BA365" s="21" t="n">
        <f aca="false">IF(AND(OR(AD365="رایگان/VIP",AD365="جانباز"),AF365="خیر"),1,0)</f>
        <v>0</v>
      </c>
      <c r="BB365" s="21" t="n">
        <f aca="false">IF(AE365="",0,IF(COUNTIF($AE$2:$AE$1001,AE365)&gt;1,1,0))</f>
        <v>0</v>
      </c>
      <c r="BC365" s="21" t="n">
        <f aca="false">IF(AND(H365="",I365&gt;تنظیمات!$B$12*60,AM365="خالی"),1,0)</f>
        <v>0</v>
      </c>
      <c r="BD365" s="21" t="n">
        <f aca="false">IF(AND(AP365="بله",I365&lt;تنظیمات!$B$14,AO365="خیر"),1,0)</f>
        <v>0</v>
      </c>
      <c r="BE365" s="21" t="n">
        <f aca="false">IF(AN365="خیر",1,0)</f>
        <v>0</v>
      </c>
      <c r="BF365" s="21" t="n">
        <f aca="false">IF(AND(AD365="فیش مفقودی",AQ365="بله",I365&gt;تنظیمات!$B$12*60),1,0)</f>
        <v>0</v>
      </c>
      <c r="BG365" s="21" t="n">
        <f aca="false">IF(AND(AK365&gt;تنظیمات!$B$11,AL365="بله"),1,0)</f>
        <v>0</v>
      </c>
      <c r="BH365" s="21" t="n">
        <f aca="false">MIN(100,AR365*تنظیمات!$B$21+AS365*تنظیمات!$B$22+AT365*تنظیمات!$B$23+AU365*تنظیمات!$B$24+AV365*تنظیمات!$B$25+AW365*تنظیمات!$B$26+AX365*تنظیمات!$B$27+AY365*تنظیمات!$B$28+AZ365*تنظیمات!$B$29+BA365*تنظیمات!$B$30+BB365*تنظیمات!$B$31+BC365*تنظیمات!$B$32+BD365*تنظیمات!$B$33+BE365*تنظیمات!$B$34+BF365*تنظیمات!$B$35+BG365*تنظیمات!$B$36)</f>
        <v>0</v>
      </c>
      <c r="BI365" s="16" t="str">
        <f aca="false">IF(BH365&gt;=60,"بحرانی",IF(BH365&gt;=30,"مشکوک",IF(BH365&gt;0,"هشدار","عادی")))</f>
        <v>عادی</v>
      </c>
      <c r="BJ365" s="16" t="s">
        <v>338</v>
      </c>
    </row>
    <row r="366" customFormat="false" ht="15" hidden="false" customHeight="false" outlineLevel="0" collapsed="false">
      <c r="A366" s="16" t="s">
        <v>1570</v>
      </c>
      <c r="B366" s="16" t="s">
        <v>362</v>
      </c>
      <c r="C366" s="16"/>
      <c r="D366" s="16" t="s">
        <v>331</v>
      </c>
      <c r="E366" s="16" t="s">
        <v>363</v>
      </c>
      <c r="F366" s="16" t="s">
        <v>333</v>
      </c>
      <c r="G366" s="17" t="n">
        <v>46285.775</v>
      </c>
      <c r="H366" s="17" t="n">
        <v>46285.7944444444</v>
      </c>
      <c r="I366" s="18" t="n">
        <f aca="false">IF(H366="",ROUND((تنظیمات!$B$7-G366)*1440,0),ROUND((H366-G366)*1440,0))</f>
        <v>28</v>
      </c>
      <c r="J366" s="16" t="s">
        <v>346</v>
      </c>
      <c r="K366" s="16" t="s">
        <v>410</v>
      </c>
      <c r="L366" s="19" t="n">
        <v>0.894</v>
      </c>
      <c r="M366" s="19" t="n">
        <v>0.961</v>
      </c>
      <c r="N366" s="16" t="s">
        <v>335</v>
      </c>
      <c r="O366" s="16" t="s">
        <v>425</v>
      </c>
      <c r="P366" s="16" t="s">
        <v>420</v>
      </c>
      <c r="Q366" s="20" t="n">
        <v>46285</v>
      </c>
      <c r="R366" s="16" t="s">
        <v>1571</v>
      </c>
      <c r="S366" s="16" t="s">
        <v>404</v>
      </c>
      <c r="T366" s="17"/>
      <c r="U366" s="21" t="n">
        <v>1</v>
      </c>
      <c r="V366" s="21" t="n">
        <v>1</v>
      </c>
      <c r="W366" s="22" t="n">
        <v>5.2</v>
      </c>
      <c r="X366" s="16" t="s">
        <v>335</v>
      </c>
      <c r="Y366" s="16" t="s">
        <v>338</v>
      </c>
      <c r="Z366" s="16" t="s">
        <v>413</v>
      </c>
      <c r="AA366" s="16" t="s">
        <v>414</v>
      </c>
      <c r="AB366" s="23" t="s">
        <v>1572</v>
      </c>
      <c r="AC366" s="17" t="n">
        <v>46285.7935300926</v>
      </c>
      <c r="AD366" s="16" t="s">
        <v>338</v>
      </c>
      <c r="AE366" s="16"/>
      <c r="AF366" s="16" t="str">
        <f aca="false">IF(COUNTIF(لیست_سفید!$A$2:$A$21,B366)&gt;0,"بله","خیر")</f>
        <v>خیر</v>
      </c>
      <c r="AG366" s="24" t="n">
        <f aca="false">IF(H366="","",IF(AD366="فیش مفقودی",تنظیمات!$B$6,(INT(I366/1440)*تنظیمات!$B$5+IF(MOD(I366,1440)&lt;=تنظیمات!$B$2,0,MIN(تنظیمات!$B$5,تنظیمات!$B$3+MAX(0,ROUNDUP((MOD(I366,1440)-60)/60,0))*تنظیمات!$B$4)))*INDEX(تعرفه!$B$2:$B$7,MATCH(AD366,تعرفه!$A$2:$A$7,0))))</f>
        <v>20000</v>
      </c>
      <c r="AH366" s="24" t="n">
        <v>20000</v>
      </c>
      <c r="AI366" s="24" t="n">
        <f aca="false">IF(AG366="","",AH366-AG366)</f>
        <v>0</v>
      </c>
      <c r="AJ366" s="21" t="n">
        <v>0</v>
      </c>
      <c r="AK366" s="21" t="n">
        <v>0</v>
      </c>
      <c r="AL366" s="16" t="s">
        <v>335</v>
      </c>
      <c r="AM366" s="16"/>
      <c r="AN366" s="16" t="s">
        <v>340</v>
      </c>
      <c r="AO366" s="16" t="s">
        <v>340</v>
      </c>
      <c r="AP366" s="16" t="s">
        <v>335</v>
      </c>
      <c r="AQ366" s="16"/>
      <c r="AR366" s="21" t="n">
        <f aca="false">IF(AND(T366&lt;&gt;"",H366&lt;&gt;""),IF(AND((T366-H366)*86400&gt;=0,(T366-H366)*86400&lt;تنظیمات!$B$13),1,0),0)</f>
        <v>0</v>
      </c>
      <c r="AS366" s="21" t="n">
        <f aca="false">IF(Z366="پوز",IF(OR(AB366="",COUNTIF(پوزها!$A$2:$A$5,AA366)=0),1,0),0)</f>
        <v>0</v>
      </c>
      <c r="AT366" s="21" t="n">
        <f aca="false">IF(AI366="",0,IF(AI366&gt;0,1,0))</f>
        <v>0</v>
      </c>
      <c r="AU366" s="21" t="n">
        <f aca="false">IF(AI366="",0,IF(AI366&lt;0,1,0))</f>
        <v>0</v>
      </c>
      <c r="AV366" s="21" t="n">
        <f aca="false">IF(U366&gt;V366,1,0)</f>
        <v>0</v>
      </c>
      <c r="AW366" s="21" t="n">
        <f aca="false">IF(OR(W366&gt;تنظیمات!$B$8,X366="بله"),1,0)</f>
        <v>0</v>
      </c>
      <c r="AX366" s="21" t="n">
        <f aca="false">IF(AND(N366="بله",L366&gt;تنظیمات!$B$9),1,0)</f>
        <v>0</v>
      </c>
      <c r="AY366" s="21" t="n">
        <f aca="false">IF(Y366="معکوس",1,0)</f>
        <v>0</v>
      </c>
      <c r="AZ366" s="21" t="n">
        <f aca="false">IF(ABS(AJ366)&gt;تنظیمات!$B$10,1,0)</f>
        <v>0</v>
      </c>
      <c r="BA366" s="21" t="n">
        <f aca="false">IF(AND(OR(AD366="رایگان/VIP",AD366="جانباز"),AF366="خیر"),1,0)</f>
        <v>0</v>
      </c>
      <c r="BB366" s="21" t="n">
        <f aca="false">IF(AE366="",0,IF(COUNTIF($AE$2:$AE$1001,AE366)&gt;1,1,0))</f>
        <v>0</v>
      </c>
      <c r="BC366" s="21" t="n">
        <f aca="false">IF(AND(H366="",I366&gt;تنظیمات!$B$12*60,AM366="خالی"),1,0)</f>
        <v>0</v>
      </c>
      <c r="BD366" s="21" t="n">
        <f aca="false">IF(AND(AP366="بله",I366&lt;تنظیمات!$B$14,AO366="خیر"),1,0)</f>
        <v>0</v>
      </c>
      <c r="BE366" s="21" t="n">
        <f aca="false">IF(AN366="خیر",1,0)</f>
        <v>0</v>
      </c>
      <c r="BF366" s="21" t="n">
        <f aca="false">IF(AND(AD366="فیش مفقودی",AQ366="بله",I366&gt;تنظیمات!$B$12*60),1,0)</f>
        <v>0</v>
      </c>
      <c r="BG366" s="21" t="n">
        <f aca="false">IF(AND(AK366&gt;تنظیمات!$B$11,AL366="بله"),1,0)</f>
        <v>0</v>
      </c>
      <c r="BH366" s="21" t="n">
        <f aca="false">MIN(100,AR366*تنظیمات!$B$21+AS366*تنظیمات!$B$22+AT366*تنظیمات!$B$23+AU366*تنظیمات!$B$24+AV366*تنظیمات!$B$25+AW366*تنظیمات!$B$26+AX366*تنظیمات!$B$27+AY366*تنظیمات!$B$28+AZ366*تنظیمات!$B$29+BA366*تنظیمات!$B$30+BB366*تنظیمات!$B$31+BC366*تنظیمات!$B$32+BD366*تنظیمات!$B$33+BE366*تنظیمات!$B$34+BF366*تنظیمات!$B$35+BG366*تنظیمات!$B$36)</f>
        <v>0</v>
      </c>
      <c r="BI366" s="16" t="str">
        <f aca="false">IF(BH366&gt;=60,"بحرانی",IF(BH366&gt;=30,"مشکوک",IF(BH366&gt;0,"هشدار","عادی")))</f>
        <v>عادی</v>
      </c>
      <c r="BJ366" s="16" t="s">
        <v>338</v>
      </c>
    </row>
    <row r="367" customFormat="false" ht="15" hidden="false" customHeight="false" outlineLevel="0" collapsed="false">
      <c r="A367" s="16" t="s">
        <v>1573</v>
      </c>
      <c r="B367" s="16" t="s">
        <v>901</v>
      </c>
      <c r="C367" s="16"/>
      <c r="D367" s="16" t="s">
        <v>386</v>
      </c>
      <c r="E367" s="16" t="s">
        <v>375</v>
      </c>
      <c r="F367" s="16" t="s">
        <v>333</v>
      </c>
      <c r="G367" s="17" t="n">
        <v>46285.7912384259</v>
      </c>
      <c r="H367" s="17" t="n">
        <v>46285.808599537</v>
      </c>
      <c r="I367" s="18" t="n">
        <f aca="false">IF(H367="",ROUND((تنظیمات!$B$7-G367)*1440,0),ROUND((H367-G367)*1440,0))</f>
        <v>25</v>
      </c>
      <c r="J367" s="16" t="s">
        <v>346</v>
      </c>
      <c r="K367" s="16" t="s">
        <v>410</v>
      </c>
      <c r="L367" s="19" t="n">
        <v>0.868</v>
      </c>
      <c r="M367" s="19" t="n">
        <v>0.927</v>
      </c>
      <c r="N367" s="16" t="s">
        <v>335</v>
      </c>
      <c r="O367" s="16" t="s">
        <v>425</v>
      </c>
      <c r="P367" s="16" t="s">
        <v>420</v>
      </c>
      <c r="Q367" s="20" t="n">
        <v>46285</v>
      </c>
      <c r="R367" s="16" t="s">
        <v>1574</v>
      </c>
      <c r="S367" s="16" t="s">
        <v>404</v>
      </c>
      <c r="T367" s="17"/>
      <c r="U367" s="21" t="n">
        <v>1</v>
      </c>
      <c r="V367" s="21" t="n">
        <v>1</v>
      </c>
      <c r="W367" s="22" t="n">
        <v>4.9</v>
      </c>
      <c r="X367" s="16" t="s">
        <v>335</v>
      </c>
      <c r="Y367" s="16" t="s">
        <v>338</v>
      </c>
      <c r="Z367" s="16" t="s">
        <v>405</v>
      </c>
      <c r="AA367" s="16"/>
      <c r="AB367" s="23"/>
      <c r="AC367" s="17"/>
      <c r="AD367" s="16" t="s">
        <v>338</v>
      </c>
      <c r="AE367" s="16"/>
      <c r="AF367" s="16" t="str">
        <f aca="false">IF(COUNTIF(لیست_سفید!$A$2:$A$21,B367)&gt;0,"بله","خیر")</f>
        <v>خیر</v>
      </c>
      <c r="AG367" s="24" t="n">
        <f aca="false">IF(H367="","",IF(AD367="فیش مفقودی",تنظیمات!$B$6,(INT(I367/1440)*تنظیمات!$B$5+IF(MOD(I367,1440)&lt;=تنظیمات!$B$2,0,MIN(تنظیمات!$B$5,تنظیمات!$B$3+MAX(0,ROUNDUP((MOD(I367,1440)-60)/60,0))*تنظیمات!$B$4)))*INDEX(تعرفه!$B$2:$B$7,MATCH(AD367,تعرفه!$A$2:$A$7,0))))</f>
        <v>20000</v>
      </c>
      <c r="AH367" s="24" t="n">
        <v>20000</v>
      </c>
      <c r="AI367" s="24" t="n">
        <f aca="false">IF(AG367="","",AH367-AG367)</f>
        <v>0</v>
      </c>
      <c r="AJ367" s="21" t="n">
        <v>-3</v>
      </c>
      <c r="AK367" s="21" t="n">
        <v>0</v>
      </c>
      <c r="AL367" s="16" t="s">
        <v>335</v>
      </c>
      <c r="AM367" s="16"/>
      <c r="AN367" s="16" t="s">
        <v>340</v>
      </c>
      <c r="AO367" s="16" t="s">
        <v>340</v>
      </c>
      <c r="AP367" s="16" t="s">
        <v>335</v>
      </c>
      <c r="AQ367" s="16"/>
      <c r="AR367" s="21" t="n">
        <f aca="false">IF(AND(T367&lt;&gt;"",H367&lt;&gt;""),IF(AND((T367-H367)*86400&gt;=0,(T367-H367)*86400&lt;تنظیمات!$B$13),1,0),0)</f>
        <v>0</v>
      </c>
      <c r="AS367" s="21" t="n">
        <f aca="false">IF(Z367="پوز",IF(OR(AB367="",COUNTIF(پوزها!$A$2:$A$5,AA367)=0),1,0),0)</f>
        <v>0</v>
      </c>
      <c r="AT367" s="21" t="n">
        <f aca="false">IF(AI367="",0,IF(AI367&gt;0,1,0))</f>
        <v>0</v>
      </c>
      <c r="AU367" s="21" t="n">
        <f aca="false">IF(AI367="",0,IF(AI367&lt;0,1,0))</f>
        <v>0</v>
      </c>
      <c r="AV367" s="21" t="n">
        <f aca="false">IF(U367&gt;V367,1,0)</f>
        <v>0</v>
      </c>
      <c r="AW367" s="21" t="n">
        <f aca="false">IF(OR(W367&gt;تنظیمات!$B$8,X367="بله"),1,0)</f>
        <v>0</v>
      </c>
      <c r="AX367" s="21" t="n">
        <f aca="false">IF(AND(N367="بله",L367&gt;تنظیمات!$B$9),1,0)</f>
        <v>0</v>
      </c>
      <c r="AY367" s="21" t="n">
        <f aca="false">IF(Y367="معکوس",1,0)</f>
        <v>0</v>
      </c>
      <c r="AZ367" s="21" t="n">
        <f aca="false">IF(ABS(AJ367)&gt;تنظیمات!$B$10,1,0)</f>
        <v>0</v>
      </c>
      <c r="BA367" s="21" t="n">
        <f aca="false">IF(AND(OR(AD367="رایگان/VIP",AD367="جانباز"),AF367="خیر"),1,0)</f>
        <v>0</v>
      </c>
      <c r="BB367" s="21" t="n">
        <f aca="false">IF(AE367="",0,IF(COUNTIF($AE$2:$AE$1001,AE367)&gt;1,1,0))</f>
        <v>0</v>
      </c>
      <c r="BC367" s="21" t="n">
        <f aca="false">IF(AND(H367="",I367&gt;تنظیمات!$B$12*60,AM367="خالی"),1,0)</f>
        <v>0</v>
      </c>
      <c r="BD367" s="21" t="n">
        <f aca="false">IF(AND(AP367="بله",I367&lt;تنظیمات!$B$14,AO367="خیر"),1,0)</f>
        <v>0</v>
      </c>
      <c r="BE367" s="21" t="n">
        <f aca="false">IF(AN367="خیر",1,0)</f>
        <v>0</v>
      </c>
      <c r="BF367" s="21" t="n">
        <f aca="false">IF(AND(AD367="فیش مفقودی",AQ367="بله",I367&gt;تنظیمات!$B$12*60),1,0)</f>
        <v>0</v>
      </c>
      <c r="BG367" s="21" t="n">
        <f aca="false">IF(AND(AK367&gt;تنظیمات!$B$11,AL367="بله"),1,0)</f>
        <v>0</v>
      </c>
      <c r="BH367" s="21" t="n">
        <f aca="false">MIN(100,AR367*تنظیمات!$B$21+AS367*تنظیمات!$B$22+AT367*تنظیمات!$B$23+AU367*تنظیمات!$B$24+AV367*تنظیمات!$B$25+AW367*تنظیمات!$B$26+AX367*تنظیمات!$B$27+AY367*تنظیمات!$B$28+AZ367*تنظیمات!$B$29+BA367*تنظیمات!$B$30+BB367*تنظیمات!$B$31+BC367*تنظیمات!$B$32+BD367*تنظیمات!$B$33+BE367*تنظیمات!$B$34+BF367*تنظیمات!$B$35+BG367*تنظیمات!$B$36)</f>
        <v>0</v>
      </c>
      <c r="BI367" s="16" t="str">
        <f aca="false">IF(BH367&gt;=60,"بحرانی",IF(BH367&gt;=30,"مشکوک",IF(BH367&gt;0,"هشدار","عادی")))</f>
        <v>عادی</v>
      </c>
      <c r="BJ367" s="16" t="s">
        <v>338</v>
      </c>
    </row>
    <row r="368" customFormat="false" ht="15" hidden="false" customHeight="false" outlineLevel="0" collapsed="false">
      <c r="A368" s="16" t="s">
        <v>1575</v>
      </c>
      <c r="B368" s="16" t="s">
        <v>785</v>
      </c>
      <c r="C368" s="16"/>
      <c r="D368" s="16" t="s">
        <v>523</v>
      </c>
      <c r="E368" s="16" t="s">
        <v>351</v>
      </c>
      <c r="F368" s="16" t="s">
        <v>333</v>
      </c>
      <c r="G368" s="17" t="n">
        <v>46285.7924537037</v>
      </c>
      <c r="H368" s="17" t="n">
        <v>46287.5764814815</v>
      </c>
      <c r="I368" s="18" t="n">
        <f aca="false">IF(H368="",ROUND((تنظیمات!$B$7-G368)*1440,0),ROUND((H368-G368)*1440,0))</f>
        <v>2569</v>
      </c>
      <c r="J368" s="16" t="s">
        <v>346</v>
      </c>
      <c r="K368" s="16" t="s">
        <v>410</v>
      </c>
      <c r="L368" s="19" t="n">
        <v>0.946</v>
      </c>
      <c r="M368" s="19" t="n">
        <v>0.933</v>
      </c>
      <c r="N368" s="16" t="s">
        <v>335</v>
      </c>
      <c r="O368" s="16" t="s">
        <v>425</v>
      </c>
      <c r="P368" s="16" t="s">
        <v>402</v>
      </c>
      <c r="Q368" s="20" t="n">
        <v>46287</v>
      </c>
      <c r="R368" s="16" t="s">
        <v>1576</v>
      </c>
      <c r="S368" s="16" t="s">
        <v>404</v>
      </c>
      <c r="T368" s="17"/>
      <c r="U368" s="21" t="n">
        <v>1</v>
      </c>
      <c r="V368" s="21" t="n">
        <v>1</v>
      </c>
      <c r="W368" s="22" t="n">
        <v>6.3</v>
      </c>
      <c r="X368" s="16" t="s">
        <v>335</v>
      </c>
      <c r="Y368" s="16" t="s">
        <v>338</v>
      </c>
      <c r="Z368" s="16" t="s">
        <v>413</v>
      </c>
      <c r="AA368" s="16" t="s">
        <v>414</v>
      </c>
      <c r="AB368" s="23" t="s">
        <v>1577</v>
      </c>
      <c r="AC368" s="17" t="n">
        <v>46287.5759490741</v>
      </c>
      <c r="AD368" s="16" t="s">
        <v>338</v>
      </c>
      <c r="AE368" s="16"/>
      <c r="AF368" s="16" t="str">
        <f aca="false">IF(COUNTIF(لیست_سفید!$A$2:$A$21,B368)&gt;0,"بله","خیر")</f>
        <v>خیر</v>
      </c>
      <c r="AG368" s="24" t="n">
        <f aca="false">IF(H368="","",IF(AD368="فیش مفقودی",تنظیمات!$B$6,(INT(I368/1440)*تنظیمات!$B$5+IF(MOD(I368,1440)&lt;=تنظیمات!$B$2,0,MIN(تنظیمات!$B$5,تنظیمات!$B$3+MAX(0,ROUNDUP((MOD(I368,1440)-60)/60,0))*تنظیمات!$B$4)))*INDEX(تعرفه!$B$2:$B$7,MATCH(AD368,تعرفه!$A$2:$A$7,0))))</f>
        <v>360000</v>
      </c>
      <c r="AH368" s="24" t="n">
        <v>360000</v>
      </c>
      <c r="AI368" s="24" t="n">
        <f aca="false">IF(AG368="","",AH368-AG368)</f>
        <v>0</v>
      </c>
      <c r="AJ368" s="21" t="n">
        <v>0</v>
      </c>
      <c r="AK368" s="21" t="n">
        <v>0</v>
      </c>
      <c r="AL368" s="16" t="s">
        <v>335</v>
      </c>
      <c r="AM368" s="16"/>
      <c r="AN368" s="16" t="s">
        <v>340</v>
      </c>
      <c r="AO368" s="16" t="s">
        <v>340</v>
      </c>
      <c r="AP368" s="16" t="s">
        <v>335</v>
      </c>
      <c r="AQ368" s="16"/>
      <c r="AR368" s="21" t="n">
        <f aca="false">IF(AND(T368&lt;&gt;"",H368&lt;&gt;""),IF(AND((T368-H368)*86400&gt;=0,(T368-H368)*86400&lt;تنظیمات!$B$13),1,0),0)</f>
        <v>0</v>
      </c>
      <c r="AS368" s="21" t="n">
        <f aca="false">IF(Z368="پوز",IF(OR(AB368="",COUNTIF(پوزها!$A$2:$A$5,AA368)=0),1,0),0)</f>
        <v>0</v>
      </c>
      <c r="AT368" s="21" t="n">
        <f aca="false">IF(AI368="",0,IF(AI368&gt;0,1,0))</f>
        <v>0</v>
      </c>
      <c r="AU368" s="21" t="n">
        <f aca="false">IF(AI368="",0,IF(AI368&lt;0,1,0))</f>
        <v>0</v>
      </c>
      <c r="AV368" s="21" t="n">
        <f aca="false">IF(U368&gt;V368,1,0)</f>
        <v>0</v>
      </c>
      <c r="AW368" s="21" t="n">
        <f aca="false">IF(OR(W368&gt;تنظیمات!$B$8,X368="بله"),1,0)</f>
        <v>0</v>
      </c>
      <c r="AX368" s="21" t="n">
        <f aca="false">IF(AND(N368="بله",L368&gt;تنظیمات!$B$9),1,0)</f>
        <v>0</v>
      </c>
      <c r="AY368" s="21" t="n">
        <f aca="false">IF(Y368="معکوس",1,0)</f>
        <v>0</v>
      </c>
      <c r="AZ368" s="21" t="n">
        <f aca="false">IF(ABS(AJ368)&gt;تنظیمات!$B$10,1,0)</f>
        <v>0</v>
      </c>
      <c r="BA368" s="21" t="n">
        <f aca="false">IF(AND(OR(AD368="رایگان/VIP",AD368="جانباز"),AF368="خیر"),1,0)</f>
        <v>0</v>
      </c>
      <c r="BB368" s="21" t="n">
        <f aca="false">IF(AE368="",0,IF(COUNTIF($AE$2:$AE$1001,AE368)&gt;1,1,0))</f>
        <v>0</v>
      </c>
      <c r="BC368" s="21" t="n">
        <f aca="false">IF(AND(H368="",I368&gt;تنظیمات!$B$12*60,AM368="خالی"),1,0)</f>
        <v>0</v>
      </c>
      <c r="BD368" s="21" t="n">
        <f aca="false">IF(AND(AP368="بله",I368&lt;تنظیمات!$B$14,AO368="خیر"),1,0)</f>
        <v>0</v>
      </c>
      <c r="BE368" s="21" t="n">
        <f aca="false">IF(AN368="خیر",1,0)</f>
        <v>0</v>
      </c>
      <c r="BF368" s="21" t="n">
        <f aca="false">IF(AND(AD368="فیش مفقودی",AQ368="بله",I368&gt;تنظیمات!$B$12*60),1,0)</f>
        <v>0</v>
      </c>
      <c r="BG368" s="21" t="n">
        <f aca="false">IF(AND(AK368&gt;تنظیمات!$B$11,AL368="بله"),1,0)</f>
        <v>0</v>
      </c>
      <c r="BH368" s="21" t="n">
        <f aca="false">MIN(100,AR368*تنظیمات!$B$21+AS368*تنظیمات!$B$22+AT368*تنظیمات!$B$23+AU368*تنظیمات!$B$24+AV368*تنظیمات!$B$25+AW368*تنظیمات!$B$26+AX368*تنظیمات!$B$27+AY368*تنظیمات!$B$28+AZ368*تنظیمات!$B$29+BA368*تنظیمات!$B$30+BB368*تنظیمات!$B$31+BC368*تنظیمات!$B$32+BD368*تنظیمات!$B$33+BE368*تنظیمات!$B$34+BF368*تنظیمات!$B$35+BG368*تنظیمات!$B$36)</f>
        <v>0</v>
      </c>
      <c r="BI368" s="16" t="str">
        <f aca="false">IF(BH368&gt;=60,"بحرانی",IF(BH368&gt;=30,"مشکوک",IF(BH368&gt;0,"هشدار","عادی")))</f>
        <v>عادی</v>
      </c>
      <c r="BJ368" s="16" t="s">
        <v>338</v>
      </c>
    </row>
    <row r="369" customFormat="false" ht="15" hidden="false" customHeight="false" outlineLevel="0" collapsed="false">
      <c r="A369" s="16" t="s">
        <v>1578</v>
      </c>
      <c r="B369" s="16" t="s">
        <v>357</v>
      </c>
      <c r="C369" s="16"/>
      <c r="D369" s="16" t="s">
        <v>358</v>
      </c>
      <c r="E369" s="16" t="s">
        <v>351</v>
      </c>
      <c r="F369" s="16" t="s">
        <v>359</v>
      </c>
      <c r="G369" s="17" t="n">
        <v>46285.7949189815</v>
      </c>
      <c r="H369" s="17" t="n">
        <v>46285.7990856482</v>
      </c>
      <c r="I369" s="18" t="n">
        <f aca="false">IF(H369="",ROUND((تنظیمات!$B$7-G369)*1440,0),ROUND((H369-G369)*1440,0))</f>
        <v>6</v>
      </c>
      <c r="J369" s="16" t="s">
        <v>334</v>
      </c>
      <c r="K369" s="16" t="s">
        <v>410</v>
      </c>
      <c r="L369" s="19" t="n">
        <v>0.983</v>
      </c>
      <c r="M369" s="19" t="n">
        <v>0.966</v>
      </c>
      <c r="N369" s="16" t="s">
        <v>335</v>
      </c>
      <c r="O369" s="16" t="s">
        <v>425</v>
      </c>
      <c r="P369" s="16" t="s">
        <v>420</v>
      </c>
      <c r="Q369" s="20" t="n">
        <v>46285</v>
      </c>
      <c r="R369" s="16" t="s">
        <v>1579</v>
      </c>
      <c r="S369" s="16" t="s">
        <v>404</v>
      </c>
      <c r="T369" s="17"/>
      <c r="U369" s="21" t="n">
        <v>1</v>
      </c>
      <c r="V369" s="21" t="n">
        <v>1</v>
      </c>
      <c r="W369" s="22" t="n">
        <v>4</v>
      </c>
      <c r="X369" s="16" t="s">
        <v>335</v>
      </c>
      <c r="Y369" s="16" t="s">
        <v>338</v>
      </c>
      <c r="Z369" s="16" t="s">
        <v>628</v>
      </c>
      <c r="AA369" s="16"/>
      <c r="AB369" s="23"/>
      <c r="AC369" s="17"/>
      <c r="AD369" s="16" t="s">
        <v>338</v>
      </c>
      <c r="AE369" s="16"/>
      <c r="AF369" s="16" t="str">
        <f aca="false">IF(COUNTIF(لیست_سفید!$A$2:$A$21,B369)&gt;0,"بله","خیر")</f>
        <v>خیر</v>
      </c>
      <c r="AG369" s="24" t="n">
        <f aca="false">IF(H369="","",IF(AD369="فیش مفقودی",تنظیمات!$B$6,(INT(I369/1440)*تنظیمات!$B$5+IF(MOD(I369,1440)&lt;=تنظیمات!$B$2,0,MIN(تنظیمات!$B$5,تنظیمات!$B$3+MAX(0,ROUNDUP((MOD(I369,1440)-60)/60,0))*تنظیمات!$B$4)))*INDEX(تعرفه!$B$2:$B$7,MATCH(AD369,تعرفه!$A$2:$A$7,0))))</f>
        <v>0</v>
      </c>
      <c r="AH369" s="24" t="n">
        <v>0</v>
      </c>
      <c r="AI369" s="24" t="n">
        <f aca="false">IF(AG369="","",AH369-AG369)</f>
        <v>0</v>
      </c>
      <c r="AJ369" s="21" t="n">
        <v>3</v>
      </c>
      <c r="AK369" s="21" t="n">
        <v>0</v>
      </c>
      <c r="AL369" s="16" t="s">
        <v>335</v>
      </c>
      <c r="AM369" s="16"/>
      <c r="AN369" s="16" t="s">
        <v>340</v>
      </c>
      <c r="AO369" s="16" t="s">
        <v>335</v>
      </c>
      <c r="AP369" s="16" t="s">
        <v>340</v>
      </c>
      <c r="AQ369" s="16"/>
      <c r="AR369" s="21" t="n">
        <f aca="false">IF(AND(T369&lt;&gt;"",H369&lt;&gt;""),IF(AND((T369-H369)*86400&gt;=0,(T369-H369)*86400&lt;تنظیمات!$B$13),1,0),0)</f>
        <v>0</v>
      </c>
      <c r="AS369" s="21" t="n">
        <f aca="false">IF(Z369="پوز",IF(OR(AB369="",COUNTIF(پوزها!$A$2:$A$5,AA369)=0),1,0),0)</f>
        <v>0</v>
      </c>
      <c r="AT369" s="21" t="n">
        <f aca="false">IF(AI369="",0,IF(AI369&gt;0,1,0))</f>
        <v>0</v>
      </c>
      <c r="AU369" s="21" t="n">
        <f aca="false">IF(AI369="",0,IF(AI369&lt;0,1,0))</f>
        <v>0</v>
      </c>
      <c r="AV369" s="21" t="n">
        <f aca="false">IF(U369&gt;V369,1,0)</f>
        <v>0</v>
      </c>
      <c r="AW369" s="21" t="n">
        <f aca="false">IF(OR(W369&gt;تنظیمات!$B$8,X369="بله"),1,0)</f>
        <v>0</v>
      </c>
      <c r="AX369" s="21" t="n">
        <f aca="false">IF(AND(N369="بله",L369&gt;تنظیمات!$B$9),1,0)</f>
        <v>0</v>
      </c>
      <c r="AY369" s="21" t="n">
        <f aca="false">IF(Y369="معکوس",1,0)</f>
        <v>0</v>
      </c>
      <c r="AZ369" s="21" t="n">
        <f aca="false">IF(ABS(AJ369)&gt;تنظیمات!$B$10,1,0)</f>
        <v>0</v>
      </c>
      <c r="BA369" s="21" t="n">
        <f aca="false">IF(AND(OR(AD369="رایگان/VIP",AD369="جانباز"),AF369="خیر"),1,0)</f>
        <v>0</v>
      </c>
      <c r="BB369" s="21" t="n">
        <f aca="false">IF(AE369="",0,IF(COUNTIF($AE$2:$AE$1001,AE369)&gt;1,1,0))</f>
        <v>0</v>
      </c>
      <c r="BC369" s="21" t="n">
        <f aca="false">IF(AND(H369="",I369&gt;تنظیمات!$B$12*60,AM369="خالی"),1,0)</f>
        <v>0</v>
      </c>
      <c r="BD369" s="21" t="n">
        <f aca="false">IF(AND(AP369="بله",I369&lt;تنظیمات!$B$14,AO369="خیر"),1,0)</f>
        <v>1</v>
      </c>
      <c r="BE369" s="21" t="n">
        <f aca="false">IF(AN369="خیر",1,0)</f>
        <v>0</v>
      </c>
      <c r="BF369" s="21" t="n">
        <f aca="false">IF(AND(AD369="فیش مفقودی",AQ369="بله",I369&gt;تنظیمات!$B$12*60),1,0)</f>
        <v>0</v>
      </c>
      <c r="BG369" s="21" t="n">
        <f aca="false">IF(AND(AK369&gt;تنظیمات!$B$11,AL369="بله"),1,0)</f>
        <v>0</v>
      </c>
      <c r="BH369" s="21" t="n">
        <f aca="false">MIN(100,AR369*تنظیمات!$B$21+AS369*تنظیمات!$B$22+AT369*تنظیمات!$B$23+AU369*تنظیمات!$B$24+AV369*تنظیمات!$B$25+AW369*تنظیمات!$B$26+AX369*تنظیمات!$B$27+AY369*تنظیمات!$B$28+AZ369*تنظیمات!$B$29+BA369*تنظیمات!$B$30+BB369*تنظیمات!$B$31+BC369*تنظیمات!$B$32+BD369*تنظیمات!$B$33+BE369*تنظیمات!$B$34+BF369*تنظیمات!$B$35+BG369*تنظیمات!$B$36)</f>
        <v>40</v>
      </c>
      <c r="BI369" s="16" t="str">
        <f aca="false">IF(BH369&gt;=60,"بحرانی",IF(BH369&gt;=30,"مشکوک",IF(BH369&gt;0,"هشدار","عادی")))</f>
        <v>مشکوک</v>
      </c>
      <c r="BJ369" s="16" t="s">
        <v>1329</v>
      </c>
    </row>
    <row r="370" customFormat="false" ht="15" hidden="false" customHeight="false" outlineLevel="0" collapsed="false">
      <c r="A370" s="16" t="s">
        <v>1580</v>
      </c>
      <c r="B370" s="16" t="s">
        <v>643</v>
      </c>
      <c r="C370" s="16"/>
      <c r="D370" s="16" t="s">
        <v>382</v>
      </c>
      <c r="E370" s="16" t="s">
        <v>345</v>
      </c>
      <c r="F370" s="16" t="s">
        <v>333</v>
      </c>
      <c r="G370" s="17" t="n">
        <v>46285.8212384259</v>
      </c>
      <c r="H370" s="17" t="n">
        <v>46285.8379050926</v>
      </c>
      <c r="I370" s="18" t="n">
        <f aca="false">IF(H370="",ROUND((تنظیمات!$B$7-G370)*1440,0),ROUND((H370-G370)*1440,0))</f>
        <v>24</v>
      </c>
      <c r="J370" s="16" t="s">
        <v>334</v>
      </c>
      <c r="K370" s="16" t="s">
        <v>410</v>
      </c>
      <c r="L370" s="19" t="n">
        <v>0.925</v>
      </c>
      <c r="M370" s="19" t="n">
        <v>0.954</v>
      </c>
      <c r="N370" s="16" t="s">
        <v>335</v>
      </c>
      <c r="O370" s="16" t="s">
        <v>425</v>
      </c>
      <c r="P370" s="16" t="s">
        <v>420</v>
      </c>
      <c r="Q370" s="20" t="n">
        <v>46285</v>
      </c>
      <c r="R370" s="16" t="s">
        <v>1581</v>
      </c>
      <c r="S370" s="16" t="s">
        <v>404</v>
      </c>
      <c r="T370" s="17"/>
      <c r="U370" s="21" t="n">
        <v>1</v>
      </c>
      <c r="V370" s="21" t="n">
        <v>1</v>
      </c>
      <c r="W370" s="22" t="n">
        <v>6.7</v>
      </c>
      <c r="X370" s="16" t="s">
        <v>335</v>
      </c>
      <c r="Y370" s="16" t="s">
        <v>338</v>
      </c>
      <c r="Z370" s="16" t="s">
        <v>413</v>
      </c>
      <c r="AA370" s="16" t="s">
        <v>414</v>
      </c>
      <c r="AB370" s="23" t="s">
        <v>1582</v>
      </c>
      <c r="AC370" s="17" t="n">
        <v>46285.8372453704</v>
      </c>
      <c r="AD370" s="16" t="s">
        <v>338</v>
      </c>
      <c r="AE370" s="16"/>
      <c r="AF370" s="16" t="str">
        <f aca="false">IF(COUNTIF(لیست_سفید!$A$2:$A$21,B370)&gt;0,"بله","خیر")</f>
        <v>خیر</v>
      </c>
      <c r="AG370" s="24" t="n">
        <f aca="false">IF(H370="","",IF(AD370="فیش مفقودی",تنظیمات!$B$6,(INT(I370/1440)*تنظیمات!$B$5+IF(MOD(I370,1440)&lt;=تنظیمات!$B$2,0,MIN(تنظیمات!$B$5,تنظیمات!$B$3+MAX(0,ROUNDUP((MOD(I370,1440)-60)/60,0))*تنظیمات!$B$4)))*INDEX(تعرفه!$B$2:$B$7,MATCH(AD370,تعرفه!$A$2:$A$7,0))))</f>
        <v>20000</v>
      </c>
      <c r="AH370" s="24" t="n">
        <v>20000</v>
      </c>
      <c r="AI370" s="24" t="n">
        <f aca="false">IF(AG370="","",AH370-AG370)</f>
        <v>0</v>
      </c>
      <c r="AJ370" s="21" t="n">
        <v>0</v>
      </c>
      <c r="AK370" s="21" t="n">
        <v>0</v>
      </c>
      <c r="AL370" s="16" t="s">
        <v>335</v>
      </c>
      <c r="AM370" s="16"/>
      <c r="AN370" s="16" t="s">
        <v>340</v>
      </c>
      <c r="AO370" s="16" t="s">
        <v>340</v>
      </c>
      <c r="AP370" s="16" t="s">
        <v>335</v>
      </c>
      <c r="AQ370" s="16"/>
      <c r="AR370" s="21" t="n">
        <f aca="false">IF(AND(T370&lt;&gt;"",H370&lt;&gt;""),IF(AND((T370-H370)*86400&gt;=0,(T370-H370)*86400&lt;تنظیمات!$B$13),1,0),0)</f>
        <v>0</v>
      </c>
      <c r="AS370" s="21" t="n">
        <f aca="false">IF(Z370="پوز",IF(OR(AB370="",COUNTIF(پوزها!$A$2:$A$5,AA370)=0),1,0),0)</f>
        <v>0</v>
      </c>
      <c r="AT370" s="21" t="n">
        <f aca="false">IF(AI370="",0,IF(AI370&gt;0,1,0))</f>
        <v>0</v>
      </c>
      <c r="AU370" s="21" t="n">
        <f aca="false">IF(AI370="",0,IF(AI370&lt;0,1,0))</f>
        <v>0</v>
      </c>
      <c r="AV370" s="21" t="n">
        <f aca="false">IF(U370&gt;V370,1,0)</f>
        <v>0</v>
      </c>
      <c r="AW370" s="21" t="n">
        <f aca="false">IF(OR(W370&gt;تنظیمات!$B$8,X370="بله"),1,0)</f>
        <v>0</v>
      </c>
      <c r="AX370" s="21" t="n">
        <f aca="false">IF(AND(N370="بله",L370&gt;تنظیمات!$B$9),1,0)</f>
        <v>0</v>
      </c>
      <c r="AY370" s="21" t="n">
        <f aca="false">IF(Y370="معکوس",1,0)</f>
        <v>0</v>
      </c>
      <c r="AZ370" s="21" t="n">
        <f aca="false">IF(ABS(AJ370)&gt;تنظیمات!$B$10,1,0)</f>
        <v>0</v>
      </c>
      <c r="BA370" s="21" t="n">
        <f aca="false">IF(AND(OR(AD370="رایگان/VIP",AD370="جانباز"),AF370="خیر"),1,0)</f>
        <v>0</v>
      </c>
      <c r="BB370" s="21" t="n">
        <f aca="false">IF(AE370="",0,IF(COUNTIF($AE$2:$AE$1001,AE370)&gt;1,1,0))</f>
        <v>0</v>
      </c>
      <c r="BC370" s="21" t="n">
        <f aca="false">IF(AND(H370="",I370&gt;تنظیمات!$B$12*60,AM370="خالی"),1,0)</f>
        <v>0</v>
      </c>
      <c r="BD370" s="21" t="n">
        <f aca="false">IF(AND(AP370="بله",I370&lt;تنظیمات!$B$14,AO370="خیر"),1,0)</f>
        <v>0</v>
      </c>
      <c r="BE370" s="21" t="n">
        <f aca="false">IF(AN370="خیر",1,0)</f>
        <v>0</v>
      </c>
      <c r="BF370" s="21" t="n">
        <f aca="false">IF(AND(AD370="فیش مفقودی",AQ370="بله",I370&gt;تنظیمات!$B$12*60),1,0)</f>
        <v>0</v>
      </c>
      <c r="BG370" s="21" t="n">
        <f aca="false">IF(AND(AK370&gt;تنظیمات!$B$11,AL370="بله"),1,0)</f>
        <v>0</v>
      </c>
      <c r="BH370" s="21" t="n">
        <f aca="false">MIN(100,AR370*تنظیمات!$B$21+AS370*تنظیمات!$B$22+AT370*تنظیمات!$B$23+AU370*تنظیمات!$B$24+AV370*تنظیمات!$B$25+AW370*تنظیمات!$B$26+AX370*تنظیمات!$B$27+AY370*تنظیمات!$B$28+AZ370*تنظیمات!$B$29+BA370*تنظیمات!$B$30+BB370*تنظیمات!$B$31+BC370*تنظیمات!$B$32+BD370*تنظیمات!$B$33+BE370*تنظیمات!$B$34+BF370*تنظیمات!$B$35+BG370*تنظیمات!$B$36)</f>
        <v>0</v>
      </c>
      <c r="BI370" s="16" t="str">
        <f aca="false">IF(BH370&gt;=60,"بحرانی",IF(BH370&gt;=30,"مشکوک",IF(BH370&gt;0,"هشدار","عادی")))</f>
        <v>عادی</v>
      </c>
      <c r="BJ370" s="16" t="s">
        <v>338</v>
      </c>
    </row>
    <row r="371" customFormat="false" ht="15" hidden="false" customHeight="false" outlineLevel="0" collapsed="false">
      <c r="A371" s="16" t="s">
        <v>1583</v>
      </c>
      <c r="B371" s="16" t="s">
        <v>378</v>
      </c>
      <c r="C371" s="16"/>
      <c r="D371" s="16" t="s">
        <v>350</v>
      </c>
      <c r="E371" s="16" t="s">
        <v>351</v>
      </c>
      <c r="F371" s="16" t="s">
        <v>333</v>
      </c>
      <c r="G371" s="17" t="n">
        <v>46285.8217708333</v>
      </c>
      <c r="H371" s="17" t="n">
        <v>46285.8717708333</v>
      </c>
      <c r="I371" s="18" t="n">
        <f aca="false">IF(H371="",ROUND((تنظیمات!$B$7-G371)*1440,0),ROUND((H371-G371)*1440,0))</f>
        <v>72</v>
      </c>
      <c r="J371" s="16" t="s">
        <v>346</v>
      </c>
      <c r="K371" s="16" t="s">
        <v>400</v>
      </c>
      <c r="L371" s="19" t="n">
        <v>0.995</v>
      </c>
      <c r="M371" s="19" t="n">
        <v>0.911</v>
      </c>
      <c r="N371" s="16" t="s">
        <v>335</v>
      </c>
      <c r="O371" s="16" t="s">
        <v>677</v>
      </c>
      <c r="P371" s="16" t="s">
        <v>420</v>
      </c>
      <c r="Q371" s="20" t="n">
        <v>46285</v>
      </c>
      <c r="R371" s="16" t="s">
        <v>1584</v>
      </c>
      <c r="S371" s="16" t="s">
        <v>404</v>
      </c>
      <c r="T371" s="17"/>
      <c r="U371" s="21" t="n">
        <v>1</v>
      </c>
      <c r="V371" s="21" t="n">
        <v>1</v>
      </c>
      <c r="W371" s="22" t="n">
        <v>7.7</v>
      </c>
      <c r="X371" s="16" t="s">
        <v>335</v>
      </c>
      <c r="Y371" s="16" t="s">
        <v>338</v>
      </c>
      <c r="Z371" s="16" t="s">
        <v>405</v>
      </c>
      <c r="AA371" s="16"/>
      <c r="AB371" s="23"/>
      <c r="AC371" s="17"/>
      <c r="AD371" s="16" t="s">
        <v>338</v>
      </c>
      <c r="AE371" s="16"/>
      <c r="AF371" s="16" t="str">
        <f aca="false">IF(COUNTIF(لیست_سفید!$A$2:$A$21,B371)&gt;0,"بله","خیر")</f>
        <v>خیر</v>
      </c>
      <c r="AG371" s="24" t="n">
        <f aca="false">IF(H371="","",IF(AD371="فیش مفقودی",تنظیمات!$B$6,(INT(I371/1440)*تنظیمات!$B$5+IF(MOD(I371,1440)&lt;=تنظیمات!$B$2,0,MIN(تنظیمات!$B$5,تنظیمات!$B$3+MAX(0,ROUNDUP((MOD(I371,1440)-60)/60,0))*تنظیمات!$B$4)))*INDEX(تعرفه!$B$2:$B$7,MATCH(AD371,تعرفه!$A$2:$A$7,0))))</f>
        <v>34000</v>
      </c>
      <c r="AH371" s="24" t="n">
        <v>34000</v>
      </c>
      <c r="AI371" s="24" t="n">
        <f aca="false">IF(AG371="","",AH371-AG371)</f>
        <v>0</v>
      </c>
      <c r="AJ371" s="21" t="n">
        <v>0</v>
      </c>
      <c r="AK371" s="21" t="n">
        <v>0</v>
      </c>
      <c r="AL371" s="16" t="s">
        <v>335</v>
      </c>
      <c r="AM371" s="16"/>
      <c r="AN371" s="16" t="s">
        <v>340</v>
      </c>
      <c r="AO371" s="16" t="s">
        <v>340</v>
      </c>
      <c r="AP371" s="16" t="s">
        <v>335</v>
      </c>
      <c r="AQ371" s="16"/>
      <c r="AR371" s="21" t="n">
        <f aca="false">IF(AND(T371&lt;&gt;"",H371&lt;&gt;""),IF(AND((T371-H371)*86400&gt;=0,(T371-H371)*86400&lt;تنظیمات!$B$13),1,0),0)</f>
        <v>0</v>
      </c>
      <c r="AS371" s="21" t="n">
        <f aca="false">IF(Z371="پوز",IF(OR(AB371="",COUNTIF(پوزها!$A$2:$A$5,AA371)=0),1,0),0)</f>
        <v>0</v>
      </c>
      <c r="AT371" s="21" t="n">
        <f aca="false">IF(AI371="",0,IF(AI371&gt;0,1,0))</f>
        <v>0</v>
      </c>
      <c r="AU371" s="21" t="n">
        <f aca="false">IF(AI371="",0,IF(AI371&lt;0,1,0))</f>
        <v>0</v>
      </c>
      <c r="AV371" s="21" t="n">
        <f aca="false">IF(U371&gt;V371,1,0)</f>
        <v>0</v>
      </c>
      <c r="AW371" s="21" t="n">
        <f aca="false">IF(OR(W371&gt;تنظیمات!$B$8,X371="بله"),1,0)</f>
        <v>0</v>
      </c>
      <c r="AX371" s="21" t="n">
        <f aca="false">IF(AND(N371="بله",L371&gt;تنظیمات!$B$9),1,0)</f>
        <v>0</v>
      </c>
      <c r="AY371" s="21" t="n">
        <f aca="false">IF(Y371="معکوس",1,0)</f>
        <v>0</v>
      </c>
      <c r="AZ371" s="21" t="n">
        <f aca="false">IF(ABS(AJ371)&gt;تنظیمات!$B$10,1,0)</f>
        <v>0</v>
      </c>
      <c r="BA371" s="21" t="n">
        <f aca="false">IF(AND(OR(AD371="رایگان/VIP",AD371="جانباز"),AF371="خیر"),1,0)</f>
        <v>0</v>
      </c>
      <c r="BB371" s="21" t="n">
        <f aca="false">IF(AE371="",0,IF(COUNTIF($AE$2:$AE$1001,AE371)&gt;1,1,0))</f>
        <v>0</v>
      </c>
      <c r="BC371" s="21" t="n">
        <f aca="false">IF(AND(H371="",I371&gt;تنظیمات!$B$12*60,AM371="خالی"),1,0)</f>
        <v>0</v>
      </c>
      <c r="BD371" s="21" t="n">
        <f aca="false">IF(AND(AP371="بله",I371&lt;تنظیمات!$B$14,AO371="خیر"),1,0)</f>
        <v>0</v>
      </c>
      <c r="BE371" s="21" t="n">
        <f aca="false">IF(AN371="خیر",1,0)</f>
        <v>0</v>
      </c>
      <c r="BF371" s="21" t="n">
        <f aca="false">IF(AND(AD371="فیش مفقودی",AQ371="بله",I371&gt;تنظیمات!$B$12*60),1,0)</f>
        <v>0</v>
      </c>
      <c r="BG371" s="21" t="n">
        <f aca="false">IF(AND(AK371&gt;تنظیمات!$B$11,AL371="بله"),1,0)</f>
        <v>0</v>
      </c>
      <c r="BH371" s="21" t="n">
        <f aca="false">MIN(100,AR371*تنظیمات!$B$21+AS371*تنظیمات!$B$22+AT371*تنظیمات!$B$23+AU371*تنظیمات!$B$24+AV371*تنظیمات!$B$25+AW371*تنظیمات!$B$26+AX371*تنظیمات!$B$27+AY371*تنظیمات!$B$28+AZ371*تنظیمات!$B$29+BA371*تنظیمات!$B$30+BB371*تنظیمات!$B$31+BC371*تنظیمات!$B$32+BD371*تنظیمات!$B$33+BE371*تنظیمات!$B$34+BF371*تنظیمات!$B$35+BG371*تنظیمات!$B$36)</f>
        <v>0</v>
      </c>
      <c r="BI371" s="16" t="str">
        <f aca="false">IF(BH371&gt;=60,"بحرانی",IF(BH371&gt;=30,"مشکوک",IF(BH371&gt;0,"هشدار","عادی")))</f>
        <v>عادی</v>
      </c>
      <c r="BJ371" s="16" t="s">
        <v>338</v>
      </c>
    </row>
    <row r="372" customFormat="false" ht="15" hidden="false" customHeight="false" outlineLevel="0" collapsed="false">
      <c r="A372" s="16" t="s">
        <v>1585</v>
      </c>
      <c r="B372" s="16" t="s">
        <v>785</v>
      </c>
      <c r="C372" s="16"/>
      <c r="D372" s="16" t="s">
        <v>523</v>
      </c>
      <c r="E372" s="16" t="s">
        <v>351</v>
      </c>
      <c r="F372" s="16" t="s">
        <v>333</v>
      </c>
      <c r="G372" s="17" t="n">
        <v>46285.9094560185</v>
      </c>
      <c r="H372" s="17" t="n">
        <v>46285.9302893519</v>
      </c>
      <c r="I372" s="18" t="n">
        <f aca="false">IF(H372="",ROUND((تنظیمات!$B$7-G372)*1440,0),ROUND((H372-G372)*1440,0))</f>
        <v>30</v>
      </c>
      <c r="J372" s="16" t="s">
        <v>334</v>
      </c>
      <c r="K372" s="16" t="s">
        <v>400</v>
      </c>
      <c r="L372" s="19" t="n">
        <v>0.995</v>
      </c>
      <c r="M372" s="19" t="n">
        <v>0.983</v>
      </c>
      <c r="N372" s="16" t="s">
        <v>335</v>
      </c>
      <c r="O372" s="16" t="s">
        <v>441</v>
      </c>
      <c r="P372" s="16" t="s">
        <v>651</v>
      </c>
      <c r="Q372" s="20" t="n">
        <v>46285</v>
      </c>
      <c r="R372" s="16" t="s">
        <v>1586</v>
      </c>
      <c r="S372" s="16" t="s">
        <v>404</v>
      </c>
      <c r="T372" s="17"/>
      <c r="U372" s="21" t="n">
        <v>1</v>
      </c>
      <c r="V372" s="21" t="n">
        <v>1</v>
      </c>
      <c r="W372" s="22" t="n">
        <v>5.2</v>
      </c>
      <c r="X372" s="16" t="s">
        <v>335</v>
      </c>
      <c r="Y372" s="16" t="s">
        <v>338</v>
      </c>
      <c r="Z372" s="16" t="s">
        <v>413</v>
      </c>
      <c r="AA372" s="16" t="s">
        <v>427</v>
      </c>
      <c r="AB372" s="23" t="s">
        <v>1587</v>
      </c>
      <c r="AC372" s="17" t="n">
        <v>46285.9296064815</v>
      </c>
      <c r="AD372" s="16" t="s">
        <v>338</v>
      </c>
      <c r="AE372" s="16"/>
      <c r="AF372" s="16" t="str">
        <f aca="false">IF(COUNTIF(لیست_سفید!$A$2:$A$21,B372)&gt;0,"بله","خیر")</f>
        <v>خیر</v>
      </c>
      <c r="AG372" s="24" t="n">
        <f aca="false">IF(H372="","",IF(AD372="فیش مفقودی",تنظیمات!$B$6,(INT(I372/1440)*تنظیمات!$B$5+IF(MOD(I372,1440)&lt;=تنظیمات!$B$2,0,MIN(تنظیمات!$B$5,تنظیمات!$B$3+MAX(0,ROUNDUP((MOD(I372,1440)-60)/60,0))*تنظیمات!$B$4)))*INDEX(تعرفه!$B$2:$B$7,MATCH(AD372,تعرفه!$A$2:$A$7,0))))</f>
        <v>20000</v>
      </c>
      <c r="AH372" s="24" t="n">
        <v>20000</v>
      </c>
      <c r="AI372" s="24" t="n">
        <f aca="false">IF(AG372="","",AH372-AG372)</f>
        <v>0</v>
      </c>
      <c r="AJ372" s="21" t="n">
        <v>-2</v>
      </c>
      <c r="AK372" s="21" t="n">
        <v>23</v>
      </c>
      <c r="AL372" s="16" t="s">
        <v>335</v>
      </c>
      <c r="AM372" s="16"/>
      <c r="AN372" s="16" t="s">
        <v>340</v>
      </c>
      <c r="AO372" s="16" t="s">
        <v>340</v>
      </c>
      <c r="AP372" s="16" t="s">
        <v>335</v>
      </c>
      <c r="AQ372" s="16"/>
      <c r="AR372" s="21" t="n">
        <f aca="false">IF(AND(T372&lt;&gt;"",H372&lt;&gt;""),IF(AND((T372-H372)*86400&gt;=0,(T372-H372)*86400&lt;تنظیمات!$B$13),1,0),0)</f>
        <v>0</v>
      </c>
      <c r="AS372" s="21" t="n">
        <f aca="false">IF(Z372="پوز",IF(OR(AB372="",COUNTIF(پوزها!$A$2:$A$5,AA372)=0),1,0),0)</f>
        <v>0</v>
      </c>
      <c r="AT372" s="21" t="n">
        <f aca="false">IF(AI372="",0,IF(AI372&gt;0,1,0))</f>
        <v>0</v>
      </c>
      <c r="AU372" s="21" t="n">
        <f aca="false">IF(AI372="",0,IF(AI372&lt;0,1,0))</f>
        <v>0</v>
      </c>
      <c r="AV372" s="21" t="n">
        <f aca="false">IF(U372&gt;V372,1,0)</f>
        <v>0</v>
      </c>
      <c r="AW372" s="21" t="n">
        <f aca="false">IF(OR(W372&gt;تنظیمات!$B$8,X372="بله"),1,0)</f>
        <v>0</v>
      </c>
      <c r="AX372" s="21" t="n">
        <f aca="false">IF(AND(N372="بله",L372&gt;تنظیمات!$B$9),1,0)</f>
        <v>0</v>
      </c>
      <c r="AY372" s="21" t="n">
        <f aca="false">IF(Y372="معکوس",1,0)</f>
        <v>0</v>
      </c>
      <c r="AZ372" s="21" t="n">
        <f aca="false">IF(ABS(AJ372)&gt;تنظیمات!$B$10,1,0)</f>
        <v>0</v>
      </c>
      <c r="BA372" s="21" t="n">
        <f aca="false">IF(AND(OR(AD372="رایگان/VIP",AD372="جانباز"),AF372="خیر"),1,0)</f>
        <v>0</v>
      </c>
      <c r="BB372" s="21" t="n">
        <f aca="false">IF(AE372="",0,IF(COUNTIF($AE$2:$AE$1001,AE372)&gt;1,1,0))</f>
        <v>0</v>
      </c>
      <c r="BC372" s="21" t="n">
        <f aca="false">IF(AND(H372="",I372&gt;تنظیمات!$B$12*60,AM372="خالی"),1,0)</f>
        <v>0</v>
      </c>
      <c r="BD372" s="21" t="n">
        <f aca="false">IF(AND(AP372="بله",I372&lt;تنظیمات!$B$14,AO372="خیر"),1,0)</f>
        <v>0</v>
      </c>
      <c r="BE372" s="21" t="n">
        <f aca="false">IF(AN372="خیر",1,0)</f>
        <v>0</v>
      </c>
      <c r="BF372" s="21" t="n">
        <f aca="false">IF(AND(AD372="فیش مفقودی",AQ372="بله",I372&gt;تنظیمات!$B$12*60),1,0)</f>
        <v>0</v>
      </c>
      <c r="BG372" s="21" t="n">
        <f aca="false">IF(AND(AK372&gt;تنظیمات!$B$11,AL372="بله"),1,0)</f>
        <v>0</v>
      </c>
      <c r="BH372" s="21" t="n">
        <f aca="false">MIN(100,AR372*تنظیمات!$B$21+AS372*تنظیمات!$B$22+AT372*تنظیمات!$B$23+AU372*تنظیمات!$B$24+AV372*تنظیمات!$B$25+AW372*تنظیمات!$B$26+AX372*تنظیمات!$B$27+AY372*تنظیمات!$B$28+AZ372*تنظیمات!$B$29+BA372*تنظیمات!$B$30+BB372*تنظیمات!$B$31+BC372*تنظیمات!$B$32+BD372*تنظیمات!$B$33+BE372*تنظیمات!$B$34+BF372*تنظیمات!$B$35+BG372*تنظیمات!$B$36)</f>
        <v>0</v>
      </c>
      <c r="BI372" s="16" t="str">
        <f aca="false">IF(BH372&gt;=60,"بحرانی",IF(BH372&gt;=30,"مشکوک",IF(BH372&gt;0,"هشدار","عادی")))</f>
        <v>عادی</v>
      </c>
      <c r="BJ372" s="16" t="s">
        <v>338</v>
      </c>
    </row>
    <row r="373" customFormat="false" ht="15" hidden="false" customHeight="false" outlineLevel="0" collapsed="false">
      <c r="A373" s="16" t="s">
        <v>1588</v>
      </c>
      <c r="B373" s="16" t="s">
        <v>439</v>
      </c>
      <c r="C373" s="16"/>
      <c r="D373" s="16" t="s">
        <v>440</v>
      </c>
      <c r="E373" s="16" t="s">
        <v>345</v>
      </c>
      <c r="F373" s="16" t="s">
        <v>359</v>
      </c>
      <c r="G373" s="17" t="n">
        <v>46285.9610185185</v>
      </c>
      <c r="H373" s="17" t="n">
        <v>46286.1825462963</v>
      </c>
      <c r="I373" s="18" t="n">
        <f aca="false">IF(H373="",ROUND((تنظیمات!$B$7-G373)*1440,0),ROUND((H373-G373)*1440,0))</f>
        <v>319</v>
      </c>
      <c r="J373" s="16" t="s">
        <v>334</v>
      </c>
      <c r="K373" s="16" t="s">
        <v>400</v>
      </c>
      <c r="L373" s="19" t="n">
        <v>0.945</v>
      </c>
      <c r="M373" s="19" t="n">
        <v>0.962</v>
      </c>
      <c r="N373" s="16" t="s">
        <v>335</v>
      </c>
      <c r="O373" s="16" t="s">
        <v>441</v>
      </c>
      <c r="P373" s="16" t="s">
        <v>651</v>
      </c>
      <c r="Q373" s="20" t="n">
        <v>46285</v>
      </c>
      <c r="R373" s="16" t="s">
        <v>1589</v>
      </c>
      <c r="S373" s="16" t="s">
        <v>404</v>
      </c>
      <c r="T373" s="17"/>
      <c r="U373" s="21" t="n">
        <v>1</v>
      </c>
      <c r="V373" s="21" t="n">
        <v>1</v>
      </c>
      <c r="W373" s="22" t="n">
        <v>6.4</v>
      </c>
      <c r="X373" s="16" t="s">
        <v>335</v>
      </c>
      <c r="Y373" s="16" t="s">
        <v>338</v>
      </c>
      <c r="Z373" s="16" t="s">
        <v>443</v>
      </c>
      <c r="AA373" s="16"/>
      <c r="AB373" s="23"/>
      <c r="AC373" s="17"/>
      <c r="AD373" s="16" t="s">
        <v>444</v>
      </c>
      <c r="AE373" s="16"/>
      <c r="AF373" s="16" t="str">
        <f aca="false">IF(COUNTIF(لیست_سفید!$A$2:$A$21,B373)&gt;0,"بله","خیر")</f>
        <v>خیر</v>
      </c>
      <c r="AG373" s="24" t="n">
        <f aca="false">IF(H373="","",IF(AD373="فیش مفقودی",تنظیمات!$B$6,(INT(I373/1440)*تنظیمات!$B$5+IF(MOD(I373,1440)&lt;=تنظیمات!$B$2,0,MIN(تنظیمات!$B$5,تنظیمات!$B$3+MAX(0,ROUNDUP((MOD(I373,1440)-60)/60,0))*تنظیمات!$B$4)))*INDEX(تعرفه!$B$2:$B$7,MATCH(AD373,تعرفه!$A$2:$A$7,0))))</f>
        <v>0</v>
      </c>
      <c r="AH373" s="24" t="n">
        <v>0</v>
      </c>
      <c r="AI373" s="24" t="n">
        <f aca="false">IF(AG373="","",AH373-AG373)</f>
        <v>0</v>
      </c>
      <c r="AJ373" s="21" t="n">
        <v>-3</v>
      </c>
      <c r="AK373" s="21" t="n">
        <v>0</v>
      </c>
      <c r="AL373" s="16" t="s">
        <v>335</v>
      </c>
      <c r="AM373" s="16"/>
      <c r="AN373" s="16" t="s">
        <v>340</v>
      </c>
      <c r="AO373" s="16" t="s">
        <v>340</v>
      </c>
      <c r="AP373" s="16" t="s">
        <v>335</v>
      </c>
      <c r="AQ373" s="16"/>
      <c r="AR373" s="21" t="n">
        <f aca="false">IF(AND(T373&lt;&gt;"",H373&lt;&gt;""),IF(AND((T373-H373)*86400&gt;=0,(T373-H373)*86400&lt;تنظیمات!$B$13),1,0),0)</f>
        <v>0</v>
      </c>
      <c r="AS373" s="21" t="n">
        <f aca="false">IF(Z373="پوز",IF(OR(AB373="",COUNTIF(پوزها!$A$2:$A$5,AA373)=0),1,0),0)</f>
        <v>0</v>
      </c>
      <c r="AT373" s="21" t="n">
        <f aca="false">IF(AI373="",0,IF(AI373&gt;0,1,0))</f>
        <v>0</v>
      </c>
      <c r="AU373" s="21" t="n">
        <f aca="false">IF(AI373="",0,IF(AI373&lt;0,1,0))</f>
        <v>0</v>
      </c>
      <c r="AV373" s="21" t="n">
        <f aca="false">IF(U373&gt;V373,1,0)</f>
        <v>0</v>
      </c>
      <c r="AW373" s="21" t="n">
        <f aca="false">IF(OR(W373&gt;تنظیمات!$B$8,X373="بله"),1,0)</f>
        <v>0</v>
      </c>
      <c r="AX373" s="21" t="n">
        <f aca="false">IF(AND(N373="بله",L373&gt;تنظیمات!$B$9),1,0)</f>
        <v>0</v>
      </c>
      <c r="AY373" s="21" t="n">
        <f aca="false">IF(Y373="معکوس",1,0)</f>
        <v>0</v>
      </c>
      <c r="AZ373" s="21" t="n">
        <f aca="false">IF(ABS(AJ373)&gt;تنظیمات!$B$10,1,0)</f>
        <v>0</v>
      </c>
      <c r="BA373" s="21" t="n">
        <f aca="false">IF(AND(OR(AD373="رایگان/VIP",AD373="جانباز"),AF373="خیر"),1,0)</f>
        <v>0</v>
      </c>
      <c r="BB373" s="21" t="n">
        <f aca="false">IF(AE373="",0,IF(COUNTIF($AE$2:$AE$1001,AE373)&gt;1,1,0))</f>
        <v>0</v>
      </c>
      <c r="BC373" s="21" t="n">
        <f aca="false">IF(AND(H373="",I373&gt;تنظیمات!$B$12*60,AM373="خالی"),1,0)</f>
        <v>0</v>
      </c>
      <c r="BD373" s="21" t="n">
        <f aca="false">IF(AND(AP373="بله",I373&lt;تنظیمات!$B$14,AO373="خیر"),1,0)</f>
        <v>0</v>
      </c>
      <c r="BE373" s="21" t="n">
        <f aca="false">IF(AN373="خیر",1,0)</f>
        <v>0</v>
      </c>
      <c r="BF373" s="21" t="n">
        <f aca="false">IF(AND(AD373="فیش مفقودی",AQ373="بله",I373&gt;تنظیمات!$B$12*60),1,0)</f>
        <v>0</v>
      </c>
      <c r="BG373" s="21" t="n">
        <f aca="false">IF(AND(AK373&gt;تنظیمات!$B$11,AL373="بله"),1,0)</f>
        <v>0</v>
      </c>
      <c r="BH373" s="21" t="n">
        <f aca="false">MIN(100,AR373*تنظیمات!$B$21+AS373*تنظیمات!$B$22+AT373*تنظیمات!$B$23+AU373*تنظیمات!$B$24+AV373*تنظیمات!$B$25+AW373*تنظیمات!$B$26+AX373*تنظیمات!$B$27+AY373*تنظیمات!$B$28+AZ373*تنظیمات!$B$29+BA373*تنظیمات!$B$30+BB373*تنظیمات!$B$31+BC373*تنظیمات!$B$32+BD373*تنظیمات!$B$33+BE373*تنظیمات!$B$34+BF373*تنظیمات!$B$35+BG373*تنظیمات!$B$36)</f>
        <v>0</v>
      </c>
      <c r="BI373" s="16" t="str">
        <f aca="false">IF(BH373&gt;=60,"بحرانی",IF(BH373&gt;=30,"مشکوک",IF(BH373&gt;0,"هشدار","عادی")))</f>
        <v>عادی</v>
      </c>
      <c r="BJ373" s="16" t="s">
        <v>338</v>
      </c>
    </row>
    <row r="374" customFormat="false" ht="15" hidden="false" customHeight="false" outlineLevel="0" collapsed="false">
      <c r="A374" s="16" t="s">
        <v>1590</v>
      </c>
      <c r="B374" s="16" t="s">
        <v>1591</v>
      </c>
      <c r="C374" s="16"/>
      <c r="D374" s="16" t="s">
        <v>508</v>
      </c>
      <c r="E374" s="16" t="s">
        <v>375</v>
      </c>
      <c r="F374" s="16" t="s">
        <v>333</v>
      </c>
      <c r="G374" s="17" t="n">
        <v>46285.981099537</v>
      </c>
      <c r="H374" s="17" t="n">
        <v>46290.6734606482</v>
      </c>
      <c r="I374" s="18" t="n">
        <f aca="false">IF(H374="",ROUND((تنظیمات!$B$7-G374)*1440,0),ROUND((H374-G374)*1440,0))</f>
        <v>6757</v>
      </c>
      <c r="J374" s="16" t="s">
        <v>346</v>
      </c>
      <c r="K374" s="16" t="s">
        <v>400</v>
      </c>
      <c r="L374" s="19" t="n">
        <v>0.968</v>
      </c>
      <c r="M374" s="19" t="n">
        <v>0.904</v>
      </c>
      <c r="N374" s="16" t="s">
        <v>335</v>
      </c>
      <c r="O374" s="16" t="s">
        <v>425</v>
      </c>
      <c r="P374" s="16" t="s">
        <v>420</v>
      </c>
      <c r="Q374" s="20" t="n">
        <v>46290</v>
      </c>
      <c r="R374" s="16" t="s">
        <v>1592</v>
      </c>
      <c r="S374" s="16" t="s">
        <v>404</v>
      </c>
      <c r="T374" s="17"/>
      <c r="U374" s="21" t="n">
        <v>1</v>
      </c>
      <c r="V374" s="21" t="n">
        <v>1</v>
      </c>
      <c r="W374" s="22" t="n">
        <v>5.8</v>
      </c>
      <c r="X374" s="16" t="s">
        <v>335</v>
      </c>
      <c r="Y374" s="16" t="s">
        <v>338</v>
      </c>
      <c r="Z374" s="16" t="s">
        <v>405</v>
      </c>
      <c r="AA374" s="16"/>
      <c r="AB374" s="23"/>
      <c r="AC374" s="17"/>
      <c r="AD374" s="16" t="s">
        <v>406</v>
      </c>
      <c r="AE374" s="16"/>
      <c r="AF374" s="16" t="str">
        <f aca="false">IF(COUNTIF(لیست_سفید!$A$2:$A$21,B374)&gt;0,"بله","خیر")</f>
        <v>خیر</v>
      </c>
      <c r="AG374" s="24" t="n">
        <f aca="false">IF(H374="","",IF(AD374="فیش مفقودی",تنظیمات!$B$6,(INT(I374/1440)*تنظیمات!$B$5+IF(MOD(I374,1440)&lt;=تنظیمات!$B$2,0,MIN(تنظیمات!$B$5,تنظیمات!$B$3+MAX(0,ROUNDUP((MOD(I374,1440)-60)/60,0))*تنظیمات!$B$4)))*INDEX(تعرفه!$B$2:$B$7,MATCH(AD374,تعرفه!$A$2:$A$7,0))))</f>
        <v>300000</v>
      </c>
      <c r="AH374" s="24" t="n">
        <v>300000</v>
      </c>
      <c r="AI374" s="24" t="n">
        <f aca="false">IF(AG374="","",AH374-AG374)</f>
        <v>0</v>
      </c>
      <c r="AJ374" s="21" t="n">
        <v>-1</v>
      </c>
      <c r="AK374" s="21" t="n">
        <v>0</v>
      </c>
      <c r="AL374" s="16" t="s">
        <v>335</v>
      </c>
      <c r="AM374" s="16"/>
      <c r="AN374" s="16" t="s">
        <v>340</v>
      </c>
      <c r="AO374" s="16" t="s">
        <v>340</v>
      </c>
      <c r="AP374" s="16" t="s">
        <v>335</v>
      </c>
      <c r="AQ374" s="16" t="s">
        <v>340</v>
      </c>
      <c r="AR374" s="21" t="n">
        <f aca="false">IF(AND(T374&lt;&gt;"",H374&lt;&gt;""),IF(AND((T374-H374)*86400&gt;=0,(T374-H374)*86400&lt;تنظیمات!$B$13),1,0),0)</f>
        <v>0</v>
      </c>
      <c r="AS374" s="21" t="n">
        <f aca="false">IF(Z374="پوز",IF(OR(AB374="",COUNTIF(پوزها!$A$2:$A$5,AA374)=0),1,0),0)</f>
        <v>0</v>
      </c>
      <c r="AT374" s="21" t="n">
        <f aca="false">IF(AI374="",0,IF(AI374&gt;0,1,0))</f>
        <v>0</v>
      </c>
      <c r="AU374" s="21" t="n">
        <f aca="false">IF(AI374="",0,IF(AI374&lt;0,1,0))</f>
        <v>0</v>
      </c>
      <c r="AV374" s="21" t="n">
        <f aca="false">IF(U374&gt;V374,1,0)</f>
        <v>0</v>
      </c>
      <c r="AW374" s="21" t="n">
        <f aca="false">IF(OR(W374&gt;تنظیمات!$B$8,X374="بله"),1,0)</f>
        <v>0</v>
      </c>
      <c r="AX374" s="21" t="n">
        <f aca="false">IF(AND(N374="بله",L374&gt;تنظیمات!$B$9),1,0)</f>
        <v>0</v>
      </c>
      <c r="AY374" s="21" t="n">
        <f aca="false">IF(Y374="معکوس",1,0)</f>
        <v>0</v>
      </c>
      <c r="AZ374" s="21" t="n">
        <f aca="false">IF(ABS(AJ374)&gt;تنظیمات!$B$10,1,0)</f>
        <v>0</v>
      </c>
      <c r="BA374" s="21" t="n">
        <f aca="false">IF(AND(OR(AD374="رایگان/VIP",AD374="جانباز"),AF374="خیر"),1,0)</f>
        <v>0</v>
      </c>
      <c r="BB374" s="21" t="n">
        <f aca="false">IF(AE374="",0,IF(COUNTIF($AE$2:$AE$1001,AE374)&gt;1,1,0))</f>
        <v>0</v>
      </c>
      <c r="BC374" s="21" t="n">
        <f aca="false">IF(AND(H374="",I374&gt;تنظیمات!$B$12*60,AM374="خالی"),1,0)</f>
        <v>0</v>
      </c>
      <c r="BD374" s="21" t="n">
        <f aca="false">IF(AND(AP374="بله",I374&lt;تنظیمات!$B$14,AO374="خیر"),1,0)</f>
        <v>0</v>
      </c>
      <c r="BE374" s="21" t="n">
        <f aca="false">IF(AN374="خیر",1,0)</f>
        <v>0</v>
      </c>
      <c r="BF374" s="21" t="n">
        <f aca="false">IF(AND(AD374="فیش مفقودی",AQ374="بله",I374&gt;تنظیمات!$B$12*60),1,0)</f>
        <v>1</v>
      </c>
      <c r="BG374" s="21" t="n">
        <f aca="false">IF(AND(AK374&gt;تنظیمات!$B$11,AL374="بله"),1,0)</f>
        <v>0</v>
      </c>
      <c r="BH374" s="21" t="n">
        <f aca="false">MIN(100,AR374*تنظیمات!$B$21+AS374*تنظیمات!$B$22+AT374*تنظیمات!$B$23+AU374*تنظیمات!$B$24+AV374*تنظیمات!$B$25+AW374*تنظیمات!$B$26+AX374*تنظیمات!$B$27+AY374*تنظیمات!$B$28+AZ374*تنظیمات!$B$29+BA374*تنظیمات!$B$30+BB374*تنظیمات!$B$31+BC374*تنظیمات!$B$32+BD374*تنظیمات!$B$33+BE374*تنظیمات!$B$34+BF374*تنظیمات!$B$35+BG374*تنظیمات!$B$36)</f>
        <v>30</v>
      </c>
      <c r="BI374" s="16" t="str">
        <f aca="false">IF(BH374&gt;=60,"بحرانی",IF(BH374&gt;=30,"مشکوک",IF(BH374&gt;0,"هشدار","عادی")))</f>
        <v>مشکوک</v>
      </c>
      <c r="BJ374" s="16" t="s">
        <v>407</v>
      </c>
    </row>
    <row r="375" customFormat="false" ht="15" hidden="false" customHeight="false" outlineLevel="0" collapsed="false">
      <c r="A375" s="16" t="s">
        <v>1593</v>
      </c>
      <c r="B375" s="16" t="s">
        <v>1255</v>
      </c>
      <c r="C375" s="16"/>
      <c r="D375" s="16" t="s">
        <v>523</v>
      </c>
      <c r="E375" s="16" t="s">
        <v>390</v>
      </c>
      <c r="F375" s="16" t="s">
        <v>333</v>
      </c>
      <c r="G375" s="17" t="n">
        <v>46286.0075810185</v>
      </c>
      <c r="H375" s="17" t="n">
        <v>46286.0131365741</v>
      </c>
      <c r="I375" s="18" t="n">
        <f aca="false">IF(H375="",ROUND((تنظیمات!$B$7-G375)*1440,0),ROUND((H375-G375)*1440,0))</f>
        <v>8</v>
      </c>
      <c r="J375" s="16" t="s">
        <v>334</v>
      </c>
      <c r="K375" s="16" t="s">
        <v>400</v>
      </c>
      <c r="L375" s="19" t="n">
        <v>0.93</v>
      </c>
      <c r="M375" s="19" t="n">
        <v>0.987</v>
      </c>
      <c r="N375" s="16" t="s">
        <v>335</v>
      </c>
      <c r="O375" s="16" t="s">
        <v>441</v>
      </c>
      <c r="P375" s="16" t="s">
        <v>651</v>
      </c>
      <c r="Q375" s="20" t="n">
        <v>46285</v>
      </c>
      <c r="R375" s="16" t="s">
        <v>1594</v>
      </c>
      <c r="S375" s="16" t="s">
        <v>404</v>
      </c>
      <c r="T375" s="17"/>
      <c r="U375" s="21" t="n">
        <v>1</v>
      </c>
      <c r="V375" s="21" t="n">
        <v>1</v>
      </c>
      <c r="W375" s="22" t="n">
        <v>5.7</v>
      </c>
      <c r="X375" s="16" t="s">
        <v>335</v>
      </c>
      <c r="Y375" s="16" t="s">
        <v>338</v>
      </c>
      <c r="Z375" s="16" t="s">
        <v>628</v>
      </c>
      <c r="AA375" s="16"/>
      <c r="AB375" s="23"/>
      <c r="AC375" s="17"/>
      <c r="AD375" s="16" t="s">
        <v>338</v>
      </c>
      <c r="AE375" s="16"/>
      <c r="AF375" s="16" t="str">
        <f aca="false">IF(COUNTIF(لیست_سفید!$A$2:$A$21,B375)&gt;0,"بله","خیر")</f>
        <v>خیر</v>
      </c>
      <c r="AG375" s="24" t="n">
        <f aca="false">IF(H375="","",IF(AD375="فیش مفقودی",تنظیمات!$B$6,(INT(I375/1440)*تنظیمات!$B$5+IF(MOD(I375,1440)&lt;=تنظیمات!$B$2,0,MIN(تنظیمات!$B$5,تنظیمات!$B$3+MAX(0,ROUNDUP((MOD(I375,1440)-60)/60,0))*تنظیمات!$B$4)))*INDEX(تعرفه!$B$2:$B$7,MATCH(AD375,تعرفه!$A$2:$A$7,0))))</f>
        <v>0</v>
      </c>
      <c r="AH375" s="24" t="n">
        <v>0</v>
      </c>
      <c r="AI375" s="24" t="n">
        <f aca="false">IF(AG375="","",AH375-AG375)</f>
        <v>0</v>
      </c>
      <c r="AJ375" s="21" t="n">
        <v>1</v>
      </c>
      <c r="AK375" s="21" t="n">
        <v>0</v>
      </c>
      <c r="AL375" s="16" t="s">
        <v>335</v>
      </c>
      <c r="AM375" s="16"/>
      <c r="AN375" s="16" t="s">
        <v>340</v>
      </c>
      <c r="AO375" s="16" t="s">
        <v>340</v>
      </c>
      <c r="AP375" s="16" t="s">
        <v>335</v>
      </c>
      <c r="AQ375" s="16"/>
      <c r="AR375" s="21" t="n">
        <f aca="false">IF(AND(T375&lt;&gt;"",H375&lt;&gt;""),IF(AND((T375-H375)*86400&gt;=0,(T375-H375)*86400&lt;تنظیمات!$B$13),1,0),0)</f>
        <v>0</v>
      </c>
      <c r="AS375" s="21" t="n">
        <f aca="false">IF(Z375="پوز",IF(OR(AB375="",COUNTIF(پوزها!$A$2:$A$5,AA375)=0),1,0),0)</f>
        <v>0</v>
      </c>
      <c r="AT375" s="21" t="n">
        <f aca="false">IF(AI375="",0,IF(AI375&gt;0,1,0))</f>
        <v>0</v>
      </c>
      <c r="AU375" s="21" t="n">
        <f aca="false">IF(AI375="",0,IF(AI375&lt;0,1,0))</f>
        <v>0</v>
      </c>
      <c r="AV375" s="21" t="n">
        <f aca="false">IF(U375&gt;V375,1,0)</f>
        <v>0</v>
      </c>
      <c r="AW375" s="21" t="n">
        <f aca="false">IF(OR(W375&gt;تنظیمات!$B$8,X375="بله"),1,0)</f>
        <v>0</v>
      </c>
      <c r="AX375" s="21" t="n">
        <f aca="false">IF(AND(N375="بله",L375&gt;تنظیمات!$B$9),1,0)</f>
        <v>0</v>
      </c>
      <c r="AY375" s="21" t="n">
        <f aca="false">IF(Y375="معکوس",1,0)</f>
        <v>0</v>
      </c>
      <c r="AZ375" s="21" t="n">
        <f aca="false">IF(ABS(AJ375)&gt;تنظیمات!$B$10,1,0)</f>
        <v>0</v>
      </c>
      <c r="BA375" s="21" t="n">
        <f aca="false">IF(AND(OR(AD375="رایگان/VIP",AD375="جانباز"),AF375="خیر"),1,0)</f>
        <v>0</v>
      </c>
      <c r="BB375" s="21" t="n">
        <f aca="false">IF(AE375="",0,IF(COUNTIF($AE$2:$AE$1001,AE375)&gt;1,1,0))</f>
        <v>0</v>
      </c>
      <c r="BC375" s="21" t="n">
        <f aca="false">IF(AND(H375="",I375&gt;تنظیمات!$B$12*60,AM375="خالی"),1,0)</f>
        <v>0</v>
      </c>
      <c r="BD375" s="21" t="n">
        <f aca="false">IF(AND(AP375="بله",I375&lt;تنظیمات!$B$14,AO375="خیر"),1,0)</f>
        <v>0</v>
      </c>
      <c r="BE375" s="21" t="n">
        <f aca="false">IF(AN375="خیر",1,0)</f>
        <v>0</v>
      </c>
      <c r="BF375" s="21" t="n">
        <f aca="false">IF(AND(AD375="فیش مفقودی",AQ375="بله",I375&gt;تنظیمات!$B$12*60),1,0)</f>
        <v>0</v>
      </c>
      <c r="BG375" s="21" t="n">
        <f aca="false">IF(AND(AK375&gt;تنظیمات!$B$11,AL375="بله"),1,0)</f>
        <v>0</v>
      </c>
      <c r="BH375" s="21" t="n">
        <f aca="false">MIN(100,AR375*تنظیمات!$B$21+AS375*تنظیمات!$B$22+AT375*تنظیمات!$B$23+AU375*تنظیمات!$B$24+AV375*تنظیمات!$B$25+AW375*تنظیمات!$B$26+AX375*تنظیمات!$B$27+AY375*تنظیمات!$B$28+AZ375*تنظیمات!$B$29+BA375*تنظیمات!$B$30+BB375*تنظیمات!$B$31+BC375*تنظیمات!$B$32+BD375*تنظیمات!$B$33+BE375*تنظیمات!$B$34+BF375*تنظیمات!$B$35+BG375*تنظیمات!$B$36)</f>
        <v>0</v>
      </c>
      <c r="BI375" s="16" t="str">
        <f aca="false">IF(BH375&gt;=60,"بحرانی",IF(BH375&gt;=30,"مشکوک",IF(BH375&gt;0,"هشدار","عادی")))</f>
        <v>عادی</v>
      </c>
      <c r="BJ375" s="16" t="s">
        <v>338</v>
      </c>
    </row>
    <row r="376" customFormat="false" ht="15" hidden="false" customHeight="false" outlineLevel="0" collapsed="false">
      <c r="A376" s="16" t="s">
        <v>1595</v>
      </c>
      <c r="B376" s="16" t="s">
        <v>1596</v>
      </c>
      <c r="C376" s="16"/>
      <c r="D376" s="16" t="s">
        <v>508</v>
      </c>
      <c r="E376" s="16" t="s">
        <v>390</v>
      </c>
      <c r="F376" s="16" t="s">
        <v>333</v>
      </c>
      <c r="G376" s="17" t="n">
        <v>46286.0463425926</v>
      </c>
      <c r="H376" s="17" t="n">
        <v>46286.4150925926</v>
      </c>
      <c r="I376" s="18" t="n">
        <f aca="false">IF(H376="",ROUND((تنظیمات!$B$7-G376)*1440,0),ROUND((H376-G376)*1440,0))</f>
        <v>531</v>
      </c>
      <c r="J376" s="16" t="s">
        <v>346</v>
      </c>
      <c r="K376" s="16" t="s">
        <v>410</v>
      </c>
      <c r="L376" s="19" t="n">
        <v>0.959</v>
      </c>
      <c r="M376" s="19" t="n">
        <v>0.901</v>
      </c>
      <c r="N376" s="16" t="s">
        <v>335</v>
      </c>
      <c r="O376" s="16" t="s">
        <v>401</v>
      </c>
      <c r="P376" s="16" t="s">
        <v>402</v>
      </c>
      <c r="Q376" s="20" t="n">
        <v>46286</v>
      </c>
      <c r="R376" s="16" t="s">
        <v>1597</v>
      </c>
      <c r="S376" s="16" t="s">
        <v>404</v>
      </c>
      <c r="T376" s="17"/>
      <c r="U376" s="21" t="n">
        <v>1</v>
      </c>
      <c r="V376" s="21" t="n">
        <v>1</v>
      </c>
      <c r="W376" s="22" t="n">
        <v>3.1</v>
      </c>
      <c r="X376" s="16" t="s">
        <v>335</v>
      </c>
      <c r="Y376" s="16" t="s">
        <v>338</v>
      </c>
      <c r="Z376" s="16" t="s">
        <v>443</v>
      </c>
      <c r="AA376" s="16"/>
      <c r="AB376" s="23"/>
      <c r="AC376" s="17"/>
      <c r="AD376" s="16" t="s">
        <v>444</v>
      </c>
      <c r="AE376" s="16"/>
      <c r="AF376" s="16" t="str">
        <f aca="false">IF(COUNTIF(لیست_سفید!$A$2:$A$21,B376)&gt;0,"بله","خیر")</f>
        <v>خیر</v>
      </c>
      <c r="AG376" s="24" t="n">
        <f aca="false">IF(H376="","",IF(AD376="فیش مفقودی",تنظیمات!$B$6,(INT(I376/1440)*تنظیمات!$B$5+IF(MOD(I376,1440)&lt;=تنظیمات!$B$2,0,MIN(تنظیمات!$B$5,تنظیمات!$B$3+MAX(0,ROUNDUP((MOD(I376,1440)-60)/60,0))*تنظیمات!$B$4)))*INDEX(تعرفه!$B$2:$B$7,MATCH(AD376,تعرفه!$A$2:$A$7,0))))</f>
        <v>0</v>
      </c>
      <c r="AH376" s="24" t="n">
        <v>0</v>
      </c>
      <c r="AI376" s="24" t="n">
        <f aca="false">IF(AG376="","",AH376-AG376)</f>
        <v>0</v>
      </c>
      <c r="AJ376" s="21" t="n">
        <v>3</v>
      </c>
      <c r="AK376" s="21" t="n">
        <v>0</v>
      </c>
      <c r="AL376" s="16" t="s">
        <v>335</v>
      </c>
      <c r="AM376" s="16"/>
      <c r="AN376" s="16" t="s">
        <v>340</v>
      </c>
      <c r="AO376" s="16" t="s">
        <v>340</v>
      </c>
      <c r="AP376" s="16" t="s">
        <v>335</v>
      </c>
      <c r="AQ376" s="16"/>
      <c r="AR376" s="21" t="n">
        <f aca="false">IF(AND(T376&lt;&gt;"",H376&lt;&gt;""),IF(AND((T376-H376)*86400&gt;=0,(T376-H376)*86400&lt;تنظیمات!$B$13),1,0),0)</f>
        <v>0</v>
      </c>
      <c r="AS376" s="21" t="n">
        <f aca="false">IF(Z376="پوز",IF(OR(AB376="",COUNTIF(پوزها!$A$2:$A$5,AA376)=0),1,0),0)</f>
        <v>0</v>
      </c>
      <c r="AT376" s="21" t="n">
        <f aca="false">IF(AI376="",0,IF(AI376&gt;0,1,0))</f>
        <v>0</v>
      </c>
      <c r="AU376" s="21" t="n">
        <f aca="false">IF(AI376="",0,IF(AI376&lt;0,1,0))</f>
        <v>0</v>
      </c>
      <c r="AV376" s="21" t="n">
        <f aca="false">IF(U376&gt;V376,1,0)</f>
        <v>0</v>
      </c>
      <c r="AW376" s="21" t="n">
        <f aca="false">IF(OR(W376&gt;تنظیمات!$B$8,X376="بله"),1,0)</f>
        <v>0</v>
      </c>
      <c r="AX376" s="21" t="n">
        <f aca="false">IF(AND(N376="بله",L376&gt;تنظیمات!$B$9),1,0)</f>
        <v>0</v>
      </c>
      <c r="AY376" s="21" t="n">
        <f aca="false">IF(Y376="معکوس",1,0)</f>
        <v>0</v>
      </c>
      <c r="AZ376" s="21" t="n">
        <f aca="false">IF(ABS(AJ376)&gt;تنظیمات!$B$10,1,0)</f>
        <v>0</v>
      </c>
      <c r="BA376" s="21" t="n">
        <f aca="false">IF(AND(OR(AD376="رایگان/VIP",AD376="جانباز"),AF376="خیر"),1,0)</f>
        <v>0</v>
      </c>
      <c r="BB376" s="21" t="n">
        <f aca="false">IF(AE376="",0,IF(COUNTIF($AE$2:$AE$1001,AE376)&gt;1,1,0))</f>
        <v>0</v>
      </c>
      <c r="BC376" s="21" t="n">
        <f aca="false">IF(AND(H376="",I376&gt;تنظیمات!$B$12*60,AM376="خالی"),1,0)</f>
        <v>0</v>
      </c>
      <c r="BD376" s="21" t="n">
        <f aca="false">IF(AND(AP376="بله",I376&lt;تنظیمات!$B$14,AO376="خیر"),1,0)</f>
        <v>0</v>
      </c>
      <c r="BE376" s="21" t="n">
        <f aca="false">IF(AN376="خیر",1,0)</f>
        <v>0</v>
      </c>
      <c r="BF376" s="21" t="n">
        <f aca="false">IF(AND(AD376="فیش مفقودی",AQ376="بله",I376&gt;تنظیمات!$B$12*60),1,0)</f>
        <v>0</v>
      </c>
      <c r="BG376" s="21" t="n">
        <f aca="false">IF(AND(AK376&gt;تنظیمات!$B$11,AL376="بله"),1,0)</f>
        <v>0</v>
      </c>
      <c r="BH376" s="21" t="n">
        <f aca="false">MIN(100,AR376*تنظیمات!$B$21+AS376*تنظیمات!$B$22+AT376*تنظیمات!$B$23+AU376*تنظیمات!$B$24+AV376*تنظیمات!$B$25+AW376*تنظیمات!$B$26+AX376*تنظیمات!$B$27+AY376*تنظیمات!$B$28+AZ376*تنظیمات!$B$29+BA376*تنظیمات!$B$30+BB376*تنظیمات!$B$31+BC376*تنظیمات!$B$32+BD376*تنظیمات!$B$33+BE376*تنظیمات!$B$34+BF376*تنظیمات!$B$35+BG376*تنظیمات!$B$36)</f>
        <v>0</v>
      </c>
      <c r="BI376" s="16" t="str">
        <f aca="false">IF(BH376&gt;=60,"بحرانی",IF(BH376&gt;=30,"مشکوک",IF(BH376&gt;0,"هشدار","عادی")))</f>
        <v>عادی</v>
      </c>
      <c r="BJ376" s="16" t="s">
        <v>338</v>
      </c>
    </row>
    <row r="377" customFormat="false" ht="15" hidden="false" customHeight="false" outlineLevel="0" collapsed="false">
      <c r="A377" s="16" t="s">
        <v>1598</v>
      </c>
      <c r="B377" s="16" t="s">
        <v>1599</v>
      </c>
      <c r="C377" s="16"/>
      <c r="D377" s="16" t="s">
        <v>523</v>
      </c>
      <c r="E377" s="16" t="s">
        <v>363</v>
      </c>
      <c r="F377" s="16" t="s">
        <v>333</v>
      </c>
      <c r="G377" s="17" t="n">
        <v>46286.0590277778</v>
      </c>
      <c r="H377" s="17" t="n">
        <v>46286.3729166667</v>
      </c>
      <c r="I377" s="18" t="n">
        <f aca="false">IF(H377="",ROUND((تنظیمات!$B$7-G377)*1440,0),ROUND((H377-G377)*1440,0))</f>
        <v>452</v>
      </c>
      <c r="J377" s="16" t="s">
        <v>334</v>
      </c>
      <c r="K377" s="16" t="s">
        <v>400</v>
      </c>
      <c r="L377" s="19" t="n">
        <v>0.95</v>
      </c>
      <c r="M377" s="19" t="n">
        <v>0.975</v>
      </c>
      <c r="N377" s="16" t="s">
        <v>335</v>
      </c>
      <c r="O377" s="16" t="s">
        <v>411</v>
      </c>
      <c r="P377" s="16" t="s">
        <v>402</v>
      </c>
      <c r="Q377" s="20" t="n">
        <v>46286</v>
      </c>
      <c r="R377" s="16" t="s">
        <v>1600</v>
      </c>
      <c r="S377" s="16" t="s">
        <v>404</v>
      </c>
      <c r="T377" s="17"/>
      <c r="U377" s="21" t="n">
        <v>1</v>
      </c>
      <c r="V377" s="21" t="n">
        <v>1</v>
      </c>
      <c r="W377" s="22" t="n">
        <v>8.4</v>
      </c>
      <c r="X377" s="16" t="s">
        <v>335</v>
      </c>
      <c r="Y377" s="16" t="s">
        <v>338</v>
      </c>
      <c r="Z377" s="16" t="s">
        <v>443</v>
      </c>
      <c r="AA377" s="16"/>
      <c r="AB377" s="23"/>
      <c r="AC377" s="17"/>
      <c r="AD377" s="16" t="s">
        <v>444</v>
      </c>
      <c r="AE377" s="16"/>
      <c r="AF377" s="16" t="str">
        <f aca="false">IF(COUNTIF(لیست_سفید!$A$2:$A$21,B377)&gt;0,"بله","خیر")</f>
        <v>خیر</v>
      </c>
      <c r="AG377" s="24" t="n">
        <f aca="false">IF(H377="","",IF(AD377="فیش مفقودی",تنظیمات!$B$6,(INT(I377/1440)*تنظیمات!$B$5+IF(MOD(I377,1440)&lt;=تنظیمات!$B$2,0,MIN(تنظیمات!$B$5,تنظیمات!$B$3+MAX(0,ROUNDUP((MOD(I377,1440)-60)/60,0))*تنظیمات!$B$4)))*INDEX(تعرفه!$B$2:$B$7,MATCH(AD377,تعرفه!$A$2:$A$7,0))))</f>
        <v>0</v>
      </c>
      <c r="AH377" s="24" t="n">
        <v>0</v>
      </c>
      <c r="AI377" s="24" t="n">
        <f aca="false">IF(AG377="","",AH377-AG377)</f>
        <v>0</v>
      </c>
      <c r="AJ377" s="21" t="n">
        <v>1</v>
      </c>
      <c r="AK377" s="21" t="n">
        <v>0</v>
      </c>
      <c r="AL377" s="16" t="s">
        <v>335</v>
      </c>
      <c r="AM377" s="16"/>
      <c r="AN377" s="16" t="s">
        <v>340</v>
      </c>
      <c r="AO377" s="16" t="s">
        <v>340</v>
      </c>
      <c r="AP377" s="16" t="s">
        <v>335</v>
      </c>
      <c r="AQ377" s="16"/>
      <c r="AR377" s="21" t="n">
        <f aca="false">IF(AND(T377&lt;&gt;"",H377&lt;&gt;""),IF(AND((T377-H377)*86400&gt;=0,(T377-H377)*86400&lt;تنظیمات!$B$13),1,0),0)</f>
        <v>0</v>
      </c>
      <c r="AS377" s="21" t="n">
        <f aca="false">IF(Z377="پوز",IF(OR(AB377="",COUNTIF(پوزها!$A$2:$A$5,AA377)=0),1,0),0)</f>
        <v>0</v>
      </c>
      <c r="AT377" s="21" t="n">
        <f aca="false">IF(AI377="",0,IF(AI377&gt;0,1,0))</f>
        <v>0</v>
      </c>
      <c r="AU377" s="21" t="n">
        <f aca="false">IF(AI377="",0,IF(AI377&lt;0,1,0))</f>
        <v>0</v>
      </c>
      <c r="AV377" s="21" t="n">
        <f aca="false">IF(U377&gt;V377,1,0)</f>
        <v>0</v>
      </c>
      <c r="AW377" s="21" t="n">
        <f aca="false">IF(OR(W377&gt;تنظیمات!$B$8,X377="بله"),1,0)</f>
        <v>0</v>
      </c>
      <c r="AX377" s="21" t="n">
        <f aca="false">IF(AND(N377="بله",L377&gt;تنظیمات!$B$9),1,0)</f>
        <v>0</v>
      </c>
      <c r="AY377" s="21" t="n">
        <f aca="false">IF(Y377="معکوس",1,0)</f>
        <v>0</v>
      </c>
      <c r="AZ377" s="21" t="n">
        <f aca="false">IF(ABS(AJ377)&gt;تنظیمات!$B$10,1,0)</f>
        <v>0</v>
      </c>
      <c r="BA377" s="21" t="n">
        <f aca="false">IF(AND(OR(AD377="رایگان/VIP",AD377="جانباز"),AF377="خیر"),1,0)</f>
        <v>0</v>
      </c>
      <c r="BB377" s="21" t="n">
        <f aca="false">IF(AE377="",0,IF(COUNTIF($AE$2:$AE$1001,AE377)&gt;1,1,0))</f>
        <v>0</v>
      </c>
      <c r="BC377" s="21" t="n">
        <f aca="false">IF(AND(H377="",I377&gt;تنظیمات!$B$12*60,AM377="خالی"),1,0)</f>
        <v>0</v>
      </c>
      <c r="BD377" s="21" t="n">
        <f aca="false">IF(AND(AP377="بله",I377&lt;تنظیمات!$B$14,AO377="خیر"),1,0)</f>
        <v>0</v>
      </c>
      <c r="BE377" s="21" t="n">
        <f aca="false">IF(AN377="خیر",1,0)</f>
        <v>0</v>
      </c>
      <c r="BF377" s="21" t="n">
        <f aca="false">IF(AND(AD377="فیش مفقودی",AQ377="بله",I377&gt;تنظیمات!$B$12*60),1,0)</f>
        <v>0</v>
      </c>
      <c r="BG377" s="21" t="n">
        <f aca="false">IF(AND(AK377&gt;تنظیمات!$B$11,AL377="بله"),1,0)</f>
        <v>0</v>
      </c>
      <c r="BH377" s="21" t="n">
        <f aca="false">MIN(100,AR377*تنظیمات!$B$21+AS377*تنظیمات!$B$22+AT377*تنظیمات!$B$23+AU377*تنظیمات!$B$24+AV377*تنظیمات!$B$25+AW377*تنظیمات!$B$26+AX377*تنظیمات!$B$27+AY377*تنظیمات!$B$28+AZ377*تنظیمات!$B$29+BA377*تنظیمات!$B$30+BB377*تنظیمات!$B$31+BC377*تنظیمات!$B$32+BD377*تنظیمات!$B$33+BE377*تنظیمات!$B$34+BF377*تنظیمات!$B$35+BG377*تنظیمات!$B$36)</f>
        <v>0</v>
      </c>
      <c r="BI377" s="16" t="str">
        <f aca="false">IF(BH377&gt;=60,"بحرانی",IF(BH377&gt;=30,"مشکوک",IF(BH377&gt;0,"هشدار","عادی")))</f>
        <v>عادی</v>
      </c>
      <c r="BJ377" s="16" t="s">
        <v>338</v>
      </c>
    </row>
    <row r="378" customFormat="false" ht="15" hidden="false" customHeight="false" outlineLevel="0" collapsed="false">
      <c r="A378" s="16" t="s">
        <v>1601</v>
      </c>
      <c r="B378" s="16" t="s">
        <v>1602</v>
      </c>
      <c r="C378" s="16"/>
      <c r="D378" s="16" t="s">
        <v>508</v>
      </c>
      <c r="E378" s="16" t="s">
        <v>363</v>
      </c>
      <c r="F378" s="16" t="s">
        <v>333</v>
      </c>
      <c r="G378" s="17" t="n">
        <v>46286.0830439815</v>
      </c>
      <c r="H378" s="17" t="n">
        <v>46286.3795717593</v>
      </c>
      <c r="I378" s="18" t="n">
        <f aca="false">IF(H378="",ROUND((تنظیمات!$B$7-G378)*1440,0),ROUND((H378-G378)*1440,0))</f>
        <v>427</v>
      </c>
      <c r="J378" s="16" t="s">
        <v>334</v>
      </c>
      <c r="K378" s="16" t="s">
        <v>400</v>
      </c>
      <c r="L378" s="19" t="n">
        <v>0.965</v>
      </c>
      <c r="M378" s="19" t="n">
        <v>0.965</v>
      </c>
      <c r="N378" s="16" t="s">
        <v>335</v>
      </c>
      <c r="O378" s="16" t="s">
        <v>411</v>
      </c>
      <c r="P378" s="16" t="s">
        <v>402</v>
      </c>
      <c r="Q378" s="20" t="n">
        <v>46286</v>
      </c>
      <c r="R378" s="16" t="s">
        <v>1603</v>
      </c>
      <c r="S378" s="16" t="s">
        <v>404</v>
      </c>
      <c r="T378" s="17"/>
      <c r="U378" s="21" t="n">
        <v>1</v>
      </c>
      <c r="V378" s="21" t="n">
        <v>1</v>
      </c>
      <c r="W378" s="22" t="n">
        <v>5.4</v>
      </c>
      <c r="X378" s="16" t="s">
        <v>335</v>
      </c>
      <c r="Y378" s="16" t="s">
        <v>338</v>
      </c>
      <c r="Z378" s="16" t="s">
        <v>443</v>
      </c>
      <c r="AA378" s="16"/>
      <c r="AB378" s="23"/>
      <c r="AC378" s="17"/>
      <c r="AD378" s="16" t="s">
        <v>444</v>
      </c>
      <c r="AE378" s="16"/>
      <c r="AF378" s="16" t="str">
        <f aca="false">IF(COUNTIF(لیست_سفید!$A$2:$A$21,B378)&gt;0,"بله","خیر")</f>
        <v>خیر</v>
      </c>
      <c r="AG378" s="24" t="n">
        <f aca="false">IF(H378="","",IF(AD378="فیش مفقودی",تنظیمات!$B$6,(INT(I378/1440)*تنظیمات!$B$5+IF(MOD(I378,1440)&lt;=تنظیمات!$B$2,0,MIN(تنظیمات!$B$5,تنظیمات!$B$3+MAX(0,ROUNDUP((MOD(I378,1440)-60)/60,0))*تنظیمات!$B$4)))*INDEX(تعرفه!$B$2:$B$7,MATCH(AD378,تعرفه!$A$2:$A$7,0))))</f>
        <v>0</v>
      </c>
      <c r="AH378" s="24" t="n">
        <v>0</v>
      </c>
      <c r="AI378" s="24" t="n">
        <f aca="false">IF(AG378="","",AH378-AG378)</f>
        <v>0</v>
      </c>
      <c r="AJ378" s="21" t="n">
        <v>-2</v>
      </c>
      <c r="AK378" s="21" t="n">
        <v>0</v>
      </c>
      <c r="AL378" s="16" t="s">
        <v>335</v>
      </c>
      <c r="AM378" s="16"/>
      <c r="AN378" s="16" t="s">
        <v>340</v>
      </c>
      <c r="AO378" s="16" t="s">
        <v>340</v>
      </c>
      <c r="AP378" s="16" t="s">
        <v>335</v>
      </c>
      <c r="AQ378" s="16"/>
      <c r="AR378" s="21" t="n">
        <f aca="false">IF(AND(T378&lt;&gt;"",H378&lt;&gt;""),IF(AND((T378-H378)*86400&gt;=0,(T378-H378)*86400&lt;تنظیمات!$B$13),1,0),0)</f>
        <v>0</v>
      </c>
      <c r="AS378" s="21" t="n">
        <f aca="false">IF(Z378="پوز",IF(OR(AB378="",COUNTIF(پوزها!$A$2:$A$5,AA378)=0),1,0),0)</f>
        <v>0</v>
      </c>
      <c r="AT378" s="21" t="n">
        <f aca="false">IF(AI378="",0,IF(AI378&gt;0,1,0))</f>
        <v>0</v>
      </c>
      <c r="AU378" s="21" t="n">
        <f aca="false">IF(AI378="",0,IF(AI378&lt;0,1,0))</f>
        <v>0</v>
      </c>
      <c r="AV378" s="21" t="n">
        <f aca="false">IF(U378&gt;V378,1,0)</f>
        <v>0</v>
      </c>
      <c r="AW378" s="21" t="n">
        <f aca="false">IF(OR(W378&gt;تنظیمات!$B$8,X378="بله"),1,0)</f>
        <v>0</v>
      </c>
      <c r="AX378" s="21" t="n">
        <f aca="false">IF(AND(N378="بله",L378&gt;تنظیمات!$B$9),1,0)</f>
        <v>0</v>
      </c>
      <c r="AY378" s="21" t="n">
        <f aca="false">IF(Y378="معکوس",1,0)</f>
        <v>0</v>
      </c>
      <c r="AZ378" s="21" t="n">
        <f aca="false">IF(ABS(AJ378)&gt;تنظیمات!$B$10,1,0)</f>
        <v>0</v>
      </c>
      <c r="BA378" s="21" t="n">
        <f aca="false">IF(AND(OR(AD378="رایگان/VIP",AD378="جانباز"),AF378="خیر"),1,0)</f>
        <v>0</v>
      </c>
      <c r="BB378" s="21" t="n">
        <f aca="false">IF(AE378="",0,IF(COUNTIF($AE$2:$AE$1001,AE378)&gt;1,1,0))</f>
        <v>0</v>
      </c>
      <c r="BC378" s="21" t="n">
        <f aca="false">IF(AND(H378="",I378&gt;تنظیمات!$B$12*60,AM378="خالی"),1,0)</f>
        <v>0</v>
      </c>
      <c r="BD378" s="21" t="n">
        <f aca="false">IF(AND(AP378="بله",I378&lt;تنظیمات!$B$14,AO378="خیر"),1,0)</f>
        <v>0</v>
      </c>
      <c r="BE378" s="21" t="n">
        <f aca="false">IF(AN378="خیر",1,0)</f>
        <v>0</v>
      </c>
      <c r="BF378" s="21" t="n">
        <f aca="false">IF(AND(AD378="فیش مفقودی",AQ378="بله",I378&gt;تنظیمات!$B$12*60),1,0)</f>
        <v>0</v>
      </c>
      <c r="BG378" s="21" t="n">
        <f aca="false">IF(AND(AK378&gt;تنظیمات!$B$11,AL378="بله"),1,0)</f>
        <v>0</v>
      </c>
      <c r="BH378" s="21" t="n">
        <f aca="false">MIN(100,AR378*تنظیمات!$B$21+AS378*تنظیمات!$B$22+AT378*تنظیمات!$B$23+AU378*تنظیمات!$B$24+AV378*تنظیمات!$B$25+AW378*تنظیمات!$B$26+AX378*تنظیمات!$B$27+AY378*تنظیمات!$B$28+AZ378*تنظیمات!$B$29+BA378*تنظیمات!$B$30+BB378*تنظیمات!$B$31+BC378*تنظیمات!$B$32+BD378*تنظیمات!$B$33+BE378*تنظیمات!$B$34+BF378*تنظیمات!$B$35+BG378*تنظیمات!$B$36)</f>
        <v>0</v>
      </c>
      <c r="BI378" s="16" t="str">
        <f aca="false">IF(BH378&gt;=60,"بحرانی",IF(BH378&gt;=30,"مشکوک",IF(BH378&gt;0,"هشدار","عادی")))</f>
        <v>عادی</v>
      </c>
      <c r="BJ378" s="16" t="s">
        <v>338</v>
      </c>
    </row>
    <row r="379" customFormat="false" ht="15" hidden="false" customHeight="false" outlineLevel="0" collapsed="false">
      <c r="A379" s="16" t="s">
        <v>1604</v>
      </c>
      <c r="B379" s="16" t="s">
        <v>1605</v>
      </c>
      <c r="C379" s="16"/>
      <c r="D379" s="16" t="s">
        <v>331</v>
      </c>
      <c r="E379" s="16" t="s">
        <v>345</v>
      </c>
      <c r="F379" s="16" t="s">
        <v>333</v>
      </c>
      <c r="G379" s="17" t="n">
        <v>46286.1277314815</v>
      </c>
      <c r="H379" s="17" t="n">
        <v>46286.3888425926</v>
      </c>
      <c r="I379" s="18" t="n">
        <f aca="false">IF(H379="",ROUND((تنظیمات!$B$7-G379)*1440,0),ROUND((H379-G379)*1440,0))</f>
        <v>376</v>
      </c>
      <c r="J379" s="16" t="s">
        <v>346</v>
      </c>
      <c r="K379" s="16" t="s">
        <v>400</v>
      </c>
      <c r="L379" s="19" t="n">
        <v>0.935</v>
      </c>
      <c r="M379" s="19" t="n">
        <v>0.995</v>
      </c>
      <c r="N379" s="16" t="s">
        <v>335</v>
      </c>
      <c r="O379" s="16" t="s">
        <v>411</v>
      </c>
      <c r="P379" s="16" t="s">
        <v>402</v>
      </c>
      <c r="Q379" s="20" t="n">
        <v>46286</v>
      </c>
      <c r="R379" s="16" t="s">
        <v>1606</v>
      </c>
      <c r="S379" s="16" t="s">
        <v>404</v>
      </c>
      <c r="T379" s="17"/>
      <c r="U379" s="21" t="n">
        <v>1</v>
      </c>
      <c r="V379" s="21" t="n">
        <v>1</v>
      </c>
      <c r="W379" s="22" t="n">
        <v>7.4</v>
      </c>
      <c r="X379" s="16" t="s">
        <v>335</v>
      </c>
      <c r="Y379" s="16" t="s">
        <v>338</v>
      </c>
      <c r="Z379" s="16" t="s">
        <v>443</v>
      </c>
      <c r="AA379" s="16"/>
      <c r="AB379" s="23"/>
      <c r="AC379" s="17"/>
      <c r="AD379" s="16" t="s">
        <v>444</v>
      </c>
      <c r="AE379" s="16"/>
      <c r="AF379" s="16" t="str">
        <f aca="false">IF(COUNTIF(لیست_سفید!$A$2:$A$21,B379)&gt;0,"بله","خیر")</f>
        <v>خیر</v>
      </c>
      <c r="AG379" s="24" t="n">
        <f aca="false">IF(H379="","",IF(AD379="فیش مفقودی",تنظیمات!$B$6,(INT(I379/1440)*تنظیمات!$B$5+IF(MOD(I379,1440)&lt;=تنظیمات!$B$2,0,MIN(تنظیمات!$B$5,تنظیمات!$B$3+MAX(0,ROUNDUP((MOD(I379,1440)-60)/60,0))*تنظیمات!$B$4)))*INDEX(تعرفه!$B$2:$B$7,MATCH(AD379,تعرفه!$A$2:$A$7,0))))</f>
        <v>0</v>
      </c>
      <c r="AH379" s="24" t="n">
        <v>0</v>
      </c>
      <c r="AI379" s="24" t="n">
        <f aca="false">IF(AG379="","",AH379-AG379)</f>
        <v>0</v>
      </c>
      <c r="AJ379" s="21" t="n">
        <v>0</v>
      </c>
      <c r="AK379" s="21" t="n">
        <v>0</v>
      </c>
      <c r="AL379" s="16" t="s">
        <v>335</v>
      </c>
      <c r="AM379" s="16"/>
      <c r="AN379" s="16" t="s">
        <v>340</v>
      </c>
      <c r="AO379" s="16" t="s">
        <v>340</v>
      </c>
      <c r="AP379" s="16" t="s">
        <v>335</v>
      </c>
      <c r="AQ379" s="16"/>
      <c r="AR379" s="21" t="n">
        <f aca="false">IF(AND(T379&lt;&gt;"",H379&lt;&gt;""),IF(AND((T379-H379)*86400&gt;=0,(T379-H379)*86400&lt;تنظیمات!$B$13),1,0),0)</f>
        <v>0</v>
      </c>
      <c r="AS379" s="21" t="n">
        <f aca="false">IF(Z379="پوز",IF(OR(AB379="",COUNTIF(پوزها!$A$2:$A$5,AA379)=0),1,0),0)</f>
        <v>0</v>
      </c>
      <c r="AT379" s="21" t="n">
        <f aca="false">IF(AI379="",0,IF(AI379&gt;0,1,0))</f>
        <v>0</v>
      </c>
      <c r="AU379" s="21" t="n">
        <f aca="false">IF(AI379="",0,IF(AI379&lt;0,1,0))</f>
        <v>0</v>
      </c>
      <c r="AV379" s="21" t="n">
        <f aca="false">IF(U379&gt;V379,1,0)</f>
        <v>0</v>
      </c>
      <c r="AW379" s="21" t="n">
        <f aca="false">IF(OR(W379&gt;تنظیمات!$B$8,X379="بله"),1,0)</f>
        <v>0</v>
      </c>
      <c r="AX379" s="21" t="n">
        <f aca="false">IF(AND(N379="بله",L379&gt;تنظیمات!$B$9),1,0)</f>
        <v>0</v>
      </c>
      <c r="AY379" s="21" t="n">
        <f aca="false">IF(Y379="معکوس",1,0)</f>
        <v>0</v>
      </c>
      <c r="AZ379" s="21" t="n">
        <f aca="false">IF(ABS(AJ379)&gt;تنظیمات!$B$10,1,0)</f>
        <v>0</v>
      </c>
      <c r="BA379" s="21" t="n">
        <f aca="false">IF(AND(OR(AD379="رایگان/VIP",AD379="جانباز"),AF379="خیر"),1,0)</f>
        <v>0</v>
      </c>
      <c r="BB379" s="21" t="n">
        <f aca="false">IF(AE379="",0,IF(COUNTIF($AE$2:$AE$1001,AE379)&gt;1,1,0))</f>
        <v>0</v>
      </c>
      <c r="BC379" s="21" t="n">
        <f aca="false">IF(AND(H379="",I379&gt;تنظیمات!$B$12*60,AM379="خالی"),1,0)</f>
        <v>0</v>
      </c>
      <c r="BD379" s="21" t="n">
        <f aca="false">IF(AND(AP379="بله",I379&lt;تنظیمات!$B$14,AO379="خیر"),1,0)</f>
        <v>0</v>
      </c>
      <c r="BE379" s="21" t="n">
        <f aca="false">IF(AN379="خیر",1,0)</f>
        <v>0</v>
      </c>
      <c r="BF379" s="21" t="n">
        <f aca="false">IF(AND(AD379="فیش مفقودی",AQ379="بله",I379&gt;تنظیمات!$B$12*60),1,0)</f>
        <v>0</v>
      </c>
      <c r="BG379" s="21" t="n">
        <f aca="false">IF(AND(AK379&gt;تنظیمات!$B$11,AL379="بله"),1,0)</f>
        <v>0</v>
      </c>
      <c r="BH379" s="21" t="n">
        <f aca="false">MIN(100,AR379*تنظیمات!$B$21+AS379*تنظیمات!$B$22+AT379*تنظیمات!$B$23+AU379*تنظیمات!$B$24+AV379*تنظیمات!$B$25+AW379*تنظیمات!$B$26+AX379*تنظیمات!$B$27+AY379*تنظیمات!$B$28+AZ379*تنظیمات!$B$29+BA379*تنظیمات!$B$30+BB379*تنظیمات!$B$31+BC379*تنظیمات!$B$32+BD379*تنظیمات!$B$33+BE379*تنظیمات!$B$34+BF379*تنظیمات!$B$35+BG379*تنظیمات!$B$36)</f>
        <v>0</v>
      </c>
      <c r="BI379" s="16" t="str">
        <f aca="false">IF(BH379&gt;=60,"بحرانی",IF(BH379&gt;=30,"مشکوک",IF(BH379&gt;0,"هشدار","عادی")))</f>
        <v>عادی</v>
      </c>
      <c r="BJ379" s="16" t="s">
        <v>338</v>
      </c>
    </row>
    <row r="380" customFormat="false" ht="15" hidden="false" customHeight="false" outlineLevel="0" collapsed="false">
      <c r="A380" s="16" t="s">
        <v>1607</v>
      </c>
      <c r="B380" s="16" t="s">
        <v>495</v>
      </c>
      <c r="C380" s="16"/>
      <c r="D380" s="16" t="s">
        <v>344</v>
      </c>
      <c r="E380" s="16" t="s">
        <v>351</v>
      </c>
      <c r="F380" s="16" t="s">
        <v>333</v>
      </c>
      <c r="G380" s="17" t="n">
        <v>46286.1632291667</v>
      </c>
      <c r="H380" s="17" t="n">
        <v>46286.5069791667</v>
      </c>
      <c r="I380" s="18" t="n">
        <f aca="false">IF(H380="",ROUND((تنظیمات!$B$7-G380)*1440,0),ROUND((H380-G380)*1440,0))</f>
        <v>495</v>
      </c>
      <c r="J380" s="16" t="s">
        <v>346</v>
      </c>
      <c r="K380" s="16" t="s">
        <v>410</v>
      </c>
      <c r="L380" s="19" t="n">
        <v>0.971</v>
      </c>
      <c r="M380" s="19" t="n">
        <v>0.963</v>
      </c>
      <c r="N380" s="16" t="s">
        <v>335</v>
      </c>
      <c r="O380" s="16" t="s">
        <v>401</v>
      </c>
      <c r="P380" s="16" t="s">
        <v>402</v>
      </c>
      <c r="Q380" s="20" t="n">
        <v>46286</v>
      </c>
      <c r="R380" s="16" t="s">
        <v>1608</v>
      </c>
      <c r="S380" s="16" t="s">
        <v>404</v>
      </c>
      <c r="T380" s="17"/>
      <c r="U380" s="21" t="n">
        <v>1</v>
      </c>
      <c r="V380" s="21" t="n">
        <v>1</v>
      </c>
      <c r="W380" s="22" t="n">
        <v>6</v>
      </c>
      <c r="X380" s="16" t="s">
        <v>335</v>
      </c>
      <c r="Y380" s="16" t="s">
        <v>338</v>
      </c>
      <c r="Z380" s="16" t="s">
        <v>443</v>
      </c>
      <c r="AA380" s="16"/>
      <c r="AB380" s="23"/>
      <c r="AC380" s="17"/>
      <c r="AD380" s="16" t="s">
        <v>444</v>
      </c>
      <c r="AE380" s="16"/>
      <c r="AF380" s="16" t="str">
        <f aca="false">IF(COUNTIF(لیست_سفید!$A$2:$A$21,B380)&gt;0,"بله","خیر")</f>
        <v>خیر</v>
      </c>
      <c r="AG380" s="24" t="n">
        <f aca="false">IF(H380="","",IF(AD380="فیش مفقودی",تنظیمات!$B$6,(INT(I380/1440)*تنظیمات!$B$5+IF(MOD(I380,1440)&lt;=تنظیمات!$B$2,0,MIN(تنظیمات!$B$5,تنظیمات!$B$3+MAX(0,ROUNDUP((MOD(I380,1440)-60)/60,0))*تنظیمات!$B$4)))*INDEX(تعرفه!$B$2:$B$7,MATCH(AD380,تعرفه!$A$2:$A$7,0))))</f>
        <v>0</v>
      </c>
      <c r="AH380" s="24" t="n">
        <v>0</v>
      </c>
      <c r="AI380" s="24" t="n">
        <f aca="false">IF(AG380="","",AH380-AG380)</f>
        <v>0</v>
      </c>
      <c r="AJ380" s="21" t="n">
        <v>2</v>
      </c>
      <c r="AK380" s="21" t="n">
        <v>0</v>
      </c>
      <c r="AL380" s="16" t="s">
        <v>335</v>
      </c>
      <c r="AM380" s="16"/>
      <c r="AN380" s="16" t="s">
        <v>340</v>
      </c>
      <c r="AO380" s="16" t="s">
        <v>340</v>
      </c>
      <c r="AP380" s="16" t="s">
        <v>335</v>
      </c>
      <c r="AQ380" s="16"/>
      <c r="AR380" s="21" t="n">
        <f aca="false">IF(AND(T380&lt;&gt;"",H380&lt;&gt;""),IF(AND((T380-H380)*86400&gt;=0,(T380-H380)*86400&lt;تنظیمات!$B$13),1,0),0)</f>
        <v>0</v>
      </c>
      <c r="AS380" s="21" t="n">
        <f aca="false">IF(Z380="پوز",IF(OR(AB380="",COUNTIF(پوزها!$A$2:$A$5,AA380)=0),1,0),0)</f>
        <v>0</v>
      </c>
      <c r="AT380" s="21" t="n">
        <f aca="false">IF(AI380="",0,IF(AI380&gt;0,1,0))</f>
        <v>0</v>
      </c>
      <c r="AU380" s="21" t="n">
        <f aca="false">IF(AI380="",0,IF(AI380&lt;0,1,0))</f>
        <v>0</v>
      </c>
      <c r="AV380" s="21" t="n">
        <f aca="false">IF(U380&gt;V380,1,0)</f>
        <v>0</v>
      </c>
      <c r="AW380" s="21" t="n">
        <f aca="false">IF(OR(W380&gt;تنظیمات!$B$8,X380="بله"),1,0)</f>
        <v>0</v>
      </c>
      <c r="AX380" s="21" t="n">
        <f aca="false">IF(AND(N380="بله",L380&gt;تنظیمات!$B$9),1,0)</f>
        <v>0</v>
      </c>
      <c r="AY380" s="21" t="n">
        <f aca="false">IF(Y380="معکوس",1,0)</f>
        <v>0</v>
      </c>
      <c r="AZ380" s="21" t="n">
        <f aca="false">IF(ABS(AJ380)&gt;تنظیمات!$B$10,1,0)</f>
        <v>0</v>
      </c>
      <c r="BA380" s="21" t="n">
        <f aca="false">IF(AND(OR(AD380="رایگان/VIP",AD380="جانباز"),AF380="خیر"),1,0)</f>
        <v>0</v>
      </c>
      <c r="BB380" s="21" t="n">
        <f aca="false">IF(AE380="",0,IF(COUNTIF($AE$2:$AE$1001,AE380)&gt;1,1,0))</f>
        <v>0</v>
      </c>
      <c r="BC380" s="21" t="n">
        <f aca="false">IF(AND(H380="",I380&gt;تنظیمات!$B$12*60,AM380="خالی"),1,0)</f>
        <v>0</v>
      </c>
      <c r="BD380" s="21" t="n">
        <f aca="false">IF(AND(AP380="بله",I380&lt;تنظیمات!$B$14,AO380="خیر"),1,0)</f>
        <v>0</v>
      </c>
      <c r="BE380" s="21" t="n">
        <f aca="false">IF(AN380="خیر",1,0)</f>
        <v>0</v>
      </c>
      <c r="BF380" s="21" t="n">
        <f aca="false">IF(AND(AD380="فیش مفقودی",AQ380="بله",I380&gt;تنظیمات!$B$12*60),1,0)</f>
        <v>0</v>
      </c>
      <c r="BG380" s="21" t="n">
        <f aca="false">IF(AND(AK380&gt;تنظیمات!$B$11,AL380="بله"),1,0)</f>
        <v>0</v>
      </c>
      <c r="BH380" s="21" t="n">
        <f aca="false">MIN(100,AR380*تنظیمات!$B$21+AS380*تنظیمات!$B$22+AT380*تنظیمات!$B$23+AU380*تنظیمات!$B$24+AV380*تنظیمات!$B$25+AW380*تنظیمات!$B$26+AX380*تنظیمات!$B$27+AY380*تنظیمات!$B$28+AZ380*تنظیمات!$B$29+BA380*تنظیمات!$B$30+BB380*تنظیمات!$B$31+BC380*تنظیمات!$B$32+BD380*تنظیمات!$B$33+BE380*تنظیمات!$B$34+BF380*تنظیمات!$B$35+BG380*تنظیمات!$B$36)</f>
        <v>0</v>
      </c>
      <c r="BI380" s="16" t="str">
        <f aca="false">IF(BH380&gt;=60,"بحرانی",IF(BH380&gt;=30,"مشکوک",IF(BH380&gt;0,"هشدار","عادی")))</f>
        <v>عادی</v>
      </c>
      <c r="BJ380" s="16" t="s">
        <v>338</v>
      </c>
    </row>
    <row r="381" customFormat="false" ht="15" hidden="false" customHeight="false" outlineLevel="0" collapsed="false">
      <c r="A381" s="16" t="s">
        <v>1609</v>
      </c>
      <c r="B381" s="16" t="s">
        <v>928</v>
      </c>
      <c r="C381" s="16"/>
      <c r="D381" s="16" t="s">
        <v>331</v>
      </c>
      <c r="E381" s="16" t="s">
        <v>351</v>
      </c>
      <c r="F381" s="16" t="s">
        <v>333</v>
      </c>
      <c r="G381" s="17" t="n">
        <v>46286.1707175926</v>
      </c>
      <c r="H381" s="17" t="n">
        <v>46286.3561342593</v>
      </c>
      <c r="I381" s="18" t="n">
        <f aca="false">IF(H381="",ROUND((تنظیمات!$B$7-G381)*1440,0),ROUND((H381-G381)*1440,0))</f>
        <v>267</v>
      </c>
      <c r="J381" s="16" t="s">
        <v>334</v>
      </c>
      <c r="K381" s="16" t="s">
        <v>410</v>
      </c>
      <c r="L381" s="19" t="n">
        <v>0.921</v>
      </c>
      <c r="M381" s="19" t="n">
        <v>0.968</v>
      </c>
      <c r="N381" s="16" t="s">
        <v>335</v>
      </c>
      <c r="O381" s="16" t="s">
        <v>401</v>
      </c>
      <c r="P381" s="16" t="s">
        <v>402</v>
      </c>
      <c r="Q381" s="20" t="n">
        <v>46286</v>
      </c>
      <c r="R381" s="16" t="s">
        <v>1610</v>
      </c>
      <c r="S381" s="16" t="s">
        <v>606</v>
      </c>
      <c r="T381" s="17" t="n">
        <v>46286.3569444444</v>
      </c>
      <c r="U381" s="21" t="n">
        <v>1</v>
      </c>
      <c r="V381" s="21" t="n">
        <v>1</v>
      </c>
      <c r="W381" s="22" t="n">
        <v>5.8</v>
      </c>
      <c r="X381" s="16" t="s">
        <v>335</v>
      </c>
      <c r="Y381" s="16" t="s">
        <v>338</v>
      </c>
      <c r="Z381" s="16" t="s">
        <v>405</v>
      </c>
      <c r="AA381" s="16"/>
      <c r="AB381" s="23"/>
      <c r="AC381" s="17"/>
      <c r="AD381" s="16" t="s">
        <v>338</v>
      </c>
      <c r="AE381" s="16"/>
      <c r="AF381" s="16" t="str">
        <f aca="false">IF(COUNTIF(لیست_سفید!$A$2:$A$21,B381)&gt;0,"بله","خیر")</f>
        <v>خیر</v>
      </c>
      <c r="AG381" s="24" t="n">
        <f aca="false">IF(H381="","",IF(AD381="فیش مفقودی",تنظیمات!$B$6,(INT(I381/1440)*تنظیمات!$B$5+IF(MOD(I381,1440)&lt;=تنظیمات!$B$2,0,MIN(تنظیمات!$B$5,تنظیمات!$B$3+MAX(0,ROUNDUP((MOD(I381,1440)-60)/60,0))*تنظیمات!$B$4)))*INDEX(تعرفه!$B$2:$B$7,MATCH(AD381,تعرفه!$A$2:$A$7,0))))</f>
        <v>76000</v>
      </c>
      <c r="AH381" s="24" t="n">
        <v>0</v>
      </c>
      <c r="AI381" s="24" t="n">
        <f aca="false">IF(AG381="","",AH381-AG381)</f>
        <v>-76000</v>
      </c>
      <c r="AJ381" s="21" t="n">
        <v>0</v>
      </c>
      <c r="AK381" s="21" t="n">
        <v>0</v>
      </c>
      <c r="AL381" s="16" t="s">
        <v>335</v>
      </c>
      <c r="AM381" s="16"/>
      <c r="AN381" s="16" t="s">
        <v>340</v>
      </c>
      <c r="AO381" s="16" t="s">
        <v>340</v>
      </c>
      <c r="AP381" s="16" t="s">
        <v>335</v>
      </c>
      <c r="AQ381" s="16"/>
      <c r="AR381" s="21" t="n">
        <f aca="false">IF(AND(T381&lt;&gt;"",H381&lt;&gt;""),IF(AND((T381-H381)*86400&gt;=0,(T381-H381)*86400&lt;تنظیمات!$B$13),1,0),0)</f>
        <v>1</v>
      </c>
      <c r="AS381" s="21" t="n">
        <f aca="false">IF(Z381="پوز",IF(OR(AB381="",COUNTIF(پوزها!$A$2:$A$5,AA381)=0),1,0),0)</f>
        <v>0</v>
      </c>
      <c r="AT381" s="21" t="n">
        <f aca="false">IF(AI381="",0,IF(AI381&gt;0,1,0))</f>
        <v>0</v>
      </c>
      <c r="AU381" s="21" t="n">
        <f aca="false">IF(AI381="",0,IF(AI381&lt;0,1,0))</f>
        <v>1</v>
      </c>
      <c r="AV381" s="21" t="n">
        <f aca="false">IF(U381&gt;V381,1,0)</f>
        <v>0</v>
      </c>
      <c r="AW381" s="21" t="n">
        <f aca="false">IF(OR(W381&gt;تنظیمات!$B$8,X381="بله"),1,0)</f>
        <v>0</v>
      </c>
      <c r="AX381" s="21" t="n">
        <f aca="false">IF(AND(N381="بله",L381&gt;تنظیمات!$B$9),1,0)</f>
        <v>0</v>
      </c>
      <c r="AY381" s="21" t="n">
        <f aca="false">IF(Y381="معکوس",1,0)</f>
        <v>0</v>
      </c>
      <c r="AZ381" s="21" t="n">
        <f aca="false">IF(ABS(AJ381)&gt;تنظیمات!$B$10,1,0)</f>
        <v>0</v>
      </c>
      <c r="BA381" s="21" t="n">
        <f aca="false">IF(AND(OR(AD381="رایگان/VIP",AD381="جانباز"),AF381="خیر"),1,0)</f>
        <v>0</v>
      </c>
      <c r="BB381" s="21" t="n">
        <f aca="false">IF(AE381="",0,IF(COUNTIF($AE$2:$AE$1001,AE381)&gt;1,1,0))</f>
        <v>0</v>
      </c>
      <c r="BC381" s="21" t="n">
        <f aca="false">IF(AND(H381="",I381&gt;تنظیمات!$B$12*60,AM381="خالی"),1,0)</f>
        <v>0</v>
      </c>
      <c r="BD381" s="21" t="n">
        <f aca="false">IF(AND(AP381="بله",I381&lt;تنظیمات!$B$14,AO381="خیر"),1,0)</f>
        <v>0</v>
      </c>
      <c r="BE381" s="21" t="n">
        <f aca="false">IF(AN381="خیر",1,0)</f>
        <v>0</v>
      </c>
      <c r="BF381" s="21" t="n">
        <f aca="false">IF(AND(AD381="فیش مفقودی",AQ381="بله",I381&gt;تنظیمات!$B$12*60),1,0)</f>
        <v>0</v>
      </c>
      <c r="BG381" s="21" t="n">
        <f aca="false">IF(AND(AK381&gt;تنظیمات!$B$11,AL381="بله"),1,0)</f>
        <v>0</v>
      </c>
      <c r="BH381" s="21" t="n">
        <f aca="false">MIN(100,AR381*تنظیمات!$B$21+AS381*تنظیمات!$B$22+AT381*تنظیمات!$B$23+AU381*تنظیمات!$B$24+AV381*تنظیمات!$B$25+AW381*تنظیمات!$B$26+AX381*تنظیمات!$B$27+AY381*تنظیمات!$B$28+AZ381*تنظیمات!$B$29+BA381*تنظیمات!$B$30+BB381*تنظیمات!$B$31+BC381*تنظیمات!$B$32+BD381*تنظیمات!$B$33+BE381*تنظیمات!$B$34+BF381*تنظیمات!$B$35+BG381*تنظیمات!$B$36)</f>
        <v>65</v>
      </c>
      <c r="BI381" s="16" t="str">
        <f aca="false">IF(BH381&gt;=60,"بحرانی",IF(BH381&gt;=30,"مشکوک",IF(BH381&gt;0,"هشدار","عادی")))</f>
        <v>بحرانی</v>
      </c>
      <c r="BJ381" s="16" t="s">
        <v>607</v>
      </c>
    </row>
    <row r="382" customFormat="false" ht="15" hidden="false" customHeight="false" outlineLevel="0" collapsed="false">
      <c r="A382" s="16" t="s">
        <v>1611</v>
      </c>
      <c r="B382" s="16" t="s">
        <v>792</v>
      </c>
      <c r="C382" s="16"/>
      <c r="D382" s="16" t="s">
        <v>370</v>
      </c>
      <c r="E382" s="16" t="s">
        <v>390</v>
      </c>
      <c r="F382" s="16" t="s">
        <v>333</v>
      </c>
      <c r="G382" s="17" t="n">
        <v>46286.1866435185</v>
      </c>
      <c r="H382" s="17" t="n">
        <v>46286.3540046296</v>
      </c>
      <c r="I382" s="18" t="n">
        <f aca="false">IF(H382="",ROUND((تنظیمات!$B$7-G382)*1440,0),ROUND((H382-G382)*1440,0))</f>
        <v>241</v>
      </c>
      <c r="J382" s="16" t="s">
        <v>346</v>
      </c>
      <c r="K382" s="16" t="s">
        <v>410</v>
      </c>
      <c r="L382" s="19" t="n">
        <v>0.995</v>
      </c>
      <c r="M382" s="19" t="n">
        <v>0.885</v>
      </c>
      <c r="N382" s="16" t="s">
        <v>335</v>
      </c>
      <c r="O382" s="16" t="s">
        <v>401</v>
      </c>
      <c r="P382" s="16" t="s">
        <v>402</v>
      </c>
      <c r="Q382" s="20" t="n">
        <v>46286</v>
      </c>
      <c r="R382" s="16" t="s">
        <v>1612</v>
      </c>
      <c r="S382" s="16" t="s">
        <v>404</v>
      </c>
      <c r="T382" s="17"/>
      <c r="U382" s="21" t="n">
        <v>1</v>
      </c>
      <c r="V382" s="21" t="n">
        <v>1</v>
      </c>
      <c r="W382" s="22" t="n">
        <v>4.9</v>
      </c>
      <c r="X382" s="16" t="s">
        <v>335</v>
      </c>
      <c r="Y382" s="16" t="s">
        <v>338</v>
      </c>
      <c r="Z382" s="16" t="s">
        <v>465</v>
      </c>
      <c r="AA382" s="16"/>
      <c r="AB382" s="23"/>
      <c r="AC382" s="17"/>
      <c r="AD382" s="16" t="s">
        <v>602</v>
      </c>
      <c r="AE382" s="16"/>
      <c r="AF382" s="16" t="str">
        <f aca="false">IF(COUNTIF(لیست_سفید!$A$2:$A$21,B382)&gt;0,"بله","خیر")</f>
        <v>خیر</v>
      </c>
      <c r="AG382" s="24" t="n">
        <f aca="false">IF(H382="","",IF(AD382="فیش مفقودی",تنظیمات!$B$6,(INT(I382/1440)*تنظیمات!$B$5+IF(MOD(I382,1440)&lt;=تنظیمات!$B$2,0,MIN(تنظیمات!$B$5,تنظیمات!$B$3+MAX(0,ROUNDUP((MOD(I382,1440)-60)/60,0))*تنظیمات!$B$4)))*INDEX(تعرفه!$B$2:$B$7,MATCH(AD382,تعرفه!$A$2:$A$7,0))))</f>
        <v>0</v>
      </c>
      <c r="AH382" s="24" t="n">
        <v>0</v>
      </c>
      <c r="AI382" s="24" t="n">
        <f aca="false">IF(AG382="","",AH382-AG382)</f>
        <v>0</v>
      </c>
      <c r="AJ382" s="21" t="n">
        <v>2</v>
      </c>
      <c r="AK382" s="21" t="n">
        <v>0</v>
      </c>
      <c r="AL382" s="16" t="s">
        <v>335</v>
      </c>
      <c r="AM382" s="16"/>
      <c r="AN382" s="16" t="s">
        <v>340</v>
      </c>
      <c r="AO382" s="16" t="s">
        <v>340</v>
      </c>
      <c r="AP382" s="16" t="s">
        <v>335</v>
      </c>
      <c r="AQ382" s="16"/>
      <c r="AR382" s="21" t="n">
        <f aca="false">IF(AND(T382&lt;&gt;"",H382&lt;&gt;""),IF(AND((T382-H382)*86400&gt;=0,(T382-H382)*86400&lt;تنظیمات!$B$13),1,0),0)</f>
        <v>0</v>
      </c>
      <c r="AS382" s="21" t="n">
        <f aca="false">IF(Z382="پوز",IF(OR(AB382="",COUNTIF(پوزها!$A$2:$A$5,AA382)=0),1,0),0)</f>
        <v>0</v>
      </c>
      <c r="AT382" s="21" t="n">
        <f aca="false">IF(AI382="",0,IF(AI382&gt;0,1,0))</f>
        <v>0</v>
      </c>
      <c r="AU382" s="21" t="n">
        <f aca="false">IF(AI382="",0,IF(AI382&lt;0,1,0))</f>
        <v>0</v>
      </c>
      <c r="AV382" s="21" t="n">
        <f aca="false">IF(U382&gt;V382,1,0)</f>
        <v>0</v>
      </c>
      <c r="AW382" s="21" t="n">
        <f aca="false">IF(OR(W382&gt;تنظیمات!$B$8,X382="بله"),1,0)</f>
        <v>0</v>
      </c>
      <c r="AX382" s="21" t="n">
        <f aca="false">IF(AND(N382="بله",L382&gt;تنظیمات!$B$9),1,0)</f>
        <v>0</v>
      </c>
      <c r="AY382" s="21" t="n">
        <f aca="false">IF(Y382="معکوس",1,0)</f>
        <v>0</v>
      </c>
      <c r="AZ382" s="21" t="n">
        <f aca="false">IF(ABS(AJ382)&gt;تنظیمات!$B$10,1,0)</f>
        <v>0</v>
      </c>
      <c r="BA382" s="21" t="n">
        <f aca="false">IF(AND(OR(AD382="رایگان/VIP",AD382="جانباز"),AF382="خیر"),1,0)</f>
        <v>1</v>
      </c>
      <c r="BB382" s="21" t="n">
        <f aca="false">IF(AE382="",0,IF(COUNTIF($AE$2:$AE$1001,AE382)&gt;1,1,0))</f>
        <v>0</v>
      </c>
      <c r="BC382" s="21" t="n">
        <f aca="false">IF(AND(H382="",I382&gt;تنظیمات!$B$12*60,AM382="خالی"),1,0)</f>
        <v>0</v>
      </c>
      <c r="BD382" s="21" t="n">
        <f aca="false">IF(AND(AP382="بله",I382&lt;تنظیمات!$B$14,AO382="خیر"),1,0)</f>
        <v>0</v>
      </c>
      <c r="BE382" s="21" t="n">
        <f aca="false">IF(AN382="خیر",1,0)</f>
        <v>0</v>
      </c>
      <c r="BF382" s="21" t="n">
        <f aca="false">IF(AND(AD382="فیش مفقودی",AQ382="بله",I382&gt;تنظیمات!$B$12*60),1,0)</f>
        <v>0</v>
      </c>
      <c r="BG382" s="21" t="n">
        <f aca="false">IF(AND(AK382&gt;تنظیمات!$B$11,AL382="بله"),1,0)</f>
        <v>0</v>
      </c>
      <c r="BH382" s="21" t="n">
        <f aca="false">MIN(100,AR382*تنظیمات!$B$21+AS382*تنظیمات!$B$22+AT382*تنظیمات!$B$23+AU382*تنظیمات!$B$24+AV382*تنظیمات!$B$25+AW382*تنظیمات!$B$26+AX382*تنظیمات!$B$27+AY382*تنظیمات!$B$28+AZ382*تنظیمات!$B$29+BA382*تنظیمات!$B$30+BB382*تنظیمات!$B$31+BC382*تنظیمات!$B$32+BD382*تنظیمات!$B$33+BE382*تنظیمات!$B$34+BF382*تنظیمات!$B$35+BG382*تنظیمات!$B$36)</f>
        <v>35</v>
      </c>
      <c r="BI382" s="16" t="str">
        <f aca="false">IF(BH382&gt;=60,"بحرانی",IF(BH382&gt;=30,"مشکوک",IF(BH382&gt;0,"هشدار","عادی")))</f>
        <v>مشکوک</v>
      </c>
      <c r="BJ382" s="16" t="s">
        <v>745</v>
      </c>
    </row>
    <row r="383" customFormat="false" ht="15" hidden="false" customHeight="false" outlineLevel="0" collapsed="false">
      <c r="A383" s="16" t="s">
        <v>1613</v>
      </c>
      <c r="B383" s="16" t="s">
        <v>1614</v>
      </c>
      <c r="C383" s="16"/>
      <c r="D383" s="16" t="s">
        <v>331</v>
      </c>
      <c r="E383" s="16" t="s">
        <v>363</v>
      </c>
      <c r="F383" s="16" t="s">
        <v>333</v>
      </c>
      <c r="G383" s="17" t="n">
        <v>46286.2031944445</v>
      </c>
      <c r="H383" s="17" t="n">
        <v>46286.6191666667</v>
      </c>
      <c r="I383" s="18" t="n">
        <f aca="false">IF(H383="",ROUND((تنظیمات!$B$7-G383)*1440,0),ROUND((H383-G383)*1440,0))</f>
        <v>599</v>
      </c>
      <c r="J383" s="16" t="s">
        <v>334</v>
      </c>
      <c r="K383" s="16" t="s">
        <v>410</v>
      </c>
      <c r="L383" s="19" t="n">
        <v>0.914</v>
      </c>
      <c r="M383" s="19" t="n">
        <v>0.989</v>
      </c>
      <c r="N383" s="16" t="s">
        <v>335</v>
      </c>
      <c r="O383" s="16" t="s">
        <v>650</v>
      </c>
      <c r="P383" s="16" t="s">
        <v>420</v>
      </c>
      <c r="Q383" s="20" t="n">
        <v>46286</v>
      </c>
      <c r="R383" s="16" t="s">
        <v>1615</v>
      </c>
      <c r="S383" s="16" t="s">
        <v>404</v>
      </c>
      <c r="T383" s="17"/>
      <c r="U383" s="21" t="n">
        <v>1</v>
      </c>
      <c r="V383" s="21" t="n">
        <v>1</v>
      </c>
      <c r="W383" s="22" t="n">
        <v>4.2</v>
      </c>
      <c r="X383" s="16" t="s">
        <v>335</v>
      </c>
      <c r="Y383" s="16" t="s">
        <v>338</v>
      </c>
      <c r="Z383" s="16" t="s">
        <v>443</v>
      </c>
      <c r="AA383" s="16"/>
      <c r="AB383" s="23"/>
      <c r="AC383" s="17"/>
      <c r="AD383" s="16" t="s">
        <v>444</v>
      </c>
      <c r="AE383" s="16"/>
      <c r="AF383" s="16" t="str">
        <f aca="false">IF(COUNTIF(لیست_سفید!$A$2:$A$21,B383)&gt;0,"بله","خیر")</f>
        <v>خیر</v>
      </c>
      <c r="AG383" s="24" t="n">
        <f aca="false">IF(H383="","",IF(AD383="فیش مفقودی",تنظیمات!$B$6,(INT(I383/1440)*تنظیمات!$B$5+IF(MOD(I383,1440)&lt;=تنظیمات!$B$2,0,MIN(تنظیمات!$B$5,تنظیمات!$B$3+MAX(0,ROUNDUP((MOD(I383,1440)-60)/60,0))*تنظیمات!$B$4)))*INDEX(تعرفه!$B$2:$B$7,MATCH(AD383,تعرفه!$A$2:$A$7,0))))</f>
        <v>0</v>
      </c>
      <c r="AH383" s="24" t="n">
        <v>0</v>
      </c>
      <c r="AI383" s="24" t="n">
        <f aca="false">IF(AG383="","",AH383-AG383)</f>
        <v>0</v>
      </c>
      <c r="AJ383" s="21" t="n">
        <v>2</v>
      </c>
      <c r="AK383" s="21" t="n">
        <v>0</v>
      </c>
      <c r="AL383" s="16" t="s">
        <v>335</v>
      </c>
      <c r="AM383" s="16"/>
      <c r="AN383" s="16" t="s">
        <v>340</v>
      </c>
      <c r="AO383" s="16" t="s">
        <v>340</v>
      </c>
      <c r="AP383" s="16" t="s">
        <v>335</v>
      </c>
      <c r="AQ383" s="16"/>
      <c r="AR383" s="21" t="n">
        <f aca="false">IF(AND(T383&lt;&gt;"",H383&lt;&gt;""),IF(AND((T383-H383)*86400&gt;=0,(T383-H383)*86400&lt;تنظیمات!$B$13),1,0),0)</f>
        <v>0</v>
      </c>
      <c r="AS383" s="21" t="n">
        <f aca="false">IF(Z383="پوز",IF(OR(AB383="",COUNTIF(پوزها!$A$2:$A$5,AA383)=0),1,0),0)</f>
        <v>0</v>
      </c>
      <c r="AT383" s="21" t="n">
        <f aca="false">IF(AI383="",0,IF(AI383&gt;0,1,0))</f>
        <v>0</v>
      </c>
      <c r="AU383" s="21" t="n">
        <f aca="false">IF(AI383="",0,IF(AI383&lt;0,1,0))</f>
        <v>0</v>
      </c>
      <c r="AV383" s="21" t="n">
        <f aca="false">IF(U383&gt;V383,1,0)</f>
        <v>0</v>
      </c>
      <c r="AW383" s="21" t="n">
        <f aca="false">IF(OR(W383&gt;تنظیمات!$B$8,X383="بله"),1,0)</f>
        <v>0</v>
      </c>
      <c r="AX383" s="21" t="n">
        <f aca="false">IF(AND(N383="بله",L383&gt;تنظیمات!$B$9),1,0)</f>
        <v>0</v>
      </c>
      <c r="AY383" s="21" t="n">
        <f aca="false">IF(Y383="معکوس",1,0)</f>
        <v>0</v>
      </c>
      <c r="AZ383" s="21" t="n">
        <f aca="false">IF(ABS(AJ383)&gt;تنظیمات!$B$10,1,0)</f>
        <v>0</v>
      </c>
      <c r="BA383" s="21" t="n">
        <f aca="false">IF(AND(OR(AD383="رایگان/VIP",AD383="جانباز"),AF383="خیر"),1,0)</f>
        <v>0</v>
      </c>
      <c r="BB383" s="21" t="n">
        <f aca="false">IF(AE383="",0,IF(COUNTIF($AE$2:$AE$1001,AE383)&gt;1,1,0))</f>
        <v>0</v>
      </c>
      <c r="BC383" s="21" t="n">
        <f aca="false">IF(AND(H383="",I383&gt;تنظیمات!$B$12*60,AM383="خالی"),1,0)</f>
        <v>0</v>
      </c>
      <c r="BD383" s="21" t="n">
        <f aca="false">IF(AND(AP383="بله",I383&lt;تنظیمات!$B$14,AO383="خیر"),1,0)</f>
        <v>0</v>
      </c>
      <c r="BE383" s="21" t="n">
        <f aca="false">IF(AN383="خیر",1,0)</f>
        <v>0</v>
      </c>
      <c r="BF383" s="21" t="n">
        <f aca="false">IF(AND(AD383="فیش مفقودی",AQ383="بله",I383&gt;تنظیمات!$B$12*60),1,0)</f>
        <v>0</v>
      </c>
      <c r="BG383" s="21" t="n">
        <f aca="false">IF(AND(AK383&gt;تنظیمات!$B$11,AL383="بله"),1,0)</f>
        <v>0</v>
      </c>
      <c r="BH383" s="21" t="n">
        <f aca="false">MIN(100,AR383*تنظیمات!$B$21+AS383*تنظیمات!$B$22+AT383*تنظیمات!$B$23+AU383*تنظیمات!$B$24+AV383*تنظیمات!$B$25+AW383*تنظیمات!$B$26+AX383*تنظیمات!$B$27+AY383*تنظیمات!$B$28+AZ383*تنظیمات!$B$29+BA383*تنظیمات!$B$30+BB383*تنظیمات!$B$31+BC383*تنظیمات!$B$32+BD383*تنظیمات!$B$33+BE383*تنظیمات!$B$34+BF383*تنظیمات!$B$35+BG383*تنظیمات!$B$36)</f>
        <v>0</v>
      </c>
      <c r="BI383" s="16" t="str">
        <f aca="false">IF(BH383&gt;=60,"بحرانی",IF(BH383&gt;=30,"مشکوک",IF(BH383&gt;0,"هشدار","عادی")))</f>
        <v>عادی</v>
      </c>
      <c r="BJ383" s="16" t="s">
        <v>338</v>
      </c>
    </row>
    <row r="384" customFormat="false" ht="15" hidden="false" customHeight="false" outlineLevel="0" collapsed="false">
      <c r="A384" s="16" t="s">
        <v>1616</v>
      </c>
      <c r="B384" s="16" t="s">
        <v>1617</v>
      </c>
      <c r="C384" s="16"/>
      <c r="D384" s="16" t="s">
        <v>540</v>
      </c>
      <c r="E384" s="16" t="s">
        <v>345</v>
      </c>
      <c r="F384" s="16" t="s">
        <v>359</v>
      </c>
      <c r="G384" s="17" t="n">
        <v>46286.2125694445</v>
      </c>
      <c r="H384" s="17" t="n">
        <v>46286.3604861111</v>
      </c>
      <c r="I384" s="18" t="n">
        <f aca="false">IF(H384="",ROUND((تنظیمات!$B$7-G384)*1440,0),ROUND((H384-G384)*1440,0))</f>
        <v>213</v>
      </c>
      <c r="J384" s="16" t="s">
        <v>346</v>
      </c>
      <c r="K384" s="16" t="s">
        <v>410</v>
      </c>
      <c r="L384" s="19" t="n">
        <v>0.911</v>
      </c>
      <c r="M384" s="19" t="n">
        <v>0.951</v>
      </c>
      <c r="N384" s="16" t="s">
        <v>335</v>
      </c>
      <c r="O384" s="16" t="s">
        <v>401</v>
      </c>
      <c r="P384" s="16" t="s">
        <v>402</v>
      </c>
      <c r="Q384" s="20" t="n">
        <v>46286</v>
      </c>
      <c r="R384" s="16" t="s">
        <v>1618</v>
      </c>
      <c r="S384" s="16" t="s">
        <v>404</v>
      </c>
      <c r="T384" s="17"/>
      <c r="U384" s="21" t="n">
        <v>1</v>
      </c>
      <c r="V384" s="21" t="n">
        <v>1</v>
      </c>
      <c r="W384" s="22" t="n">
        <v>5.5</v>
      </c>
      <c r="X384" s="16" t="s">
        <v>335</v>
      </c>
      <c r="Y384" s="16" t="s">
        <v>338</v>
      </c>
      <c r="Z384" s="16" t="s">
        <v>413</v>
      </c>
      <c r="AA384" s="16" t="s">
        <v>414</v>
      </c>
      <c r="AB384" s="23" t="s">
        <v>1619</v>
      </c>
      <c r="AC384" s="17" t="n">
        <v>46286.3595601852</v>
      </c>
      <c r="AD384" s="16" t="s">
        <v>338</v>
      </c>
      <c r="AE384" s="16"/>
      <c r="AF384" s="16" t="str">
        <f aca="false">IF(COUNTIF(لیست_سفید!$A$2:$A$21,B384)&gt;0,"بله","خیر")</f>
        <v>خیر</v>
      </c>
      <c r="AG384" s="24" t="n">
        <f aca="false">IF(H384="","",IF(AD384="فیش مفقودی",تنظیمات!$B$6,(INT(I384/1440)*تنظیمات!$B$5+IF(MOD(I384,1440)&lt;=تنظیمات!$B$2,0,MIN(تنظیمات!$B$5,تنظیمات!$B$3+MAX(0,ROUNDUP((MOD(I384,1440)-60)/60,0))*تنظیمات!$B$4)))*INDEX(تعرفه!$B$2:$B$7,MATCH(AD384,تعرفه!$A$2:$A$7,0))))</f>
        <v>62000</v>
      </c>
      <c r="AH384" s="24" t="n">
        <v>82000</v>
      </c>
      <c r="AI384" s="24" t="n">
        <f aca="false">IF(AG384="","",AH384-AG384)</f>
        <v>20000</v>
      </c>
      <c r="AJ384" s="21" t="n">
        <v>0</v>
      </c>
      <c r="AK384" s="21" t="n">
        <v>0</v>
      </c>
      <c r="AL384" s="16" t="s">
        <v>335</v>
      </c>
      <c r="AM384" s="16"/>
      <c r="AN384" s="16" t="s">
        <v>340</v>
      </c>
      <c r="AO384" s="16" t="s">
        <v>340</v>
      </c>
      <c r="AP384" s="16" t="s">
        <v>335</v>
      </c>
      <c r="AQ384" s="16"/>
      <c r="AR384" s="21" t="n">
        <f aca="false">IF(AND(T384&lt;&gt;"",H384&lt;&gt;""),IF(AND((T384-H384)*86400&gt;=0,(T384-H384)*86400&lt;تنظیمات!$B$13),1,0),0)</f>
        <v>0</v>
      </c>
      <c r="AS384" s="21" t="n">
        <f aca="false">IF(Z384="پوز",IF(OR(AB384="",COUNTIF(پوزها!$A$2:$A$5,AA384)=0),1,0),0)</f>
        <v>0</v>
      </c>
      <c r="AT384" s="21" t="n">
        <f aca="false">IF(AI384="",0,IF(AI384&gt;0,1,0))</f>
        <v>1</v>
      </c>
      <c r="AU384" s="21" t="n">
        <f aca="false">IF(AI384="",0,IF(AI384&lt;0,1,0))</f>
        <v>0</v>
      </c>
      <c r="AV384" s="21" t="n">
        <f aca="false">IF(U384&gt;V384,1,0)</f>
        <v>0</v>
      </c>
      <c r="AW384" s="21" t="n">
        <f aca="false">IF(OR(W384&gt;تنظیمات!$B$8,X384="بله"),1,0)</f>
        <v>0</v>
      </c>
      <c r="AX384" s="21" t="n">
        <f aca="false">IF(AND(N384="بله",L384&gt;تنظیمات!$B$9),1,0)</f>
        <v>0</v>
      </c>
      <c r="AY384" s="21" t="n">
        <f aca="false">IF(Y384="معکوس",1,0)</f>
        <v>0</v>
      </c>
      <c r="AZ384" s="21" t="n">
        <f aca="false">IF(ABS(AJ384)&gt;تنظیمات!$B$10,1,0)</f>
        <v>0</v>
      </c>
      <c r="BA384" s="21" t="n">
        <f aca="false">IF(AND(OR(AD384="رایگان/VIP",AD384="جانباز"),AF384="خیر"),1,0)</f>
        <v>0</v>
      </c>
      <c r="BB384" s="21" t="n">
        <f aca="false">IF(AE384="",0,IF(COUNTIF($AE$2:$AE$1001,AE384)&gt;1,1,0))</f>
        <v>0</v>
      </c>
      <c r="BC384" s="21" t="n">
        <f aca="false">IF(AND(H384="",I384&gt;تنظیمات!$B$12*60,AM384="خالی"),1,0)</f>
        <v>0</v>
      </c>
      <c r="BD384" s="21" t="n">
        <f aca="false">IF(AND(AP384="بله",I384&lt;تنظیمات!$B$14,AO384="خیر"),1,0)</f>
        <v>0</v>
      </c>
      <c r="BE384" s="21" t="n">
        <f aca="false">IF(AN384="خیر",1,0)</f>
        <v>0</v>
      </c>
      <c r="BF384" s="21" t="n">
        <f aca="false">IF(AND(AD384="فیش مفقودی",AQ384="بله",I384&gt;تنظیمات!$B$12*60),1,0)</f>
        <v>0</v>
      </c>
      <c r="BG384" s="21" t="n">
        <f aca="false">IF(AND(AK384&gt;تنظیمات!$B$11,AL384="بله"),1,0)</f>
        <v>0</v>
      </c>
      <c r="BH384" s="21" t="n">
        <f aca="false">MIN(100,AR384*تنظیمات!$B$21+AS384*تنظیمات!$B$22+AT384*تنظیمات!$B$23+AU384*تنظیمات!$B$24+AV384*تنظیمات!$B$25+AW384*تنظیمات!$B$26+AX384*تنظیمات!$B$27+AY384*تنظیمات!$B$28+AZ384*تنظیمات!$B$29+BA384*تنظیمات!$B$30+BB384*تنظیمات!$B$31+BC384*تنظیمات!$B$32+BD384*تنظیمات!$B$33+BE384*تنظیمات!$B$34+BF384*تنظیمات!$B$35+BG384*تنظیمات!$B$36)</f>
        <v>25</v>
      </c>
      <c r="BI384" s="16" t="str">
        <f aca="false">IF(BH384&gt;=60,"بحرانی",IF(BH384&gt;=30,"مشکوک",IF(BH384&gt;0,"هشدار","عادی")))</f>
        <v>هشدار</v>
      </c>
      <c r="BJ384" s="16" t="s">
        <v>922</v>
      </c>
    </row>
    <row r="385" customFormat="false" ht="15" hidden="false" customHeight="false" outlineLevel="0" collapsed="false">
      <c r="A385" s="16" t="s">
        <v>1620</v>
      </c>
      <c r="B385" s="16" t="s">
        <v>1349</v>
      </c>
      <c r="C385" s="16"/>
      <c r="D385" s="16" t="s">
        <v>450</v>
      </c>
      <c r="E385" s="16" t="s">
        <v>390</v>
      </c>
      <c r="F385" s="16" t="s">
        <v>333</v>
      </c>
      <c r="G385" s="17" t="n">
        <v>46286.2651967593</v>
      </c>
      <c r="H385" s="17" t="n">
        <v>46286.436724537</v>
      </c>
      <c r="I385" s="18" t="n">
        <f aca="false">IF(H385="",ROUND((تنظیمات!$B$7-G385)*1440,0),ROUND((H385-G385)*1440,0))</f>
        <v>247</v>
      </c>
      <c r="J385" s="16" t="s">
        <v>334</v>
      </c>
      <c r="K385" s="16" t="s">
        <v>410</v>
      </c>
      <c r="L385" s="19" t="n">
        <v>0.987</v>
      </c>
      <c r="M385" s="19" t="n">
        <v>0.889</v>
      </c>
      <c r="N385" s="16" t="s">
        <v>335</v>
      </c>
      <c r="O385" s="16" t="s">
        <v>401</v>
      </c>
      <c r="P385" s="16" t="s">
        <v>402</v>
      </c>
      <c r="Q385" s="20" t="n">
        <v>46286</v>
      </c>
      <c r="R385" s="16" t="s">
        <v>1621</v>
      </c>
      <c r="S385" s="16" t="s">
        <v>404</v>
      </c>
      <c r="T385" s="17"/>
      <c r="U385" s="21" t="n">
        <v>1</v>
      </c>
      <c r="V385" s="21" t="n">
        <v>1</v>
      </c>
      <c r="W385" s="22" t="n">
        <v>4.3</v>
      </c>
      <c r="X385" s="16" t="s">
        <v>335</v>
      </c>
      <c r="Y385" s="16" t="s">
        <v>338</v>
      </c>
      <c r="Z385" s="16" t="s">
        <v>443</v>
      </c>
      <c r="AA385" s="16"/>
      <c r="AB385" s="23"/>
      <c r="AC385" s="17"/>
      <c r="AD385" s="16" t="s">
        <v>444</v>
      </c>
      <c r="AE385" s="16"/>
      <c r="AF385" s="16" t="str">
        <f aca="false">IF(COUNTIF(لیست_سفید!$A$2:$A$21,B385)&gt;0,"بله","خیر")</f>
        <v>خیر</v>
      </c>
      <c r="AG385" s="24" t="n">
        <f aca="false">IF(H385="","",IF(AD385="فیش مفقودی",تنظیمات!$B$6,(INT(I385/1440)*تنظیمات!$B$5+IF(MOD(I385,1440)&lt;=تنظیمات!$B$2,0,MIN(تنظیمات!$B$5,تنظیمات!$B$3+MAX(0,ROUNDUP((MOD(I385,1440)-60)/60,0))*تنظیمات!$B$4)))*INDEX(تعرفه!$B$2:$B$7,MATCH(AD385,تعرفه!$A$2:$A$7,0))))</f>
        <v>0</v>
      </c>
      <c r="AH385" s="24" t="n">
        <v>0</v>
      </c>
      <c r="AI385" s="24" t="n">
        <f aca="false">IF(AG385="","",AH385-AG385)</f>
        <v>0</v>
      </c>
      <c r="AJ385" s="21" t="n">
        <v>2</v>
      </c>
      <c r="AK385" s="21" t="n">
        <v>70</v>
      </c>
      <c r="AL385" s="16" t="s">
        <v>335</v>
      </c>
      <c r="AM385" s="16"/>
      <c r="AN385" s="16" t="s">
        <v>340</v>
      </c>
      <c r="AO385" s="16" t="s">
        <v>340</v>
      </c>
      <c r="AP385" s="16" t="s">
        <v>335</v>
      </c>
      <c r="AQ385" s="16"/>
      <c r="AR385" s="21" t="n">
        <f aca="false">IF(AND(T385&lt;&gt;"",H385&lt;&gt;""),IF(AND((T385-H385)*86400&gt;=0,(T385-H385)*86400&lt;تنظیمات!$B$13),1,0),0)</f>
        <v>0</v>
      </c>
      <c r="AS385" s="21" t="n">
        <f aca="false">IF(Z385="پوز",IF(OR(AB385="",COUNTIF(پوزها!$A$2:$A$5,AA385)=0),1,0),0)</f>
        <v>0</v>
      </c>
      <c r="AT385" s="21" t="n">
        <f aca="false">IF(AI385="",0,IF(AI385&gt;0,1,0))</f>
        <v>0</v>
      </c>
      <c r="AU385" s="21" t="n">
        <f aca="false">IF(AI385="",0,IF(AI385&lt;0,1,0))</f>
        <v>0</v>
      </c>
      <c r="AV385" s="21" t="n">
        <f aca="false">IF(U385&gt;V385,1,0)</f>
        <v>0</v>
      </c>
      <c r="AW385" s="21" t="n">
        <f aca="false">IF(OR(W385&gt;تنظیمات!$B$8,X385="بله"),1,0)</f>
        <v>0</v>
      </c>
      <c r="AX385" s="21" t="n">
        <f aca="false">IF(AND(N385="بله",L385&gt;تنظیمات!$B$9),1,0)</f>
        <v>0</v>
      </c>
      <c r="AY385" s="21" t="n">
        <f aca="false">IF(Y385="معکوس",1,0)</f>
        <v>0</v>
      </c>
      <c r="AZ385" s="21" t="n">
        <f aca="false">IF(ABS(AJ385)&gt;تنظیمات!$B$10,1,0)</f>
        <v>0</v>
      </c>
      <c r="BA385" s="21" t="n">
        <f aca="false">IF(AND(OR(AD385="رایگان/VIP",AD385="جانباز"),AF385="خیر"),1,0)</f>
        <v>0</v>
      </c>
      <c r="BB385" s="21" t="n">
        <f aca="false">IF(AE385="",0,IF(COUNTIF($AE$2:$AE$1001,AE385)&gt;1,1,0))</f>
        <v>0</v>
      </c>
      <c r="BC385" s="21" t="n">
        <f aca="false">IF(AND(H385="",I385&gt;تنظیمات!$B$12*60,AM385="خالی"),1,0)</f>
        <v>0</v>
      </c>
      <c r="BD385" s="21" t="n">
        <f aca="false">IF(AND(AP385="بله",I385&lt;تنظیمات!$B$14,AO385="خیر"),1,0)</f>
        <v>0</v>
      </c>
      <c r="BE385" s="21" t="n">
        <f aca="false">IF(AN385="خیر",1,0)</f>
        <v>0</v>
      </c>
      <c r="BF385" s="21" t="n">
        <f aca="false">IF(AND(AD385="فیش مفقودی",AQ385="بله",I385&gt;تنظیمات!$B$12*60),1,0)</f>
        <v>0</v>
      </c>
      <c r="BG385" s="21" t="n">
        <f aca="false">IF(AND(AK385&gt;تنظیمات!$B$11,AL385="بله"),1,0)</f>
        <v>0</v>
      </c>
      <c r="BH385" s="21" t="n">
        <f aca="false">MIN(100,AR385*تنظیمات!$B$21+AS385*تنظیمات!$B$22+AT385*تنظیمات!$B$23+AU385*تنظیمات!$B$24+AV385*تنظیمات!$B$25+AW385*تنظیمات!$B$26+AX385*تنظیمات!$B$27+AY385*تنظیمات!$B$28+AZ385*تنظیمات!$B$29+BA385*تنظیمات!$B$30+BB385*تنظیمات!$B$31+BC385*تنظیمات!$B$32+BD385*تنظیمات!$B$33+BE385*تنظیمات!$B$34+BF385*تنظیمات!$B$35+BG385*تنظیمات!$B$36)</f>
        <v>0</v>
      </c>
      <c r="BI385" s="16" t="str">
        <f aca="false">IF(BH385&gt;=60,"بحرانی",IF(BH385&gt;=30,"مشکوک",IF(BH385&gt;0,"هشدار","عادی")))</f>
        <v>عادی</v>
      </c>
      <c r="BJ385" s="16" t="s">
        <v>338</v>
      </c>
    </row>
    <row r="386" customFormat="false" ht="15" hidden="false" customHeight="false" outlineLevel="0" collapsed="false">
      <c r="A386" s="16" t="s">
        <v>1622</v>
      </c>
      <c r="B386" s="16" t="s">
        <v>468</v>
      </c>
      <c r="C386" s="16"/>
      <c r="D386" s="16" t="s">
        <v>469</v>
      </c>
      <c r="E386" s="16" t="s">
        <v>375</v>
      </c>
      <c r="F386" s="16" t="s">
        <v>359</v>
      </c>
      <c r="G386" s="17" t="n">
        <v>46286.2719328704</v>
      </c>
      <c r="H386" s="17" t="n">
        <v>46286.5247106482</v>
      </c>
      <c r="I386" s="18" t="n">
        <f aca="false">IF(H386="",ROUND((تنظیمات!$B$7-G386)*1440,0),ROUND((H386-G386)*1440,0))</f>
        <v>364</v>
      </c>
      <c r="J386" s="16" t="s">
        <v>346</v>
      </c>
      <c r="K386" s="16" t="s">
        <v>410</v>
      </c>
      <c r="L386" s="19" t="n">
        <v>0.909</v>
      </c>
      <c r="M386" s="19" t="n">
        <v>0.957</v>
      </c>
      <c r="N386" s="16" t="s">
        <v>335</v>
      </c>
      <c r="O386" s="16" t="s">
        <v>401</v>
      </c>
      <c r="P386" s="16" t="s">
        <v>402</v>
      </c>
      <c r="Q386" s="20" t="n">
        <v>46286</v>
      </c>
      <c r="R386" s="16" t="s">
        <v>1623</v>
      </c>
      <c r="S386" s="16" t="s">
        <v>404</v>
      </c>
      <c r="T386" s="17"/>
      <c r="U386" s="21" t="n">
        <v>1</v>
      </c>
      <c r="V386" s="21" t="n">
        <v>1</v>
      </c>
      <c r="W386" s="22" t="n">
        <v>4.7</v>
      </c>
      <c r="X386" s="16" t="s">
        <v>335</v>
      </c>
      <c r="Y386" s="16" t="s">
        <v>338</v>
      </c>
      <c r="Z386" s="16" t="s">
        <v>443</v>
      </c>
      <c r="AA386" s="16"/>
      <c r="AB386" s="23"/>
      <c r="AC386" s="17"/>
      <c r="AD386" s="16" t="s">
        <v>444</v>
      </c>
      <c r="AE386" s="16"/>
      <c r="AF386" s="16" t="str">
        <f aca="false">IF(COUNTIF(لیست_سفید!$A$2:$A$21,B386)&gt;0,"بله","خیر")</f>
        <v>خیر</v>
      </c>
      <c r="AG386" s="24" t="n">
        <f aca="false">IF(H386="","",IF(AD386="فیش مفقودی",تنظیمات!$B$6,(INT(I386/1440)*تنظیمات!$B$5+IF(MOD(I386,1440)&lt;=تنظیمات!$B$2,0,MIN(تنظیمات!$B$5,تنظیمات!$B$3+MAX(0,ROUNDUP((MOD(I386,1440)-60)/60,0))*تنظیمات!$B$4)))*INDEX(تعرفه!$B$2:$B$7,MATCH(AD386,تعرفه!$A$2:$A$7,0))))</f>
        <v>0</v>
      </c>
      <c r="AH386" s="24" t="n">
        <v>0</v>
      </c>
      <c r="AI386" s="24" t="n">
        <f aca="false">IF(AG386="","",AH386-AG386)</f>
        <v>0</v>
      </c>
      <c r="AJ386" s="21" t="n">
        <v>-3</v>
      </c>
      <c r="AK386" s="21" t="n">
        <v>0</v>
      </c>
      <c r="AL386" s="16" t="s">
        <v>335</v>
      </c>
      <c r="AM386" s="16"/>
      <c r="AN386" s="16" t="s">
        <v>340</v>
      </c>
      <c r="AO386" s="16" t="s">
        <v>340</v>
      </c>
      <c r="AP386" s="16" t="s">
        <v>335</v>
      </c>
      <c r="AQ386" s="16"/>
      <c r="AR386" s="21" t="n">
        <f aca="false">IF(AND(T386&lt;&gt;"",H386&lt;&gt;""),IF(AND((T386-H386)*86400&gt;=0,(T386-H386)*86400&lt;تنظیمات!$B$13),1,0),0)</f>
        <v>0</v>
      </c>
      <c r="AS386" s="21" t="n">
        <f aca="false">IF(Z386="پوز",IF(OR(AB386="",COUNTIF(پوزها!$A$2:$A$5,AA386)=0),1,0),0)</f>
        <v>0</v>
      </c>
      <c r="AT386" s="21" t="n">
        <f aca="false">IF(AI386="",0,IF(AI386&gt;0,1,0))</f>
        <v>0</v>
      </c>
      <c r="AU386" s="21" t="n">
        <f aca="false">IF(AI386="",0,IF(AI386&lt;0,1,0))</f>
        <v>0</v>
      </c>
      <c r="AV386" s="21" t="n">
        <f aca="false">IF(U386&gt;V386,1,0)</f>
        <v>0</v>
      </c>
      <c r="AW386" s="21" t="n">
        <f aca="false">IF(OR(W386&gt;تنظیمات!$B$8,X386="بله"),1,0)</f>
        <v>0</v>
      </c>
      <c r="AX386" s="21" t="n">
        <f aca="false">IF(AND(N386="بله",L386&gt;تنظیمات!$B$9),1,0)</f>
        <v>0</v>
      </c>
      <c r="AY386" s="21" t="n">
        <f aca="false">IF(Y386="معکوس",1,0)</f>
        <v>0</v>
      </c>
      <c r="AZ386" s="21" t="n">
        <f aca="false">IF(ABS(AJ386)&gt;تنظیمات!$B$10,1,0)</f>
        <v>0</v>
      </c>
      <c r="BA386" s="21" t="n">
        <f aca="false">IF(AND(OR(AD386="رایگان/VIP",AD386="جانباز"),AF386="خیر"),1,0)</f>
        <v>0</v>
      </c>
      <c r="BB386" s="21" t="n">
        <f aca="false">IF(AE386="",0,IF(COUNTIF($AE$2:$AE$1001,AE386)&gt;1,1,0))</f>
        <v>0</v>
      </c>
      <c r="BC386" s="21" t="n">
        <f aca="false">IF(AND(H386="",I386&gt;تنظیمات!$B$12*60,AM386="خالی"),1,0)</f>
        <v>0</v>
      </c>
      <c r="BD386" s="21" t="n">
        <f aca="false">IF(AND(AP386="بله",I386&lt;تنظیمات!$B$14,AO386="خیر"),1,0)</f>
        <v>0</v>
      </c>
      <c r="BE386" s="21" t="n">
        <f aca="false">IF(AN386="خیر",1,0)</f>
        <v>0</v>
      </c>
      <c r="BF386" s="21" t="n">
        <f aca="false">IF(AND(AD386="فیش مفقودی",AQ386="بله",I386&gt;تنظیمات!$B$12*60),1,0)</f>
        <v>0</v>
      </c>
      <c r="BG386" s="21" t="n">
        <f aca="false">IF(AND(AK386&gt;تنظیمات!$B$11,AL386="بله"),1,0)</f>
        <v>0</v>
      </c>
      <c r="BH386" s="21" t="n">
        <f aca="false">MIN(100,AR386*تنظیمات!$B$21+AS386*تنظیمات!$B$22+AT386*تنظیمات!$B$23+AU386*تنظیمات!$B$24+AV386*تنظیمات!$B$25+AW386*تنظیمات!$B$26+AX386*تنظیمات!$B$27+AY386*تنظیمات!$B$28+AZ386*تنظیمات!$B$29+BA386*تنظیمات!$B$30+BB386*تنظیمات!$B$31+BC386*تنظیمات!$B$32+BD386*تنظیمات!$B$33+BE386*تنظیمات!$B$34+BF386*تنظیمات!$B$35+BG386*تنظیمات!$B$36)</f>
        <v>0</v>
      </c>
      <c r="BI386" s="16" t="str">
        <f aca="false">IF(BH386&gt;=60,"بحرانی",IF(BH386&gt;=30,"مشکوک",IF(BH386&gt;0,"هشدار","عادی")))</f>
        <v>عادی</v>
      </c>
      <c r="BJ386" s="16" t="s">
        <v>338</v>
      </c>
    </row>
    <row r="387" customFormat="false" ht="15" hidden="false" customHeight="false" outlineLevel="0" collapsed="false">
      <c r="A387" s="16" t="s">
        <v>1624</v>
      </c>
      <c r="B387" s="16" t="s">
        <v>1625</v>
      </c>
      <c r="C387" s="16"/>
      <c r="D387" s="16" t="s">
        <v>358</v>
      </c>
      <c r="E387" s="16" t="s">
        <v>375</v>
      </c>
      <c r="F387" s="16" t="s">
        <v>359</v>
      </c>
      <c r="G387" s="17" t="n">
        <v>46286.2859027778</v>
      </c>
      <c r="H387" s="17" t="n">
        <v>46286.4407638889</v>
      </c>
      <c r="I387" s="18" t="n">
        <f aca="false">IF(H387="",ROUND((تنظیمات!$B$7-G387)*1440,0),ROUND((H387-G387)*1440,0))</f>
        <v>223</v>
      </c>
      <c r="J387" s="16" t="s">
        <v>346</v>
      </c>
      <c r="K387" s="16" t="s">
        <v>400</v>
      </c>
      <c r="L387" s="19" t="n">
        <v>0.906</v>
      </c>
      <c r="M387" s="19" t="n">
        <v>0.96</v>
      </c>
      <c r="N387" s="16" t="s">
        <v>335</v>
      </c>
      <c r="O387" s="16" t="s">
        <v>411</v>
      </c>
      <c r="P387" s="16" t="s">
        <v>402</v>
      </c>
      <c r="Q387" s="20" t="n">
        <v>46286</v>
      </c>
      <c r="R387" s="16" t="s">
        <v>1626</v>
      </c>
      <c r="S387" s="16" t="s">
        <v>404</v>
      </c>
      <c r="T387" s="17"/>
      <c r="U387" s="21" t="n">
        <v>1</v>
      </c>
      <c r="V387" s="21" t="n">
        <v>1</v>
      </c>
      <c r="W387" s="22" t="n">
        <v>4.7</v>
      </c>
      <c r="X387" s="16" t="s">
        <v>335</v>
      </c>
      <c r="Y387" s="16" t="s">
        <v>338</v>
      </c>
      <c r="Z387" s="16" t="s">
        <v>405</v>
      </c>
      <c r="AA387" s="16"/>
      <c r="AB387" s="23"/>
      <c r="AC387" s="17"/>
      <c r="AD387" s="16" t="s">
        <v>338</v>
      </c>
      <c r="AE387" s="16"/>
      <c r="AF387" s="16" t="str">
        <f aca="false">IF(COUNTIF(لیست_سفید!$A$2:$A$21,B387)&gt;0,"بله","خیر")</f>
        <v>خیر</v>
      </c>
      <c r="AG387" s="24" t="n">
        <f aca="false">IF(H387="","",IF(AD387="فیش مفقودی",تنظیمات!$B$6,(INT(I387/1440)*تنظیمات!$B$5+IF(MOD(I387,1440)&lt;=تنظیمات!$B$2,0,MIN(تنظیمات!$B$5,تنظیمات!$B$3+MAX(0,ROUNDUP((MOD(I387,1440)-60)/60,0))*تنظیمات!$B$4)))*INDEX(تعرفه!$B$2:$B$7,MATCH(AD387,تعرفه!$A$2:$A$7,0))))</f>
        <v>62000</v>
      </c>
      <c r="AH387" s="24" t="n">
        <v>62000</v>
      </c>
      <c r="AI387" s="24" t="n">
        <f aca="false">IF(AG387="","",AH387-AG387)</f>
        <v>0</v>
      </c>
      <c r="AJ387" s="21" t="n">
        <v>0</v>
      </c>
      <c r="AK387" s="21" t="n">
        <v>0</v>
      </c>
      <c r="AL387" s="16" t="s">
        <v>335</v>
      </c>
      <c r="AM387" s="16"/>
      <c r="AN387" s="16" t="s">
        <v>340</v>
      </c>
      <c r="AO387" s="16" t="s">
        <v>340</v>
      </c>
      <c r="AP387" s="16" t="s">
        <v>335</v>
      </c>
      <c r="AQ387" s="16"/>
      <c r="AR387" s="21" t="n">
        <f aca="false">IF(AND(T387&lt;&gt;"",H387&lt;&gt;""),IF(AND((T387-H387)*86400&gt;=0,(T387-H387)*86400&lt;تنظیمات!$B$13),1,0),0)</f>
        <v>0</v>
      </c>
      <c r="AS387" s="21" t="n">
        <f aca="false">IF(Z387="پوز",IF(OR(AB387="",COUNTIF(پوزها!$A$2:$A$5,AA387)=0),1,0),0)</f>
        <v>0</v>
      </c>
      <c r="AT387" s="21" t="n">
        <f aca="false">IF(AI387="",0,IF(AI387&gt;0,1,0))</f>
        <v>0</v>
      </c>
      <c r="AU387" s="21" t="n">
        <f aca="false">IF(AI387="",0,IF(AI387&lt;0,1,0))</f>
        <v>0</v>
      </c>
      <c r="AV387" s="21" t="n">
        <f aca="false">IF(U387&gt;V387,1,0)</f>
        <v>0</v>
      </c>
      <c r="AW387" s="21" t="n">
        <f aca="false">IF(OR(W387&gt;تنظیمات!$B$8,X387="بله"),1,0)</f>
        <v>0</v>
      </c>
      <c r="AX387" s="21" t="n">
        <f aca="false">IF(AND(N387="بله",L387&gt;تنظیمات!$B$9),1,0)</f>
        <v>0</v>
      </c>
      <c r="AY387" s="21" t="n">
        <f aca="false">IF(Y387="معکوس",1,0)</f>
        <v>0</v>
      </c>
      <c r="AZ387" s="21" t="n">
        <f aca="false">IF(ABS(AJ387)&gt;تنظیمات!$B$10,1,0)</f>
        <v>0</v>
      </c>
      <c r="BA387" s="21" t="n">
        <f aca="false">IF(AND(OR(AD387="رایگان/VIP",AD387="جانباز"),AF387="خیر"),1,0)</f>
        <v>0</v>
      </c>
      <c r="BB387" s="21" t="n">
        <f aca="false">IF(AE387="",0,IF(COUNTIF($AE$2:$AE$1001,AE387)&gt;1,1,0))</f>
        <v>0</v>
      </c>
      <c r="BC387" s="21" t="n">
        <f aca="false">IF(AND(H387="",I387&gt;تنظیمات!$B$12*60,AM387="خالی"),1,0)</f>
        <v>0</v>
      </c>
      <c r="BD387" s="21" t="n">
        <f aca="false">IF(AND(AP387="بله",I387&lt;تنظیمات!$B$14,AO387="خیر"),1,0)</f>
        <v>0</v>
      </c>
      <c r="BE387" s="21" t="n">
        <f aca="false">IF(AN387="خیر",1,0)</f>
        <v>0</v>
      </c>
      <c r="BF387" s="21" t="n">
        <f aca="false">IF(AND(AD387="فیش مفقودی",AQ387="بله",I387&gt;تنظیمات!$B$12*60),1,0)</f>
        <v>0</v>
      </c>
      <c r="BG387" s="21" t="n">
        <f aca="false">IF(AND(AK387&gt;تنظیمات!$B$11,AL387="بله"),1,0)</f>
        <v>0</v>
      </c>
      <c r="BH387" s="21" t="n">
        <f aca="false">MIN(100,AR387*تنظیمات!$B$21+AS387*تنظیمات!$B$22+AT387*تنظیمات!$B$23+AU387*تنظیمات!$B$24+AV387*تنظیمات!$B$25+AW387*تنظیمات!$B$26+AX387*تنظیمات!$B$27+AY387*تنظیمات!$B$28+AZ387*تنظیمات!$B$29+BA387*تنظیمات!$B$30+BB387*تنظیمات!$B$31+BC387*تنظیمات!$B$32+BD387*تنظیمات!$B$33+BE387*تنظیمات!$B$34+BF387*تنظیمات!$B$35+BG387*تنظیمات!$B$36)</f>
        <v>0</v>
      </c>
      <c r="BI387" s="16" t="str">
        <f aca="false">IF(BH387&gt;=60,"بحرانی",IF(BH387&gt;=30,"مشکوک",IF(BH387&gt;0,"هشدار","عادی")))</f>
        <v>عادی</v>
      </c>
      <c r="BJ387" s="16" t="s">
        <v>338</v>
      </c>
    </row>
    <row r="388" customFormat="false" ht="15" hidden="false" customHeight="false" outlineLevel="0" collapsed="false">
      <c r="A388" s="16" t="s">
        <v>1627</v>
      </c>
      <c r="B388" s="16" t="s">
        <v>643</v>
      </c>
      <c r="C388" s="16"/>
      <c r="D388" s="16" t="s">
        <v>382</v>
      </c>
      <c r="E388" s="16" t="s">
        <v>345</v>
      </c>
      <c r="F388" s="16" t="s">
        <v>333</v>
      </c>
      <c r="G388" s="17" t="n">
        <v>46286.310474537</v>
      </c>
      <c r="H388" s="17" t="n">
        <v>46286.4389467593</v>
      </c>
      <c r="I388" s="18" t="n">
        <f aca="false">IF(H388="",ROUND((تنظیمات!$B$7-G388)*1440,0),ROUND((H388-G388)*1440,0))</f>
        <v>185</v>
      </c>
      <c r="J388" s="16" t="s">
        <v>346</v>
      </c>
      <c r="K388" s="16" t="s">
        <v>400</v>
      </c>
      <c r="L388" s="19" t="n">
        <v>0.934</v>
      </c>
      <c r="M388" s="19" t="n">
        <v>0.948</v>
      </c>
      <c r="N388" s="16" t="s">
        <v>335</v>
      </c>
      <c r="O388" s="16" t="s">
        <v>411</v>
      </c>
      <c r="P388" s="16" t="s">
        <v>402</v>
      </c>
      <c r="Q388" s="20" t="n">
        <v>46286</v>
      </c>
      <c r="R388" s="16" t="s">
        <v>1628</v>
      </c>
      <c r="S388" s="16" t="s">
        <v>404</v>
      </c>
      <c r="T388" s="17"/>
      <c r="U388" s="21" t="n">
        <v>1</v>
      </c>
      <c r="V388" s="21" t="n">
        <v>1</v>
      </c>
      <c r="W388" s="22" t="n">
        <v>6.4</v>
      </c>
      <c r="X388" s="16" t="s">
        <v>335</v>
      </c>
      <c r="Y388" s="16" t="s">
        <v>338</v>
      </c>
      <c r="Z388" s="16" t="s">
        <v>405</v>
      </c>
      <c r="AA388" s="16"/>
      <c r="AB388" s="23"/>
      <c r="AC388" s="17"/>
      <c r="AD388" s="16" t="s">
        <v>481</v>
      </c>
      <c r="AE388" s="16" t="s">
        <v>1629</v>
      </c>
      <c r="AF388" s="16" t="str">
        <f aca="false">IF(COUNTIF(لیست_سفید!$A$2:$A$21,B388)&gt;0,"بله","خیر")</f>
        <v>خیر</v>
      </c>
      <c r="AG388" s="24" t="n">
        <f aca="false">IF(H388="","",IF(AD388="فیش مفقودی",تنظیمات!$B$6,(INT(I388/1440)*تنظیمات!$B$5+IF(MOD(I388,1440)&lt;=تنظیمات!$B$2,0,MIN(تنظیمات!$B$5,تنظیمات!$B$3+MAX(0,ROUNDUP((MOD(I388,1440)-60)/60,0))*تنظیمات!$B$4)))*INDEX(تعرفه!$B$2:$B$7,MATCH(AD388,تعرفه!$A$2:$A$7,0))))</f>
        <v>31000</v>
      </c>
      <c r="AH388" s="24" t="n">
        <v>31000</v>
      </c>
      <c r="AI388" s="24" t="n">
        <f aca="false">IF(AG388="","",AH388-AG388)</f>
        <v>0</v>
      </c>
      <c r="AJ388" s="21" t="n">
        <v>2</v>
      </c>
      <c r="AK388" s="21" t="n">
        <v>0</v>
      </c>
      <c r="AL388" s="16" t="s">
        <v>335</v>
      </c>
      <c r="AM388" s="16"/>
      <c r="AN388" s="16" t="s">
        <v>340</v>
      </c>
      <c r="AO388" s="16" t="s">
        <v>340</v>
      </c>
      <c r="AP388" s="16" t="s">
        <v>335</v>
      </c>
      <c r="AQ388" s="16"/>
      <c r="AR388" s="21" t="n">
        <f aca="false">IF(AND(T388&lt;&gt;"",H388&lt;&gt;""),IF(AND((T388-H388)*86400&gt;=0,(T388-H388)*86400&lt;تنظیمات!$B$13),1,0),0)</f>
        <v>0</v>
      </c>
      <c r="AS388" s="21" t="n">
        <f aca="false">IF(Z388="پوز",IF(OR(AB388="",COUNTIF(پوزها!$A$2:$A$5,AA388)=0),1,0),0)</f>
        <v>0</v>
      </c>
      <c r="AT388" s="21" t="n">
        <f aca="false">IF(AI388="",0,IF(AI388&gt;0,1,0))</f>
        <v>0</v>
      </c>
      <c r="AU388" s="21" t="n">
        <f aca="false">IF(AI388="",0,IF(AI388&lt;0,1,0))</f>
        <v>0</v>
      </c>
      <c r="AV388" s="21" t="n">
        <f aca="false">IF(U388&gt;V388,1,0)</f>
        <v>0</v>
      </c>
      <c r="AW388" s="21" t="n">
        <f aca="false">IF(OR(W388&gt;تنظیمات!$B$8,X388="بله"),1,0)</f>
        <v>0</v>
      </c>
      <c r="AX388" s="21" t="n">
        <f aca="false">IF(AND(N388="بله",L388&gt;تنظیمات!$B$9),1,0)</f>
        <v>0</v>
      </c>
      <c r="AY388" s="21" t="n">
        <f aca="false">IF(Y388="معکوس",1,0)</f>
        <v>0</v>
      </c>
      <c r="AZ388" s="21" t="n">
        <f aca="false">IF(ABS(AJ388)&gt;تنظیمات!$B$10,1,0)</f>
        <v>0</v>
      </c>
      <c r="BA388" s="21" t="n">
        <f aca="false">IF(AND(OR(AD388="رایگان/VIP",AD388="جانباز"),AF388="خیر"),1,0)</f>
        <v>0</v>
      </c>
      <c r="BB388" s="21" t="n">
        <f aca="false">IF(AE388="",0,IF(COUNTIF($AE$2:$AE$1001,AE388)&gt;1,1,0))</f>
        <v>0</v>
      </c>
      <c r="BC388" s="21" t="n">
        <f aca="false">IF(AND(H388="",I388&gt;تنظیمات!$B$12*60,AM388="خالی"),1,0)</f>
        <v>0</v>
      </c>
      <c r="BD388" s="21" t="n">
        <f aca="false">IF(AND(AP388="بله",I388&lt;تنظیمات!$B$14,AO388="خیر"),1,0)</f>
        <v>0</v>
      </c>
      <c r="BE388" s="21" t="n">
        <f aca="false">IF(AN388="خیر",1,0)</f>
        <v>0</v>
      </c>
      <c r="BF388" s="21" t="n">
        <f aca="false">IF(AND(AD388="فیش مفقودی",AQ388="بله",I388&gt;تنظیمات!$B$12*60),1,0)</f>
        <v>0</v>
      </c>
      <c r="BG388" s="21" t="n">
        <f aca="false">IF(AND(AK388&gt;تنظیمات!$B$11,AL388="بله"),1,0)</f>
        <v>0</v>
      </c>
      <c r="BH388" s="21" t="n">
        <f aca="false">MIN(100,AR388*تنظیمات!$B$21+AS388*تنظیمات!$B$22+AT388*تنظیمات!$B$23+AU388*تنظیمات!$B$24+AV388*تنظیمات!$B$25+AW388*تنظیمات!$B$26+AX388*تنظیمات!$B$27+AY388*تنظیمات!$B$28+AZ388*تنظیمات!$B$29+BA388*تنظیمات!$B$30+BB388*تنظیمات!$B$31+BC388*تنظیمات!$B$32+BD388*تنظیمات!$B$33+BE388*تنظیمات!$B$34+BF388*تنظیمات!$B$35+BG388*تنظیمات!$B$36)</f>
        <v>0</v>
      </c>
      <c r="BI388" s="16" t="str">
        <f aca="false">IF(BH388&gt;=60,"بحرانی",IF(BH388&gt;=30,"مشکوک",IF(BH388&gt;0,"هشدار","عادی")))</f>
        <v>عادی</v>
      </c>
      <c r="BJ388" s="16" t="s">
        <v>338</v>
      </c>
    </row>
    <row r="389" customFormat="false" ht="15" hidden="false" customHeight="false" outlineLevel="0" collapsed="false">
      <c r="A389" s="16" t="s">
        <v>1630</v>
      </c>
      <c r="B389" s="16" t="s">
        <v>905</v>
      </c>
      <c r="C389" s="16"/>
      <c r="D389" s="16" t="s">
        <v>431</v>
      </c>
      <c r="E389" s="16" t="s">
        <v>375</v>
      </c>
      <c r="F389" s="16" t="s">
        <v>333</v>
      </c>
      <c r="G389" s="17" t="n">
        <v>46286.3136111111</v>
      </c>
      <c r="H389" s="17" t="n">
        <v>46286.4788888889</v>
      </c>
      <c r="I389" s="18" t="n">
        <f aca="false">IF(H389="",ROUND((تنظیمات!$B$7-G389)*1440,0),ROUND((H389-G389)*1440,0))</f>
        <v>238</v>
      </c>
      <c r="J389" s="16" t="s">
        <v>346</v>
      </c>
      <c r="K389" s="16" t="s">
        <v>410</v>
      </c>
      <c r="L389" s="19" t="n">
        <v>0.98</v>
      </c>
      <c r="M389" s="19" t="n">
        <v>0.908</v>
      </c>
      <c r="N389" s="16" t="s">
        <v>335</v>
      </c>
      <c r="O389" s="16" t="s">
        <v>401</v>
      </c>
      <c r="P389" s="16" t="s">
        <v>402</v>
      </c>
      <c r="Q389" s="20" t="n">
        <v>46286</v>
      </c>
      <c r="R389" s="16" t="s">
        <v>1631</v>
      </c>
      <c r="S389" s="16" t="s">
        <v>606</v>
      </c>
      <c r="T389" s="17" t="n">
        <v>46286.4799537037</v>
      </c>
      <c r="U389" s="21" t="n">
        <v>1</v>
      </c>
      <c r="V389" s="21" t="n">
        <v>1</v>
      </c>
      <c r="W389" s="22" t="n">
        <v>4.8</v>
      </c>
      <c r="X389" s="16" t="s">
        <v>335</v>
      </c>
      <c r="Y389" s="16" t="s">
        <v>338</v>
      </c>
      <c r="Z389" s="16" t="s">
        <v>405</v>
      </c>
      <c r="AA389" s="16"/>
      <c r="AB389" s="23"/>
      <c r="AC389" s="17"/>
      <c r="AD389" s="16" t="s">
        <v>338</v>
      </c>
      <c r="AE389" s="16"/>
      <c r="AF389" s="16" t="str">
        <f aca="false">IF(COUNTIF(لیست_سفید!$A$2:$A$21,B389)&gt;0,"بله","خیر")</f>
        <v>خیر</v>
      </c>
      <c r="AG389" s="24" t="n">
        <f aca="false">IF(H389="","",IF(AD389="فیش مفقودی",تنظیمات!$B$6,(INT(I389/1440)*تنظیمات!$B$5+IF(MOD(I389,1440)&lt;=تنظیمات!$B$2,0,MIN(تنظیمات!$B$5,تنظیمات!$B$3+MAX(0,ROUNDUP((MOD(I389,1440)-60)/60,0))*تنظیمات!$B$4)))*INDEX(تعرفه!$B$2:$B$7,MATCH(AD389,تعرفه!$A$2:$A$7,0))))</f>
        <v>62000</v>
      </c>
      <c r="AH389" s="24" t="n">
        <v>0</v>
      </c>
      <c r="AI389" s="24" t="n">
        <f aca="false">IF(AG389="","",AH389-AG389)</f>
        <v>-62000</v>
      </c>
      <c r="AJ389" s="21" t="n">
        <v>-1</v>
      </c>
      <c r="AK389" s="21" t="n">
        <v>0</v>
      </c>
      <c r="AL389" s="16" t="s">
        <v>335</v>
      </c>
      <c r="AM389" s="16"/>
      <c r="AN389" s="16" t="s">
        <v>340</v>
      </c>
      <c r="AO389" s="16" t="s">
        <v>340</v>
      </c>
      <c r="AP389" s="16" t="s">
        <v>335</v>
      </c>
      <c r="AQ389" s="16"/>
      <c r="AR389" s="21" t="n">
        <f aca="false">IF(AND(T389&lt;&gt;"",H389&lt;&gt;""),IF(AND((T389-H389)*86400&gt;=0,(T389-H389)*86400&lt;تنظیمات!$B$13),1,0),0)</f>
        <v>1</v>
      </c>
      <c r="AS389" s="21" t="n">
        <f aca="false">IF(Z389="پوز",IF(OR(AB389="",COUNTIF(پوزها!$A$2:$A$5,AA389)=0),1,0),0)</f>
        <v>0</v>
      </c>
      <c r="AT389" s="21" t="n">
        <f aca="false">IF(AI389="",0,IF(AI389&gt;0,1,0))</f>
        <v>0</v>
      </c>
      <c r="AU389" s="21" t="n">
        <f aca="false">IF(AI389="",0,IF(AI389&lt;0,1,0))</f>
        <v>1</v>
      </c>
      <c r="AV389" s="21" t="n">
        <f aca="false">IF(U389&gt;V389,1,0)</f>
        <v>0</v>
      </c>
      <c r="AW389" s="21" t="n">
        <f aca="false">IF(OR(W389&gt;تنظیمات!$B$8,X389="بله"),1,0)</f>
        <v>0</v>
      </c>
      <c r="AX389" s="21" t="n">
        <f aca="false">IF(AND(N389="بله",L389&gt;تنظیمات!$B$9),1,0)</f>
        <v>0</v>
      </c>
      <c r="AY389" s="21" t="n">
        <f aca="false">IF(Y389="معکوس",1,0)</f>
        <v>0</v>
      </c>
      <c r="AZ389" s="21" t="n">
        <f aca="false">IF(ABS(AJ389)&gt;تنظیمات!$B$10,1,0)</f>
        <v>0</v>
      </c>
      <c r="BA389" s="21" t="n">
        <f aca="false">IF(AND(OR(AD389="رایگان/VIP",AD389="جانباز"),AF389="خیر"),1,0)</f>
        <v>0</v>
      </c>
      <c r="BB389" s="21" t="n">
        <f aca="false">IF(AE389="",0,IF(COUNTIF($AE$2:$AE$1001,AE389)&gt;1,1,0))</f>
        <v>0</v>
      </c>
      <c r="BC389" s="21" t="n">
        <f aca="false">IF(AND(H389="",I389&gt;تنظیمات!$B$12*60,AM389="خالی"),1,0)</f>
        <v>0</v>
      </c>
      <c r="BD389" s="21" t="n">
        <f aca="false">IF(AND(AP389="بله",I389&lt;تنظیمات!$B$14,AO389="خیر"),1,0)</f>
        <v>0</v>
      </c>
      <c r="BE389" s="21" t="n">
        <f aca="false">IF(AN389="خیر",1,0)</f>
        <v>0</v>
      </c>
      <c r="BF389" s="21" t="n">
        <f aca="false">IF(AND(AD389="فیش مفقودی",AQ389="بله",I389&gt;تنظیمات!$B$12*60),1,0)</f>
        <v>0</v>
      </c>
      <c r="BG389" s="21" t="n">
        <f aca="false">IF(AND(AK389&gt;تنظیمات!$B$11,AL389="بله"),1,0)</f>
        <v>0</v>
      </c>
      <c r="BH389" s="21" t="n">
        <f aca="false">MIN(100,AR389*تنظیمات!$B$21+AS389*تنظیمات!$B$22+AT389*تنظیمات!$B$23+AU389*تنظیمات!$B$24+AV389*تنظیمات!$B$25+AW389*تنظیمات!$B$26+AX389*تنظیمات!$B$27+AY389*تنظیمات!$B$28+AZ389*تنظیمات!$B$29+BA389*تنظیمات!$B$30+BB389*تنظیمات!$B$31+BC389*تنظیمات!$B$32+BD389*تنظیمات!$B$33+BE389*تنظیمات!$B$34+BF389*تنظیمات!$B$35+BG389*تنظیمات!$B$36)</f>
        <v>65</v>
      </c>
      <c r="BI389" s="16" t="str">
        <f aca="false">IF(BH389&gt;=60,"بحرانی",IF(BH389&gt;=30,"مشکوک",IF(BH389&gt;0,"هشدار","عادی")))</f>
        <v>بحرانی</v>
      </c>
      <c r="BJ389" s="16" t="s">
        <v>607</v>
      </c>
    </row>
    <row r="390" customFormat="false" ht="15" hidden="false" customHeight="false" outlineLevel="0" collapsed="false">
      <c r="A390" s="16" t="s">
        <v>1632</v>
      </c>
      <c r="B390" s="16" t="s">
        <v>1633</v>
      </c>
      <c r="C390" s="16"/>
      <c r="D390" s="16" t="s">
        <v>440</v>
      </c>
      <c r="E390" s="16" t="s">
        <v>363</v>
      </c>
      <c r="F390" s="16" t="s">
        <v>359</v>
      </c>
      <c r="G390" s="17" t="n">
        <v>46286.3149305556</v>
      </c>
      <c r="H390" s="17" t="n">
        <v>46286.3322916667</v>
      </c>
      <c r="I390" s="18" t="n">
        <f aca="false">IF(H390="",ROUND((تنظیمات!$B$7-G390)*1440,0),ROUND((H390-G390)*1440,0))</f>
        <v>25</v>
      </c>
      <c r="J390" s="16" t="s">
        <v>334</v>
      </c>
      <c r="K390" s="16" t="s">
        <v>400</v>
      </c>
      <c r="L390" s="19" t="n">
        <v>0.995</v>
      </c>
      <c r="M390" s="19" t="n">
        <v>0.995</v>
      </c>
      <c r="N390" s="16" t="s">
        <v>335</v>
      </c>
      <c r="O390" s="16" t="s">
        <v>411</v>
      </c>
      <c r="P390" s="16" t="s">
        <v>402</v>
      </c>
      <c r="Q390" s="20" t="n">
        <v>46286</v>
      </c>
      <c r="R390" s="16" t="s">
        <v>1634</v>
      </c>
      <c r="S390" s="16" t="s">
        <v>404</v>
      </c>
      <c r="T390" s="17"/>
      <c r="U390" s="21" t="n">
        <v>1</v>
      </c>
      <c r="V390" s="21" t="n">
        <v>1</v>
      </c>
      <c r="W390" s="22" t="n">
        <v>3.1</v>
      </c>
      <c r="X390" s="16" t="s">
        <v>335</v>
      </c>
      <c r="Y390" s="16" t="s">
        <v>338</v>
      </c>
      <c r="Z390" s="16" t="s">
        <v>413</v>
      </c>
      <c r="AA390" s="16" t="s">
        <v>427</v>
      </c>
      <c r="AB390" s="23" t="s">
        <v>1635</v>
      </c>
      <c r="AC390" s="17" t="n">
        <v>46286.3318402778</v>
      </c>
      <c r="AD390" s="16" t="s">
        <v>338</v>
      </c>
      <c r="AE390" s="16"/>
      <c r="AF390" s="16" t="str">
        <f aca="false">IF(COUNTIF(لیست_سفید!$A$2:$A$21,B390)&gt;0,"بله","خیر")</f>
        <v>خیر</v>
      </c>
      <c r="AG390" s="24" t="n">
        <f aca="false">IF(H390="","",IF(AD390="فیش مفقودی",تنظیمات!$B$6,(INT(I390/1440)*تنظیمات!$B$5+IF(MOD(I390,1440)&lt;=تنظیمات!$B$2,0,MIN(تنظیمات!$B$5,تنظیمات!$B$3+MAX(0,ROUNDUP((MOD(I390,1440)-60)/60,0))*تنظیمات!$B$4)))*INDEX(تعرفه!$B$2:$B$7,MATCH(AD390,تعرفه!$A$2:$A$7,0))))</f>
        <v>20000</v>
      </c>
      <c r="AH390" s="24" t="n">
        <v>20000</v>
      </c>
      <c r="AI390" s="24" t="n">
        <f aca="false">IF(AG390="","",AH390-AG390)</f>
        <v>0</v>
      </c>
      <c r="AJ390" s="21" t="n">
        <v>-1</v>
      </c>
      <c r="AK390" s="21" t="n">
        <v>0</v>
      </c>
      <c r="AL390" s="16" t="s">
        <v>335</v>
      </c>
      <c r="AM390" s="16"/>
      <c r="AN390" s="16" t="s">
        <v>340</v>
      </c>
      <c r="AO390" s="16" t="s">
        <v>340</v>
      </c>
      <c r="AP390" s="16" t="s">
        <v>335</v>
      </c>
      <c r="AQ390" s="16"/>
      <c r="AR390" s="21" t="n">
        <f aca="false">IF(AND(T390&lt;&gt;"",H390&lt;&gt;""),IF(AND((T390-H390)*86400&gt;=0,(T390-H390)*86400&lt;تنظیمات!$B$13),1,0),0)</f>
        <v>0</v>
      </c>
      <c r="AS390" s="21" t="n">
        <f aca="false">IF(Z390="پوز",IF(OR(AB390="",COUNTIF(پوزها!$A$2:$A$5,AA390)=0),1,0),0)</f>
        <v>0</v>
      </c>
      <c r="AT390" s="21" t="n">
        <f aca="false">IF(AI390="",0,IF(AI390&gt;0,1,0))</f>
        <v>0</v>
      </c>
      <c r="AU390" s="21" t="n">
        <f aca="false">IF(AI390="",0,IF(AI390&lt;0,1,0))</f>
        <v>0</v>
      </c>
      <c r="AV390" s="21" t="n">
        <f aca="false">IF(U390&gt;V390,1,0)</f>
        <v>0</v>
      </c>
      <c r="AW390" s="21" t="n">
        <f aca="false">IF(OR(W390&gt;تنظیمات!$B$8,X390="بله"),1,0)</f>
        <v>0</v>
      </c>
      <c r="AX390" s="21" t="n">
        <f aca="false">IF(AND(N390="بله",L390&gt;تنظیمات!$B$9),1,0)</f>
        <v>0</v>
      </c>
      <c r="AY390" s="21" t="n">
        <f aca="false">IF(Y390="معکوس",1,0)</f>
        <v>0</v>
      </c>
      <c r="AZ390" s="21" t="n">
        <f aca="false">IF(ABS(AJ390)&gt;تنظیمات!$B$10,1,0)</f>
        <v>0</v>
      </c>
      <c r="BA390" s="21" t="n">
        <f aca="false">IF(AND(OR(AD390="رایگان/VIP",AD390="جانباز"),AF390="خیر"),1,0)</f>
        <v>0</v>
      </c>
      <c r="BB390" s="21" t="n">
        <f aca="false">IF(AE390="",0,IF(COUNTIF($AE$2:$AE$1001,AE390)&gt;1,1,0))</f>
        <v>0</v>
      </c>
      <c r="BC390" s="21" t="n">
        <f aca="false">IF(AND(H390="",I390&gt;تنظیمات!$B$12*60,AM390="خالی"),1,0)</f>
        <v>0</v>
      </c>
      <c r="BD390" s="21" t="n">
        <f aca="false">IF(AND(AP390="بله",I390&lt;تنظیمات!$B$14,AO390="خیر"),1,0)</f>
        <v>0</v>
      </c>
      <c r="BE390" s="21" t="n">
        <f aca="false">IF(AN390="خیر",1,0)</f>
        <v>0</v>
      </c>
      <c r="BF390" s="21" t="n">
        <f aca="false">IF(AND(AD390="فیش مفقودی",AQ390="بله",I390&gt;تنظیمات!$B$12*60),1,0)</f>
        <v>0</v>
      </c>
      <c r="BG390" s="21" t="n">
        <f aca="false">IF(AND(AK390&gt;تنظیمات!$B$11,AL390="بله"),1,0)</f>
        <v>0</v>
      </c>
      <c r="BH390" s="21" t="n">
        <f aca="false">MIN(100,AR390*تنظیمات!$B$21+AS390*تنظیمات!$B$22+AT390*تنظیمات!$B$23+AU390*تنظیمات!$B$24+AV390*تنظیمات!$B$25+AW390*تنظیمات!$B$26+AX390*تنظیمات!$B$27+AY390*تنظیمات!$B$28+AZ390*تنظیمات!$B$29+BA390*تنظیمات!$B$30+BB390*تنظیمات!$B$31+BC390*تنظیمات!$B$32+BD390*تنظیمات!$B$33+BE390*تنظیمات!$B$34+BF390*تنظیمات!$B$35+BG390*تنظیمات!$B$36)</f>
        <v>0</v>
      </c>
      <c r="BI390" s="16" t="str">
        <f aca="false">IF(BH390&gt;=60,"بحرانی",IF(BH390&gt;=30,"مشکوک",IF(BH390&gt;0,"هشدار","عادی")))</f>
        <v>عادی</v>
      </c>
      <c r="BJ390" s="16" t="s">
        <v>338</v>
      </c>
    </row>
    <row r="391" customFormat="false" ht="15" hidden="false" customHeight="false" outlineLevel="0" collapsed="false">
      <c r="A391" s="16" t="s">
        <v>1636</v>
      </c>
      <c r="B391" s="16" t="s">
        <v>600</v>
      </c>
      <c r="C391" s="16"/>
      <c r="D391" s="16" t="s">
        <v>382</v>
      </c>
      <c r="E391" s="16" t="s">
        <v>351</v>
      </c>
      <c r="F391" s="16" t="s">
        <v>333</v>
      </c>
      <c r="G391" s="17" t="n">
        <v>46286.3249652778</v>
      </c>
      <c r="H391" s="17" t="n">
        <v>46286.5374652778</v>
      </c>
      <c r="I391" s="18" t="n">
        <f aca="false">IF(H391="",ROUND((تنظیمات!$B$7-G391)*1440,0),ROUND((H391-G391)*1440,0))</f>
        <v>306</v>
      </c>
      <c r="J391" s="16" t="s">
        <v>334</v>
      </c>
      <c r="K391" s="16" t="s">
        <v>400</v>
      </c>
      <c r="L391" s="19" t="n">
        <v>0.965</v>
      </c>
      <c r="M391" s="19" t="n">
        <v>0.948</v>
      </c>
      <c r="N391" s="16" t="s">
        <v>335</v>
      </c>
      <c r="O391" s="16" t="s">
        <v>411</v>
      </c>
      <c r="P391" s="16" t="s">
        <v>402</v>
      </c>
      <c r="Q391" s="20" t="n">
        <v>46286</v>
      </c>
      <c r="R391" s="16" t="s">
        <v>1637</v>
      </c>
      <c r="S391" s="16" t="s">
        <v>404</v>
      </c>
      <c r="T391" s="17"/>
      <c r="U391" s="21" t="n">
        <v>1</v>
      </c>
      <c r="V391" s="21" t="n">
        <v>1</v>
      </c>
      <c r="W391" s="22" t="n">
        <v>3.5</v>
      </c>
      <c r="X391" s="16" t="s">
        <v>335</v>
      </c>
      <c r="Y391" s="16" t="s">
        <v>338</v>
      </c>
      <c r="Z391" s="16" t="s">
        <v>465</v>
      </c>
      <c r="AA391" s="16"/>
      <c r="AB391" s="23"/>
      <c r="AC391" s="17"/>
      <c r="AD391" s="16" t="s">
        <v>602</v>
      </c>
      <c r="AE391" s="16"/>
      <c r="AF391" s="16" t="str">
        <f aca="false">IF(COUNTIF(لیست_سفید!$A$2:$A$21,B391)&gt;0,"بله","خیر")</f>
        <v>بله</v>
      </c>
      <c r="AG391" s="24" t="n">
        <f aca="false">IF(H391="","",IF(AD391="فیش مفقودی",تنظیمات!$B$6,(INT(I391/1440)*تنظیمات!$B$5+IF(MOD(I391,1440)&lt;=تنظیمات!$B$2,0,MIN(تنظیمات!$B$5,تنظیمات!$B$3+MAX(0,ROUNDUP((MOD(I391,1440)-60)/60,0))*تنظیمات!$B$4)))*INDEX(تعرفه!$B$2:$B$7,MATCH(AD391,تعرفه!$A$2:$A$7,0))))</f>
        <v>0</v>
      </c>
      <c r="AH391" s="24" t="n">
        <v>0</v>
      </c>
      <c r="AI391" s="24" t="n">
        <f aca="false">IF(AG391="","",AH391-AG391)</f>
        <v>0</v>
      </c>
      <c r="AJ391" s="21" t="n">
        <v>-5</v>
      </c>
      <c r="AK391" s="21" t="n">
        <v>0</v>
      </c>
      <c r="AL391" s="16" t="s">
        <v>335</v>
      </c>
      <c r="AM391" s="16"/>
      <c r="AN391" s="16" t="s">
        <v>340</v>
      </c>
      <c r="AO391" s="16" t="s">
        <v>340</v>
      </c>
      <c r="AP391" s="16" t="s">
        <v>335</v>
      </c>
      <c r="AQ391" s="16"/>
      <c r="AR391" s="21" t="n">
        <f aca="false">IF(AND(T391&lt;&gt;"",H391&lt;&gt;""),IF(AND((T391-H391)*86400&gt;=0,(T391-H391)*86400&lt;تنظیمات!$B$13),1,0),0)</f>
        <v>0</v>
      </c>
      <c r="AS391" s="21" t="n">
        <f aca="false">IF(Z391="پوز",IF(OR(AB391="",COUNTIF(پوزها!$A$2:$A$5,AA391)=0),1,0),0)</f>
        <v>0</v>
      </c>
      <c r="AT391" s="21" t="n">
        <f aca="false">IF(AI391="",0,IF(AI391&gt;0,1,0))</f>
        <v>0</v>
      </c>
      <c r="AU391" s="21" t="n">
        <f aca="false">IF(AI391="",0,IF(AI391&lt;0,1,0))</f>
        <v>0</v>
      </c>
      <c r="AV391" s="21" t="n">
        <f aca="false">IF(U391&gt;V391,1,0)</f>
        <v>0</v>
      </c>
      <c r="AW391" s="21" t="n">
        <f aca="false">IF(OR(W391&gt;تنظیمات!$B$8,X391="بله"),1,0)</f>
        <v>0</v>
      </c>
      <c r="AX391" s="21" t="n">
        <f aca="false">IF(AND(N391="بله",L391&gt;تنظیمات!$B$9),1,0)</f>
        <v>0</v>
      </c>
      <c r="AY391" s="21" t="n">
        <f aca="false">IF(Y391="معکوس",1,0)</f>
        <v>0</v>
      </c>
      <c r="AZ391" s="21" t="n">
        <f aca="false">IF(ABS(AJ391)&gt;تنظیمات!$B$10,1,0)</f>
        <v>0</v>
      </c>
      <c r="BA391" s="21" t="n">
        <f aca="false">IF(AND(OR(AD391="رایگان/VIP",AD391="جانباز"),AF391="خیر"),1,0)</f>
        <v>0</v>
      </c>
      <c r="BB391" s="21" t="n">
        <f aca="false">IF(AE391="",0,IF(COUNTIF($AE$2:$AE$1001,AE391)&gt;1,1,0))</f>
        <v>0</v>
      </c>
      <c r="BC391" s="21" t="n">
        <f aca="false">IF(AND(H391="",I391&gt;تنظیمات!$B$12*60,AM391="خالی"),1,0)</f>
        <v>0</v>
      </c>
      <c r="BD391" s="21" t="n">
        <f aca="false">IF(AND(AP391="بله",I391&lt;تنظیمات!$B$14,AO391="خیر"),1,0)</f>
        <v>0</v>
      </c>
      <c r="BE391" s="21" t="n">
        <f aca="false">IF(AN391="خیر",1,0)</f>
        <v>0</v>
      </c>
      <c r="BF391" s="21" t="n">
        <f aca="false">IF(AND(AD391="فیش مفقودی",AQ391="بله",I391&gt;تنظیمات!$B$12*60),1,0)</f>
        <v>0</v>
      </c>
      <c r="BG391" s="21" t="n">
        <f aca="false">IF(AND(AK391&gt;تنظیمات!$B$11,AL391="بله"),1,0)</f>
        <v>0</v>
      </c>
      <c r="BH391" s="21" t="n">
        <f aca="false">MIN(100,AR391*تنظیمات!$B$21+AS391*تنظیمات!$B$22+AT391*تنظیمات!$B$23+AU391*تنظیمات!$B$24+AV391*تنظیمات!$B$25+AW391*تنظیمات!$B$26+AX391*تنظیمات!$B$27+AY391*تنظیمات!$B$28+AZ391*تنظیمات!$B$29+BA391*تنظیمات!$B$30+BB391*تنظیمات!$B$31+BC391*تنظیمات!$B$32+BD391*تنظیمات!$B$33+BE391*تنظیمات!$B$34+BF391*تنظیمات!$B$35+BG391*تنظیمات!$B$36)</f>
        <v>0</v>
      </c>
      <c r="BI391" s="16" t="str">
        <f aca="false">IF(BH391&gt;=60,"بحرانی",IF(BH391&gt;=30,"مشکوک",IF(BH391&gt;0,"هشدار","عادی")))</f>
        <v>عادی</v>
      </c>
      <c r="BJ391" s="16" t="s">
        <v>338</v>
      </c>
    </row>
    <row r="392" customFormat="false" ht="15" hidden="false" customHeight="false" outlineLevel="0" collapsed="false">
      <c r="A392" s="16" t="s">
        <v>1638</v>
      </c>
      <c r="B392" s="16" t="s">
        <v>583</v>
      </c>
      <c r="C392" s="16"/>
      <c r="D392" s="16" t="s">
        <v>331</v>
      </c>
      <c r="E392" s="16" t="s">
        <v>363</v>
      </c>
      <c r="F392" s="16" t="s">
        <v>333</v>
      </c>
      <c r="G392" s="17" t="n">
        <v>46286.3307986111</v>
      </c>
      <c r="H392" s="17" t="n">
        <v>46286.6224652778</v>
      </c>
      <c r="I392" s="18" t="n">
        <f aca="false">IF(H392="",ROUND((تنظیمات!$B$7-G392)*1440,0),ROUND((H392-G392)*1440,0))</f>
        <v>420</v>
      </c>
      <c r="J392" s="16" t="s">
        <v>346</v>
      </c>
      <c r="K392" s="16" t="s">
        <v>400</v>
      </c>
      <c r="L392" s="19" t="n">
        <v>0.893</v>
      </c>
      <c r="M392" s="19" t="n">
        <v>0.93</v>
      </c>
      <c r="N392" s="16" t="s">
        <v>335</v>
      </c>
      <c r="O392" s="16" t="s">
        <v>419</v>
      </c>
      <c r="P392" s="16" t="s">
        <v>420</v>
      </c>
      <c r="Q392" s="20" t="n">
        <v>46286</v>
      </c>
      <c r="R392" s="16" t="s">
        <v>1639</v>
      </c>
      <c r="S392" s="16" t="s">
        <v>404</v>
      </c>
      <c r="T392" s="17"/>
      <c r="U392" s="21" t="n">
        <v>1</v>
      </c>
      <c r="V392" s="21" t="n">
        <v>1</v>
      </c>
      <c r="W392" s="22" t="n">
        <v>5.3</v>
      </c>
      <c r="X392" s="16" t="s">
        <v>335</v>
      </c>
      <c r="Y392" s="16" t="s">
        <v>338</v>
      </c>
      <c r="Z392" s="16" t="s">
        <v>443</v>
      </c>
      <c r="AA392" s="16"/>
      <c r="AB392" s="23"/>
      <c r="AC392" s="17"/>
      <c r="AD392" s="16" t="s">
        <v>444</v>
      </c>
      <c r="AE392" s="16"/>
      <c r="AF392" s="16" t="str">
        <f aca="false">IF(COUNTIF(لیست_سفید!$A$2:$A$21,B392)&gt;0,"بله","خیر")</f>
        <v>خیر</v>
      </c>
      <c r="AG392" s="24" t="n">
        <f aca="false">IF(H392="","",IF(AD392="فیش مفقودی",تنظیمات!$B$6,(INT(I392/1440)*تنظیمات!$B$5+IF(MOD(I392,1440)&lt;=تنظیمات!$B$2,0,MIN(تنظیمات!$B$5,تنظیمات!$B$3+MAX(0,ROUNDUP((MOD(I392,1440)-60)/60,0))*تنظیمات!$B$4)))*INDEX(تعرفه!$B$2:$B$7,MATCH(AD392,تعرفه!$A$2:$A$7,0))))</f>
        <v>0</v>
      </c>
      <c r="AH392" s="24" t="n">
        <v>0</v>
      </c>
      <c r="AI392" s="24" t="n">
        <f aca="false">IF(AG392="","",AH392-AG392)</f>
        <v>0</v>
      </c>
      <c r="AJ392" s="21" t="n">
        <v>1</v>
      </c>
      <c r="AK392" s="21" t="n">
        <v>0</v>
      </c>
      <c r="AL392" s="16" t="s">
        <v>335</v>
      </c>
      <c r="AM392" s="16"/>
      <c r="AN392" s="16" t="s">
        <v>340</v>
      </c>
      <c r="AO392" s="16" t="s">
        <v>340</v>
      </c>
      <c r="AP392" s="16" t="s">
        <v>335</v>
      </c>
      <c r="AQ392" s="16"/>
      <c r="AR392" s="21" t="n">
        <f aca="false">IF(AND(T392&lt;&gt;"",H392&lt;&gt;""),IF(AND((T392-H392)*86400&gt;=0,(T392-H392)*86400&lt;تنظیمات!$B$13),1,0),0)</f>
        <v>0</v>
      </c>
      <c r="AS392" s="21" t="n">
        <f aca="false">IF(Z392="پوز",IF(OR(AB392="",COUNTIF(پوزها!$A$2:$A$5,AA392)=0),1,0),0)</f>
        <v>0</v>
      </c>
      <c r="AT392" s="21" t="n">
        <f aca="false">IF(AI392="",0,IF(AI392&gt;0,1,0))</f>
        <v>0</v>
      </c>
      <c r="AU392" s="21" t="n">
        <f aca="false">IF(AI392="",0,IF(AI392&lt;0,1,0))</f>
        <v>0</v>
      </c>
      <c r="AV392" s="21" t="n">
        <f aca="false">IF(U392&gt;V392,1,0)</f>
        <v>0</v>
      </c>
      <c r="AW392" s="21" t="n">
        <f aca="false">IF(OR(W392&gt;تنظیمات!$B$8,X392="بله"),1,0)</f>
        <v>0</v>
      </c>
      <c r="AX392" s="21" t="n">
        <f aca="false">IF(AND(N392="بله",L392&gt;تنظیمات!$B$9),1,0)</f>
        <v>0</v>
      </c>
      <c r="AY392" s="21" t="n">
        <f aca="false">IF(Y392="معکوس",1,0)</f>
        <v>0</v>
      </c>
      <c r="AZ392" s="21" t="n">
        <f aca="false">IF(ABS(AJ392)&gt;تنظیمات!$B$10,1,0)</f>
        <v>0</v>
      </c>
      <c r="BA392" s="21" t="n">
        <f aca="false">IF(AND(OR(AD392="رایگان/VIP",AD392="جانباز"),AF392="خیر"),1,0)</f>
        <v>0</v>
      </c>
      <c r="BB392" s="21" t="n">
        <f aca="false">IF(AE392="",0,IF(COUNTIF($AE$2:$AE$1001,AE392)&gt;1,1,0))</f>
        <v>0</v>
      </c>
      <c r="BC392" s="21" t="n">
        <f aca="false">IF(AND(H392="",I392&gt;تنظیمات!$B$12*60,AM392="خالی"),1,0)</f>
        <v>0</v>
      </c>
      <c r="BD392" s="21" t="n">
        <f aca="false">IF(AND(AP392="بله",I392&lt;تنظیمات!$B$14,AO392="خیر"),1,0)</f>
        <v>0</v>
      </c>
      <c r="BE392" s="21" t="n">
        <f aca="false">IF(AN392="خیر",1,0)</f>
        <v>0</v>
      </c>
      <c r="BF392" s="21" t="n">
        <f aca="false">IF(AND(AD392="فیش مفقودی",AQ392="بله",I392&gt;تنظیمات!$B$12*60),1,0)</f>
        <v>0</v>
      </c>
      <c r="BG392" s="21" t="n">
        <f aca="false">IF(AND(AK392&gt;تنظیمات!$B$11,AL392="بله"),1,0)</f>
        <v>0</v>
      </c>
      <c r="BH392" s="21" t="n">
        <f aca="false">MIN(100,AR392*تنظیمات!$B$21+AS392*تنظیمات!$B$22+AT392*تنظیمات!$B$23+AU392*تنظیمات!$B$24+AV392*تنظیمات!$B$25+AW392*تنظیمات!$B$26+AX392*تنظیمات!$B$27+AY392*تنظیمات!$B$28+AZ392*تنظیمات!$B$29+BA392*تنظیمات!$B$30+BB392*تنظیمات!$B$31+BC392*تنظیمات!$B$32+BD392*تنظیمات!$B$33+BE392*تنظیمات!$B$34+BF392*تنظیمات!$B$35+BG392*تنظیمات!$B$36)</f>
        <v>0</v>
      </c>
      <c r="BI392" s="16" t="str">
        <f aca="false">IF(BH392&gt;=60,"بحرانی",IF(BH392&gt;=30,"مشکوک",IF(BH392&gt;0,"هشدار","عادی")))</f>
        <v>عادی</v>
      </c>
      <c r="BJ392" s="16" t="s">
        <v>338</v>
      </c>
    </row>
    <row r="393" customFormat="false" ht="15" hidden="false" customHeight="false" outlineLevel="0" collapsed="false">
      <c r="A393" s="16" t="s">
        <v>1640</v>
      </c>
      <c r="B393" s="16" t="s">
        <v>1345</v>
      </c>
      <c r="C393" s="16"/>
      <c r="D393" s="16" t="s">
        <v>431</v>
      </c>
      <c r="E393" s="16" t="s">
        <v>375</v>
      </c>
      <c r="F393" s="16" t="s">
        <v>333</v>
      </c>
      <c r="G393" s="17" t="n">
        <v>46286.3325</v>
      </c>
      <c r="H393" s="17" t="n">
        <v>46286.3470833333</v>
      </c>
      <c r="I393" s="18" t="n">
        <f aca="false">IF(H393="",ROUND((تنظیمات!$B$7-G393)*1440,0),ROUND((H393-G393)*1440,0))</f>
        <v>21</v>
      </c>
      <c r="J393" s="16" t="s">
        <v>346</v>
      </c>
      <c r="K393" s="16" t="s">
        <v>400</v>
      </c>
      <c r="L393" s="19" t="n">
        <v>0.98</v>
      </c>
      <c r="M393" s="19" t="n">
        <v>0.938</v>
      </c>
      <c r="N393" s="16" t="s">
        <v>335</v>
      </c>
      <c r="O393" s="16" t="s">
        <v>411</v>
      </c>
      <c r="P393" s="16" t="s">
        <v>402</v>
      </c>
      <c r="Q393" s="20" t="n">
        <v>46286</v>
      </c>
      <c r="R393" s="16" t="s">
        <v>1641</v>
      </c>
      <c r="S393" s="16" t="s">
        <v>404</v>
      </c>
      <c r="T393" s="17"/>
      <c r="U393" s="21" t="n">
        <v>1</v>
      </c>
      <c r="V393" s="21" t="n">
        <v>1</v>
      </c>
      <c r="W393" s="22" t="n">
        <v>5.7</v>
      </c>
      <c r="X393" s="16" t="s">
        <v>335</v>
      </c>
      <c r="Y393" s="16" t="s">
        <v>338</v>
      </c>
      <c r="Z393" s="16" t="s">
        <v>405</v>
      </c>
      <c r="AA393" s="16"/>
      <c r="AB393" s="23"/>
      <c r="AC393" s="17"/>
      <c r="AD393" s="16" t="s">
        <v>338</v>
      </c>
      <c r="AE393" s="16"/>
      <c r="AF393" s="16" t="str">
        <f aca="false">IF(COUNTIF(لیست_سفید!$A$2:$A$21,B393)&gt;0,"بله","خیر")</f>
        <v>خیر</v>
      </c>
      <c r="AG393" s="24" t="n">
        <f aca="false">IF(H393="","",IF(AD393="فیش مفقودی",تنظیمات!$B$6,(INT(I393/1440)*تنظیمات!$B$5+IF(MOD(I393,1440)&lt;=تنظیمات!$B$2,0,MIN(تنظیمات!$B$5,تنظیمات!$B$3+MAX(0,ROUNDUP((MOD(I393,1440)-60)/60,0))*تنظیمات!$B$4)))*INDEX(تعرفه!$B$2:$B$7,MATCH(AD393,تعرفه!$A$2:$A$7,0))))</f>
        <v>20000</v>
      </c>
      <c r="AH393" s="24" t="n">
        <v>20000</v>
      </c>
      <c r="AI393" s="24" t="n">
        <f aca="false">IF(AG393="","",AH393-AG393)</f>
        <v>0</v>
      </c>
      <c r="AJ393" s="21" t="n">
        <v>0</v>
      </c>
      <c r="AK393" s="21" t="n">
        <v>0</v>
      </c>
      <c r="AL393" s="16" t="s">
        <v>335</v>
      </c>
      <c r="AM393" s="16"/>
      <c r="AN393" s="16" t="s">
        <v>340</v>
      </c>
      <c r="AO393" s="16" t="s">
        <v>340</v>
      </c>
      <c r="AP393" s="16" t="s">
        <v>335</v>
      </c>
      <c r="AQ393" s="16"/>
      <c r="AR393" s="21" t="n">
        <f aca="false">IF(AND(T393&lt;&gt;"",H393&lt;&gt;""),IF(AND((T393-H393)*86400&gt;=0,(T393-H393)*86400&lt;تنظیمات!$B$13),1,0),0)</f>
        <v>0</v>
      </c>
      <c r="AS393" s="21" t="n">
        <f aca="false">IF(Z393="پوز",IF(OR(AB393="",COUNTIF(پوزها!$A$2:$A$5,AA393)=0),1,0),0)</f>
        <v>0</v>
      </c>
      <c r="AT393" s="21" t="n">
        <f aca="false">IF(AI393="",0,IF(AI393&gt;0,1,0))</f>
        <v>0</v>
      </c>
      <c r="AU393" s="21" t="n">
        <f aca="false">IF(AI393="",0,IF(AI393&lt;0,1,0))</f>
        <v>0</v>
      </c>
      <c r="AV393" s="21" t="n">
        <f aca="false">IF(U393&gt;V393,1,0)</f>
        <v>0</v>
      </c>
      <c r="AW393" s="21" t="n">
        <f aca="false">IF(OR(W393&gt;تنظیمات!$B$8,X393="بله"),1,0)</f>
        <v>0</v>
      </c>
      <c r="AX393" s="21" t="n">
        <f aca="false">IF(AND(N393="بله",L393&gt;تنظیمات!$B$9),1,0)</f>
        <v>0</v>
      </c>
      <c r="AY393" s="21" t="n">
        <f aca="false">IF(Y393="معکوس",1,0)</f>
        <v>0</v>
      </c>
      <c r="AZ393" s="21" t="n">
        <f aca="false">IF(ABS(AJ393)&gt;تنظیمات!$B$10,1,0)</f>
        <v>0</v>
      </c>
      <c r="BA393" s="21" t="n">
        <f aca="false">IF(AND(OR(AD393="رایگان/VIP",AD393="جانباز"),AF393="خیر"),1,0)</f>
        <v>0</v>
      </c>
      <c r="BB393" s="21" t="n">
        <f aca="false">IF(AE393="",0,IF(COUNTIF($AE$2:$AE$1001,AE393)&gt;1,1,0))</f>
        <v>0</v>
      </c>
      <c r="BC393" s="21" t="n">
        <f aca="false">IF(AND(H393="",I393&gt;تنظیمات!$B$12*60,AM393="خالی"),1,0)</f>
        <v>0</v>
      </c>
      <c r="BD393" s="21" t="n">
        <f aca="false">IF(AND(AP393="بله",I393&lt;تنظیمات!$B$14,AO393="خیر"),1,0)</f>
        <v>0</v>
      </c>
      <c r="BE393" s="21" t="n">
        <f aca="false">IF(AN393="خیر",1,0)</f>
        <v>0</v>
      </c>
      <c r="BF393" s="21" t="n">
        <f aca="false">IF(AND(AD393="فیش مفقودی",AQ393="بله",I393&gt;تنظیمات!$B$12*60),1,0)</f>
        <v>0</v>
      </c>
      <c r="BG393" s="21" t="n">
        <f aca="false">IF(AND(AK393&gt;تنظیمات!$B$11,AL393="بله"),1,0)</f>
        <v>0</v>
      </c>
      <c r="BH393" s="21" t="n">
        <f aca="false">MIN(100,AR393*تنظیمات!$B$21+AS393*تنظیمات!$B$22+AT393*تنظیمات!$B$23+AU393*تنظیمات!$B$24+AV393*تنظیمات!$B$25+AW393*تنظیمات!$B$26+AX393*تنظیمات!$B$27+AY393*تنظیمات!$B$28+AZ393*تنظیمات!$B$29+BA393*تنظیمات!$B$30+BB393*تنظیمات!$B$31+BC393*تنظیمات!$B$32+BD393*تنظیمات!$B$33+BE393*تنظیمات!$B$34+BF393*تنظیمات!$B$35+BG393*تنظیمات!$B$36)</f>
        <v>0</v>
      </c>
      <c r="BI393" s="16" t="str">
        <f aca="false">IF(BH393&gt;=60,"بحرانی",IF(BH393&gt;=30,"مشکوک",IF(BH393&gt;0,"هشدار","عادی")))</f>
        <v>عادی</v>
      </c>
      <c r="BJ393" s="16" t="s">
        <v>338</v>
      </c>
    </row>
    <row r="394" customFormat="false" ht="15" hidden="false" customHeight="false" outlineLevel="0" collapsed="false">
      <c r="A394" s="16" t="s">
        <v>1642</v>
      </c>
      <c r="B394" s="16" t="s">
        <v>792</v>
      </c>
      <c r="C394" s="16"/>
      <c r="D394" s="16" t="s">
        <v>370</v>
      </c>
      <c r="E394" s="16" t="s">
        <v>390</v>
      </c>
      <c r="F394" s="16" t="s">
        <v>333</v>
      </c>
      <c r="G394" s="17" t="n">
        <v>46286.3336921296</v>
      </c>
      <c r="H394" s="17" t="n">
        <v>46286.3961921296</v>
      </c>
      <c r="I394" s="18" t="n">
        <f aca="false">IF(H394="",ROUND((تنظیمات!$B$7-G394)*1440,0),ROUND((H394-G394)*1440,0))</f>
        <v>90</v>
      </c>
      <c r="J394" s="16" t="s">
        <v>334</v>
      </c>
      <c r="K394" s="16" t="s">
        <v>410</v>
      </c>
      <c r="L394" s="19" t="n">
        <v>0.904</v>
      </c>
      <c r="M394" s="19" t="n">
        <v>0.946</v>
      </c>
      <c r="N394" s="16" t="s">
        <v>335</v>
      </c>
      <c r="O394" s="16" t="s">
        <v>401</v>
      </c>
      <c r="P394" s="16" t="s">
        <v>402</v>
      </c>
      <c r="Q394" s="20" t="n">
        <v>46286</v>
      </c>
      <c r="R394" s="16" t="s">
        <v>1643</v>
      </c>
      <c r="S394" s="16" t="s">
        <v>404</v>
      </c>
      <c r="T394" s="17"/>
      <c r="U394" s="21" t="n">
        <v>1</v>
      </c>
      <c r="V394" s="21" t="n">
        <v>1</v>
      </c>
      <c r="W394" s="22" t="n">
        <v>6.4</v>
      </c>
      <c r="X394" s="16" t="s">
        <v>335</v>
      </c>
      <c r="Y394" s="16" t="s">
        <v>338</v>
      </c>
      <c r="Z394" s="16" t="s">
        <v>405</v>
      </c>
      <c r="AA394" s="16"/>
      <c r="AB394" s="23"/>
      <c r="AC394" s="17"/>
      <c r="AD394" s="16" t="s">
        <v>338</v>
      </c>
      <c r="AE394" s="16"/>
      <c r="AF394" s="16" t="str">
        <f aca="false">IF(COUNTIF(لیست_سفید!$A$2:$A$21,B394)&gt;0,"بله","خیر")</f>
        <v>خیر</v>
      </c>
      <c r="AG394" s="24" t="n">
        <f aca="false">IF(H394="","",IF(AD394="فیش مفقودی",تنظیمات!$B$6,(INT(I394/1440)*تنظیمات!$B$5+IF(MOD(I394,1440)&lt;=تنظیمات!$B$2,0,MIN(تنظیمات!$B$5,تنظیمات!$B$3+MAX(0,ROUNDUP((MOD(I394,1440)-60)/60,0))*تنظیمات!$B$4)))*INDEX(تعرفه!$B$2:$B$7,MATCH(AD394,تعرفه!$A$2:$A$7,0))))</f>
        <v>34000</v>
      </c>
      <c r="AH394" s="24" t="n">
        <v>34000</v>
      </c>
      <c r="AI394" s="24" t="n">
        <f aca="false">IF(AG394="","",AH394-AG394)</f>
        <v>0</v>
      </c>
      <c r="AJ394" s="21" t="n">
        <v>0</v>
      </c>
      <c r="AK394" s="21" t="n">
        <v>0</v>
      </c>
      <c r="AL394" s="16" t="s">
        <v>335</v>
      </c>
      <c r="AM394" s="16"/>
      <c r="AN394" s="16" t="s">
        <v>340</v>
      </c>
      <c r="AO394" s="16" t="s">
        <v>340</v>
      </c>
      <c r="AP394" s="16" t="s">
        <v>335</v>
      </c>
      <c r="AQ394" s="16"/>
      <c r="AR394" s="21" t="n">
        <f aca="false">IF(AND(T394&lt;&gt;"",H394&lt;&gt;""),IF(AND((T394-H394)*86400&gt;=0,(T394-H394)*86400&lt;تنظیمات!$B$13),1,0),0)</f>
        <v>0</v>
      </c>
      <c r="AS394" s="21" t="n">
        <f aca="false">IF(Z394="پوز",IF(OR(AB394="",COUNTIF(پوزها!$A$2:$A$5,AA394)=0),1,0),0)</f>
        <v>0</v>
      </c>
      <c r="AT394" s="21" t="n">
        <f aca="false">IF(AI394="",0,IF(AI394&gt;0,1,0))</f>
        <v>0</v>
      </c>
      <c r="AU394" s="21" t="n">
        <f aca="false">IF(AI394="",0,IF(AI394&lt;0,1,0))</f>
        <v>0</v>
      </c>
      <c r="AV394" s="21" t="n">
        <f aca="false">IF(U394&gt;V394,1,0)</f>
        <v>0</v>
      </c>
      <c r="AW394" s="21" t="n">
        <f aca="false">IF(OR(W394&gt;تنظیمات!$B$8,X394="بله"),1,0)</f>
        <v>0</v>
      </c>
      <c r="AX394" s="21" t="n">
        <f aca="false">IF(AND(N394="بله",L394&gt;تنظیمات!$B$9),1,0)</f>
        <v>0</v>
      </c>
      <c r="AY394" s="21" t="n">
        <f aca="false">IF(Y394="معکوس",1,0)</f>
        <v>0</v>
      </c>
      <c r="AZ394" s="21" t="n">
        <f aca="false">IF(ABS(AJ394)&gt;تنظیمات!$B$10,1,0)</f>
        <v>0</v>
      </c>
      <c r="BA394" s="21" t="n">
        <f aca="false">IF(AND(OR(AD394="رایگان/VIP",AD394="جانباز"),AF394="خیر"),1,0)</f>
        <v>0</v>
      </c>
      <c r="BB394" s="21" t="n">
        <f aca="false">IF(AE394="",0,IF(COUNTIF($AE$2:$AE$1001,AE394)&gt;1,1,0))</f>
        <v>0</v>
      </c>
      <c r="BC394" s="21" t="n">
        <f aca="false">IF(AND(H394="",I394&gt;تنظیمات!$B$12*60,AM394="خالی"),1,0)</f>
        <v>0</v>
      </c>
      <c r="BD394" s="21" t="n">
        <f aca="false">IF(AND(AP394="بله",I394&lt;تنظیمات!$B$14,AO394="خیر"),1,0)</f>
        <v>0</v>
      </c>
      <c r="BE394" s="21" t="n">
        <f aca="false">IF(AN394="خیر",1,0)</f>
        <v>0</v>
      </c>
      <c r="BF394" s="21" t="n">
        <f aca="false">IF(AND(AD394="فیش مفقودی",AQ394="بله",I394&gt;تنظیمات!$B$12*60),1,0)</f>
        <v>0</v>
      </c>
      <c r="BG394" s="21" t="n">
        <f aca="false">IF(AND(AK394&gt;تنظیمات!$B$11,AL394="بله"),1,0)</f>
        <v>0</v>
      </c>
      <c r="BH394" s="21" t="n">
        <f aca="false">MIN(100,AR394*تنظیمات!$B$21+AS394*تنظیمات!$B$22+AT394*تنظیمات!$B$23+AU394*تنظیمات!$B$24+AV394*تنظیمات!$B$25+AW394*تنظیمات!$B$26+AX394*تنظیمات!$B$27+AY394*تنظیمات!$B$28+AZ394*تنظیمات!$B$29+BA394*تنظیمات!$B$30+BB394*تنظیمات!$B$31+BC394*تنظیمات!$B$32+BD394*تنظیمات!$B$33+BE394*تنظیمات!$B$34+BF394*تنظیمات!$B$35+BG394*تنظیمات!$B$36)</f>
        <v>0</v>
      </c>
      <c r="BI394" s="16" t="str">
        <f aca="false">IF(BH394&gt;=60,"بحرانی",IF(BH394&gt;=30,"مشکوک",IF(BH394&gt;0,"هشدار","عادی")))</f>
        <v>عادی</v>
      </c>
      <c r="BJ394" s="16" t="s">
        <v>338</v>
      </c>
    </row>
    <row r="395" customFormat="false" ht="15" hidden="false" customHeight="false" outlineLevel="0" collapsed="false">
      <c r="A395" s="16" t="s">
        <v>1644</v>
      </c>
      <c r="B395" s="16" t="s">
        <v>393</v>
      </c>
      <c r="C395" s="16"/>
      <c r="D395" s="16" t="s">
        <v>386</v>
      </c>
      <c r="E395" s="16" t="s">
        <v>375</v>
      </c>
      <c r="F395" s="16" t="s">
        <v>333</v>
      </c>
      <c r="G395" s="17" t="n">
        <v>46286.3383449074</v>
      </c>
      <c r="H395" s="17" t="n">
        <v>46286.3633449074</v>
      </c>
      <c r="I395" s="18" t="n">
        <f aca="false">IF(H395="",ROUND((تنظیمات!$B$7-G395)*1440,0),ROUND((H395-G395)*1440,0))</f>
        <v>36</v>
      </c>
      <c r="J395" s="16" t="s">
        <v>346</v>
      </c>
      <c r="K395" s="16" t="s">
        <v>410</v>
      </c>
      <c r="L395" s="19" t="n">
        <v>0.883</v>
      </c>
      <c r="M395" s="19" t="n">
        <v>0.944</v>
      </c>
      <c r="N395" s="16" t="s">
        <v>335</v>
      </c>
      <c r="O395" s="16" t="s">
        <v>401</v>
      </c>
      <c r="P395" s="16" t="s">
        <v>402</v>
      </c>
      <c r="Q395" s="20" t="n">
        <v>46286</v>
      </c>
      <c r="R395" s="16" t="s">
        <v>1645</v>
      </c>
      <c r="S395" s="16" t="s">
        <v>404</v>
      </c>
      <c r="T395" s="17"/>
      <c r="U395" s="21" t="n">
        <v>1</v>
      </c>
      <c r="V395" s="21" t="n">
        <v>1</v>
      </c>
      <c r="W395" s="22" t="n">
        <v>2.8</v>
      </c>
      <c r="X395" s="16" t="s">
        <v>335</v>
      </c>
      <c r="Y395" s="16" t="s">
        <v>338</v>
      </c>
      <c r="Z395" s="16" t="s">
        <v>405</v>
      </c>
      <c r="AA395" s="16"/>
      <c r="AB395" s="23"/>
      <c r="AC395" s="17"/>
      <c r="AD395" s="16" t="s">
        <v>338</v>
      </c>
      <c r="AE395" s="16"/>
      <c r="AF395" s="16" t="str">
        <f aca="false">IF(COUNTIF(لیست_سفید!$A$2:$A$21,B395)&gt;0,"بله","خیر")</f>
        <v>خیر</v>
      </c>
      <c r="AG395" s="24" t="n">
        <f aca="false">IF(H395="","",IF(AD395="فیش مفقودی",تنظیمات!$B$6,(INT(I395/1440)*تنظیمات!$B$5+IF(MOD(I395,1440)&lt;=تنظیمات!$B$2,0,MIN(تنظیمات!$B$5,تنظیمات!$B$3+MAX(0,ROUNDUP((MOD(I395,1440)-60)/60,0))*تنظیمات!$B$4)))*INDEX(تعرفه!$B$2:$B$7,MATCH(AD395,تعرفه!$A$2:$A$7,0))))</f>
        <v>20000</v>
      </c>
      <c r="AH395" s="24" t="n">
        <v>20000</v>
      </c>
      <c r="AI395" s="24" t="n">
        <f aca="false">IF(AG395="","",AH395-AG395)</f>
        <v>0</v>
      </c>
      <c r="AJ395" s="21" t="n">
        <v>2</v>
      </c>
      <c r="AK395" s="21" t="n">
        <v>0</v>
      </c>
      <c r="AL395" s="16" t="s">
        <v>335</v>
      </c>
      <c r="AM395" s="16"/>
      <c r="AN395" s="16" t="s">
        <v>340</v>
      </c>
      <c r="AO395" s="16" t="s">
        <v>340</v>
      </c>
      <c r="AP395" s="16" t="s">
        <v>335</v>
      </c>
      <c r="AQ395" s="16"/>
      <c r="AR395" s="21" t="n">
        <f aca="false">IF(AND(T395&lt;&gt;"",H395&lt;&gt;""),IF(AND((T395-H395)*86400&gt;=0,(T395-H395)*86400&lt;تنظیمات!$B$13),1,0),0)</f>
        <v>0</v>
      </c>
      <c r="AS395" s="21" t="n">
        <f aca="false">IF(Z395="پوز",IF(OR(AB395="",COUNTIF(پوزها!$A$2:$A$5,AA395)=0),1,0),0)</f>
        <v>0</v>
      </c>
      <c r="AT395" s="21" t="n">
        <f aca="false">IF(AI395="",0,IF(AI395&gt;0,1,0))</f>
        <v>0</v>
      </c>
      <c r="AU395" s="21" t="n">
        <f aca="false">IF(AI395="",0,IF(AI395&lt;0,1,0))</f>
        <v>0</v>
      </c>
      <c r="AV395" s="21" t="n">
        <f aca="false">IF(U395&gt;V395,1,0)</f>
        <v>0</v>
      </c>
      <c r="AW395" s="21" t="n">
        <f aca="false">IF(OR(W395&gt;تنظیمات!$B$8,X395="بله"),1,0)</f>
        <v>0</v>
      </c>
      <c r="AX395" s="21" t="n">
        <f aca="false">IF(AND(N395="بله",L395&gt;تنظیمات!$B$9),1,0)</f>
        <v>0</v>
      </c>
      <c r="AY395" s="21" t="n">
        <f aca="false">IF(Y395="معکوس",1,0)</f>
        <v>0</v>
      </c>
      <c r="AZ395" s="21" t="n">
        <f aca="false">IF(ABS(AJ395)&gt;تنظیمات!$B$10,1,0)</f>
        <v>0</v>
      </c>
      <c r="BA395" s="21" t="n">
        <f aca="false">IF(AND(OR(AD395="رایگان/VIP",AD395="جانباز"),AF395="خیر"),1,0)</f>
        <v>0</v>
      </c>
      <c r="BB395" s="21" t="n">
        <f aca="false">IF(AE395="",0,IF(COUNTIF($AE$2:$AE$1001,AE395)&gt;1,1,0))</f>
        <v>0</v>
      </c>
      <c r="BC395" s="21" t="n">
        <f aca="false">IF(AND(H395="",I395&gt;تنظیمات!$B$12*60,AM395="خالی"),1,0)</f>
        <v>0</v>
      </c>
      <c r="BD395" s="21" t="n">
        <f aca="false">IF(AND(AP395="بله",I395&lt;تنظیمات!$B$14,AO395="خیر"),1,0)</f>
        <v>0</v>
      </c>
      <c r="BE395" s="21" t="n">
        <f aca="false">IF(AN395="خیر",1,0)</f>
        <v>0</v>
      </c>
      <c r="BF395" s="21" t="n">
        <f aca="false">IF(AND(AD395="فیش مفقودی",AQ395="بله",I395&gt;تنظیمات!$B$12*60),1,0)</f>
        <v>0</v>
      </c>
      <c r="BG395" s="21" t="n">
        <f aca="false">IF(AND(AK395&gt;تنظیمات!$B$11,AL395="بله"),1,0)</f>
        <v>0</v>
      </c>
      <c r="BH395" s="21" t="n">
        <f aca="false">MIN(100,AR395*تنظیمات!$B$21+AS395*تنظیمات!$B$22+AT395*تنظیمات!$B$23+AU395*تنظیمات!$B$24+AV395*تنظیمات!$B$25+AW395*تنظیمات!$B$26+AX395*تنظیمات!$B$27+AY395*تنظیمات!$B$28+AZ395*تنظیمات!$B$29+BA395*تنظیمات!$B$30+BB395*تنظیمات!$B$31+BC395*تنظیمات!$B$32+BD395*تنظیمات!$B$33+BE395*تنظیمات!$B$34+BF395*تنظیمات!$B$35+BG395*تنظیمات!$B$36)</f>
        <v>0</v>
      </c>
      <c r="BI395" s="16" t="str">
        <f aca="false">IF(BH395&gt;=60,"بحرانی",IF(BH395&gt;=30,"مشکوک",IF(BH395&gt;0,"هشدار","عادی")))</f>
        <v>عادی</v>
      </c>
      <c r="BJ395" s="16" t="s">
        <v>338</v>
      </c>
    </row>
    <row r="396" customFormat="false" ht="15" hidden="false" customHeight="false" outlineLevel="0" collapsed="false">
      <c r="A396" s="16" t="s">
        <v>1646</v>
      </c>
      <c r="B396" s="16" t="s">
        <v>1156</v>
      </c>
      <c r="C396" s="16"/>
      <c r="D396" s="16" t="s">
        <v>469</v>
      </c>
      <c r="E396" s="16" t="s">
        <v>351</v>
      </c>
      <c r="F396" s="16" t="s">
        <v>359</v>
      </c>
      <c r="G396" s="17" t="n">
        <v>46286.3641087963</v>
      </c>
      <c r="H396" s="17" t="n">
        <v>46286.5224421296</v>
      </c>
      <c r="I396" s="18" t="n">
        <f aca="false">IF(H396="",ROUND((تنظیمات!$B$7-G396)*1440,0),ROUND((H396-G396)*1440,0))</f>
        <v>228</v>
      </c>
      <c r="J396" s="16" t="s">
        <v>346</v>
      </c>
      <c r="K396" s="16" t="s">
        <v>400</v>
      </c>
      <c r="L396" s="19" t="n">
        <v>0.92</v>
      </c>
      <c r="M396" s="19" t="n">
        <v>0.973</v>
      </c>
      <c r="N396" s="16" t="s">
        <v>335</v>
      </c>
      <c r="O396" s="16" t="s">
        <v>411</v>
      </c>
      <c r="P396" s="16" t="s">
        <v>402</v>
      </c>
      <c r="Q396" s="20" t="n">
        <v>46286</v>
      </c>
      <c r="R396" s="16" t="s">
        <v>1647</v>
      </c>
      <c r="S396" s="16" t="s">
        <v>404</v>
      </c>
      <c r="T396" s="17"/>
      <c r="U396" s="21" t="n">
        <v>1</v>
      </c>
      <c r="V396" s="21" t="n">
        <v>1</v>
      </c>
      <c r="W396" s="22" t="n">
        <v>5.3</v>
      </c>
      <c r="X396" s="16" t="s">
        <v>335</v>
      </c>
      <c r="Y396" s="16" t="s">
        <v>338</v>
      </c>
      <c r="Z396" s="16" t="s">
        <v>465</v>
      </c>
      <c r="AA396" s="16"/>
      <c r="AB396" s="23"/>
      <c r="AC396" s="17"/>
      <c r="AD396" s="16" t="s">
        <v>466</v>
      </c>
      <c r="AE396" s="16"/>
      <c r="AF396" s="16" t="str">
        <f aca="false">IF(COUNTIF(لیست_سفید!$A$2:$A$21,B396)&gt;0,"بله","خیر")</f>
        <v>بله</v>
      </c>
      <c r="AG396" s="24" t="n">
        <f aca="false">IF(H396="","",IF(AD396="فیش مفقودی",تنظیمات!$B$6,(INT(I396/1440)*تنظیمات!$B$5+IF(MOD(I396,1440)&lt;=تنظیمات!$B$2,0,MIN(تنظیمات!$B$5,تنظیمات!$B$3+MAX(0,ROUNDUP((MOD(I396,1440)-60)/60,0))*تنظیمات!$B$4)))*INDEX(تعرفه!$B$2:$B$7,MATCH(AD396,تعرفه!$A$2:$A$7,0))))</f>
        <v>0</v>
      </c>
      <c r="AH396" s="24" t="n">
        <v>0</v>
      </c>
      <c r="AI396" s="24" t="n">
        <f aca="false">IF(AG396="","",AH396-AG396)</f>
        <v>0</v>
      </c>
      <c r="AJ396" s="21" t="n">
        <v>-2</v>
      </c>
      <c r="AK396" s="21" t="n">
        <v>0</v>
      </c>
      <c r="AL396" s="16" t="s">
        <v>335</v>
      </c>
      <c r="AM396" s="16"/>
      <c r="AN396" s="16" t="s">
        <v>340</v>
      </c>
      <c r="AO396" s="16" t="s">
        <v>340</v>
      </c>
      <c r="AP396" s="16" t="s">
        <v>335</v>
      </c>
      <c r="AQ396" s="16"/>
      <c r="AR396" s="21" t="n">
        <f aca="false">IF(AND(T396&lt;&gt;"",H396&lt;&gt;""),IF(AND((T396-H396)*86400&gt;=0,(T396-H396)*86400&lt;تنظیمات!$B$13),1,0),0)</f>
        <v>0</v>
      </c>
      <c r="AS396" s="21" t="n">
        <f aca="false">IF(Z396="پوز",IF(OR(AB396="",COUNTIF(پوزها!$A$2:$A$5,AA396)=0),1,0),0)</f>
        <v>0</v>
      </c>
      <c r="AT396" s="21" t="n">
        <f aca="false">IF(AI396="",0,IF(AI396&gt;0,1,0))</f>
        <v>0</v>
      </c>
      <c r="AU396" s="21" t="n">
        <f aca="false">IF(AI396="",0,IF(AI396&lt;0,1,0))</f>
        <v>0</v>
      </c>
      <c r="AV396" s="21" t="n">
        <f aca="false">IF(U396&gt;V396,1,0)</f>
        <v>0</v>
      </c>
      <c r="AW396" s="21" t="n">
        <f aca="false">IF(OR(W396&gt;تنظیمات!$B$8,X396="بله"),1,0)</f>
        <v>0</v>
      </c>
      <c r="AX396" s="21" t="n">
        <f aca="false">IF(AND(N396="بله",L396&gt;تنظیمات!$B$9),1,0)</f>
        <v>0</v>
      </c>
      <c r="AY396" s="21" t="n">
        <f aca="false">IF(Y396="معکوس",1,0)</f>
        <v>0</v>
      </c>
      <c r="AZ396" s="21" t="n">
        <f aca="false">IF(ABS(AJ396)&gt;تنظیمات!$B$10,1,0)</f>
        <v>0</v>
      </c>
      <c r="BA396" s="21" t="n">
        <f aca="false">IF(AND(OR(AD396="رایگان/VIP",AD396="جانباز"),AF396="خیر"),1,0)</f>
        <v>0</v>
      </c>
      <c r="BB396" s="21" t="n">
        <f aca="false">IF(AE396="",0,IF(COUNTIF($AE$2:$AE$1001,AE396)&gt;1,1,0))</f>
        <v>0</v>
      </c>
      <c r="BC396" s="21" t="n">
        <f aca="false">IF(AND(H396="",I396&gt;تنظیمات!$B$12*60,AM396="خالی"),1,0)</f>
        <v>0</v>
      </c>
      <c r="BD396" s="21" t="n">
        <f aca="false">IF(AND(AP396="بله",I396&lt;تنظیمات!$B$14,AO396="خیر"),1,0)</f>
        <v>0</v>
      </c>
      <c r="BE396" s="21" t="n">
        <f aca="false">IF(AN396="خیر",1,0)</f>
        <v>0</v>
      </c>
      <c r="BF396" s="21" t="n">
        <f aca="false">IF(AND(AD396="فیش مفقودی",AQ396="بله",I396&gt;تنظیمات!$B$12*60),1,0)</f>
        <v>0</v>
      </c>
      <c r="BG396" s="21" t="n">
        <f aca="false">IF(AND(AK396&gt;تنظیمات!$B$11,AL396="بله"),1,0)</f>
        <v>0</v>
      </c>
      <c r="BH396" s="21" t="n">
        <f aca="false">MIN(100,AR396*تنظیمات!$B$21+AS396*تنظیمات!$B$22+AT396*تنظیمات!$B$23+AU396*تنظیمات!$B$24+AV396*تنظیمات!$B$25+AW396*تنظیمات!$B$26+AX396*تنظیمات!$B$27+AY396*تنظیمات!$B$28+AZ396*تنظیمات!$B$29+BA396*تنظیمات!$B$30+BB396*تنظیمات!$B$31+BC396*تنظیمات!$B$32+BD396*تنظیمات!$B$33+BE396*تنظیمات!$B$34+BF396*تنظیمات!$B$35+BG396*تنظیمات!$B$36)</f>
        <v>0</v>
      </c>
      <c r="BI396" s="16" t="str">
        <f aca="false">IF(BH396&gt;=60,"بحرانی",IF(BH396&gt;=30,"مشکوک",IF(BH396&gt;0,"هشدار","عادی")))</f>
        <v>عادی</v>
      </c>
      <c r="BJ396" s="16" t="s">
        <v>338</v>
      </c>
    </row>
    <row r="397" customFormat="false" ht="15" hidden="false" customHeight="false" outlineLevel="0" collapsed="false">
      <c r="A397" s="16" t="s">
        <v>1648</v>
      </c>
      <c r="B397" s="16" t="s">
        <v>1649</v>
      </c>
      <c r="C397" s="16"/>
      <c r="D397" s="16" t="s">
        <v>331</v>
      </c>
      <c r="E397" s="16" t="s">
        <v>351</v>
      </c>
      <c r="F397" s="16" t="s">
        <v>333</v>
      </c>
      <c r="G397" s="17" t="n">
        <v>46286.3872800926</v>
      </c>
      <c r="H397" s="17" t="n">
        <v>46286.5372800926</v>
      </c>
      <c r="I397" s="18" t="n">
        <f aca="false">IF(H397="",ROUND((تنظیمات!$B$7-G397)*1440,0),ROUND((H397-G397)*1440,0))</f>
        <v>216</v>
      </c>
      <c r="J397" s="16" t="s">
        <v>334</v>
      </c>
      <c r="K397" s="16" t="s">
        <v>400</v>
      </c>
      <c r="L397" s="19" t="n">
        <v>0.979</v>
      </c>
      <c r="M397" s="19" t="n">
        <v>0.952</v>
      </c>
      <c r="N397" s="16" t="s">
        <v>335</v>
      </c>
      <c r="O397" s="16" t="s">
        <v>411</v>
      </c>
      <c r="P397" s="16" t="s">
        <v>402</v>
      </c>
      <c r="Q397" s="20" t="n">
        <v>46286</v>
      </c>
      <c r="R397" s="16" t="s">
        <v>1650</v>
      </c>
      <c r="S397" s="16" t="s">
        <v>404</v>
      </c>
      <c r="T397" s="17"/>
      <c r="U397" s="21" t="n">
        <v>1</v>
      </c>
      <c r="V397" s="21" t="n">
        <v>1</v>
      </c>
      <c r="W397" s="22" t="n">
        <v>5.5</v>
      </c>
      <c r="X397" s="16" t="s">
        <v>335</v>
      </c>
      <c r="Y397" s="16" t="s">
        <v>338</v>
      </c>
      <c r="Z397" s="16" t="s">
        <v>413</v>
      </c>
      <c r="AA397" s="16" t="s">
        <v>427</v>
      </c>
      <c r="AB397" s="23" t="s">
        <v>1651</v>
      </c>
      <c r="AC397" s="17" t="n">
        <v>46286.5365046296</v>
      </c>
      <c r="AD397" s="16" t="s">
        <v>338</v>
      </c>
      <c r="AE397" s="16"/>
      <c r="AF397" s="16" t="str">
        <f aca="false">IF(COUNTIF(لیست_سفید!$A$2:$A$21,B397)&gt;0,"بله","خیر")</f>
        <v>خیر</v>
      </c>
      <c r="AG397" s="24" t="n">
        <f aca="false">IF(H397="","",IF(AD397="فیش مفقودی",تنظیمات!$B$6,(INT(I397/1440)*تنظیمات!$B$5+IF(MOD(I397,1440)&lt;=تنظیمات!$B$2,0,MIN(تنظیمات!$B$5,تنظیمات!$B$3+MAX(0,ROUNDUP((MOD(I397,1440)-60)/60,0))*تنظیمات!$B$4)))*INDEX(تعرفه!$B$2:$B$7,MATCH(AD397,تعرفه!$A$2:$A$7,0))))</f>
        <v>62000</v>
      </c>
      <c r="AH397" s="24" t="n">
        <v>62000</v>
      </c>
      <c r="AI397" s="24" t="n">
        <f aca="false">IF(AG397="","",AH397-AG397)</f>
        <v>0</v>
      </c>
      <c r="AJ397" s="21" t="n">
        <v>-1</v>
      </c>
      <c r="AK397" s="21" t="n">
        <v>0</v>
      </c>
      <c r="AL397" s="16" t="s">
        <v>335</v>
      </c>
      <c r="AM397" s="16"/>
      <c r="AN397" s="16" t="s">
        <v>340</v>
      </c>
      <c r="AO397" s="16" t="s">
        <v>340</v>
      </c>
      <c r="AP397" s="16" t="s">
        <v>335</v>
      </c>
      <c r="AQ397" s="16"/>
      <c r="AR397" s="21" t="n">
        <f aca="false">IF(AND(T397&lt;&gt;"",H397&lt;&gt;""),IF(AND((T397-H397)*86400&gt;=0,(T397-H397)*86400&lt;تنظیمات!$B$13),1,0),0)</f>
        <v>0</v>
      </c>
      <c r="AS397" s="21" t="n">
        <f aca="false">IF(Z397="پوز",IF(OR(AB397="",COUNTIF(پوزها!$A$2:$A$5,AA397)=0),1,0),0)</f>
        <v>0</v>
      </c>
      <c r="AT397" s="21" t="n">
        <f aca="false">IF(AI397="",0,IF(AI397&gt;0,1,0))</f>
        <v>0</v>
      </c>
      <c r="AU397" s="21" t="n">
        <f aca="false">IF(AI397="",0,IF(AI397&lt;0,1,0))</f>
        <v>0</v>
      </c>
      <c r="AV397" s="21" t="n">
        <f aca="false">IF(U397&gt;V397,1,0)</f>
        <v>0</v>
      </c>
      <c r="AW397" s="21" t="n">
        <f aca="false">IF(OR(W397&gt;تنظیمات!$B$8,X397="بله"),1,0)</f>
        <v>0</v>
      </c>
      <c r="AX397" s="21" t="n">
        <f aca="false">IF(AND(N397="بله",L397&gt;تنظیمات!$B$9),1,0)</f>
        <v>0</v>
      </c>
      <c r="AY397" s="21" t="n">
        <f aca="false">IF(Y397="معکوس",1,0)</f>
        <v>0</v>
      </c>
      <c r="AZ397" s="21" t="n">
        <f aca="false">IF(ABS(AJ397)&gt;تنظیمات!$B$10,1,0)</f>
        <v>0</v>
      </c>
      <c r="BA397" s="21" t="n">
        <f aca="false">IF(AND(OR(AD397="رایگان/VIP",AD397="جانباز"),AF397="خیر"),1,0)</f>
        <v>0</v>
      </c>
      <c r="BB397" s="21" t="n">
        <f aca="false">IF(AE397="",0,IF(COUNTIF($AE$2:$AE$1001,AE397)&gt;1,1,0))</f>
        <v>0</v>
      </c>
      <c r="BC397" s="21" t="n">
        <f aca="false">IF(AND(H397="",I397&gt;تنظیمات!$B$12*60,AM397="خالی"),1,0)</f>
        <v>0</v>
      </c>
      <c r="BD397" s="21" t="n">
        <f aca="false">IF(AND(AP397="بله",I397&lt;تنظیمات!$B$14,AO397="خیر"),1,0)</f>
        <v>0</v>
      </c>
      <c r="BE397" s="21" t="n">
        <f aca="false">IF(AN397="خیر",1,0)</f>
        <v>0</v>
      </c>
      <c r="BF397" s="21" t="n">
        <f aca="false">IF(AND(AD397="فیش مفقودی",AQ397="بله",I397&gt;تنظیمات!$B$12*60),1,0)</f>
        <v>0</v>
      </c>
      <c r="BG397" s="21" t="n">
        <f aca="false">IF(AND(AK397&gt;تنظیمات!$B$11,AL397="بله"),1,0)</f>
        <v>0</v>
      </c>
      <c r="BH397" s="21" t="n">
        <f aca="false">MIN(100,AR397*تنظیمات!$B$21+AS397*تنظیمات!$B$22+AT397*تنظیمات!$B$23+AU397*تنظیمات!$B$24+AV397*تنظیمات!$B$25+AW397*تنظیمات!$B$26+AX397*تنظیمات!$B$27+AY397*تنظیمات!$B$28+AZ397*تنظیمات!$B$29+BA397*تنظیمات!$B$30+BB397*تنظیمات!$B$31+BC397*تنظیمات!$B$32+BD397*تنظیمات!$B$33+BE397*تنظیمات!$B$34+BF397*تنظیمات!$B$35+BG397*تنظیمات!$B$36)</f>
        <v>0</v>
      </c>
      <c r="BI397" s="16" t="str">
        <f aca="false">IF(BH397&gt;=60,"بحرانی",IF(BH397&gt;=30,"مشکوک",IF(BH397&gt;0,"هشدار","عادی")))</f>
        <v>عادی</v>
      </c>
      <c r="BJ397" s="16" t="s">
        <v>338</v>
      </c>
    </row>
    <row r="398" customFormat="false" ht="15" hidden="false" customHeight="false" outlineLevel="0" collapsed="false">
      <c r="A398" s="16" t="s">
        <v>1652</v>
      </c>
      <c r="B398" s="16" t="s">
        <v>1653</v>
      </c>
      <c r="C398" s="16"/>
      <c r="D398" s="16" t="s">
        <v>531</v>
      </c>
      <c r="E398" s="16" t="s">
        <v>363</v>
      </c>
      <c r="F398" s="16" t="s">
        <v>333</v>
      </c>
      <c r="G398" s="17" t="n">
        <v>46286.4074652778</v>
      </c>
      <c r="H398" s="17" t="n">
        <v>46286.5380208333</v>
      </c>
      <c r="I398" s="18" t="n">
        <f aca="false">IF(H398="",ROUND((تنظیمات!$B$7-G398)*1440,0),ROUND((H398-G398)*1440,0))</f>
        <v>188</v>
      </c>
      <c r="J398" s="16" t="s">
        <v>346</v>
      </c>
      <c r="K398" s="16" t="s">
        <v>400</v>
      </c>
      <c r="L398" s="19" t="n">
        <v>0.954</v>
      </c>
      <c r="M398" s="19" t="n">
        <v>0.943</v>
      </c>
      <c r="N398" s="16" t="s">
        <v>335</v>
      </c>
      <c r="O398" s="16" t="s">
        <v>411</v>
      </c>
      <c r="P398" s="16" t="s">
        <v>402</v>
      </c>
      <c r="Q398" s="20" t="n">
        <v>46286</v>
      </c>
      <c r="R398" s="16" t="s">
        <v>1654</v>
      </c>
      <c r="S398" s="16" t="s">
        <v>404</v>
      </c>
      <c r="T398" s="17"/>
      <c r="U398" s="21" t="n">
        <v>1</v>
      </c>
      <c r="V398" s="21" t="n">
        <v>1</v>
      </c>
      <c r="W398" s="22" t="n">
        <v>5.2</v>
      </c>
      <c r="X398" s="16" t="s">
        <v>335</v>
      </c>
      <c r="Y398" s="16" t="s">
        <v>338</v>
      </c>
      <c r="Z398" s="16" t="s">
        <v>405</v>
      </c>
      <c r="AA398" s="16"/>
      <c r="AB398" s="23"/>
      <c r="AC398" s="17"/>
      <c r="AD398" s="16" t="s">
        <v>338</v>
      </c>
      <c r="AE398" s="16"/>
      <c r="AF398" s="16" t="str">
        <f aca="false">IF(COUNTIF(لیست_سفید!$A$2:$A$21,B398)&gt;0,"بله","خیر")</f>
        <v>خیر</v>
      </c>
      <c r="AG398" s="24" t="n">
        <f aca="false">IF(H398="","",IF(AD398="فیش مفقودی",تنظیمات!$B$6,(INT(I398/1440)*تنظیمات!$B$5+IF(MOD(I398,1440)&lt;=تنظیمات!$B$2,0,MIN(تنظیمات!$B$5,تنظیمات!$B$3+MAX(0,ROUNDUP((MOD(I398,1440)-60)/60,0))*تنظیمات!$B$4)))*INDEX(تعرفه!$B$2:$B$7,MATCH(AD398,تعرفه!$A$2:$A$7,0))))</f>
        <v>62000</v>
      </c>
      <c r="AH398" s="24" t="n">
        <v>62000</v>
      </c>
      <c r="AI398" s="24" t="n">
        <f aca="false">IF(AG398="","",AH398-AG398)</f>
        <v>0</v>
      </c>
      <c r="AJ398" s="21" t="n">
        <v>2</v>
      </c>
      <c r="AK398" s="21" t="n">
        <v>0</v>
      </c>
      <c r="AL398" s="16" t="s">
        <v>335</v>
      </c>
      <c r="AM398" s="16"/>
      <c r="AN398" s="16" t="s">
        <v>340</v>
      </c>
      <c r="AO398" s="16" t="s">
        <v>340</v>
      </c>
      <c r="AP398" s="16" t="s">
        <v>335</v>
      </c>
      <c r="AQ398" s="16"/>
      <c r="AR398" s="21" t="n">
        <f aca="false">IF(AND(T398&lt;&gt;"",H398&lt;&gt;""),IF(AND((T398-H398)*86400&gt;=0,(T398-H398)*86400&lt;تنظیمات!$B$13),1,0),0)</f>
        <v>0</v>
      </c>
      <c r="AS398" s="21" t="n">
        <f aca="false">IF(Z398="پوز",IF(OR(AB398="",COUNTIF(پوزها!$A$2:$A$5,AA398)=0),1,0),0)</f>
        <v>0</v>
      </c>
      <c r="AT398" s="21" t="n">
        <f aca="false">IF(AI398="",0,IF(AI398&gt;0,1,0))</f>
        <v>0</v>
      </c>
      <c r="AU398" s="21" t="n">
        <f aca="false">IF(AI398="",0,IF(AI398&lt;0,1,0))</f>
        <v>0</v>
      </c>
      <c r="AV398" s="21" t="n">
        <f aca="false">IF(U398&gt;V398,1,0)</f>
        <v>0</v>
      </c>
      <c r="AW398" s="21" t="n">
        <f aca="false">IF(OR(W398&gt;تنظیمات!$B$8,X398="بله"),1,0)</f>
        <v>0</v>
      </c>
      <c r="AX398" s="21" t="n">
        <f aca="false">IF(AND(N398="بله",L398&gt;تنظیمات!$B$9),1,0)</f>
        <v>0</v>
      </c>
      <c r="AY398" s="21" t="n">
        <f aca="false">IF(Y398="معکوس",1,0)</f>
        <v>0</v>
      </c>
      <c r="AZ398" s="21" t="n">
        <f aca="false">IF(ABS(AJ398)&gt;تنظیمات!$B$10,1,0)</f>
        <v>0</v>
      </c>
      <c r="BA398" s="21" t="n">
        <f aca="false">IF(AND(OR(AD398="رایگان/VIP",AD398="جانباز"),AF398="خیر"),1,0)</f>
        <v>0</v>
      </c>
      <c r="BB398" s="21" t="n">
        <f aca="false">IF(AE398="",0,IF(COUNTIF($AE$2:$AE$1001,AE398)&gt;1,1,0))</f>
        <v>0</v>
      </c>
      <c r="BC398" s="21" t="n">
        <f aca="false">IF(AND(H398="",I398&gt;تنظیمات!$B$12*60,AM398="خالی"),1,0)</f>
        <v>0</v>
      </c>
      <c r="BD398" s="21" t="n">
        <f aca="false">IF(AND(AP398="بله",I398&lt;تنظیمات!$B$14,AO398="خیر"),1,0)</f>
        <v>0</v>
      </c>
      <c r="BE398" s="21" t="n">
        <f aca="false">IF(AN398="خیر",1,0)</f>
        <v>0</v>
      </c>
      <c r="BF398" s="21" t="n">
        <f aca="false">IF(AND(AD398="فیش مفقودی",AQ398="بله",I398&gt;تنظیمات!$B$12*60),1,0)</f>
        <v>0</v>
      </c>
      <c r="BG398" s="21" t="n">
        <f aca="false">IF(AND(AK398&gt;تنظیمات!$B$11,AL398="بله"),1,0)</f>
        <v>0</v>
      </c>
      <c r="BH398" s="21" t="n">
        <f aca="false">MIN(100,AR398*تنظیمات!$B$21+AS398*تنظیمات!$B$22+AT398*تنظیمات!$B$23+AU398*تنظیمات!$B$24+AV398*تنظیمات!$B$25+AW398*تنظیمات!$B$26+AX398*تنظیمات!$B$27+AY398*تنظیمات!$B$28+AZ398*تنظیمات!$B$29+BA398*تنظیمات!$B$30+BB398*تنظیمات!$B$31+BC398*تنظیمات!$B$32+BD398*تنظیمات!$B$33+BE398*تنظیمات!$B$34+BF398*تنظیمات!$B$35+BG398*تنظیمات!$B$36)</f>
        <v>0</v>
      </c>
      <c r="BI398" s="16" t="str">
        <f aca="false">IF(BH398&gt;=60,"بحرانی",IF(BH398&gt;=30,"مشکوک",IF(BH398&gt;0,"هشدار","عادی")))</f>
        <v>عادی</v>
      </c>
      <c r="BJ398" s="16" t="s">
        <v>338</v>
      </c>
    </row>
    <row r="399" customFormat="false" ht="15" hidden="false" customHeight="false" outlineLevel="0" collapsed="false">
      <c r="A399" s="16" t="s">
        <v>1655</v>
      </c>
      <c r="B399" s="16" t="s">
        <v>373</v>
      </c>
      <c r="C399" s="16"/>
      <c r="D399" s="16" t="s">
        <v>374</v>
      </c>
      <c r="E399" s="16" t="s">
        <v>375</v>
      </c>
      <c r="F399" s="16" t="s">
        <v>359</v>
      </c>
      <c r="G399" s="17" t="n">
        <v>46286.4164814815</v>
      </c>
      <c r="H399" s="17" t="n">
        <v>46286.422037037</v>
      </c>
      <c r="I399" s="18" t="n">
        <f aca="false">IF(H399="",ROUND((تنظیمات!$B$7-G399)*1440,0),ROUND((H399-G399)*1440,0))</f>
        <v>8</v>
      </c>
      <c r="J399" s="16" t="s">
        <v>334</v>
      </c>
      <c r="K399" s="16" t="s">
        <v>410</v>
      </c>
      <c r="L399" s="19" t="n">
        <v>0.919</v>
      </c>
      <c r="M399" s="19" t="n">
        <v>0.935</v>
      </c>
      <c r="N399" s="16" t="s">
        <v>335</v>
      </c>
      <c r="O399" s="16" t="s">
        <v>401</v>
      </c>
      <c r="P399" s="16" t="s">
        <v>402</v>
      </c>
      <c r="Q399" s="20" t="n">
        <v>46286</v>
      </c>
      <c r="R399" s="16" t="s">
        <v>1656</v>
      </c>
      <c r="S399" s="16" t="s">
        <v>404</v>
      </c>
      <c r="T399" s="17"/>
      <c r="U399" s="21" t="n">
        <v>1</v>
      </c>
      <c r="V399" s="21" t="n">
        <v>1</v>
      </c>
      <c r="W399" s="22" t="n">
        <v>3.1</v>
      </c>
      <c r="X399" s="16" t="s">
        <v>335</v>
      </c>
      <c r="Y399" s="16" t="s">
        <v>338</v>
      </c>
      <c r="Z399" s="16" t="s">
        <v>628</v>
      </c>
      <c r="AA399" s="16"/>
      <c r="AB399" s="23"/>
      <c r="AC399" s="17"/>
      <c r="AD399" s="16" t="s">
        <v>338</v>
      </c>
      <c r="AE399" s="16"/>
      <c r="AF399" s="16" t="str">
        <f aca="false">IF(COUNTIF(لیست_سفید!$A$2:$A$21,B399)&gt;0,"بله","خیر")</f>
        <v>خیر</v>
      </c>
      <c r="AG399" s="24" t="n">
        <f aca="false">IF(H399="","",IF(AD399="فیش مفقودی",تنظیمات!$B$6,(INT(I399/1440)*تنظیمات!$B$5+IF(MOD(I399,1440)&lt;=تنظیمات!$B$2,0,MIN(تنظیمات!$B$5,تنظیمات!$B$3+MAX(0,ROUNDUP((MOD(I399,1440)-60)/60,0))*تنظیمات!$B$4)))*INDEX(تعرفه!$B$2:$B$7,MATCH(AD399,تعرفه!$A$2:$A$7,0))))</f>
        <v>0</v>
      </c>
      <c r="AH399" s="24" t="n">
        <v>0</v>
      </c>
      <c r="AI399" s="24" t="n">
        <f aca="false">IF(AG399="","",AH399-AG399)</f>
        <v>0</v>
      </c>
      <c r="AJ399" s="21" t="n">
        <v>0</v>
      </c>
      <c r="AK399" s="21" t="n">
        <v>0</v>
      </c>
      <c r="AL399" s="16" t="s">
        <v>335</v>
      </c>
      <c r="AM399" s="16"/>
      <c r="AN399" s="16" t="s">
        <v>340</v>
      </c>
      <c r="AO399" s="16" t="s">
        <v>335</v>
      </c>
      <c r="AP399" s="16" t="s">
        <v>340</v>
      </c>
      <c r="AQ399" s="16"/>
      <c r="AR399" s="21" t="n">
        <f aca="false">IF(AND(T399&lt;&gt;"",H399&lt;&gt;""),IF(AND((T399-H399)*86400&gt;=0,(T399-H399)*86400&lt;تنظیمات!$B$13),1,0),0)</f>
        <v>0</v>
      </c>
      <c r="AS399" s="21" t="n">
        <f aca="false">IF(Z399="پوز",IF(OR(AB399="",COUNTIF(پوزها!$A$2:$A$5,AA399)=0),1,0),0)</f>
        <v>0</v>
      </c>
      <c r="AT399" s="21" t="n">
        <f aca="false">IF(AI399="",0,IF(AI399&gt;0,1,0))</f>
        <v>0</v>
      </c>
      <c r="AU399" s="21" t="n">
        <f aca="false">IF(AI399="",0,IF(AI399&lt;0,1,0))</f>
        <v>0</v>
      </c>
      <c r="AV399" s="21" t="n">
        <f aca="false">IF(U399&gt;V399,1,0)</f>
        <v>0</v>
      </c>
      <c r="AW399" s="21" t="n">
        <f aca="false">IF(OR(W399&gt;تنظیمات!$B$8,X399="بله"),1,0)</f>
        <v>0</v>
      </c>
      <c r="AX399" s="21" t="n">
        <f aca="false">IF(AND(N399="بله",L399&gt;تنظیمات!$B$9),1,0)</f>
        <v>0</v>
      </c>
      <c r="AY399" s="21" t="n">
        <f aca="false">IF(Y399="معکوس",1,0)</f>
        <v>0</v>
      </c>
      <c r="AZ399" s="21" t="n">
        <f aca="false">IF(ABS(AJ399)&gt;تنظیمات!$B$10,1,0)</f>
        <v>0</v>
      </c>
      <c r="BA399" s="21" t="n">
        <f aca="false">IF(AND(OR(AD399="رایگان/VIP",AD399="جانباز"),AF399="خیر"),1,0)</f>
        <v>0</v>
      </c>
      <c r="BB399" s="21" t="n">
        <f aca="false">IF(AE399="",0,IF(COUNTIF($AE$2:$AE$1001,AE399)&gt;1,1,0))</f>
        <v>0</v>
      </c>
      <c r="BC399" s="21" t="n">
        <f aca="false">IF(AND(H399="",I399&gt;تنظیمات!$B$12*60,AM399="خالی"),1,0)</f>
        <v>0</v>
      </c>
      <c r="BD399" s="21" t="n">
        <f aca="false">IF(AND(AP399="بله",I399&lt;تنظیمات!$B$14,AO399="خیر"),1,0)</f>
        <v>1</v>
      </c>
      <c r="BE399" s="21" t="n">
        <f aca="false">IF(AN399="خیر",1,0)</f>
        <v>0</v>
      </c>
      <c r="BF399" s="21" t="n">
        <f aca="false">IF(AND(AD399="فیش مفقودی",AQ399="بله",I399&gt;تنظیمات!$B$12*60),1,0)</f>
        <v>0</v>
      </c>
      <c r="BG399" s="21" t="n">
        <f aca="false">IF(AND(AK399&gt;تنظیمات!$B$11,AL399="بله"),1,0)</f>
        <v>0</v>
      </c>
      <c r="BH399" s="21" t="n">
        <f aca="false">MIN(100,AR399*تنظیمات!$B$21+AS399*تنظیمات!$B$22+AT399*تنظیمات!$B$23+AU399*تنظیمات!$B$24+AV399*تنظیمات!$B$25+AW399*تنظیمات!$B$26+AX399*تنظیمات!$B$27+AY399*تنظیمات!$B$28+AZ399*تنظیمات!$B$29+BA399*تنظیمات!$B$30+BB399*تنظیمات!$B$31+BC399*تنظیمات!$B$32+BD399*تنظیمات!$B$33+BE399*تنظیمات!$B$34+BF399*تنظیمات!$B$35+BG399*تنظیمات!$B$36)</f>
        <v>40</v>
      </c>
      <c r="BI399" s="16" t="str">
        <f aca="false">IF(BH399&gt;=60,"بحرانی",IF(BH399&gt;=30,"مشکوک",IF(BH399&gt;0,"هشدار","عادی")))</f>
        <v>مشکوک</v>
      </c>
      <c r="BJ399" s="16" t="s">
        <v>1329</v>
      </c>
    </row>
    <row r="400" customFormat="false" ht="15" hidden="false" customHeight="false" outlineLevel="0" collapsed="false">
      <c r="A400" s="16" t="s">
        <v>1657</v>
      </c>
      <c r="B400" s="16" t="s">
        <v>1020</v>
      </c>
      <c r="C400" s="16"/>
      <c r="D400" s="16" t="s">
        <v>370</v>
      </c>
      <c r="E400" s="16" t="s">
        <v>363</v>
      </c>
      <c r="F400" s="16" t="s">
        <v>333</v>
      </c>
      <c r="G400" s="17" t="n">
        <v>46286.4205092593</v>
      </c>
      <c r="H400" s="17" t="n">
        <v>46286.6712037037</v>
      </c>
      <c r="I400" s="18" t="n">
        <f aca="false">IF(H400="",ROUND((تنظیمات!$B$7-G400)*1440,0),ROUND((H400-G400)*1440,0))</f>
        <v>361</v>
      </c>
      <c r="J400" s="16" t="s">
        <v>346</v>
      </c>
      <c r="K400" s="16" t="s">
        <v>400</v>
      </c>
      <c r="L400" s="19" t="n">
        <v>0.986</v>
      </c>
      <c r="M400" s="19" t="n">
        <v>0.954</v>
      </c>
      <c r="N400" s="16" t="s">
        <v>335</v>
      </c>
      <c r="O400" s="16" t="s">
        <v>419</v>
      </c>
      <c r="P400" s="16" t="s">
        <v>420</v>
      </c>
      <c r="Q400" s="20" t="n">
        <v>46286</v>
      </c>
      <c r="R400" s="16" t="s">
        <v>1658</v>
      </c>
      <c r="S400" s="16" t="s">
        <v>404</v>
      </c>
      <c r="T400" s="17"/>
      <c r="U400" s="21" t="n">
        <v>1</v>
      </c>
      <c r="V400" s="21" t="n">
        <v>1</v>
      </c>
      <c r="W400" s="22" t="n">
        <v>3.5</v>
      </c>
      <c r="X400" s="16" t="s">
        <v>335</v>
      </c>
      <c r="Y400" s="16" t="s">
        <v>338</v>
      </c>
      <c r="Z400" s="16" t="s">
        <v>413</v>
      </c>
      <c r="AA400" s="16" t="s">
        <v>427</v>
      </c>
      <c r="AB400" s="23" t="s">
        <v>1659</v>
      </c>
      <c r="AC400" s="17" t="n">
        <v>46286.670462963</v>
      </c>
      <c r="AD400" s="16" t="s">
        <v>338</v>
      </c>
      <c r="AE400" s="16"/>
      <c r="AF400" s="16" t="str">
        <f aca="false">IF(COUNTIF(لیست_سفید!$A$2:$A$21,B400)&gt;0,"بله","خیر")</f>
        <v>خیر</v>
      </c>
      <c r="AG400" s="24" t="n">
        <f aca="false">IF(H400="","",IF(AD400="فیش مفقودی",تنظیمات!$B$6,(INT(I400/1440)*تنظیمات!$B$5+IF(MOD(I400,1440)&lt;=تنظیمات!$B$2,0,MIN(تنظیمات!$B$5,تنظیمات!$B$3+MAX(0,ROUNDUP((MOD(I400,1440)-60)/60,0))*تنظیمات!$B$4)))*INDEX(تعرفه!$B$2:$B$7,MATCH(AD400,تعرفه!$A$2:$A$7,0))))</f>
        <v>104000</v>
      </c>
      <c r="AH400" s="24" t="n">
        <v>104000</v>
      </c>
      <c r="AI400" s="24" t="n">
        <f aca="false">IF(AG400="","",AH400-AG400)</f>
        <v>0</v>
      </c>
      <c r="AJ400" s="21" t="n">
        <v>-3</v>
      </c>
      <c r="AK400" s="21" t="n">
        <v>0</v>
      </c>
      <c r="AL400" s="16" t="s">
        <v>335</v>
      </c>
      <c r="AM400" s="16"/>
      <c r="AN400" s="16" t="s">
        <v>340</v>
      </c>
      <c r="AO400" s="16" t="s">
        <v>340</v>
      </c>
      <c r="AP400" s="16" t="s">
        <v>335</v>
      </c>
      <c r="AQ400" s="16"/>
      <c r="AR400" s="21" t="n">
        <f aca="false">IF(AND(T400&lt;&gt;"",H400&lt;&gt;""),IF(AND((T400-H400)*86400&gt;=0,(T400-H400)*86400&lt;تنظیمات!$B$13),1,0),0)</f>
        <v>0</v>
      </c>
      <c r="AS400" s="21" t="n">
        <f aca="false">IF(Z400="پوز",IF(OR(AB400="",COUNTIF(پوزها!$A$2:$A$5,AA400)=0),1,0),0)</f>
        <v>0</v>
      </c>
      <c r="AT400" s="21" t="n">
        <f aca="false">IF(AI400="",0,IF(AI400&gt;0,1,0))</f>
        <v>0</v>
      </c>
      <c r="AU400" s="21" t="n">
        <f aca="false">IF(AI400="",0,IF(AI400&lt;0,1,0))</f>
        <v>0</v>
      </c>
      <c r="AV400" s="21" t="n">
        <f aca="false">IF(U400&gt;V400,1,0)</f>
        <v>0</v>
      </c>
      <c r="AW400" s="21" t="n">
        <f aca="false">IF(OR(W400&gt;تنظیمات!$B$8,X400="بله"),1,0)</f>
        <v>0</v>
      </c>
      <c r="AX400" s="21" t="n">
        <f aca="false">IF(AND(N400="بله",L400&gt;تنظیمات!$B$9),1,0)</f>
        <v>0</v>
      </c>
      <c r="AY400" s="21" t="n">
        <f aca="false">IF(Y400="معکوس",1,0)</f>
        <v>0</v>
      </c>
      <c r="AZ400" s="21" t="n">
        <f aca="false">IF(ABS(AJ400)&gt;تنظیمات!$B$10,1,0)</f>
        <v>0</v>
      </c>
      <c r="BA400" s="21" t="n">
        <f aca="false">IF(AND(OR(AD400="رایگان/VIP",AD400="جانباز"),AF400="خیر"),1,0)</f>
        <v>0</v>
      </c>
      <c r="BB400" s="21" t="n">
        <f aca="false">IF(AE400="",0,IF(COUNTIF($AE$2:$AE$1001,AE400)&gt;1,1,0))</f>
        <v>0</v>
      </c>
      <c r="BC400" s="21" t="n">
        <f aca="false">IF(AND(H400="",I400&gt;تنظیمات!$B$12*60,AM400="خالی"),1,0)</f>
        <v>0</v>
      </c>
      <c r="BD400" s="21" t="n">
        <f aca="false">IF(AND(AP400="بله",I400&lt;تنظیمات!$B$14,AO400="خیر"),1,0)</f>
        <v>0</v>
      </c>
      <c r="BE400" s="21" t="n">
        <f aca="false">IF(AN400="خیر",1,0)</f>
        <v>0</v>
      </c>
      <c r="BF400" s="21" t="n">
        <f aca="false">IF(AND(AD400="فیش مفقودی",AQ400="بله",I400&gt;تنظیمات!$B$12*60),1,0)</f>
        <v>0</v>
      </c>
      <c r="BG400" s="21" t="n">
        <f aca="false">IF(AND(AK400&gt;تنظیمات!$B$11,AL400="بله"),1,0)</f>
        <v>0</v>
      </c>
      <c r="BH400" s="21" t="n">
        <f aca="false">MIN(100,AR400*تنظیمات!$B$21+AS400*تنظیمات!$B$22+AT400*تنظیمات!$B$23+AU400*تنظیمات!$B$24+AV400*تنظیمات!$B$25+AW400*تنظیمات!$B$26+AX400*تنظیمات!$B$27+AY400*تنظیمات!$B$28+AZ400*تنظیمات!$B$29+BA400*تنظیمات!$B$30+BB400*تنظیمات!$B$31+BC400*تنظیمات!$B$32+BD400*تنظیمات!$B$33+BE400*تنظیمات!$B$34+BF400*تنظیمات!$B$35+BG400*تنظیمات!$B$36)</f>
        <v>0</v>
      </c>
      <c r="BI400" s="16" t="str">
        <f aca="false">IF(BH400&gt;=60,"بحرانی",IF(BH400&gt;=30,"مشکوک",IF(BH400&gt;0,"هشدار","عادی")))</f>
        <v>عادی</v>
      </c>
      <c r="BJ400" s="16" t="s">
        <v>338</v>
      </c>
    </row>
    <row r="401" customFormat="false" ht="15" hidden="false" customHeight="false" outlineLevel="0" collapsed="false">
      <c r="A401" s="16" t="s">
        <v>1660</v>
      </c>
      <c r="B401" s="16" t="s">
        <v>491</v>
      </c>
      <c r="C401" s="16"/>
      <c r="D401" s="16" t="s">
        <v>386</v>
      </c>
      <c r="E401" s="16" t="s">
        <v>351</v>
      </c>
      <c r="F401" s="16" t="s">
        <v>333</v>
      </c>
      <c r="G401" s="17" t="n">
        <v>46286.4237268519</v>
      </c>
      <c r="H401" s="17" t="n">
        <v>46286.5521990741</v>
      </c>
      <c r="I401" s="18" t="n">
        <f aca="false">IF(H401="",ROUND((تنظیمات!$B$7-G401)*1440,0),ROUND((H401-G401)*1440,0))</f>
        <v>185</v>
      </c>
      <c r="J401" s="16" t="s">
        <v>346</v>
      </c>
      <c r="K401" s="16" t="s">
        <v>400</v>
      </c>
      <c r="L401" s="19" t="n">
        <v>0.919</v>
      </c>
      <c r="M401" s="19" t="n">
        <v>0.92</v>
      </c>
      <c r="N401" s="16" t="s">
        <v>335</v>
      </c>
      <c r="O401" s="16" t="s">
        <v>411</v>
      </c>
      <c r="P401" s="16" t="s">
        <v>402</v>
      </c>
      <c r="Q401" s="20" t="n">
        <v>46286</v>
      </c>
      <c r="R401" s="16" t="s">
        <v>1661</v>
      </c>
      <c r="S401" s="16" t="s">
        <v>404</v>
      </c>
      <c r="T401" s="17"/>
      <c r="U401" s="21" t="n">
        <v>1</v>
      </c>
      <c r="V401" s="21" t="n">
        <v>1</v>
      </c>
      <c r="W401" s="22" t="n">
        <v>3.9</v>
      </c>
      <c r="X401" s="16" t="s">
        <v>335</v>
      </c>
      <c r="Y401" s="16" t="s">
        <v>338</v>
      </c>
      <c r="Z401" s="16" t="s">
        <v>413</v>
      </c>
      <c r="AA401" s="16" t="s">
        <v>427</v>
      </c>
      <c r="AB401" s="23" t="s">
        <v>1662</v>
      </c>
      <c r="AC401" s="17" t="n">
        <v>46286.5519444444</v>
      </c>
      <c r="AD401" s="16" t="s">
        <v>338</v>
      </c>
      <c r="AE401" s="16"/>
      <c r="AF401" s="16" t="str">
        <f aca="false">IF(COUNTIF(لیست_سفید!$A$2:$A$21,B401)&gt;0,"بله","خیر")</f>
        <v>خیر</v>
      </c>
      <c r="AG401" s="24" t="n">
        <f aca="false">IF(H401="","",IF(AD401="فیش مفقودی",تنظیمات!$B$6,(INT(I401/1440)*تنظیمات!$B$5+IF(MOD(I401,1440)&lt;=تنظیمات!$B$2,0,MIN(تنظیمات!$B$5,تنظیمات!$B$3+MAX(0,ROUNDUP((MOD(I401,1440)-60)/60,0))*تنظیمات!$B$4)))*INDEX(تعرفه!$B$2:$B$7,MATCH(AD401,تعرفه!$A$2:$A$7,0))))</f>
        <v>62000</v>
      </c>
      <c r="AH401" s="24" t="n">
        <v>62000</v>
      </c>
      <c r="AI401" s="24" t="n">
        <f aca="false">IF(AG401="","",AH401-AG401)</f>
        <v>0</v>
      </c>
      <c r="AJ401" s="21" t="n">
        <v>-2</v>
      </c>
      <c r="AK401" s="21" t="n">
        <v>0</v>
      </c>
      <c r="AL401" s="16" t="s">
        <v>335</v>
      </c>
      <c r="AM401" s="16"/>
      <c r="AN401" s="16" t="s">
        <v>340</v>
      </c>
      <c r="AO401" s="16" t="s">
        <v>340</v>
      </c>
      <c r="AP401" s="16" t="s">
        <v>335</v>
      </c>
      <c r="AQ401" s="16"/>
      <c r="AR401" s="21" t="n">
        <f aca="false">IF(AND(T401&lt;&gt;"",H401&lt;&gt;""),IF(AND((T401-H401)*86400&gt;=0,(T401-H401)*86400&lt;تنظیمات!$B$13),1,0),0)</f>
        <v>0</v>
      </c>
      <c r="AS401" s="21" t="n">
        <f aca="false">IF(Z401="پوز",IF(OR(AB401="",COUNTIF(پوزها!$A$2:$A$5,AA401)=0),1,0),0)</f>
        <v>0</v>
      </c>
      <c r="AT401" s="21" t="n">
        <f aca="false">IF(AI401="",0,IF(AI401&gt;0,1,0))</f>
        <v>0</v>
      </c>
      <c r="AU401" s="21" t="n">
        <f aca="false">IF(AI401="",0,IF(AI401&lt;0,1,0))</f>
        <v>0</v>
      </c>
      <c r="AV401" s="21" t="n">
        <f aca="false">IF(U401&gt;V401,1,0)</f>
        <v>0</v>
      </c>
      <c r="AW401" s="21" t="n">
        <f aca="false">IF(OR(W401&gt;تنظیمات!$B$8,X401="بله"),1,0)</f>
        <v>0</v>
      </c>
      <c r="AX401" s="21" t="n">
        <f aca="false">IF(AND(N401="بله",L401&gt;تنظیمات!$B$9),1,0)</f>
        <v>0</v>
      </c>
      <c r="AY401" s="21" t="n">
        <f aca="false">IF(Y401="معکوس",1,0)</f>
        <v>0</v>
      </c>
      <c r="AZ401" s="21" t="n">
        <f aca="false">IF(ABS(AJ401)&gt;تنظیمات!$B$10,1,0)</f>
        <v>0</v>
      </c>
      <c r="BA401" s="21" t="n">
        <f aca="false">IF(AND(OR(AD401="رایگان/VIP",AD401="جانباز"),AF401="خیر"),1,0)</f>
        <v>0</v>
      </c>
      <c r="BB401" s="21" t="n">
        <f aca="false">IF(AE401="",0,IF(COUNTIF($AE$2:$AE$1001,AE401)&gt;1,1,0))</f>
        <v>0</v>
      </c>
      <c r="BC401" s="21" t="n">
        <f aca="false">IF(AND(H401="",I401&gt;تنظیمات!$B$12*60,AM401="خالی"),1,0)</f>
        <v>0</v>
      </c>
      <c r="BD401" s="21" t="n">
        <f aca="false">IF(AND(AP401="بله",I401&lt;تنظیمات!$B$14,AO401="خیر"),1,0)</f>
        <v>0</v>
      </c>
      <c r="BE401" s="21" t="n">
        <f aca="false">IF(AN401="خیر",1,0)</f>
        <v>0</v>
      </c>
      <c r="BF401" s="21" t="n">
        <f aca="false">IF(AND(AD401="فیش مفقودی",AQ401="بله",I401&gt;تنظیمات!$B$12*60),1,0)</f>
        <v>0</v>
      </c>
      <c r="BG401" s="21" t="n">
        <f aca="false">IF(AND(AK401&gt;تنظیمات!$B$11,AL401="بله"),1,0)</f>
        <v>0</v>
      </c>
      <c r="BH401" s="21" t="n">
        <f aca="false">MIN(100,AR401*تنظیمات!$B$21+AS401*تنظیمات!$B$22+AT401*تنظیمات!$B$23+AU401*تنظیمات!$B$24+AV401*تنظیمات!$B$25+AW401*تنظیمات!$B$26+AX401*تنظیمات!$B$27+AY401*تنظیمات!$B$28+AZ401*تنظیمات!$B$29+BA401*تنظیمات!$B$30+BB401*تنظیمات!$B$31+BC401*تنظیمات!$B$32+BD401*تنظیمات!$B$33+BE401*تنظیمات!$B$34+BF401*تنظیمات!$B$35+BG401*تنظیمات!$B$36)</f>
        <v>0</v>
      </c>
      <c r="BI401" s="16" t="str">
        <f aca="false">IF(BH401&gt;=60,"بحرانی",IF(BH401&gt;=30,"مشکوک",IF(BH401&gt;0,"هشدار","عادی")))</f>
        <v>عادی</v>
      </c>
      <c r="BJ401" s="16" t="s">
        <v>338</v>
      </c>
    </row>
    <row r="402" customFormat="false" ht="15" hidden="false" customHeight="false" outlineLevel="0" collapsed="false">
      <c r="A402" s="16" t="s">
        <v>1663</v>
      </c>
      <c r="B402" s="16" t="s">
        <v>1182</v>
      </c>
      <c r="C402" s="16"/>
      <c r="D402" s="16" t="s">
        <v>450</v>
      </c>
      <c r="E402" s="16" t="s">
        <v>375</v>
      </c>
      <c r="F402" s="16" t="s">
        <v>333</v>
      </c>
      <c r="G402" s="17" t="n">
        <v>46286.434224537</v>
      </c>
      <c r="H402" s="17" t="n">
        <v>46286.4647800926</v>
      </c>
      <c r="I402" s="18" t="n">
        <f aca="false">IF(H402="",ROUND((تنظیمات!$B$7-G402)*1440,0),ROUND((H402-G402)*1440,0))</f>
        <v>44</v>
      </c>
      <c r="J402" s="16" t="s">
        <v>346</v>
      </c>
      <c r="K402" s="16" t="s">
        <v>400</v>
      </c>
      <c r="L402" s="19" t="n">
        <v>0.935</v>
      </c>
      <c r="M402" s="19" t="n">
        <v>0.918</v>
      </c>
      <c r="N402" s="16" t="s">
        <v>335</v>
      </c>
      <c r="O402" s="16" t="s">
        <v>411</v>
      </c>
      <c r="P402" s="16" t="s">
        <v>402</v>
      </c>
      <c r="Q402" s="20" t="n">
        <v>46286</v>
      </c>
      <c r="R402" s="16" t="s">
        <v>1664</v>
      </c>
      <c r="S402" s="16" t="s">
        <v>404</v>
      </c>
      <c r="T402" s="17"/>
      <c r="U402" s="21" t="n">
        <v>1</v>
      </c>
      <c r="V402" s="21" t="n">
        <v>1</v>
      </c>
      <c r="W402" s="22" t="n">
        <v>4.7</v>
      </c>
      <c r="X402" s="16" t="s">
        <v>335</v>
      </c>
      <c r="Y402" s="16" t="s">
        <v>338</v>
      </c>
      <c r="Z402" s="16" t="s">
        <v>413</v>
      </c>
      <c r="AA402" s="16" t="s">
        <v>427</v>
      </c>
      <c r="AB402" s="23" t="s">
        <v>1665</v>
      </c>
      <c r="AC402" s="17" t="n">
        <v>46286.4640162037</v>
      </c>
      <c r="AD402" s="16" t="s">
        <v>338</v>
      </c>
      <c r="AE402" s="16"/>
      <c r="AF402" s="16" t="str">
        <f aca="false">IF(COUNTIF(لیست_سفید!$A$2:$A$21,B402)&gt;0,"بله","خیر")</f>
        <v>خیر</v>
      </c>
      <c r="AG402" s="24" t="n">
        <f aca="false">IF(H402="","",IF(AD402="فیش مفقودی",تنظیمات!$B$6,(INT(I402/1440)*تنظیمات!$B$5+IF(MOD(I402,1440)&lt;=تنظیمات!$B$2,0,MIN(تنظیمات!$B$5,تنظیمات!$B$3+MAX(0,ROUNDUP((MOD(I402,1440)-60)/60,0))*تنظیمات!$B$4)))*INDEX(تعرفه!$B$2:$B$7,MATCH(AD402,تعرفه!$A$2:$A$7,0))))</f>
        <v>20000</v>
      </c>
      <c r="AH402" s="24" t="n">
        <v>20000</v>
      </c>
      <c r="AI402" s="24" t="n">
        <f aca="false">IF(AG402="","",AH402-AG402)</f>
        <v>0</v>
      </c>
      <c r="AJ402" s="21" t="n">
        <v>3</v>
      </c>
      <c r="AK402" s="21" t="n">
        <v>0</v>
      </c>
      <c r="AL402" s="16" t="s">
        <v>335</v>
      </c>
      <c r="AM402" s="16"/>
      <c r="AN402" s="16" t="s">
        <v>340</v>
      </c>
      <c r="AO402" s="16" t="s">
        <v>340</v>
      </c>
      <c r="AP402" s="16" t="s">
        <v>335</v>
      </c>
      <c r="AQ402" s="16"/>
      <c r="AR402" s="21" t="n">
        <f aca="false">IF(AND(T402&lt;&gt;"",H402&lt;&gt;""),IF(AND((T402-H402)*86400&gt;=0,(T402-H402)*86400&lt;تنظیمات!$B$13),1,0),0)</f>
        <v>0</v>
      </c>
      <c r="AS402" s="21" t="n">
        <f aca="false">IF(Z402="پوز",IF(OR(AB402="",COUNTIF(پوزها!$A$2:$A$5,AA402)=0),1,0),0)</f>
        <v>0</v>
      </c>
      <c r="AT402" s="21" t="n">
        <f aca="false">IF(AI402="",0,IF(AI402&gt;0,1,0))</f>
        <v>0</v>
      </c>
      <c r="AU402" s="21" t="n">
        <f aca="false">IF(AI402="",0,IF(AI402&lt;0,1,0))</f>
        <v>0</v>
      </c>
      <c r="AV402" s="21" t="n">
        <f aca="false">IF(U402&gt;V402,1,0)</f>
        <v>0</v>
      </c>
      <c r="AW402" s="21" t="n">
        <f aca="false">IF(OR(W402&gt;تنظیمات!$B$8,X402="بله"),1,0)</f>
        <v>0</v>
      </c>
      <c r="AX402" s="21" t="n">
        <f aca="false">IF(AND(N402="بله",L402&gt;تنظیمات!$B$9),1,0)</f>
        <v>0</v>
      </c>
      <c r="AY402" s="21" t="n">
        <f aca="false">IF(Y402="معکوس",1,0)</f>
        <v>0</v>
      </c>
      <c r="AZ402" s="21" t="n">
        <f aca="false">IF(ABS(AJ402)&gt;تنظیمات!$B$10,1,0)</f>
        <v>0</v>
      </c>
      <c r="BA402" s="21" t="n">
        <f aca="false">IF(AND(OR(AD402="رایگان/VIP",AD402="جانباز"),AF402="خیر"),1,0)</f>
        <v>0</v>
      </c>
      <c r="BB402" s="21" t="n">
        <f aca="false">IF(AE402="",0,IF(COUNTIF($AE$2:$AE$1001,AE402)&gt;1,1,0))</f>
        <v>0</v>
      </c>
      <c r="BC402" s="21" t="n">
        <f aca="false">IF(AND(H402="",I402&gt;تنظیمات!$B$12*60,AM402="خالی"),1,0)</f>
        <v>0</v>
      </c>
      <c r="BD402" s="21" t="n">
        <f aca="false">IF(AND(AP402="بله",I402&lt;تنظیمات!$B$14,AO402="خیر"),1,0)</f>
        <v>0</v>
      </c>
      <c r="BE402" s="21" t="n">
        <f aca="false">IF(AN402="خیر",1,0)</f>
        <v>0</v>
      </c>
      <c r="BF402" s="21" t="n">
        <f aca="false">IF(AND(AD402="فیش مفقودی",AQ402="بله",I402&gt;تنظیمات!$B$12*60),1,0)</f>
        <v>0</v>
      </c>
      <c r="BG402" s="21" t="n">
        <f aca="false">IF(AND(AK402&gt;تنظیمات!$B$11,AL402="بله"),1,0)</f>
        <v>0</v>
      </c>
      <c r="BH402" s="21" t="n">
        <f aca="false">MIN(100,AR402*تنظیمات!$B$21+AS402*تنظیمات!$B$22+AT402*تنظیمات!$B$23+AU402*تنظیمات!$B$24+AV402*تنظیمات!$B$25+AW402*تنظیمات!$B$26+AX402*تنظیمات!$B$27+AY402*تنظیمات!$B$28+AZ402*تنظیمات!$B$29+BA402*تنظیمات!$B$30+BB402*تنظیمات!$B$31+BC402*تنظیمات!$B$32+BD402*تنظیمات!$B$33+BE402*تنظیمات!$B$34+BF402*تنظیمات!$B$35+BG402*تنظیمات!$B$36)</f>
        <v>0</v>
      </c>
      <c r="BI402" s="16" t="str">
        <f aca="false">IF(BH402&gt;=60,"بحرانی",IF(BH402&gt;=30,"مشکوک",IF(BH402&gt;0,"هشدار","عادی")))</f>
        <v>عادی</v>
      </c>
      <c r="BJ402" s="16" t="s">
        <v>338</v>
      </c>
    </row>
    <row r="403" customFormat="false" ht="15" hidden="false" customHeight="false" outlineLevel="0" collapsed="false">
      <c r="A403" s="16" t="s">
        <v>1666</v>
      </c>
      <c r="B403" s="16" t="s">
        <v>1667</v>
      </c>
      <c r="C403" s="16"/>
      <c r="D403" s="16" t="s">
        <v>382</v>
      </c>
      <c r="E403" s="16" t="s">
        <v>345</v>
      </c>
      <c r="F403" s="16" t="s">
        <v>333</v>
      </c>
      <c r="G403" s="17" t="n">
        <v>46286.4681365741</v>
      </c>
      <c r="H403" s="17" t="n">
        <v>46286.5306365741</v>
      </c>
      <c r="I403" s="18" t="n">
        <f aca="false">IF(H403="",ROUND((تنظیمات!$B$7-G403)*1440,0),ROUND((H403-G403)*1440,0))</f>
        <v>90</v>
      </c>
      <c r="J403" s="16" t="s">
        <v>346</v>
      </c>
      <c r="K403" s="16" t="s">
        <v>400</v>
      </c>
      <c r="L403" s="19" t="n">
        <v>0.941</v>
      </c>
      <c r="M403" s="19" t="n">
        <v>0.915</v>
      </c>
      <c r="N403" s="16" t="s">
        <v>335</v>
      </c>
      <c r="O403" s="16" t="s">
        <v>411</v>
      </c>
      <c r="P403" s="16" t="s">
        <v>402</v>
      </c>
      <c r="Q403" s="20" t="n">
        <v>46286</v>
      </c>
      <c r="R403" s="16" t="s">
        <v>1668</v>
      </c>
      <c r="S403" s="16" t="s">
        <v>404</v>
      </c>
      <c r="T403" s="17"/>
      <c r="U403" s="21" t="n">
        <v>1</v>
      </c>
      <c r="V403" s="21" t="n">
        <v>1</v>
      </c>
      <c r="W403" s="22" t="n">
        <v>22.3</v>
      </c>
      <c r="X403" s="16" t="s">
        <v>340</v>
      </c>
      <c r="Y403" s="16" t="s">
        <v>338</v>
      </c>
      <c r="Z403" s="16" t="s">
        <v>413</v>
      </c>
      <c r="AA403" s="16" t="s">
        <v>427</v>
      </c>
      <c r="AB403" s="23" t="s">
        <v>1669</v>
      </c>
      <c r="AC403" s="17" t="n">
        <v>46286.5302546296</v>
      </c>
      <c r="AD403" s="16" t="s">
        <v>338</v>
      </c>
      <c r="AE403" s="16"/>
      <c r="AF403" s="16" t="str">
        <f aca="false">IF(COUNTIF(لیست_سفید!$A$2:$A$21,B403)&gt;0,"بله","خیر")</f>
        <v>خیر</v>
      </c>
      <c r="AG403" s="24" t="n">
        <f aca="false">IF(H403="","",IF(AD403="فیش مفقودی",تنظیمات!$B$6,(INT(I403/1440)*تنظیمات!$B$5+IF(MOD(I403,1440)&lt;=تنظیمات!$B$2,0,MIN(تنظیمات!$B$5,تنظیمات!$B$3+MAX(0,ROUNDUP((MOD(I403,1440)-60)/60,0))*تنظیمات!$B$4)))*INDEX(تعرفه!$B$2:$B$7,MATCH(AD403,تعرفه!$A$2:$A$7,0))))</f>
        <v>34000</v>
      </c>
      <c r="AH403" s="24" t="n">
        <v>34000</v>
      </c>
      <c r="AI403" s="24" t="n">
        <f aca="false">IF(AG403="","",AH403-AG403)</f>
        <v>0</v>
      </c>
      <c r="AJ403" s="21" t="n">
        <v>-1</v>
      </c>
      <c r="AK403" s="21" t="n">
        <v>0</v>
      </c>
      <c r="AL403" s="16" t="s">
        <v>335</v>
      </c>
      <c r="AM403" s="16"/>
      <c r="AN403" s="16" t="s">
        <v>340</v>
      </c>
      <c r="AO403" s="16" t="s">
        <v>340</v>
      </c>
      <c r="AP403" s="16" t="s">
        <v>335</v>
      </c>
      <c r="AQ403" s="16"/>
      <c r="AR403" s="21" t="n">
        <f aca="false">IF(AND(T403&lt;&gt;"",H403&lt;&gt;""),IF(AND((T403-H403)*86400&gt;=0,(T403-H403)*86400&lt;تنظیمات!$B$13),1,0),0)</f>
        <v>0</v>
      </c>
      <c r="AS403" s="21" t="n">
        <f aca="false">IF(Z403="پوز",IF(OR(AB403="",COUNTIF(پوزها!$A$2:$A$5,AA403)=0),1,0),0)</f>
        <v>0</v>
      </c>
      <c r="AT403" s="21" t="n">
        <f aca="false">IF(AI403="",0,IF(AI403&gt;0,1,0))</f>
        <v>0</v>
      </c>
      <c r="AU403" s="21" t="n">
        <f aca="false">IF(AI403="",0,IF(AI403&lt;0,1,0))</f>
        <v>0</v>
      </c>
      <c r="AV403" s="21" t="n">
        <f aca="false">IF(U403&gt;V403,1,0)</f>
        <v>0</v>
      </c>
      <c r="AW403" s="21" t="n">
        <f aca="false">IF(OR(W403&gt;تنظیمات!$B$8,X403="بله"),1,0)</f>
        <v>1</v>
      </c>
      <c r="AX403" s="21" t="n">
        <f aca="false">IF(AND(N403="بله",L403&gt;تنظیمات!$B$9),1,0)</f>
        <v>0</v>
      </c>
      <c r="AY403" s="21" t="n">
        <f aca="false">IF(Y403="معکوس",1,0)</f>
        <v>0</v>
      </c>
      <c r="AZ403" s="21" t="n">
        <f aca="false">IF(ABS(AJ403)&gt;تنظیمات!$B$10,1,0)</f>
        <v>0</v>
      </c>
      <c r="BA403" s="21" t="n">
        <f aca="false">IF(AND(OR(AD403="رایگان/VIP",AD403="جانباز"),AF403="خیر"),1,0)</f>
        <v>0</v>
      </c>
      <c r="BB403" s="21" t="n">
        <f aca="false">IF(AE403="",0,IF(COUNTIF($AE$2:$AE$1001,AE403)&gt;1,1,0))</f>
        <v>0</v>
      </c>
      <c r="BC403" s="21" t="n">
        <f aca="false">IF(AND(H403="",I403&gt;تنظیمات!$B$12*60,AM403="خالی"),1,0)</f>
        <v>0</v>
      </c>
      <c r="BD403" s="21" t="n">
        <f aca="false">IF(AND(AP403="بله",I403&lt;تنظیمات!$B$14,AO403="خیر"),1,0)</f>
        <v>0</v>
      </c>
      <c r="BE403" s="21" t="n">
        <f aca="false">IF(AN403="خیر",1,0)</f>
        <v>0</v>
      </c>
      <c r="BF403" s="21" t="n">
        <f aca="false">IF(AND(AD403="فیش مفقودی",AQ403="بله",I403&gt;تنظیمات!$B$12*60),1,0)</f>
        <v>0</v>
      </c>
      <c r="BG403" s="21" t="n">
        <f aca="false">IF(AND(AK403&gt;تنظیمات!$B$11,AL403="بله"),1,0)</f>
        <v>0</v>
      </c>
      <c r="BH403" s="21" t="n">
        <f aca="false">MIN(100,AR403*تنظیمات!$B$21+AS403*تنظیمات!$B$22+AT403*تنظیمات!$B$23+AU403*تنظیمات!$B$24+AV403*تنظیمات!$B$25+AW403*تنظیمات!$B$26+AX403*تنظیمات!$B$27+AY403*تنظیمات!$B$28+AZ403*تنظیمات!$B$29+BA403*تنظیمات!$B$30+BB403*تنظیمات!$B$31+BC403*تنظیمات!$B$32+BD403*تنظیمات!$B$33+BE403*تنظیمات!$B$34+BF403*تنظیمات!$B$35+BG403*تنظیمات!$B$36)</f>
        <v>25</v>
      </c>
      <c r="BI403" s="16" t="str">
        <f aca="false">IF(BH403&gt;=60,"بحرانی",IF(BH403&gt;=30,"مشکوک",IF(BH403&gt;0,"هشدار","عادی")))</f>
        <v>هشدار</v>
      </c>
      <c r="BJ403" s="16" t="s">
        <v>211</v>
      </c>
    </row>
    <row r="404" customFormat="false" ht="15" hidden="false" customHeight="false" outlineLevel="0" collapsed="false">
      <c r="A404" s="16" t="s">
        <v>1670</v>
      </c>
      <c r="B404" s="16" t="s">
        <v>362</v>
      </c>
      <c r="C404" s="16"/>
      <c r="D404" s="16" t="s">
        <v>331</v>
      </c>
      <c r="E404" s="16" t="s">
        <v>363</v>
      </c>
      <c r="F404" s="16" t="s">
        <v>333</v>
      </c>
      <c r="G404" s="17" t="n">
        <v>46286.4733449074</v>
      </c>
      <c r="H404" s="17" t="n">
        <v>46286.4969560185</v>
      </c>
      <c r="I404" s="18" t="n">
        <f aca="false">IF(H404="",ROUND((تنظیمات!$B$7-G404)*1440,0),ROUND((H404-G404)*1440,0))</f>
        <v>34</v>
      </c>
      <c r="J404" s="16" t="s">
        <v>334</v>
      </c>
      <c r="K404" s="16" t="s">
        <v>400</v>
      </c>
      <c r="L404" s="19" t="n">
        <v>0.929</v>
      </c>
      <c r="M404" s="19" t="n">
        <v>0.929</v>
      </c>
      <c r="N404" s="16" t="s">
        <v>335</v>
      </c>
      <c r="O404" s="16" t="s">
        <v>411</v>
      </c>
      <c r="P404" s="16" t="s">
        <v>402</v>
      </c>
      <c r="Q404" s="20" t="n">
        <v>46286</v>
      </c>
      <c r="R404" s="16" t="s">
        <v>1671</v>
      </c>
      <c r="S404" s="16" t="s">
        <v>404</v>
      </c>
      <c r="T404" s="17"/>
      <c r="U404" s="21" t="n">
        <v>1</v>
      </c>
      <c r="V404" s="21" t="n">
        <v>1</v>
      </c>
      <c r="W404" s="22" t="n">
        <v>3.7</v>
      </c>
      <c r="X404" s="16" t="s">
        <v>335</v>
      </c>
      <c r="Y404" s="16" t="s">
        <v>338</v>
      </c>
      <c r="Z404" s="16" t="s">
        <v>413</v>
      </c>
      <c r="AA404" s="16" t="s">
        <v>427</v>
      </c>
      <c r="AB404" s="23" t="s">
        <v>1672</v>
      </c>
      <c r="AC404" s="17" t="n">
        <v>46286.4965509259</v>
      </c>
      <c r="AD404" s="16" t="s">
        <v>338</v>
      </c>
      <c r="AE404" s="16"/>
      <c r="AF404" s="16" t="str">
        <f aca="false">IF(COUNTIF(لیست_سفید!$A$2:$A$21,B404)&gt;0,"بله","خیر")</f>
        <v>خیر</v>
      </c>
      <c r="AG404" s="24" t="n">
        <f aca="false">IF(H404="","",IF(AD404="فیش مفقودی",تنظیمات!$B$6,(INT(I404/1440)*تنظیمات!$B$5+IF(MOD(I404,1440)&lt;=تنظیمات!$B$2,0,MIN(تنظیمات!$B$5,تنظیمات!$B$3+MAX(0,ROUNDUP((MOD(I404,1440)-60)/60,0))*تنظیمات!$B$4)))*INDEX(تعرفه!$B$2:$B$7,MATCH(AD404,تعرفه!$A$2:$A$7,0))))</f>
        <v>20000</v>
      </c>
      <c r="AH404" s="24" t="n">
        <v>20000</v>
      </c>
      <c r="AI404" s="24" t="n">
        <f aca="false">IF(AG404="","",AH404-AG404)</f>
        <v>0</v>
      </c>
      <c r="AJ404" s="21" t="n">
        <v>2</v>
      </c>
      <c r="AK404" s="21" t="n">
        <v>0</v>
      </c>
      <c r="AL404" s="16" t="s">
        <v>335</v>
      </c>
      <c r="AM404" s="16"/>
      <c r="AN404" s="16" t="s">
        <v>340</v>
      </c>
      <c r="AO404" s="16" t="s">
        <v>340</v>
      </c>
      <c r="AP404" s="16" t="s">
        <v>335</v>
      </c>
      <c r="AQ404" s="16"/>
      <c r="AR404" s="21" t="n">
        <f aca="false">IF(AND(T404&lt;&gt;"",H404&lt;&gt;""),IF(AND((T404-H404)*86400&gt;=0,(T404-H404)*86400&lt;تنظیمات!$B$13),1,0),0)</f>
        <v>0</v>
      </c>
      <c r="AS404" s="21" t="n">
        <f aca="false">IF(Z404="پوز",IF(OR(AB404="",COUNTIF(پوزها!$A$2:$A$5,AA404)=0),1,0),0)</f>
        <v>0</v>
      </c>
      <c r="AT404" s="21" t="n">
        <f aca="false">IF(AI404="",0,IF(AI404&gt;0,1,0))</f>
        <v>0</v>
      </c>
      <c r="AU404" s="21" t="n">
        <f aca="false">IF(AI404="",0,IF(AI404&lt;0,1,0))</f>
        <v>0</v>
      </c>
      <c r="AV404" s="21" t="n">
        <f aca="false">IF(U404&gt;V404,1,0)</f>
        <v>0</v>
      </c>
      <c r="AW404" s="21" t="n">
        <f aca="false">IF(OR(W404&gt;تنظیمات!$B$8,X404="بله"),1,0)</f>
        <v>0</v>
      </c>
      <c r="AX404" s="21" t="n">
        <f aca="false">IF(AND(N404="بله",L404&gt;تنظیمات!$B$9),1,0)</f>
        <v>0</v>
      </c>
      <c r="AY404" s="21" t="n">
        <f aca="false">IF(Y404="معکوس",1,0)</f>
        <v>0</v>
      </c>
      <c r="AZ404" s="21" t="n">
        <f aca="false">IF(ABS(AJ404)&gt;تنظیمات!$B$10,1,0)</f>
        <v>0</v>
      </c>
      <c r="BA404" s="21" t="n">
        <f aca="false">IF(AND(OR(AD404="رایگان/VIP",AD404="جانباز"),AF404="خیر"),1,0)</f>
        <v>0</v>
      </c>
      <c r="BB404" s="21" t="n">
        <f aca="false">IF(AE404="",0,IF(COUNTIF($AE$2:$AE$1001,AE404)&gt;1,1,0))</f>
        <v>0</v>
      </c>
      <c r="BC404" s="21" t="n">
        <f aca="false">IF(AND(H404="",I404&gt;تنظیمات!$B$12*60,AM404="خالی"),1,0)</f>
        <v>0</v>
      </c>
      <c r="BD404" s="21" t="n">
        <f aca="false">IF(AND(AP404="بله",I404&lt;تنظیمات!$B$14,AO404="خیر"),1,0)</f>
        <v>0</v>
      </c>
      <c r="BE404" s="21" t="n">
        <f aca="false">IF(AN404="خیر",1,0)</f>
        <v>0</v>
      </c>
      <c r="BF404" s="21" t="n">
        <f aca="false">IF(AND(AD404="فیش مفقودی",AQ404="بله",I404&gt;تنظیمات!$B$12*60),1,0)</f>
        <v>0</v>
      </c>
      <c r="BG404" s="21" t="n">
        <f aca="false">IF(AND(AK404&gt;تنظیمات!$B$11,AL404="بله"),1,0)</f>
        <v>0</v>
      </c>
      <c r="BH404" s="21" t="n">
        <f aca="false">MIN(100,AR404*تنظیمات!$B$21+AS404*تنظیمات!$B$22+AT404*تنظیمات!$B$23+AU404*تنظیمات!$B$24+AV404*تنظیمات!$B$25+AW404*تنظیمات!$B$26+AX404*تنظیمات!$B$27+AY404*تنظیمات!$B$28+AZ404*تنظیمات!$B$29+BA404*تنظیمات!$B$30+BB404*تنظیمات!$B$31+BC404*تنظیمات!$B$32+BD404*تنظیمات!$B$33+BE404*تنظیمات!$B$34+BF404*تنظیمات!$B$35+BG404*تنظیمات!$B$36)</f>
        <v>0</v>
      </c>
      <c r="BI404" s="16" t="str">
        <f aca="false">IF(BH404&gt;=60,"بحرانی",IF(BH404&gt;=30,"مشکوک",IF(BH404&gt;0,"هشدار","عادی")))</f>
        <v>عادی</v>
      </c>
      <c r="BJ404" s="16" t="s">
        <v>338</v>
      </c>
    </row>
    <row r="405" customFormat="false" ht="15" hidden="false" customHeight="false" outlineLevel="0" collapsed="false">
      <c r="A405" s="16" t="s">
        <v>1673</v>
      </c>
      <c r="B405" s="16" t="s">
        <v>1674</v>
      </c>
      <c r="C405" s="16"/>
      <c r="D405" s="16" t="s">
        <v>386</v>
      </c>
      <c r="E405" s="16" t="s">
        <v>375</v>
      </c>
      <c r="F405" s="16" t="s">
        <v>333</v>
      </c>
      <c r="G405" s="17" t="n">
        <v>46286.4961226852</v>
      </c>
      <c r="H405" s="17" t="n">
        <v>46286.5787615741</v>
      </c>
      <c r="I405" s="18" t="n">
        <f aca="false">IF(H405="",ROUND((تنظیمات!$B$7-G405)*1440,0),ROUND((H405-G405)*1440,0))</f>
        <v>119</v>
      </c>
      <c r="J405" s="16" t="s">
        <v>346</v>
      </c>
      <c r="K405" s="16" t="s">
        <v>400</v>
      </c>
      <c r="L405" s="19" t="n">
        <v>0.961</v>
      </c>
      <c r="M405" s="19" t="n">
        <v>0.957</v>
      </c>
      <c r="N405" s="16" t="s">
        <v>335</v>
      </c>
      <c r="O405" s="16" t="s">
        <v>411</v>
      </c>
      <c r="P405" s="16" t="s">
        <v>402</v>
      </c>
      <c r="Q405" s="20" t="n">
        <v>46286</v>
      </c>
      <c r="R405" s="16" t="s">
        <v>1675</v>
      </c>
      <c r="S405" s="16" t="s">
        <v>404</v>
      </c>
      <c r="T405" s="17"/>
      <c r="U405" s="21" t="n">
        <v>1</v>
      </c>
      <c r="V405" s="21" t="n">
        <v>1</v>
      </c>
      <c r="W405" s="22" t="n">
        <v>5.4</v>
      </c>
      <c r="X405" s="16" t="s">
        <v>335</v>
      </c>
      <c r="Y405" s="16" t="s">
        <v>338</v>
      </c>
      <c r="Z405" s="16" t="s">
        <v>465</v>
      </c>
      <c r="AA405" s="16"/>
      <c r="AB405" s="23"/>
      <c r="AC405" s="17"/>
      <c r="AD405" s="16" t="s">
        <v>466</v>
      </c>
      <c r="AE405" s="16"/>
      <c r="AF405" s="16" t="str">
        <f aca="false">IF(COUNTIF(لیست_سفید!$A$2:$A$21,B405)&gt;0,"بله","خیر")</f>
        <v>بله</v>
      </c>
      <c r="AG405" s="24" t="n">
        <f aca="false">IF(H405="","",IF(AD405="فیش مفقودی",تنظیمات!$B$6,(INT(I405/1440)*تنظیمات!$B$5+IF(MOD(I405,1440)&lt;=تنظیمات!$B$2,0,MIN(تنظیمات!$B$5,تنظیمات!$B$3+MAX(0,ROUNDUP((MOD(I405,1440)-60)/60,0))*تنظیمات!$B$4)))*INDEX(تعرفه!$B$2:$B$7,MATCH(AD405,تعرفه!$A$2:$A$7,0))))</f>
        <v>0</v>
      </c>
      <c r="AH405" s="24" t="n">
        <v>0</v>
      </c>
      <c r="AI405" s="24" t="n">
        <f aca="false">IF(AG405="","",AH405-AG405)</f>
        <v>0</v>
      </c>
      <c r="AJ405" s="21" t="n">
        <v>-1</v>
      </c>
      <c r="AK405" s="21" t="n">
        <v>0</v>
      </c>
      <c r="AL405" s="16" t="s">
        <v>335</v>
      </c>
      <c r="AM405" s="16"/>
      <c r="AN405" s="16" t="s">
        <v>340</v>
      </c>
      <c r="AO405" s="16" t="s">
        <v>340</v>
      </c>
      <c r="AP405" s="16" t="s">
        <v>335</v>
      </c>
      <c r="AQ405" s="16"/>
      <c r="AR405" s="21" t="n">
        <f aca="false">IF(AND(T405&lt;&gt;"",H405&lt;&gt;""),IF(AND((T405-H405)*86400&gt;=0,(T405-H405)*86400&lt;تنظیمات!$B$13),1,0),0)</f>
        <v>0</v>
      </c>
      <c r="AS405" s="21" t="n">
        <f aca="false">IF(Z405="پوز",IF(OR(AB405="",COUNTIF(پوزها!$A$2:$A$5,AA405)=0),1,0),0)</f>
        <v>0</v>
      </c>
      <c r="AT405" s="21" t="n">
        <f aca="false">IF(AI405="",0,IF(AI405&gt;0,1,0))</f>
        <v>0</v>
      </c>
      <c r="AU405" s="21" t="n">
        <f aca="false">IF(AI405="",0,IF(AI405&lt;0,1,0))</f>
        <v>0</v>
      </c>
      <c r="AV405" s="21" t="n">
        <f aca="false">IF(U405&gt;V405,1,0)</f>
        <v>0</v>
      </c>
      <c r="AW405" s="21" t="n">
        <f aca="false">IF(OR(W405&gt;تنظیمات!$B$8,X405="بله"),1,0)</f>
        <v>0</v>
      </c>
      <c r="AX405" s="21" t="n">
        <f aca="false">IF(AND(N405="بله",L405&gt;تنظیمات!$B$9),1,0)</f>
        <v>0</v>
      </c>
      <c r="AY405" s="21" t="n">
        <f aca="false">IF(Y405="معکوس",1,0)</f>
        <v>0</v>
      </c>
      <c r="AZ405" s="21" t="n">
        <f aca="false">IF(ABS(AJ405)&gt;تنظیمات!$B$10,1,0)</f>
        <v>0</v>
      </c>
      <c r="BA405" s="21" t="n">
        <f aca="false">IF(AND(OR(AD405="رایگان/VIP",AD405="جانباز"),AF405="خیر"),1,0)</f>
        <v>0</v>
      </c>
      <c r="BB405" s="21" t="n">
        <f aca="false">IF(AE405="",0,IF(COUNTIF($AE$2:$AE$1001,AE405)&gt;1,1,0))</f>
        <v>0</v>
      </c>
      <c r="BC405" s="21" t="n">
        <f aca="false">IF(AND(H405="",I405&gt;تنظیمات!$B$12*60,AM405="خالی"),1,0)</f>
        <v>0</v>
      </c>
      <c r="BD405" s="21" t="n">
        <f aca="false">IF(AND(AP405="بله",I405&lt;تنظیمات!$B$14,AO405="خیر"),1,0)</f>
        <v>0</v>
      </c>
      <c r="BE405" s="21" t="n">
        <f aca="false">IF(AN405="خیر",1,0)</f>
        <v>0</v>
      </c>
      <c r="BF405" s="21" t="n">
        <f aca="false">IF(AND(AD405="فیش مفقودی",AQ405="بله",I405&gt;تنظیمات!$B$12*60),1,0)</f>
        <v>0</v>
      </c>
      <c r="BG405" s="21" t="n">
        <f aca="false">IF(AND(AK405&gt;تنظیمات!$B$11,AL405="بله"),1,0)</f>
        <v>0</v>
      </c>
      <c r="BH405" s="21" t="n">
        <f aca="false">MIN(100,AR405*تنظیمات!$B$21+AS405*تنظیمات!$B$22+AT405*تنظیمات!$B$23+AU405*تنظیمات!$B$24+AV405*تنظیمات!$B$25+AW405*تنظیمات!$B$26+AX405*تنظیمات!$B$27+AY405*تنظیمات!$B$28+AZ405*تنظیمات!$B$29+BA405*تنظیمات!$B$30+BB405*تنظیمات!$B$31+BC405*تنظیمات!$B$32+BD405*تنظیمات!$B$33+BE405*تنظیمات!$B$34+BF405*تنظیمات!$B$35+BG405*تنظیمات!$B$36)</f>
        <v>0</v>
      </c>
      <c r="BI405" s="16" t="str">
        <f aca="false">IF(BH405&gt;=60,"بحرانی",IF(BH405&gt;=30,"مشکوک",IF(BH405&gt;0,"هشدار","عادی")))</f>
        <v>عادی</v>
      </c>
      <c r="BJ405" s="16" t="s">
        <v>338</v>
      </c>
    </row>
    <row r="406" customFormat="false" ht="15" hidden="false" customHeight="false" outlineLevel="0" collapsed="false">
      <c r="A406" s="16" t="s">
        <v>1676</v>
      </c>
      <c r="B406" s="16" t="s">
        <v>389</v>
      </c>
      <c r="C406" s="16"/>
      <c r="D406" s="16" t="s">
        <v>382</v>
      </c>
      <c r="E406" s="16" t="s">
        <v>390</v>
      </c>
      <c r="F406" s="16" t="s">
        <v>333</v>
      </c>
      <c r="G406" s="17" t="n">
        <v>46286.4985185185</v>
      </c>
      <c r="H406" s="17" t="n">
        <v>46286.5262962963</v>
      </c>
      <c r="I406" s="18" t="n">
        <f aca="false">IF(H406="",ROUND((تنظیمات!$B$7-G406)*1440,0),ROUND((H406-G406)*1440,0))</f>
        <v>40</v>
      </c>
      <c r="J406" s="16" t="s">
        <v>346</v>
      </c>
      <c r="K406" s="16" t="s">
        <v>400</v>
      </c>
      <c r="L406" s="19" t="n">
        <v>0.977</v>
      </c>
      <c r="M406" s="19" t="n">
        <v>0.931</v>
      </c>
      <c r="N406" s="16" t="s">
        <v>335</v>
      </c>
      <c r="O406" s="16" t="s">
        <v>411</v>
      </c>
      <c r="P406" s="16" t="s">
        <v>402</v>
      </c>
      <c r="Q406" s="20" t="n">
        <v>46286</v>
      </c>
      <c r="R406" s="16" t="s">
        <v>1677</v>
      </c>
      <c r="S406" s="16" t="s">
        <v>404</v>
      </c>
      <c r="T406" s="17"/>
      <c r="U406" s="21" t="n">
        <v>1</v>
      </c>
      <c r="V406" s="21" t="n">
        <v>1</v>
      </c>
      <c r="W406" s="22" t="n">
        <v>3.9</v>
      </c>
      <c r="X406" s="16" t="s">
        <v>335</v>
      </c>
      <c r="Y406" s="16" t="s">
        <v>338</v>
      </c>
      <c r="Z406" s="16" t="s">
        <v>413</v>
      </c>
      <c r="AA406" s="16" t="s">
        <v>427</v>
      </c>
      <c r="AB406" s="23" t="s">
        <v>1678</v>
      </c>
      <c r="AC406" s="17" t="n">
        <v>46286.5256481482</v>
      </c>
      <c r="AD406" s="16" t="s">
        <v>481</v>
      </c>
      <c r="AE406" s="16" t="s">
        <v>1679</v>
      </c>
      <c r="AF406" s="16" t="str">
        <f aca="false">IF(COUNTIF(لیست_سفید!$A$2:$A$21,B406)&gt;0,"بله","خیر")</f>
        <v>خیر</v>
      </c>
      <c r="AG406" s="24" t="n">
        <f aca="false">IF(H406="","",IF(AD406="فیش مفقودی",تنظیمات!$B$6,(INT(I406/1440)*تنظیمات!$B$5+IF(MOD(I406,1440)&lt;=تنظیمات!$B$2,0,MIN(تنظیمات!$B$5,تنظیمات!$B$3+MAX(0,ROUNDUP((MOD(I406,1440)-60)/60,0))*تنظیمات!$B$4)))*INDEX(تعرفه!$B$2:$B$7,MATCH(AD406,تعرفه!$A$2:$A$7,0))))</f>
        <v>10000</v>
      </c>
      <c r="AH406" s="24" t="n">
        <v>10000</v>
      </c>
      <c r="AI406" s="24" t="n">
        <f aca="false">IF(AG406="","",AH406-AG406)</f>
        <v>0</v>
      </c>
      <c r="AJ406" s="21" t="n">
        <v>3</v>
      </c>
      <c r="AK406" s="21" t="n">
        <v>0</v>
      </c>
      <c r="AL406" s="16" t="s">
        <v>335</v>
      </c>
      <c r="AM406" s="16"/>
      <c r="AN406" s="16" t="s">
        <v>340</v>
      </c>
      <c r="AO406" s="16" t="s">
        <v>340</v>
      </c>
      <c r="AP406" s="16" t="s">
        <v>335</v>
      </c>
      <c r="AQ406" s="16"/>
      <c r="AR406" s="21" t="n">
        <f aca="false">IF(AND(T406&lt;&gt;"",H406&lt;&gt;""),IF(AND((T406-H406)*86400&gt;=0,(T406-H406)*86400&lt;تنظیمات!$B$13),1,0),0)</f>
        <v>0</v>
      </c>
      <c r="AS406" s="21" t="n">
        <f aca="false">IF(Z406="پوز",IF(OR(AB406="",COUNTIF(پوزها!$A$2:$A$5,AA406)=0),1,0),0)</f>
        <v>0</v>
      </c>
      <c r="AT406" s="21" t="n">
        <f aca="false">IF(AI406="",0,IF(AI406&gt;0,1,0))</f>
        <v>0</v>
      </c>
      <c r="AU406" s="21" t="n">
        <f aca="false">IF(AI406="",0,IF(AI406&lt;0,1,0))</f>
        <v>0</v>
      </c>
      <c r="AV406" s="21" t="n">
        <f aca="false">IF(U406&gt;V406,1,0)</f>
        <v>0</v>
      </c>
      <c r="AW406" s="21" t="n">
        <f aca="false">IF(OR(W406&gt;تنظیمات!$B$8,X406="بله"),1,0)</f>
        <v>0</v>
      </c>
      <c r="AX406" s="21" t="n">
        <f aca="false">IF(AND(N406="بله",L406&gt;تنظیمات!$B$9),1,0)</f>
        <v>0</v>
      </c>
      <c r="AY406" s="21" t="n">
        <f aca="false">IF(Y406="معکوس",1,0)</f>
        <v>0</v>
      </c>
      <c r="AZ406" s="21" t="n">
        <f aca="false">IF(ABS(AJ406)&gt;تنظیمات!$B$10,1,0)</f>
        <v>0</v>
      </c>
      <c r="BA406" s="21" t="n">
        <f aca="false">IF(AND(OR(AD406="رایگان/VIP",AD406="جانباز"),AF406="خیر"),1,0)</f>
        <v>0</v>
      </c>
      <c r="BB406" s="21" t="n">
        <f aca="false">IF(AE406="",0,IF(COUNTIF($AE$2:$AE$1001,AE406)&gt;1,1,0))</f>
        <v>0</v>
      </c>
      <c r="BC406" s="21" t="n">
        <f aca="false">IF(AND(H406="",I406&gt;تنظیمات!$B$12*60,AM406="خالی"),1,0)</f>
        <v>0</v>
      </c>
      <c r="BD406" s="21" t="n">
        <f aca="false">IF(AND(AP406="بله",I406&lt;تنظیمات!$B$14,AO406="خیر"),1,0)</f>
        <v>0</v>
      </c>
      <c r="BE406" s="21" t="n">
        <f aca="false">IF(AN406="خیر",1,0)</f>
        <v>0</v>
      </c>
      <c r="BF406" s="21" t="n">
        <f aca="false">IF(AND(AD406="فیش مفقودی",AQ406="بله",I406&gt;تنظیمات!$B$12*60),1,0)</f>
        <v>0</v>
      </c>
      <c r="BG406" s="21" t="n">
        <f aca="false">IF(AND(AK406&gt;تنظیمات!$B$11,AL406="بله"),1,0)</f>
        <v>0</v>
      </c>
      <c r="BH406" s="21" t="n">
        <f aca="false">MIN(100,AR406*تنظیمات!$B$21+AS406*تنظیمات!$B$22+AT406*تنظیمات!$B$23+AU406*تنظیمات!$B$24+AV406*تنظیمات!$B$25+AW406*تنظیمات!$B$26+AX406*تنظیمات!$B$27+AY406*تنظیمات!$B$28+AZ406*تنظیمات!$B$29+BA406*تنظیمات!$B$30+BB406*تنظیمات!$B$31+BC406*تنظیمات!$B$32+BD406*تنظیمات!$B$33+BE406*تنظیمات!$B$34+BF406*تنظیمات!$B$35+BG406*تنظیمات!$B$36)</f>
        <v>0</v>
      </c>
      <c r="BI406" s="16" t="str">
        <f aca="false">IF(BH406&gt;=60,"بحرانی",IF(BH406&gt;=30,"مشکوک",IF(BH406&gt;0,"هشدار","عادی")))</f>
        <v>عادی</v>
      </c>
      <c r="BJ406" s="16" t="s">
        <v>338</v>
      </c>
    </row>
    <row r="407" customFormat="false" ht="15" hidden="false" customHeight="false" outlineLevel="0" collapsed="false">
      <c r="A407" s="16" t="s">
        <v>1680</v>
      </c>
      <c r="B407" s="16" t="s">
        <v>928</v>
      </c>
      <c r="C407" s="16"/>
      <c r="D407" s="16" t="s">
        <v>331</v>
      </c>
      <c r="E407" s="16" t="s">
        <v>351</v>
      </c>
      <c r="F407" s="16" t="s">
        <v>333</v>
      </c>
      <c r="G407" s="17" t="n">
        <v>46286.5139467593</v>
      </c>
      <c r="H407" s="17" t="n">
        <v>46286.6570023148</v>
      </c>
      <c r="I407" s="18" t="n">
        <f aca="false">IF(H407="",ROUND((تنظیمات!$B$7-G407)*1440,0),ROUND((H407-G407)*1440,0))</f>
        <v>206</v>
      </c>
      <c r="J407" s="16" t="s">
        <v>346</v>
      </c>
      <c r="K407" s="16" t="s">
        <v>400</v>
      </c>
      <c r="L407" s="19" t="n">
        <v>0.964</v>
      </c>
      <c r="M407" s="19" t="n">
        <v>0.995</v>
      </c>
      <c r="N407" s="16" t="s">
        <v>335</v>
      </c>
      <c r="O407" s="16" t="s">
        <v>419</v>
      </c>
      <c r="P407" s="16" t="s">
        <v>420</v>
      </c>
      <c r="Q407" s="20" t="n">
        <v>46286</v>
      </c>
      <c r="R407" s="16" t="s">
        <v>1681</v>
      </c>
      <c r="S407" s="16" t="s">
        <v>404</v>
      </c>
      <c r="T407" s="17"/>
      <c r="U407" s="21" t="n">
        <v>1</v>
      </c>
      <c r="V407" s="21" t="n">
        <v>1</v>
      </c>
      <c r="W407" s="22" t="n">
        <v>4.3</v>
      </c>
      <c r="X407" s="16" t="s">
        <v>335</v>
      </c>
      <c r="Y407" s="16" t="s">
        <v>338</v>
      </c>
      <c r="Z407" s="16" t="s">
        <v>413</v>
      </c>
      <c r="AA407" s="16" t="s">
        <v>427</v>
      </c>
      <c r="AB407" s="23" t="s">
        <v>1682</v>
      </c>
      <c r="AC407" s="17" t="n">
        <v>46286.6565277778</v>
      </c>
      <c r="AD407" s="16" t="s">
        <v>338</v>
      </c>
      <c r="AE407" s="16"/>
      <c r="AF407" s="16" t="str">
        <f aca="false">IF(COUNTIF(لیست_سفید!$A$2:$A$21,B407)&gt;0,"بله","خیر")</f>
        <v>خیر</v>
      </c>
      <c r="AG407" s="24" t="n">
        <f aca="false">IF(H407="","",IF(AD407="فیش مفقودی",تنظیمات!$B$6,(INT(I407/1440)*تنظیمات!$B$5+IF(MOD(I407,1440)&lt;=تنظیمات!$B$2,0,MIN(تنظیمات!$B$5,تنظیمات!$B$3+MAX(0,ROUNDUP((MOD(I407,1440)-60)/60,0))*تنظیمات!$B$4)))*INDEX(تعرفه!$B$2:$B$7,MATCH(AD407,تعرفه!$A$2:$A$7,0))))</f>
        <v>62000</v>
      </c>
      <c r="AH407" s="24" t="n">
        <v>62000</v>
      </c>
      <c r="AI407" s="24" t="n">
        <f aca="false">IF(AG407="","",AH407-AG407)</f>
        <v>0</v>
      </c>
      <c r="AJ407" s="21" t="n">
        <v>0</v>
      </c>
      <c r="AK407" s="21" t="n">
        <v>0</v>
      </c>
      <c r="AL407" s="16" t="s">
        <v>335</v>
      </c>
      <c r="AM407" s="16"/>
      <c r="AN407" s="16" t="s">
        <v>340</v>
      </c>
      <c r="AO407" s="16" t="s">
        <v>340</v>
      </c>
      <c r="AP407" s="16" t="s">
        <v>335</v>
      </c>
      <c r="AQ407" s="16"/>
      <c r="AR407" s="21" t="n">
        <f aca="false">IF(AND(T407&lt;&gt;"",H407&lt;&gt;""),IF(AND((T407-H407)*86400&gt;=0,(T407-H407)*86400&lt;تنظیمات!$B$13),1,0),0)</f>
        <v>0</v>
      </c>
      <c r="AS407" s="21" t="n">
        <f aca="false">IF(Z407="پوز",IF(OR(AB407="",COUNTIF(پوزها!$A$2:$A$5,AA407)=0),1,0),0)</f>
        <v>0</v>
      </c>
      <c r="AT407" s="21" t="n">
        <f aca="false">IF(AI407="",0,IF(AI407&gt;0,1,0))</f>
        <v>0</v>
      </c>
      <c r="AU407" s="21" t="n">
        <f aca="false">IF(AI407="",0,IF(AI407&lt;0,1,0))</f>
        <v>0</v>
      </c>
      <c r="AV407" s="21" t="n">
        <f aca="false">IF(U407&gt;V407,1,0)</f>
        <v>0</v>
      </c>
      <c r="AW407" s="21" t="n">
        <f aca="false">IF(OR(W407&gt;تنظیمات!$B$8,X407="بله"),1,0)</f>
        <v>0</v>
      </c>
      <c r="AX407" s="21" t="n">
        <f aca="false">IF(AND(N407="بله",L407&gt;تنظیمات!$B$9),1,0)</f>
        <v>0</v>
      </c>
      <c r="AY407" s="21" t="n">
        <f aca="false">IF(Y407="معکوس",1,0)</f>
        <v>0</v>
      </c>
      <c r="AZ407" s="21" t="n">
        <f aca="false">IF(ABS(AJ407)&gt;تنظیمات!$B$10,1,0)</f>
        <v>0</v>
      </c>
      <c r="BA407" s="21" t="n">
        <f aca="false">IF(AND(OR(AD407="رایگان/VIP",AD407="جانباز"),AF407="خیر"),1,0)</f>
        <v>0</v>
      </c>
      <c r="BB407" s="21" t="n">
        <f aca="false">IF(AE407="",0,IF(COUNTIF($AE$2:$AE$1001,AE407)&gt;1,1,0))</f>
        <v>0</v>
      </c>
      <c r="BC407" s="21" t="n">
        <f aca="false">IF(AND(H407="",I407&gt;تنظیمات!$B$12*60,AM407="خالی"),1,0)</f>
        <v>0</v>
      </c>
      <c r="BD407" s="21" t="n">
        <f aca="false">IF(AND(AP407="بله",I407&lt;تنظیمات!$B$14,AO407="خیر"),1,0)</f>
        <v>0</v>
      </c>
      <c r="BE407" s="21" t="n">
        <f aca="false">IF(AN407="خیر",1,0)</f>
        <v>0</v>
      </c>
      <c r="BF407" s="21" t="n">
        <f aca="false">IF(AND(AD407="فیش مفقودی",AQ407="بله",I407&gt;تنظیمات!$B$12*60),1,0)</f>
        <v>0</v>
      </c>
      <c r="BG407" s="21" t="n">
        <f aca="false">IF(AND(AK407&gt;تنظیمات!$B$11,AL407="بله"),1,0)</f>
        <v>0</v>
      </c>
      <c r="BH407" s="21" t="n">
        <f aca="false">MIN(100,AR407*تنظیمات!$B$21+AS407*تنظیمات!$B$22+AT407*تنظیمات!$B$23+AU407*تنظیمات!$B$24+AV407*تنظیمات!$B$25+AW407*تنظیمات!$B$26+AX407*تنظیمات!$B$27+AY407*تنظیمات!$B$28+AZ407*تنظیمات!$B$29+BA407*تنظیمات!$B$30+BB407*تنظیمات!$B$31+BC407*تنظیمات!$B$32+BD407*تنظیمات!$B$33+BE407*تنظیمات!$B$34+BF407*تنظیمات!$B$35+BG407*تنظیمات!$B$36)</f>
        <v>0</v>
      </c>
      <c r="BI407" s="16" t="str">
        <f aca="false">IF(BH407&gt;=60,"بحرانی",IF(BH407&gt;=30,"مشکوک",IF(BH407&gt;0,"هشدار","عادی")))</f>
        <v>عادی</v>
      </c>
      <c r="BJ407" s="16" t="s">
        <v>338</v>
      </c>
    </row>
    <row r="408" customFormat="false" ht="15" hidden="false" customHeight="false" outlineLevel="0" collapsed="false">
      <c r="A408" s="16" t="s">
        <v>1683</v>
      </c>
      <c r="B408" s="16" t="s">
        <v>773</v>
      </c>
      <c r="C408" s="16"/>
      <c r="D408" s="16" t="s">
        <v>431</v>
      </c>
      <c r="E408" s="16" t="s">
        <v>332</v>
      </c>
      <c r="F408" s="16" t="s">
        <v>333</v>
      </c>
      <c r="G408" s="17" t="n">
        <v>46286.5182986111</v>
      </c>
      <c r="H408" s="17" t="n">
        <v>46286.5217708333</v>
      </c>
      <c r="I408" s="18" t="n">
        <f aca="false">IF(H408="",ROUND((تنظیمات!$B$7-G408)*1440,0),ROUND((H408-G408)*1440,0))</f>
        <v>5</v>
      </c>
      <c r="J408" s="16" t="s">
        <v>346</v>
      </c>
      <c r="K408" s="16" t="s">
        <v>410</v>
      </c>
      <c r="L408" s="19" t="n">
        <v>0.851</v>
      </c>
      <c r="M408" s="19" t="n">
        <v>0.952</v>
      </c>
      <c r="N408" s="16" t="s">
        <v>335</v>
      </c>
      <c r="O408" s="16" t="s">
        <v>401</v>
      </c>
      <c r="P408" s="16" t="s">
        <v>402</v>
      </c>
      <c r="Q408" s="20" t="n">
        <v>46286</v>
      </c>
      <c r="R408" s="16" t="s">
        <v>1684</v>
      </c>
      <c r="S408" s="16" t="s">
        <v>404</v>
      </c>
      <c r="T408" s="17"/>
      <c r="U408" s="21" t="n">
        <v>1</v>
      </c>
      <c r="V408" s="21" t="n">
        <v>1</v>
      </c>
      <c r="W408" s="22" t="n">
        <v>5</v>
      </c>
      <c r="X408" s="16" t="s">
        <v>335</v>
      </c>
      <c r="Y408" s="16" t="s">
        <v>338</v>
      </c>
      <c r="Z408" s="16" t="s">
        <v>628</v>
      </c>
      <c r="AA408" s="16"/>
      <c r="AB408" s="23"/>
      <c r="AC408" s="17"/>
      <c r="AD408" s="16" t="s">
        <v>338</v>
      </c>
      <c r="AE408" s="16"/>
      <c r="AF408" s="16" t="str">
        <f aca="false">IF(COUNTIF(لیست_سفید!$A$2:$A$21,B408)&gt;0,"بله","خیر")</f>
        <v>خیر</v>
      </c>
      <c r="AG408" s="24" t="n">
        <f aca="false">IF(H408="","",IF(AD408="فیش مفقودی",تنظیمات!$B$6,(INT(I408/1440)*تنظیمات!$B$5+IF(MOD(I408,1440)&lt;=تنظیمات!$B$2,0,MIN(تنظیمات!$B$5,تنظیمات!$B$3+MAX(0,ROUNDUP((MOD(I408,1440)-60)/60,0))*تنظیمات!$B$4)))*INDEX(تعرفه!$B$2:$B$7,MATCH(AD408,تعرفه!$A$2:$A$7,0))))</f>
        <v>0</v>
      </c>
      <c r="AH408" s="24" t="n">
        <v>0</v>
      </c>
      <c r="AI408" s="24" t="n">
        <f aca="false">IF(AG408="","",AH408-AG408)</f>
        <v>0</v>
      </c>
      <c r="AJ408" s="21" t="n">
        <v>-3</v>
      </c>
      <c r="AK408" s="21" t="n">
        <v>0</v>
      </c>
      <c r="AL408" s="16" t="s">
        <v>335</v>
      </c>
      <c r="AM408" s="16"/>
      <c r="AN408" s="16" t="s">
        <v>340</v>
      </c>
      <c r="AO408" s="16" t="s">
        <v>340</v>
      </c>
      <c r="AP408" s="16" t="s">
        <v>335</v>
      </c>
      <c r="AQ408" s="16"/>
      <c r="AR408" s="21" t="n">
        <f aca="false">IF(AND(T408&lt;&gt;"",H408&lt;&gt;""),IF(AND((T408-H408)*86400&gt;=0,(T408-H408)*86400&lt;تنظیمات!$B$13),1,0),0)</f>
        <v>0</v>
      </c>
      <c r="AS408" s="21" t="n">
        <f aca="false">IF(Z408="پوز",IF(OR(AB408="",COUNTIF(پوزها!$A$2:$A$5,AA408)=0),1,0),0)</f>
        <v>0</v>
      </c>
      <c r="AT408" s="21" t="n">
        <f aca="false">IF(AI408="",0,IF(AI408&gt;0,1,0))</f>
        <v>0</v>
      </c>
      <c r="AU408" s="21" t="n">
        <f aca="false">IF(AI408="",0,IF(AI408&lt;0,1,0))</f>
        <v>0</v>
      </c>
      <c r="AV408" s="21" t="n">
        <f aca="false">IF(U408&gt;V408,1,0)</f>
        <v>0</v>
      </c>
      <c r="AW408" s="21" t="n">
        <f aca="false">IF(OR(W408&gt;تنظیمات!$B$8,X408="بله"),1,0)</f>
        <v>0</v>
      </c>
      <c r="AX408" s="21" t="n">
        <f aca="false">IF(AND(N408="بله",L408&gt;تنظیمات!$B$9),1,0)</f>
        <v>0</v>
      </c>
      <c r="AY408" s="21" t="n">
        <f aca="false">IF(Y408="معکوس",1,0)</f>
        <v>0</v>
      </c>
      <c r="AZ408" s="21" t="n">
        <f aca="false">IF(ABS(AJ408)&gt;تنظیمات!$B$10,1,0)</f>
        <v>0</v>
      </c>
      <c r="BA408" s="21" t="n">
        <f aca="false">IF(AND(OR(AD408="رایگان/VIP",AD408="جانباز"),AF408="خیر"),1,0)</f>
        <v>0</v>
      </c>
      <c r="BB408" s="21" t="n">
        <f aca="false">IF(AE408="",0,IF(COUNTIF($AE$2:$AE$1001,AE408)&gt;1,1,0))</f>
        <v>0</v>
      </c>
      <c r="BC408" s="21" t="n">
        <f aca="false">IF(AND(H408="",I408&gt;تنظیمات!$B$12*60,AM408="خالی"),1,0)</f>
        <v>0</v>
      </c>
      <c r="BD408" s="21" t="n">
        <f aca="false">IF(AND(AP408="بله",I408&lt;تنظیمات!$B$14,AO408="خیر"),1,0)</f>
        <v>0</v>
      </c>
      <c r="BE408" s="21" t="n">
        <f aca="false">IF(AN408="خیر",1,0)</f>
        <v>0</v>
      </c>
      <c r="BF408" s="21" t="n">
        <f aca="false">IF(AND(AD408="فیش مفقودی",AQ408="بله",I408&gt;تنظیمات!$B$12*60),1,0)</f>
        <v>0</v>
      </c>
      <c r="BG408" s="21" t="n">
        <f aca="false">IF(AND(AK408&gt;تنظیمات!$B$11,AL408="بله"),1,0)</f>
        <v>0</v>
      </c>
      <c r="BH408" s="21" t="n">
        <f aca="false">MIN(100,AR408*تنظیمات!$B$21+AS408*تنظیمات!$B$22+AT408*تنظیمات!$B$23+AU408*تنظیمات!$B$24+AV408*تنظیمات!$B$25+AW408*تنظیمات!$B$26+AX408*تنظیمات!$B$27+AY408*تنظیمات!$B$28+AZ408*تنظیمات!$B$29+BA408*تنظیمات!$B$30+BB408*تنظیمات!$B$31+BC408*تنظیمات!$B$32+BD408*تنظیمات!$B$33+BE408*تنظیمات!$B$34+BF408*تنظیمات!$B$35+BG408*تنظیمات!$B$36)</f>
        <v>0</v>
      </c>
      <c r="BI408" s="16" t="str">
        <f aca="false">IF(BH408&gt;=60,"بحرانی",IF(BH408&gt;=30,"مشکوک",IF(BH408&gt;0,"هشدار","عادی")))</f>
        <v>عادی</v>
      </c>
      <c r="BJ408" s="16" t="s">
        <v>629</v>
      </c>
    </row>
    <row r="409" customFormat="false" ht="15" hidden="false" customHeight="false" outlineLevel="0" collapsed="false">
      <c r="A409" s="16" t="s">
        <v>1685</v>
      </c>
      <c r="B409" s="16" t="s">
        <v>958</v>
      </c>
      <c r="C409" s="16"/>
      <c r="D409" s="16" t="s">
        <v>431</v>
      </c>
      <c r="E409" s="16" t="s">
        <v>351</v>
      </c>
      <c r="F409" s="16" t="s">
        <v>333</v>
      </c>
      <c r="G409" s="17" t="n">
        <v>46286.5234490741</v>
      </c>
      <c r="H409" s="17" t="n">
        <v>46288.5290046296</v>
      </c>
      <c r="I409" s="18" t="n">
        <f aca="false">IF(H409="",ROUND((تنظیمات!$B$7-G409)*1440,0),ROUND((H409-G409)*1440,0))</f>
        <v>2888</v>
      </c>
      <c r="J409" s="16" t="s">
        <v>346</v>
      </c>
      <c r="K409" s="16" t="s">
        <v>400</v>
      </c>
      <c r="L409" s="19" t="n">
        <v>0.991</v>
      </c>
      <c r="M409" s="19" t="n">
        <v>0.88</v>
      </c>
      <c r="N409" s="16" t="s">
        <v>335</v>
      </c>
      <c r="O409" s="16" t="s">
        <v>419</v>
      </c>
      <c r="P409" s="16" t="s">
        <v>402</v>
      </c>
      <c r="Q409" s="20" t="n">
        <v>46288</v>
      </c>
      <c r="R409" s="16" t="s">
        <v>1686</v>
      </c>
      <c r="S409" s="16" t="s">
        <v>404</v>
      </c>
      <c r="T409" s="17"/>
      <c r="U409" s="21" t="n">
        <v>1</v>
      </c>
      <c r="V409" s="21" t="n">
        <v>1</v>
      </c>
      <c r="W409" s="22" t="n">
        <v>4.1</v>
      </c>
      <c r="X409" s="16" t="s">
        <v>335</v>
      </c>
      <c r="Y409" s="16" t="s">
        <v>338</v>
      </c>
      <c r="Z409" s="16" t="s">
        <v>405</v>
      </c>
      <c r="AA409" s="16"/>
      <c r="AB409" s="23"/>
      <c r="AC409" s="17"/>
      <c r="AD409" s="16" t="s">
        <v>338</v>
      </c>
      <c r="AE409" s="16"/>
      <c r="AF409" s="16" t="str">
        <f aca="false">IF(COUNTIF(لیست_سفید!$A$2:$A$21,B409)&gt;0,"بله","خیر")</f>
        <v>خیر</v>
      </c>
      <c r="AG409" s="24" t="n">
        <f aca="false">IF(H409="","",IF(AD409="فیش مفقودی",تنظیمات!$B$6,(INT(I409/1440)*تنظیمات!$B$5+IF(MOD(I409,1440)&lt;=تنظیمات!$B$2,0,MIN(تنظیمات!$B$5,تنظیمات!$B$3+MAX(0,ROUNDUP((MOD(I409,1440)-60)/60,0))*تنظیمات!$B$4)))*INDEX(تعرفه!$B$2:$B$7,MATCH(AD409,تعرفه!$A$2:$A$7,0))))</f>
        <v>360000</v>
      </c>
      <c r="AH409" s="24" t="n">
        <v>360000</v>
      </c>
      <c r="AI409" s="24" t="n">
        <f aca="false">IF(AG409="","",AH409-AG409)</f>
        <v>0</v>
      </c>
      <c r="AJ409" s="21" t="n">
        <v>1</v>
      </c>
      <c r="AK409" s="21" t="n">
        <v>0</v>
      </c>
      <c r="AL409" s="16" t="s">
        <v>335</v>
      </c>
      <c r="AM409" s="16"/>
      <c r="AN409" s="16" t="s">
        <v>340</v>
      </c>
      <c r="AO409" s="16" t="s">
        <v>340</v>
      </c>
      <c r="AP409" s="16" t="s">
        <v>335</v>
      </c>
      <c r="AQ409" s="16"/>
      <c r="AR409" s="21" t="n">
        <f aca="false">IF(AND(T409&lt;&gt;"",H409&lt;&gt;""),IF(AND((T409-H409)*86400&gt;=0,(T409-H409)*86400&lt;تنظیمات!$B$13),1,0),0)</f>
        <v>0</v>
      </c>
      <c r="AS409" s="21" t="n">
        <f aca="false">IF(Z409="پوز",IF(OR(AB409="",COUNTIF(پوزها!$A$2:$A$5,AA409)=0),1,0),0)</f>
        <v>0</v>
      </c>
      <c r="AT409" s="21" t="n">
        <f aca="false">IF(AI409="",0,IF(AI409&gt;0,1,0))</f>
        <v>0</v>
      </c>
      <c r="AU409" s="21" t="n">
        <f aca="false">IF(AI409="",0,IF(AI409&lt;0,1,0))</f>
        <v>0</v>
      </c>
      <c r="AV409" s="21" t="n">
        <f aca="false">IF(U409&gt;V409,1,0)</f>
        <v>0</v>
      </c>
      <c r="AW409" s="21" t="n">
        <f aca="false">IF(OR(W409&gt;تنظیمات!$B$8,X409="بله"),1,0)</f>
        <v>0</v>
      </c>
      <c r="AX409" s="21" t="n">
        <f aca="false">IF(AND(N409="بله",L409&gt;تنظیمات!$B$9),1,0)</f>
        <v>0</v>
      </c>
      <c r="AY409" s="21" t="n">
        <f aca="false">IF(Y409="معکوس",1,0)</f>
        <v>0</v>
      </c>
      <c r="AZ409" s="21" t="n">
        <f aca="false">IF(ABS(AJ409)&gt;تنظیمات!$B$10,1,0)</f>
        <v>0</v>
      </c>
      <c r="BA409" s="21" t="n">
        <f aca="false">IF(AND(OR(AD409="رایگان/VIP",AD409="جانباز"),AF409="خیر"),1,0)</f>
        <v>0</v>
      </c>
      <c r="BB409" s="21" t="n">
        <f aca="false">IF(AE409="",0,IF(COUNTIF($AE$2:$AE$1001,AE409)&gt;1,1,0))</f>
        <v>0</v>
      </c>
      <c r="BC409" s="21" t="n">
        <f aca="false">IF(AND(H409="",I409&gt;تنظیمات!$B$12*60,AM409="خالی"),1,0)</f>
        <v>0</v>
      </c>
      <c r="BD409" s="21" t="n">
        <f aca="false">IF(AND(AP409="بله",I409&lt;تنظیمات!$B$14,AO409="خیر"),1,0)</f>
        <v>0</v>
      </c>
      <c r="BE409" s="21" t="n">
        <f aca="false">IF(AN409="خیر",1,0)</f>
        <v>0</v>
      </c>
      <c r="BF409" s="21" t="n">
        <f aca="false">IF(AND(AD409="فیش مفقودی",AQ409="بله",I409&gt;تنظیمات!$B$12*60),1,0)</f>
        <v>0</v>
      </c>
      <c r="BG409" s="21" t="n">
        <f aca="false">IF(AND(AK409&gt;تنظیمات!$B$11,AL409="بله"),1,0)</f>
        <v>0</v>
      </c>
      <c r="BH409" s="21" t="n">
        <f aca="false">MIN(100,AR409*تنظیمات!$B$21+AS409*تنظیمات!$B$22+AT409*تنظیمات!$B$23+AU409*تنظیمات!$B$24+AV409*تنظیمات!$B$25+AW409*تنظیمات!$B$26+AX409*تنظیمات!$B$27+AY409*تنظیمات!$B$28+AZ409*تنظیمات!$B$29+BA409*تنظیمات!$B$30+BB409*تنظیمات!$B$31+BC409*تنظیمات!$B$32+BD409*تنظیمات!$B$33+BE409*تنظیمات!$B$34+BF409*تنظیمات!$B$35+BG409*تنظیمات!$B$36)</f>
        <v>0</v>
      </c>
      <c r="BI409" s="16" t="str">
        <f aca="false">IF(BH409&gt;=60,"بحرانی",IF(BH409&gt;=30,"مشکوک",IF(BH409&gt;0,"هشدار","عادی")))</f>
        <v>عادی</v>
      </c>
      <c r="BJ409" s="16" t="s">
        <v>338</v>
      </c>
    </row>
    <row r="410" customFormat="false" ht="15" hidden="false" customHeight="false" outlineLevel="0" collapsed="false">
      <c r="A410" s="16" t="s">
        <v>1687</v>
      </c>
      <c r="B410" s="16" t="s">
        <v>941</v>
      </c>
      <c r="C410" s="16"/>
      <c r="D410" s="16" t="s">
        <v>531</v>
      </c>
      <c r="E410" s="16" t="s">
        <v>375</v>
      </c>
      <c r="F410" s="16" t="s">
        <v>333</v>
      </c>
      <c r="G410" s="17" t="n">
        <v>46286.5399537037</v>
      </c>
      <c r="H410" s="17" t="n">
        <v>46286.823287037</v>
      </c>
      <c r="I410" s="18" t="n">
        <f aca="false">IF(H410="",ROUND((تنظیمات!$B$7-G410)*1440,0),ROUND((H410-G410)*1440,0))</f>
        <v>408</v>
      </c>
      <c r="J410" s="16" t="s">
        <v>346</v>
      </c>
      <c r="K410" s="16" t="s">
        <v>400</v>
      </c>
      <c r="L410" s="19" t="n">
        <v>0.968</v>
      </c>
      <c r="M410" s="19" t="n">
        <v>0.995</v>
      </c>
      <c r="N410" s="16" t="s">
        <v>335</v>
      </c>
      <c r="O410" s="16" t="s">
        <v>419</v>
      </c>
      <c r="P410" s="16" t="s">
        <v>420</v>
      </c>
      <c r="Q410" s="20" t="n">
        <v>46286</v>
      </c>
      <c r="R410" s="16" t="s">
        <v>1688</v>
      </c>
      <c r="S410" s="16" t="s">
        <v>404</v>
      </c>
      <c r="T410" s="17"/>
      <c r="U410" s="21" t="n">
        <v>1</v>
      </c>
      <c r="V410" s="21" t="n">
        <v>1</v>
      </c>
      <c r="W410" s="22" t="n">
        <v>5.1</v>
      </c>
      <c r="X410" s="16" t="s">
        <v>335</v>
      </c>
      <c r="Y410" s="16" t="s">
        <v>338</v>
      </c>
      <c r="Z410" s="16" t="s">
        <v>443</v>
      </c>
      <c r="AA410" s="16"/>
      <c r="AB410" s="23"/>
      <c r="AC410" s="17"/>
      <c r="AD410" s="16" t="s">
        <v>444</v>
      </c>
      <c r="AE410" s="16"/>
      <c r="AF410" s="16" t="str">
        <f aca="false">IF(COUNTIF(لیست_سفید!$A$2:$A$21,B410)&gt;0,"بله","خیر")</f>
        <v>خیر</v>
      </c>
      <c r="AG410" s="24" t="n">
        <f aca="false">IF(H410="","",IF(AD410="فیش مفقودی",تنظیمات!$B$6,(INT(I410/1440)*تنظیمات!$B$5+IF(MOD(I410,1440)&lt;=تنظیمات!$B$2,0,MIN(تنظیمات!$B$5,تنظیمات!$B$3+MAX(0,ROUNDUP((MOD(I410,1440)-60)/60,0))*تنظیمات!$B$4)))*INDEX(تعرفه!$B$2:$B$7,MATCH(AD410,تعرفه!$A$2:$A$7,0))))</f>
        <v>0</v>
      </c>
      <c r="AH410" s="24" t="n">
        <v>0</v>
      </c>
      <c r="AI410" s="24" t="n">
        <f aca="false">IF(AG410="","",AH410-AG410)</f>
        <v>0</v>
      </c>
      <c r="AJ410" s="21" t="n">
        <v>2</v>
      </c>
      <c r="AK410" s="21" t="n">
        <v>0</v>
      </c>
      <c r="AL410" s="16" t="s">
        <v>335</v>
      </c>
      <c r="AM410" s="16"/>
      <c r="AN410" s="16" t="s">
        <v>340</v>
      </c>
      <c r="AO410" s="16" t="s">
        <v>340</v>
      </c>
      <c r="AP410" s="16" t="s">
        <v>335</v>
      </c>
      <c r="AQ410" s="16"/>
      <c r="AR410" s="21" t="n">
        <f aca="false">IF(AND(T410&lt;&gt;"",H410&lt;&gt;""),IF(AND((T410-H410)*86400&gt;=0,(T410-H410)*86400&lt;تنظیمات!$B$13),1,0),0)</f>
        <v>0</v>
      </c>
      <c r="AS410" s="21" t="n">
        <f aca="false">IF(Z410="پوز",IF(OR(AB410="",COUNTIF(پوزها!$A$2:$A$5,AA410)=0),1,0),0)</f>
        <v>0</v>
      </c>
      <c r="AT410" s="21" t="n">
        <f aca="false">IF(AI410="",0,IF(AI410&gt;0,1,0))</f>
        <v>0</v>
      </c>
      <c r="AU410" s="21" t="n">
        <f aca="false">IF(AI410="",0,IF(AI410&lt;0,1,0))</f>
        <v>0</v>
      </c>
      <c r="AV410" s="21" t="n">
        <f aca="false">IF(U410&gt;V410,1,0)</f>
        <v>0</v>
      </c>
      <c r="AW410" s="21" t="n">
        <f aca="false">IF(OR(W410&gt;تنظیمات!$B$8,X410="بله"),1,0)</f>
        <v>0</v>
      </c>
      <c r="AX410" s="21" t="n">
        <f aca="false">IF(AND(N410="بله",L410&gt;تنظیمات!$B$9),1,0)</f>
        <v>0</v>
      </c>
      <c r="AY410" s="21" t="n">
        <f aca="false">IF(Y410="معکوس",1,0)</f>
        <v>0</v>
      </c>
      <c r="AZ410" s="21" t="n">
        <f aca="false">IF(ABS(AJ410)&gt;تنظیمات!$B$10,1,0)</f>
        <v>0</v>
      </c>
      <c r="BA410" s="21" t="n">
        <f aca="false">IF(AND(OR(AD410="رایگان/VIP",AD410="جانباز"),AF410="خیر"),1,0)</f>
        <v>0</v>
      </c>
      <c r="BB410" s="21" t="n">
        <f aca="false">IF(AE410="",0,IF(COUNTIF($AE$2:$AE$1001,AE410)&gt;1,1,0))</f>
        <v>0</v>
      </c>
      <c r="BC410" s="21" t="n">
        <f aca="false">IF(AND(H410="",I410&gt;تنظیمات!$B$12*60,AM410="خالی"),1,0)</f>
        <v>0</v>
      </c>
      <c r="BD410" s="21" t="n">
        <f aca="false">IF(AND(AP410="بله",I410&lt;تنظیمات!$B$14,AO410="خیر"),1,0)</f>
        <v>0</v>
      </c>
      <c r="BE410" s="21" t="n">
        <f aca="false">IF(AN410="خیر",1,0)</f>
        <v>0</v>
      </c>
      <c r="BF410" s="21" t="n">
        <f aca="false">IF(AND(AD410="فیش مفقودی",AQ410="بله",I410&gt;تنظیمات!$B$12*60),1,0)</f>
        <v>0</v>
      </c>
      <c r="BG410" s="21" t="n">
        <f aca="false">IF(AND(AK410&gt;تنظیمات!$B$11,AL410="بله"),1,0)</f>
        <v>0</v>
      </c>
      <c r="BH410" s="21" t="n">
        <f aca="false">MIN(100,AR410*تنظیمات!$B$21+AS410*تنظیمات!$B$22+AT410*تنظیمات!$B$23+AU410*تنظیمات!$B$24+AV410*تنظیمات!$B$25+AW410*تنظیمات!$B$26+AX410*تنظیمات!$B$27+AY410*تنظیمات!$B$28+AZ410*تنظیمات!$B$29+BA410*تنظیمات!$B$30+BB410*تنظیمات!$B$31+BC410*تنظیمات!$B$32+BD410*تنظیمات!$B$33+BE410*تنظیمات!$B$34+BF410*تنظیمات!$B$35+BG410*تنظیمات!$B$36)</f>
        <v>0</v>
      </c>
      <c r="BI410" s="16" t="str">
        <f aca="false">IF(BH410&gt;=60,"بحرانی",IF(BH410&gt;=30,"مشکوک",IF(BH410&gt;0,"هشدار","عادی")))</f>
        <v>عادی</v>
      </c>
      <c r="BJ410" s="16" t="s">
        <v>338</v>
      </c>
    </row>
    <row r="411" customFormat="false" ht="15" hidden="false" customHeight="false" outlineLevel="0" collapsed="false">
      <c r="A411" s="16" t="s">
        <v>1689</v>
      </c>
      <c r="B411" s="16" t="s">
        <v>1690</v>
      </c>
      <c r="C411" s="16"/>
      <c r="D411" s="16" t="s">
        <v>431</v>
      </c>
      <c r="E411" s="16" t="s">
        <v>351</v>
      </c>
      <c r="F411" s="16" t="s">
        <v>333</v>
      </c>
      <c r="G411" s="17" t="n">
        <v>46286.5403125</v>
      </c>
      <c r="H411" s="17" t="n">
        <v>46286.7923958333</v>
      </c>
      <c r="I411" s="18" t="n">
        <f aca="false">IF(H411="",ROUND((تنظیمات!$B$7-G411)*1440,0),ROUND((H411-G411)*1440,0))</f>
        <v>363</v>
      </c>
      <c r="J411" s="16" t="s">
        <v>334</v>
      </c>
      <c r="K411" s="16" t="s">
        <v>400</v>
      </c>
      <c r="L411" s="19" t="n">
        <v>0.931</v>
      </c>
      <c r="M411" s="19" t="n">
        <v>0.945</v>
      </c>
      <c r="N411" s="16" t="s">
        <v>335</v>
      </c>
      <c r="O411" s="16" t="s">
        <v>419</v>
      </c>
      <c r="P411" s="16" t="s">
        <v>420</v>
      </c>
      <c r="Q411" s="20" t="n">
        <v>46286</v>
      </c>
      <c r="R411" s="16" t="s">
        <v>1691</v>
      </c>
      <c r="S411" s="16" t="s">
        <v>404</v>
      </c>
      <c r="T411" s="17"/>
      <c r="U411" s="21" t="n">
        <v>1</v>
      </c>
      <c r="V411" s="21" t="n">
        <v>1</v>
      </c>
      <c r="W411" s="22" t="n">
        <v>3.1</v>
      </c>
      <c r="X411" s="16" t="s">
        <v>335</v>
      </c>
      <c r="Y411" s="16" t="s">
        <v>338</v>
      </c>
      <c r="Z411" s="16" t="s">
        <v>413</v>
      </c>
      <c r="AA411" s="16" t="s">
        <v>427</v>
      </c>
      <c r="AB411" s="23" t="s">
        <v>1692</v>
      </c>
      <c r="AC411" s="17" t="n">
        <v>46286.7916087963</v>
      </c>
      <c r="AD411" s="16" t="s">
        <v>338</v>
      </c>
      <c r="AE411" s="16"/>
      <c r="AF411" s="16" t="str">
        <f aca="false">IF(COUNTIF(لیست_سفید!$A$2:$A$21,B411)&gt;0,"بله","خیر")</f>
        <v>خیر</v>
      </c>
      <c r="AG411" s="24" t="n">
        <f aca="false">IF(H411="","",IF(AD411="فیش مفقودی",تنظیمات!$B$6,(INT(I411/1440)*تنظیمات!$B$5+IF(MOD(I411,1440)&lt;=تنظیمات!$B$2,0,MIN(تنظیمات!$B$5,تنظیمات!$B$3+MAX(0,ROUNDUP((MOD(I411,1440)-60)/60,0))*تنظیمات!$B$4)))*INDEX(تعرفه!$B$2:$B$7,MATCH(AD411,تعرفه!$A$2:$A$7,0))))</f>
        <v>104000</v>
      </c>
      <c r="AH411" s="24" t="n">
        <v>104000</v>
      </c>
      <c r="AI411" s="24" t="n">
        <f aca="false">IF(AG411="","",AH411-AG411)</f>
        <v>0</v>
      </c>
      <c r="AJ411" s="21" t="n">
        <v>2</v>
      </c>
      <c r="AK411" s="21" t="n">
        <v>0</v>
      </c>
      <c r="AL411" s="16" t="s">
        <v>335</v>
      </c>
      <c r="AM411" s="16"/>
      <c r="AN411" s="16" t="s">
        <v>340</v>
      </c>
      <c r="AO411" s="16" t="s">
        <v>340</v>
      </c>
      <c r="AP411" s="16" t="s">
        <v>335</v>
      </c>
      <c r="AQ411" s="16"/>
      <c r="AR411" s="21" t="n">
        <f aca="false">IF(AND(T411&lt;&gt;"",H411&lt;&gt;""),IF(AND((T411-H411)*86400&gt;=0,(T411-H411)*86400&lt;تنظیمات!$B$13),1,0),0)</f>
        <v>0</v>
      </c>
      <c r="AS411" s="21" t="n">
        <f aca="false">IF(Z411="پوز",IF(OR(AB411="",COUNTIF(پوزها!$A$2:$A$5,AA411)=0),1,0),0)</f>
        <v>0</v>
      </c>
      <c r="AT411" s="21" t="n">
        <f aca="false">IF(AI411="",0,IF(AI411&gt;0,1,0))</f>
        <v>0</v>
      </c>
      <c r="AU411" s="21" t="n">
        <f aca="false">IF(AI411="",0,IF(AI411&lt;0,1,0))</f>
        <v>0</v>
      </c>
      <c r="AV411" s="21" t="n">
        <f aca="false">IF(U411&gt;V411,1,0)</f>
        <v>0</v>
      </c>
      <c r="AW411" s="21" t="n">
        <f aca="false">IF(OR(W411&gt;تنظیمات!$B$8,X411="بله"),1,0)</f>
        <v>0</v>
      </c>
      <c r="AX411" s="21" t="n">
        <f aca="false">IF(AND(N411="بله",L411&gt;تنظیمات!$B$9),1,0)</f>
        <v>0</v>
      </c>
      <c r="AY411" s="21" t="n">
        <f aca="false">IF(Y411="معکوس",1,0)</f>
        <v>0</v>
      </c>
      <c r="AZ411" s="21" t="n">
        <f aca="false">IF(ABS(AJ411)&gt;تنظیمات!$B$10,1,0)</f>
        <v>0</v>
      </c>
      <c r="BA411" s="21" t="n">
        <f aca="false">IF(AND(OR(AD411="رایگان/VIP",AD411="جانباز"),AF411="خیر"),1,0)</f>
        <v>0</v>
      </c>
      <c r="BB411" s="21" t="n">
        <f aca="false">IF(AE411="",0,IF(COUNTIF($AE$2:$AE$1001,AE411)&gt;1,1,0))</f>
        <v>0</v>
      </c>
      <c r="BC411" s="21" t="n">
        <f aca="false">IF(AND(H411="",I411&gt;تنظیمات!$B$12*60,AM411="خالی"),1,0)</f>
        <v>0</v>
      </c>
      <c r="BD411" s="21" t="n">
        <f aca="false">IF(AND(AP411="بله",I411&lt;تنظیمات!$B$14,AO411="خیر"),1,0)</f>
        <v>0</v>
      </c>
      <c r="BE411" s="21" t="n">
        <f aca="false">IF(AN411="خیر",1,0)</f>
        <v>0</v>
      </c>
      <c r="BF411" s="21" t="n">
        <f aca="false">IF(AND(AD411="فیش مفقودی",AQ411="بله",I411&gt;تنظیمات!$B$12*60),1,0)</f>
        <v>0</v>
      </c>
      <c r="BG411" s="21" t="n">
        <f aca="false">IF(AND(AK411&gt;تنظیمات!$B$11,AL411="بله"),1,0)</f>
        <v>0</v>
      </c>
      <c r="BH411" s="21" t="n">
        <f aca="false">MIN(100,AR411*تنظیمات!$B$21+AS411*تنظیمات!$B$22+AT411*تنظیمات!$B$23+AU411*تنظیمات!$B$24+AV411*تنظیمات!$B$25+AW411*تنظیمات!$B$26+AX411*تنظیمات!$B$27+AY411*تنظیمات!$B$28+AZ411*تنظیمات!$B$29+BA411*تنظیمات!$B$30+BB411*تنظیمات!$B$31+BC411*تنظیمات!$B$32+BD411*تنظیمات!$B$33+BE411*تنظیمات!$B$34+BF411*تنظیمات!$B$35+BG411*تنظیمات!$B$36)</f>
        <v>0</v>
      </c>
      <c r="BI411" s="16" t="str">
        <f aca="false">IF(BH411&gt;=60,"بحرانی",IF(BH411&gt;=30,"مشکوک",IF(BH411&gt;0,"هشدار","عادی")))</f>
        <v>عادی</v>
      </c>
      <c r="BJ411" s="16" t="s">
        <v>338</v>
      </c>
    </row>
    <row r="412" customFormat="false" ht="15" hidden="false" customHeight="false" outlineLevel="0" collapsed="false">
      <c r="A412" s="16" t="s">
        <v>1693</v>
      </c>
      <c r="B412" s="16" t="s">
        <v>1694</v>
      </c>
      <c r="C412" s="16"/>
      <c r="D412" s="16" t="s">
        <v>382</v>
      </c>
      <c r="E412" s="16" t="s">
        <v>375</v>
      </c>
      <c r="F412" s="16" t="s">
        <v>333</v>
      </c>
      <c r="G412" s="17" t="n">
        <v>46286.5452777778</v>
      </c>
      <c r="H412" s="17" t="n">
        <v>46286.7369444444</v>
      </c>
      <c r="I412" s="18" t="n">
        <f aca="false">IF(H412="",ROUND((تنظیمات!$B$7-G412)*1440,0),ROUND((H412-G412)*1440,0))</f>
        <v>276</v>
      </c>
      <c r="J412" s="16" t="s">
        <v>346</v>
      </c>
      <c r="K412" s="16" t="s">
        <v>400</v>
      </c>
      <c r="L412" s="19" t="n">
        <v>0.906</v>
      </c>
      <c r="M412" s="19" t="n">
        <v>0.912</v>
      </c>
      <c r="N412" s="16" t="s">
        <v>335</v>
      </c>
      <c r="O412" s="16" t="s">
        <v>419</v>
      </c>
      <c r="P412" s="16" t="s">
        <v>420</v>
      </c>
      <c r="Q412" s="20" t="n">
        <v>46286</v>
      </c>
      <c r="R412" s="16" t="s">
        <v>1695</v>
      </c>
      <c r="S412" s="16" t="s">
        <v>404</v>
      </c>
      <c r="T412" s="17"/>
      <c r="U412" s="21" t="n">
        <v>1</v>
      </c>
      <c r="V412" s="21" t="n">
        <v>1</v>
      </c>
      <c r="W412" s="22" t="n">
        <v>5.1</v>
      </c>
      <c r="X412" s="16" t="s">
        <v>335</v>
      </c>
      <c r="Y412" s="16" t="s">
        <v>338</v>
      </c>
      <c r="Z412" s="16" t="s">
        <v>413</v>
      </c>
      <c r="AA412" s="16" t="s">
        <v>427</v>
      </c>
      <c r="AB412" s="23" t="s">
        <v>1696</v>
      </c>
      <c r="AC412" s="17" t="n">
        <v>46286.7363078704</v>
      </c>
      <c r="AD412" s="16" t="s">
        <v>406</v>
      </c>
      <c r="AE412" s="16"/>
      <c r="AF412" s="16" t="str">
        <f aca="false">IF(COUNTIF(لیست_سفید!$A$2:$A$21,B412)&gt;0,"بله","خیر")</f>
        <v>خیر</v>
      </c>
      <c r="AG412" s="24" t="n">
        <f aca="false">IF(H412="","",IF(AD412="فیش مفقودی",تنظیمات!$B$6,(INT(I412/1440)*تنظیمات!$B$5+IF(MOD(I412,1440)&lt;=تنظیمات!$B$2,0,MIN(تنظیمات!$B$5,تنظیمات!$B$3+MAX(0,ROUNDUP((MOD(I412,1440)-60)/60,0))*تنظیمات!$B$4)))*INDEX(تعرفه!$B$2:$B$7,MATCH(AD412,تعرفه!$A$2:$A$7,0))))</f>
        <v>300000</v>
      </c>
      <c r="AH412" s="24" t="n">
        <v>300000</v>
      </c>
      <c r="AI412" s="24" t="n">
        <f aca="false">IF(AG412="","",AH412-AG412)</f>
        <v>0</v>
      </c>
      <c r="AJ412" s="21" t="n">
        <v>-3</v>
      </c>
      <c r="AK412" s="21" t="n">
        <v>0</v>
      </c>
      <c r="AL412" s="16" t="s">
        <v>335</v>
      </c>
      <c r="AM412" s="16"/>
      <c r="AN412" s="16" t="s">
        <v>340</v>
      </c>
      <c r="AO412" s="16" t="s">
        <v>340</v>
      </c>
      <c r="AP412" s="16" t="s">
        <v>335</v>
      </c>
      <c r="AQ412" s="16" t="s">
        <v>340</v>
      </c>
      <c r="AR412" s="21" t="n">
        <f aca="false">IF(AND(T412&lt;&gt;"",H412&lt;&gt;""),IF(AND((T412-H412)*86400&gt;=0,(T412-H412)*86400&lt;تنظیمات!$B$13),1,0),0)</f>
        <v>0</v>
      </c>
      <c r="AS412" s="21" t="n">
        <f aca="false">IF(Z412="پوز",IF(OR(AB412="",COUNTIF(پوزها!$A$2:$A$5,AA412)=0),1,0),0)</f>
        <v>0</v>
      </c>
      <c r="AT412" s="21" t="n">
        <f aca="false">IF(AI412="",0,IF(AI412&gt;0,1,0))</f>
        <v>0</v>
      </c>
      <c r="AU412" s="21" t="n">
        <f aca="false">IF(AI412="",0,IF(AI412&lt;0,1,0))</f>
        <v>0</v>
      </c>
      <c r="AV412" s="21" t="n">
        <f aca="false">IF(U412&gt;V412,1,0)</f>
        <v>0</v>
      </c>
      <c r="AW412" s="21" t="n">
        <f aca="false">IF(OR(W412&gt;تنظیمات!$B$8,X412="بله"),1,0)</f>
        <v>0</v>
      </c>
      <c r="AX412" s="21" t="n">
        <f aca="false">IF(AND(N412="بله",L412&gt;تنظیمات!$B$9),1,0)</f>
        <v>0</v>
      </c>
      <c r="AY412" s="21" t="n">
        <f aca="false">IF(Y412="معکوس",1,0)</f>
        <v>0</v>
      </c>
      <c r="AZ412" s="21" t="n">
        <f aca="false">IF(ABS(AJ412)&gt;تنظیمات!$B$10,1,0)</f>
        <v>0</v>
      </c>
      <c r="BA412" s="21" t="n">
        <f aca="false">IF(AND(OR(AD412="رایگان/VIP",AD412="جانباز"),AF412="خیر"),1,0)</f>
        <v>0</v>
      </c>
      <c r="BB412" s="21" t="n">
        <f aca="false">IF(AE412="",0,IF(COUNTIF($AE$2:$AE$1001,AE412)&gt;1,1,0))</f>
        <v>0</v>
      </c>
      <c r="BC412" s="21" t="n">
        <f aca="false">IF(AND(H412="",I412&gt;تنظیمات!$B$12*60,AM412="خالی"),1,0)</f>
        <v>0</v>
      </c>
      <c r="BD412" s="21" t="n">
        <f aca="false">IF(AND(AP412="بله",I412&lt;تنظیمات!$B$14,AO412="خیر"),1,0)</f>
        <v>0</v>
      </c>
      <c r="BE412" s="21" t="n">
        <f aca="false">IF(AN412="خیر",1,0)</f>
        <v>0</v>
      </c>
      <c r="BF412" s="21" t="n">
        <f aca="false">IF(AND(AD412="فیش مفقودی",AQ412="بله",I412&gt;تنظیمات!$B$12*60),1,0)</f>
        <v>0</v>
      </c>
      <c r="BG412" s="21" t="n">
        <f aca="false">IF(AND(AK412&gt;تنظیمات!$B$11,AL412="بله"),1,0)</f>
        <v>0</v>
      </c>
      <c r="BH412" s="21" t="n">
        <f aca="false">MIN(100,AR412*تنظیمات!$B$21+AS412*تنظیمات!$B$22+AT412*تنظیمات!$B$23+AU412*تنظیمات!$B$24+AV412*تنظیمات!$B$25+AW412*تنظیمات!$B$26+AX412*تنظیمات!$B$27+AY412*تنظیمات!$B$28+AZ412*تنظیمات!$B$29+BA412*تنظیمات!$B$30+BB412*تنظیمات!$B$31+BC412*تنظیمات!$B$32+BD412*تنظیمات!$B$33+BE412*تنظیمات!$B$34+BF412*تنظیمات!$B$35+BG412*تنظیمات!$B$36)</f>
        <v>0</v>
      </c>
      <c r="BI412" s="16" t="str">
        <f aca="false">IF(BH412&gt;=60,"بحرانی",IF(BH412&gt;=30,"مشکوک",IF(BH412&gt;0,"هشدار","عادی")))</f>
        <v>عادی</v>
      </c>
      <c r="BJ412" s="16" t="s">
        <v>338</v>
      </c>
    </row>
    <row r="413" customFormat="false" ht="15" hidden="false" customHeight="false" outlineLevel="0" collapsed="false">
      <c r="A413" s="16" t="s">
        <v>1697</v>
      </c>
      <c r="B413" s="16" t="s">
        <v>393</v>
      </c>
      <c r="C413" s="16"/>
      <c r="D413" s="16" t="s">
        <v>386</v>
      </c>
      <c r="E413" s="16" t="s">
        <v>375</v>
      </c>
      <c r="F413" s="16" t="s">
        <v>333</v>
      </c>
      <c r="G413" s="17" t="n">
        <v>46286.5644560185</v>
      </c>
      <c r="H413" s="17" t="n">
        <v>46286.6672337963</v>
      </c>
      <c r="I413" s="18" t="n">
        <f aca="false">IF(H413="",ROUND((تنظیمات!$B$7-G413)*1440,0),ROUND((H413-G413)*1440,0))</f>
        <v>148</v>
      </c>
      <c r="J413" s="16" t="s">
        <v>334</v>
      </c>
      <c r="K413" s="16" t="s">
        <v>410</v>
      </c>
      <c r="L413" s="19" t="n">
        <v>0.975</v>
      </c>
      <c r="M413" s="19" t="n">
        <v>0.979</v>
      </c>
      <c r="N413" s="16" t="s">
        <v>335</v>
      </c>
      <c r="O413" s="16" t="s">
        <v>650</v>
      </c>
      <c r="P413" s="16" t="s">
        <v>420</v>
      </c>
      <c r="Q413" s="20" t="n">
        <v>46286</v>
      </c>
      <c r="R413" s="16" t="s">
        <v>1698</v>
      </c>
      <c r="S413" s="16" t="s">
        <v>404</v>
      </c>
      <c r="T413" s="17"/>
      <c r="U413" s="21" t="n">
        <v>1</v>
      </c>
      <c r="V413" s="21" t="n">
        <v>1</v>
      </c>
      <c r="W413" s="22" t="n">
        <v>5.9</v>
      </c>
      <c r="X413" s="16" t="s">
        <v>335</v>
      </c>
      <c r="Y413" s="16" t="s">
        <v>338</v>
      </c>
      <c r="Z413" s="16" t="s">
        <v>413</v>
      </c>
      <c r="AA413" s="16" t="s">
        <v>414</v>
      </c>
      <c r="AB413" s="23" t="s">
        <v>1699</v>
      </c>
      <c r="AC413" s="17" t="n">
        <v>46286.6664814815</v>
      </c>
      <c r="AD413" s="16" t="s">
        <v>338</v>
      </c>
      <c r="AE413" s="16"/>
      <c r="AF413" s="16" t="str">
        <f aca="false">IF(COUNTIF(لیست_سفید!$A$2:$A$21,B413)&gt;0,"بله","خیر")</f>
        <v>خیر</v>
      </c>
      <c r="AG413" s="24" t="n">
        <f aca="false">IF(H413="","",IF(AD413="فیش مفقودی",تنظیمات!$B$6,(INT(I413/1440)*تنظیمات!$B$5+IF(MOD(I413,1440)&lt;=تنظیمات!$B$2,0,MIN(تنظیمات!$B$5,تنظیمات!$B$3+MAX(0,ROUNDUP((MOD(I413,1440)-60)/60,0))*تنظیمات!$B$4)))*INDEX(تعرفه!$B$2:$B$7,MATCH(AD413,تعرفه!$A$2:$A$7,0))))</f>
        <v>48000</v>
      </c>
      <c r="AH413" s="24" t="n">
        <v>48000</v>
      </c>
      <c r="AI413" s="24" t="n">
        <f aca="false">IF(AG413="","",AH413-AG413)</f>
        <v>0</v>
      </c>
      <c r="AJ413" s="21" t="n">
        <v>1</v>
      </c>
      <c r="AK413" s="21" t="n">
        <v>0</v>
      </c>
      <c r="AL413" s="16" t="s">
        <v>335</v>
      </c>
      <c r="AM413" s="16"/>
      <c r="AN413" s="16" t="s">
        <v>340</v>
      </c>
      <c r="AO413" s="16" t="s">
        <v>340</v>
      </c>
      <c r="AP413" s="16" t="s">
        <v>335</v>
      </c>
      <c r="AQ413" s="16"/>
      <c r="AR413" s="21" t="n">
        <f aca="false">IF(AND(T413&lt;&gt;"",H413&lt;&gt;""),IF(AND((T413-H413)*86400&gt;=0,(T413-H413)*86400&lt;تنظیمات!$B$13),1,0),0)</f>
        <v>0</v>
      </c>
      <c r="AS413" s="21" t="n">
        <f aca="false">IF(Z413="پوز",IF(OR(AB413="",COUNTIF(پوزها!$A$2:$A$5,AA413)=0),1,0),0)</f>
        <v>0</v>
      </c>
      <c r="AT413" s="21" t="n">
        <f aca="false">IF(AI413="",0,IF(AI413&gt;0,1,0))</f>
        <v>0</v>
      </c>
      <c r="AU413" s="21" t="n">
        <f aca="false">IF(AI413="",0,IF(AI413&lt;0,1,0))</f>
        <v>0</v>
      </c>
      <c r="AV413" s="21" t="n">
        <f aca="false">IF(U413&gt;V413,1,0)</f>
        <v>0</v>
      </c>
      <c r="AW413" s="21" t="n">
        <f aca="false">IF(OR(W413&gt;تنظیمات!$B$8,X413="بله"),1,0)</f>
        <v>0</v>
      </c>
      <c r="AX413" s="21" t="n">
        <f aca="false">IF(AND(N413="بله",L413&gt;تنظیمات!$B$9),1,0)</f>
        <v>0</v>
      </c>
      <c r="AY413" s="21" t="n">
        <f aca="false">IF(Y413="معکوس",1,0)</f>
        <v>0</v>
      </c>
      <c r="AZ413" s="21" t="n">
        <f aca="false">IF(ABS(AJ413)&gt;تنظیمات!$B$10,1,0)</f>
        <v>0</v>
      </c>
      <c r="BA413" s="21" t="n">
        <f aca="false">IF(AND(OR(AD413="رایگان/VIP",AD413="جانباز"),AF413="خیر"),1,0)</f>
        <v>0</v>
      </c>
      <c r="BB413" s="21" t="n">
        <f aca="false">IF(AE413="",0,IF(COUNTIF($AE$2:$AE$1001,AE413)&gt;1,1,0))</f>
        <v>0</v>
      </c>
      <c r="BC413" s="21" t="n">
        <f aca="false">IF(AND(H413="",I413&gt;تنظیمات!$B$12*60,AM413="خالی"),1,0)</f>
        <v>0</v>
      </c>
      <c r="BD413" s="21" t="n">
        <f aca="false">IF(AND(AP413="بله",I413&lt;تنظیمات!$B$14,AO413="خیر"),1,0)</f>
        <v>0</v>
      </c>
      <c r="BE413" s="21" t="n">
        <f aca="false">IF(AN413="خیر",1,0)</f>
        <v>0</v>
      </c>
      <c r="BF413" s="21" t="n">
        <f aca="false">IF(AND(AD413="فیش مفقودی",AQ413="بله",I413&gt;تنظیمات!$B$12*60),1,0)</f>
        <v>0</v>
      </c>
      <c r="BG413" s="21" t="n">
        <f aca="false">IF(AND(AK413&gt;تنظیمات!$B$11,AL413="بله"),1,0)</f>
        <v>0</v>
      </c>
      <c r="BH413" s="21" t="n">
        <f aca="false">MIN(100,AR413*تنظیمات!$B$21+AS413*تنظیمات!$B$22+AT413*تنظیمات!$B$23+AU413*تنظیمات!$B$24+AV413*تنظیمات!$B$25+AW413*تنظیمات!$B$26+AX413*تنظیمات!$B$27+AY413*تنظیمات!$B$28+AZ413*تنظیمات!$B$29+BA413*تنظیمات!$B$30+BB413*تنظیمات!$B$31+BC413*تنظیمات!$B$32+BD413*تنظیمات!$B$33+BE413*تنظیمات!$B$34+BF413*تنظیمات!$B$35+BG413*تنظیمات!$B$36)</f>
        <v>0</v>
      </c>
      <c r="BI413" s="16" t="str">
        <f aca="false">IF(BH413&gt;=60,"بحرانی",IF(BH413&gt;=30,"مشکوک",IF(BH413&gt;0,"هشدار","عادی")))</f>
        <v>عادی</v>
      </c>
      <c r="BJ413" s="16" t="s">
        <v>338</v>
      </c>
    </row>
    <row r="414" customFormat="false" ht="15" hidden="false" customHeight="false" outlineLevel="0" collapsed="false">
      <c r="A414" s="16" t="s">
        <v>1700</v>
      </c>
      <c r="B414" s="16" t="s">
        <v>788</v>
      </c>
      <c r="C414" s="16"/>
      <c r="D414" s="16" t="s">
        <v>508</v>
      </c>
      <c r="E414" s="16" t="s">
        <v>332</v>
      </c>
      <c r="F414" s="16" t="s">
        <v>333</v>
      </c>
      <c r="G414" s="17" t="n">
        <v>46286.5692708333</v>
      </c>
      <c r="H414" s="17" t="n">
        <v>46286.5845486111</v>
      </c>
      <c r="I414" s="18" t="n">
        <f aca="false">IF(H414="",ROUND((تنظیمات!$B$7-G414)*1440,0),ROUND((H414-G414)*1440,0))</f>
        <v>22</v>
      </c>
      <c r="J414" s="16" t="s">
        <v>334</v>
      </c>
      <c r="K414" s="16" t="s">
        <v>400</v>
      </c>
      <c r="L414" s="19" t="n">
        <v>0.981</v>
      </c>
      <c r="M414" s="19" t="n">
        <v>0.981</v>
      </c>
      <c r="N414" s="16" t="s">
        <v>335</v>
      </c>
      <c r="O414" s="16" t="s">
        <v>419</v>
      </c>
      <c r="P414" s="16" t="s">
        <v>420</v>
      </c>
      <c r="Q414" s="20" t="n">
        <v>46286</v>
      </c>
      <c r="R414" s="16" t="s">
        <v>1701</v>
      </c>
      <c r="S414" s="16" t="s">
        <v>404</v>
      </c>
      <c r="T414" s="17"/>
      <c r="U414" s="21" t="n">
        <v>1</v>
      </c>
      <c r="V414" s="21" t="n">
        <v>1</v>
      </c>
      <c r="W414" s="22" t="n">
        <v>3.9</v>
      </c>
      <c r="X414" s="16" t="s">
        <v>335</v>
      </c>
      <c r="Y414" s="16" t="s">
        <v>338</v>
      </c>
      <c r="Z414" s="16" t="s">
        <v>405</v>
      </c>
      <c r="AA414" s="16"/>
      <c r="AB414" s="23"/>
      <c r="AC414" s="17"/>
      <c r="AD414" s="16" t="s">
        <v>338</v>
      </c>
      <c r="AE414" s="16"/>
      <c r="AF414" s="16" t="str">
        <f aca="false">IF(COUNTIF(لیست_سفید!$A$2:$A$21,B414)&gt;0,"بله","خیر")</f>
        <v>خیر</v>
      </c>
      <c r="AG414" s="24" t="n">
        <f aca="false">IF(H414="","",IF(AD414="فیش مفقودی",تنظیمات!$B$6,(INT(I414/1440)*تنظیمات!$B$5+IF(MOD(I414,1440)&lt;=تنظیمات!$B$2,0,MIN(تنظیمات!$B$5,تنظیمات!$B$3+MAX(0,ROUNDUP((MOD(I414,1440)-60)/60,0))*تنظیمات!$B$4)))*INDEX(تعرفه!$B$2:$B$7,MATCH(AD414,تعرفه!$A$2:$A$7,0))))</f>
        <v>20000</v>
      </c>
      <c r="AH414" s="24" t="n">
        <v>20000</v>
      </c>
      <c r="AI414" s="24" t="n">
        <f aca="false">IF(AG414="","",AH414-AG414)</f>
        <v>0</v>
      </c>
      <c r="AJ414" s="21" t="n">
        <v>-2</v>
      </c>
      <c r="AK414" s="21" t="n">
        <v>0</v>
      </c>
      <c r="AL414" s="16" t="s">
        <v>335</v>
      </c>
      <c r="AM414" s="16"/>
      <c r="AN414" s="16" t="s">
        <v>340</v>
      </c>
      <c r="AO414" s="16" t="s">
        <v>340</v>
      </c>
      <c r="AP414" s="16" t="s">
        <v>335</v>
      </c>
      <c r="AQ414" s="16"/>
      <c r="AR414" s="21" t="n">
        <f aca="false">IF(AND(T414&lt;&gt;"",H414&lt;&gt;""),IF(AND((T414-H414)*86400&gt;=0,(T414-H414)*86400&lt;تنظیمات!$B$13),1,0),0)</f>
        <v>0</v>
      </c>
      <c r="AS414" s="21" t="n">
        <f aca="false">IF(Z414="پوز",IF(OR(AB414="",COUNTIF(پوزها!$A$2:$A$5,AA414)=0),1,0),0)</f>
        <v>0</v>
      </c>
      <c r="AT414" s="21" t="n">
        <f aca="false">IF(AI414="",0,IF(AI414&gt;0,1,0))</f>
        <v>0</v>
      </c>
      <c r="AU414" s="21" t="n">
        <f aca="false">IF(AI414="",0,IF(AI414&lt;0,1,0))</f>
        <v>0</v>
      </c>
      <c r="AV414" s="21" t="n">
        <f aca="false">IF(U414&gt;V414,1,0)</f>
        <v>0</v>
      </c>
      <c r="AW414" s="21" t="n">
        <f aca="false">IF(OR(W414&gt;تنظیمات!$B$8,X414="بله"),1,0)</f>
        <v>0</v>
      </c>
      <c r="AX414" s="21" t="n">
        <f aca="false">IF(AND(N414="بله",L414&gt;تنظیمات!$B$9),1,0)</f>
        <v>0</v>
      </c>
      <c r="AY414" s="21" t="n">
        <f aca="false">IF(Y414="معکوس",1,0)</f>
        <v>0</v>
      </c>
      <c r="AZ414" s="21" t="n">
        <f aca="false">IF(ABS(AJ414)&gt;تنظیمات!$B$10,1,0)</f>
        <v>0</v>
      </c>
      <c r="BA414" s="21" t="n">
        <f aca="false">IF(AND(OR(AD414="رایگان/VIP",AD414="جانباز"),AF414="خیر"),1,0)</f>
        <v>0</v>
      </c>
      <c r="BB414" s="21" t="n">
        <f aca="false">IF(AE414="",0,IF(COUNTIF($AE$2:$AE$1001,AE414)&gt;1,1,0))</f>
        <v>0</v>
      </c>
      <c r="BC414" s="21" t="n">
        <f aca="false">IF(AND(H414="",I414&gt;تنظیمات!$B$12*60,AM414="خالی"),1,0)</f>
        <v>0</v>
      </c>
      <c r="BD414" s="21" t="n">
        <f aca="false">IF(AND(AP414="بله",I414&lt;تنظیمات!$B$14,AO414="خیر"),1,0)</f>
        <v>0</v>
      </c>
      <c r="BE414" s="21" t="n">
        <f aca="false">IF(AN414="خیر",1,0)</f>
        <v>0</v>
      </c>
      <c r="BF414" s="21" t="n">
        <f aca="false">IF(AND(AD414="فیش مفقودی",AQ414="بله",I414&gt;تنظیمات!$B$12*60),1,0)</f>
        <v>0</v>
      </c>
      <c r="BG414" s="21" t="n">
        <f aca="false">IF(AND(AK414&gt;تنظیمات!$B$11,AL414="بله"),1,0)</f>
        <v>0</v>
      </c>
      <c r="BH414" s="21" t="n">
        <f aca="false">MIN(100,AR414*تنظیمات!$B$21+AS414*تنظیمات!$B$22+AT414*تنظیمات!$B$23+AU414*تنظیمات!$B$24+AV414*تنظیمات!$B$25+AW414*تنظیمات!$B$26+AX414*تنظیمات!$B$27+AY414*تنظیمات!$B$28+AZ414*تنظیمات!$B$29+BA414*تنظیمات!$B$30+BB414*تنظیمات!$B$31+BC414*تنظیمات!$B$32+BD414*تنظیمات!$B$33+BE414*تنظیمات!$B$34+BF414*تنظیمات!$B$35+BG414*تنظیمات!$B$36)</f>
        <v>0</v>
      </c>
      <c r="BI414" s="16" t="str">
        <f aca="false">IF(BH414&gt;=60,"بحرانی",IF(BH414&gt;=30,"مشکوک",IF(BH414&gt;0,"هشدار","عادی")))</f>
        <v>عادی</v>
      </c>
      <c r="BJ414" s="16" t="s">
        <v>338</v>
      </c>
    </row>
    <row r="415" customFormat="false" ht="15" hidden="false" customHeight="false" outlineLevel="0" collapsed="false">
      <c r="A415" s="16" t="s">
        <v>1702</v>
      </c>
      <c r="B415" s="16" t="s">
        <v>1113</v>
      </c>
      <c r="C415" s="16"/>
      <c r="D415" s="16" t="s">
        <v>508</v>
      </c>
      <c r="E415" s="16" t="s">
        <v>332</v>
      </c>
      <c r="F415" s="16" t="s">
        <v>333</v>
      </c>
      <c r="G415" s="17" t="n">
        <v>46286.5797569445</v>
      </c>
      <c r="H415" s="17"/>
      <c r="I415" s="18" t="n">
        <f aca="false">IF(H415="",ROUND((تنظیمات!$B$7-G415)*1440,0),ROUND((H415-G415)*1440,0))</f>
        <v>12485</v>
      </c>
      <c r="J415" s="16" t="s">
        <v>346</v>
      </c>
      <c r="K415" s="16"/>
      <c r="L415" s="19" t="n">
        <v>0.924</v>
      </c>
      <c r="M415" s="19"/>
      <c r="N415" s="16" t="s">
        <v>335</v>
      </c>
      <c r="O415" s="16"/>
      <c r="P415" s="16"/>
      <c r="Q415" s="20"/>
      <c r="R415" s="16" t="s">
        <v>1703</v>
      </c>
      <c r="S415" s="16" t="s">
        <v>337</v>
      </c>
      <c r="T415" s="17"/>
      <c r="U415" s="21" t="n">
        <v>1</v>
      </c>
      <c r="V415" s="21" t="n">
        <v>1</v>
      </c>
      <c r="W415" s="22" t="n">
        <v>5.1</v>
      </c>
      <c r="X415" s="16" t="s">
        <v>335</v>
      </c>
      <c r="Y415" s="16" t="s">
        <v>338</v>
      </c>
      <c r="Z415" s="16"/>
      <c r="AA415" s="16"/>
      <c r="AB415" s="23"/>
      <c r="AC415" s="17"/>
      <c r="AD415" s="16" t="s">
        <v>338</v>
      </c>
      <c r="AE415" s="16"/>
      <c r="AF415" s="16" t="str">
        <f aca="false">IF(COUNTIF(لیست_سفید!$A$2:$A$21,B415)&gt;0,"بله","خیر")</f>
        <v>خیر</v>
      </c>
      <c r="AG415" s="24" t="str">
        <f aca="false">IF(H415="","",IF(AD415="فیش مفقودی",تنظیمات!$B$6,(INT(I415/1440)*تنظیمات!$B$5+IF(MOD(I415,1440)&lt;=تنظیمات!$B$2,0,MIN(تنظیمات!$B$5,تنظیمات!$B$3+MAX(0,ROUNDUP((MOD(I415,1440)-60)/60,0))*تنظیمات!$B$4)))*INDEX(تعرفه!$B$2:$B$7,MATCH(AD415,تعرفه!$A$2:$A$7,0))))</f>
        <v/>
      </c>
      <c r="AH415" s="24"/>
      <c r="AI415" s="24" t="str">
        <f aca="false">IF(AG415="","",AH415-AG415)</f>
        <v/>
      </c>
      <c r="AJ415" s="21" t="n">
        <v>-3</v>
      </c>
      <c r="AK415" s="21" t="n">
        <v>0</v>
      </c>
      <c r="AL415" s="16" t="s">
        <v>335</v>
      </c>
      <c r="AM415" s="16" t="s">
        <v>1704</v>
      </c>
      <c r="AN415" s="16" t="s">
        <v>340</v>
      </c>
      <c r="AO415" s="16" t="s">
        <v>340</v>
      </c>
      <c r="AP415" s="16" t="s">
        <v>335</v>
      </c>
      <c r="AQ415" s="16"/>
      <c r="AR415" s="21" t="n">
        <f aca="false">IF(AND(T415&lt;&gt;"",H415&lt;&gt;""),IF(AND((T415-H415)*86400&gt;=0,(T415-H415)*86400&lt;تنظیمات!$B$13),1,0),0)</f>
        <v>0</v>
      </c>
      <c r="AS415" s="21" t="n">
        <f aca="false">IF(Z415="پوز",IF(OR(AB415="",COUNTIF(پوزها!$A$2:$A$5,AA415)=0),1,0),0)</f>
        <v>0</v>
      </c>
      <c r="AT415" s="21" t="n">
        <f aca="false">IF(AI415="",0,IF(AI415&gt;0,1,0))</f>
        <v>0</v>
      </c>
      <c r="AU415" s="21" t="n">
        <f aca="false">IF(AI415="",0,IF(AI415&lt;0,1,0))</f>
        <v>0</v>
      </c>
      <c r="AV415" s="21" t="n">
        <f aca="false">IF(U415&gt;V415,1,0)</f>
        <v>0</v>
      </c>
      <c r="AW415" s="21" t="n">
        <f aca="false">IF(OR(W415&gt;تنظیمات!$B$8,X415="بله"),1,0)</f>
        <v>0</v>
      </c>
      <c r="AX415" s="21" t="n">
        <f aca="false">IF(AND(N415="بله",L415&gt;تنظیمات!$B$9),1,0)</f>
        <v>0</v>
      </c>
      <c r="AY415" s="21" t="n">
        <f aca="false">IF(Y415="معکوس",1,0)</f>
        <v>0</v>
      </c>
      <c r="AZ415" s="21" t="n">
        <f aca="false">IF(ABS(AJ415)&gt;تنظیمات!$B$10,1,0)</f>
        <v>0</v>
      </c>
      <c r="BA415" s="21" t="n">
        <f aca="false">IF(AND(OR(AD415="رایگان/VIP",AD415="جانباز"),AF415="خیر"),1,0)</f>
        <v>0</v>
      </c>
      <c r="BB415" s="21" t="n">
        <f aca="false">IF(AE415="",0,IF(COUNTIF($AE$2:$AE$1001,AE415)&gt;1,1,0))</f>
        <v>0</v>
      </c>
      <c r="BC415" s="21" t="n">
        <f aca="false">IF(AND(H415="",I415&gt;تنظیمات!$B$12*60,AM415="خالی"),1,0)</f>
        <v>0</v>
      </c>
      <c r="BD415" s="21" t="n">
        <f aca="false">IF(AND(AP415="بله",I415&lt;تنظیمات!$B$14,AO415="خیر"),1,0)</f>
        <v>0</v>
      </c>
      <c r="BE415" s="21" t="n">
        <f aca="false">IF(AN415="خیر",1,0)</f>
        <v>0</v>
      </c>
      <c r="BF415" s="21" t="n">
        <f aca="false">IF(AND(AD415="فیش مفقودی",AQ415="بله",I415&gt;تنظیمات!$B$12*60),1,0)</f>
        <v>0</v>
      </c>
      <c r="BG415" s="21" t="n">
        <f aca="false">IF(AND(AK415&gt;تنظیمات!$B$11,AL415="بله"),1,0)</f>
        <v>0</v>
      </c>
      <c r="BH415" s="21" t="n">
        <f aca="false">MIN(100,AR415*تنظیمات!$B$21+AS415*تنظیمات!$B$22+AT415*تنظیمات!$B$23+AU415*تنظیمات!$B$24+AV415*تنظیمات!$B$25+AW415*تنظیمات!$B$26+AX415*تنظیمات!$B$27+AY415*تنظیمات!$B$28+AZ415*تنظیمات!$B$29+BA415*تنظیمات!$B$30+BB415*تنظیمات!$B$31+BC415*تنظیمات!$B$32+BD415*تنظیمات!$B$33+BE415*تنظیمات!$B$34+BF415*تنظیمات!$B$35+BG415*تنظیمات!$B$36)</f>
        <v>0</v>
      </c>
      <c r="BI415" s="16" t="str">
        <f aca="false">IF(BH415&gt;=60,"بحرانی",IF(BH415&gt;=30,"مشکوک",IF(BH415&gt;0,"هشدار","عادی")))</f>
        <v>عادی</v>
      </c>
      <c r="BJ415" s="16" t="s">
        <v>338</v>
      </c>
    </row>
    <row r="416" customFormat="false" ht="15" hidden="false" customHeight="false" outlineLevel="0" collapsed="false">
      <c r="A416" s="16" t="s">
        <v>1705</v>
      </c>
      <c r="B416" s="16" t="s">
        <v>1706</v>
      </c>
      <c r="C416" s="16"/>
      <c r="D416" s="16" t="s">
        <v>523</v>
      </c>
      <c r="E416" s="16" t="s">
        <v>332</v>
      </c>
      <c r="F416" s="16" t="s">
        <v>333</v>
      </c>
      <c r="G416" s="17" t="n">
        <v>46286.5860532407</v>
      </c>
      <c r="H416" s="17" t="n">
        <v>46286.6353587963</v>
      </c>
      <c r="I416" s="18" t="n">
        <f aca="false">IF(H416="",ROUND((تنظیمات!$B$7-G416)*1440,0),ROUND((H416-G416)*1440,0))</f>
        <v>71</v>
      </c>
      <c r="J416" s="16" t="s">
        <v>334</v>
      </c>
      <c r="K416" s="16" t="s">
        <v>410</v>
      </c>
      <c r="L416" s="19" t="n">
        <v>0.91</v>
      </c>
      <c r="M416" s="19" t="n">
        <v>0.96</v>
      </c>
      <c r="N416" s="16" t="s">
        <v>335</v>
      </c>
      <c r="O416" s="16" t="s">
        <v>650</v>
      </c>
      <c r="P416" s="16" t="s">
        <v>420</v>
      </c>
      <c r="Q416" s="20" t="n">
        <v>46286</v>
      </c>
      <c r="R416" s="16" t="s">
        <v>1707</v>
      </c>
      <c r="S416" s="16" t="s">
        <v>404</v>
      </c>
      <c r="T416" s="17"/>
      <c r="U416" s="21" t="n">
        <v>1</v>
      </c>
      <c r="V416" s="21" t="n">
        <v>1</v>
      </c>
      <c r="W416" s="22" t="n">
        <v>3.4</v>
      </c>
      <c r="X416" s="16" t="s">
        <v>335</v>
      </c>
      <c r="Y416" s="16" t="s">
        <v>338</v>
      </c>
      <c r="Z416" s="16" t="s">
        <v>405</v>
      </c>
      <c r="AA416" s="16"/>
      <c r="AB416" s="23"/>
      <c r="AC416" s="17"/>
      <c r="AD416" s="16" t="s">
        <v>338</v>
      </c>
      <c r="AE416" s="16"/>
      <c r="AF416" s="16" t="str">
        <f aca="false">IF(COUNTIF(لیست_سفید!$A$2:$A$21,B416)&gt;0,"بله","خیر")</f>
        <v>خیر</v>
      </c>
      <c r="AG416" s="24" t="n">
        <f aca="false">IF(H416="","",IF(AD416="فیش مفقودی",تنظیمات!$B$6,(INT(I416/1440)*تنظیمات!$B$5+IF(MOD(I416,1440)&lt;=تنظیمات!$B$2,0,MIN(تنظیمات!$B$5,تنظیمات!$B$3+MAX(0,ROUNDUP((MOD(I416,1440)-60)/60,0))*تنظیمات!$B$4)))*INDEX(تعرفه!$B$2:$B$7,MATCH(AD416,تعرفه!$A$2:$A$7,0))))</f>
        <v>34000</v>
      </c>
      <c r="AH416" s="24" t="n">
        <v>34000</v>
      </c>
      <c r="AI416" s="24" t="n">
        <f aca="false">IF(AG416="","",AH416-AG416)</f>
        <v>0</v>
      </c>
      <c r="AJ416" s="21" t="n">
        <v>-1</v>
      </c>
      <c r="AK416" s="21" t="n">
        <v>0</v>
      </c>
      <c r="AL416" s="16" t="s">
        <v>335</v>
      </c>
      <c r="AM416" s="16"/>
      <c r="AN416" s="16" t="s">
        <v>340</v>
      </c>
      <c r="AO416" s="16" t="s">
        <v>340</v>
      </c>
      <c r="AP416" s="16" t="s">
        <v>335</v>
      </c>
      <c r="AQ416" s="16"/>
      <c r="AR416" s="21" t="n">
        <f aca="false">IF(AND(T416&lt;&gt;"",H416&lt;&gt;""),IF(AND((T416-H416)*86400&gt;=0,(T416-H416)*86400&lt;تنظیمات!$B$13),1,0),0)</f>
        <v>0</v>
      </c>
      <c r="AS416" s="21" t="n">
        <f aca="false">IF(Z416="پوز",IF(OR(AB416="",COUNTIF(پوزها!$A$2:$A$5,AA416)=0),1,0),0)</f>
        <v>0</v>
      </c>
      <c r="AT416" s="21" t="n">
        <f aca="false">IF(AI416="",0,IF(AI416&gt;0,1,0))</f>
        <v>0</v>
      </c>
      <c r="AU416" s="21" t="n">
        <f aca="false">IF(AI416="",0,IF(AI416&lt;0,1,0))</f>
        <v>0</v>
      </c>
      <c r="AV416" s="21" t="n">
        <f aca="false">IF(U416&gt;V416,1,0)</f>
        <v>0</v>
      </c>
      <c r="AW416" s="21" t="n">
        <f aca="false">IF(OR(W416&gt;تنظیمات!$B$8,X416="بله"),1,0)</f>
        <v>0</v>
      </c>
      <c r="AX416" s="21" t="n">
        <f aca="false">IF(AND(N416="بله",L416&gt;تنظیمات!$B$9),1,0)</f>
        <v>0</v>
      </c>
      <c r="AY416" s="21" t="n">
        <f aca="false">IF(Y416="معکوس",1,0)</f>
        <v>0</v>
      </c>
      <c r="AZ416" s="21" t="n">
        <f aca="false">IF(ABS(AJ416)&gt;تنظیمات!$B$10,1,0)</f>
        <v>0</v>
      </c>
      <c r="BA416" s="21" t="n">
        <f aca="false">IF(AND(OR(AD416="رایگان/VIP",AD416="جانباز"),AF416="خیر"),1,0)</f>
        <v>0</v>
      </c>
      <c r="BB416" s="21" t="n">
        <f aca="false">IF(AE416="",0,IF(COUNTIF($AE$2:$AE$1001,AE416)&gt;1,1,0))</f>
        <v>0</v>
      </c>
      <c r="BC416" s="21" t="n">
        <f aca="false">IF(AND(H416="",I416&gt;تنظیمات!$B$12*60,AM416="خالی"),1,0)</f>
        <v>0</v>
      </c>
      <c r="BD416" s="21" t="n">
        <f aca="false">IF(AND(AP416="بله",I416&lt;تنظیمات!$B$14,AO416="خیر"),1,0)</f>
        <v>0</v>
      </c>
      <c r="BE416" s="21" t="n">
        <f aca="false">IF(AN416="خیر",1,0)</f>
        <v>0</v>
      </c>
      <c r="BF416" s="21" t="n">
        <f aca="false">IF(AND(AD416="فیش مفقودی",AQ416="بله",I416&gt;تنظیمات!$B$12*60),1,0)</f>
        <v>0</v>
      </c>
      <c r="BG416" s="21" t="n">
        <f aca="false">IF(AND(AK416&gt;تنظیمات!$B$11,AL416="بله"),1,0)</f>
        <v>0</v>
      </c>
      <c r="BH416" s="21" t="n">
        <f aca="false">MIN(100,AR416*تنظیمات!$B$21+AS416*تنظیمات!$B$22+AT416*تنظیمات!$B$23+AU416*تنظیمات!$B$24+AV416*تنظیمات!$B$25+AW416*تنظیمات!$B$26+AX416*تنظیمات!$B$27+AY416*تنظیمات!$B$28+AZ416*تنظیمات!$B$29+BA416*تنظیمات!$B$30+BB416*تنظیمات!$B$31+BC416*تنظیمات!$B$32+BD416*تنظیمات!$B$33+BE416*تنظیمات!$B$34+BF416*تنظیمات!$B$35+BG416*تنظیمات!$B$36)</f>
        <v>0</v>
      </c>
      <c r="BI416" s="16" t="str">
        <f aca="false">IF(BH416&gt;=60,"بحرانی",IF(BH416&gt;=30,"مشکوک",IF(BH416&gt;0,"هشدار","عادی")))</f>
        <v>عادی</v>
      </c>
      <c r="BJ416" s="16" t="s">
        <v>338</v>
      </c>
    </row>
    <row r="417" customFormat="false" ht="15" hidden="false" customHeight="false" outlineLevel="0" collapsed="false">
      <c r="A417" s="16" t="s">
        <v>1708</v>
      </c>
      <c r="B417" s="16" t="s">
        <v>788</v>
      </c>
      <c r="C417" s="16"/>
      <c r="D417" s="16" t="s">
        <v>508</v>
      </c>
      <c r="E417" s="16" t="s">
        <v>332</v>
      </c>
      <c r="F417" s="16" t="s">
        <v>333</v>
      </c>
      <c r="G417" s="17" t="n">
        <v>46286.5868055556</v>
      </c>
      <c r="H417" s="17" t="n">
        <v>46286.6118055556</v>
      </c>
      <c r="I417" s="18" t="n">
        <f aca="false">IF(H417="",ROUND((تنظیمات!$B$7-G417)*1440,0),ROUND((H417-G417)*1440,0))</f>
        <v>36</v>
      </c>
      <c r="J417" s="16" t="s">
        <v>334</v>
      </c>
      <c r="K417" s="16" t="s">
        <v>400</v>
      </c>
      <c r="L417" s="19" t="n">
        <v>0.898</v>
      </c>
      <c r="M417" s="19" t="n">
        <v>0.978</v>
      </c>
      <c r="N417" s="16" t="s">
        <v>335</v>
      </c>
      <c r="O417" s="16" t="s">
        <v>419</v>
      </c>
      <c r="P417" s="16" t="s">
        <v>420</v>
      </c>
      <c r="Q417" s="20" t="n">
        <v>46286</v>
      </c>
      <c r="R417" s="16" t="s">
        <v>1709</v>
      </c>
      <c r="S417" s="16" t="s">
        <v>404</v>
      </c>
      <c r="T417" s="17"/>
      <c r="U417" s="21" t="n">
        <v>1</v>
      </c>
      <c r="V417" s="21" t="n">
        <v>1</v>
      </c>
      <c r="W417" s="22" t="n">
        <v>7.5</v>
      </c>
      <c r="X417" s="16" t="s">
        <v>335</v>
      </c>
      <c r="Y417" s="16" t="s">
        <v>338</v>
      </c>
      <c r="Z417" s="16" t="s">
        <v>413</v>
      </c>
      <c r="AA417" s="16" t="s">
        <v>427</v>
      </c>
      <c r="AB417" s="23" t="s">
        <v>1710</v>
      </c>
      <c r="AC417" s="17" t="n">
        <v>46286.6110300926</v>
      </c>
      <c r="AD417" s="16" t="s">
        <v>338</v>
      </c>
      <c r="AE417" s="16"/>
      <c r="AF417" s="16" t="str">
        <f aca="false">IF(COUNTIF(لیست_سفید!$A$2:$A$21,B417)&gt;0,"بله","خیر")</f>
        <v>خیر</v>
      </c>
      <c r="AG417" s="24" t="n">
        <f aca="false">IF(H417="","",IF(AD417="فیش مفقودی",تنظیمات!$B$6,(INT(I417/1440)*تنظیمات!$B$5+IF(MOD(I417,1440)&lt;=تنظیمات!$B$2,0,MIN(تنظیمات!$B$5,تنظیمات!$B$3+MAX(0,ROUNDUP((MOD(I417,1440)-60)/60,0))*تنظیمات!$B$4)))*INDEX(تعرفه!$B$2:$B$7,MATCH(AD417,تعرفه!$A$2:$A$7,0))))</f>
        <v>20000</v>
      </c>
      <c r="AH417" s="24" t="n">
        <v>20000</v>
      </c>
      <c r="AI417" s="24" t="n">
        <f aca="false">IF(AG417="","",AH417-AG417)</f>
        <v>0</v>
      </c>
      <c r="AJ417" s="21" t="n">
        <v>-2</v>
      </c>
      <c r="AK417" s="21" t="n">
        <v>0</v>
      </c>
      <c r="AL417" s="16" t="s">
        <v>335</v>
      </c>
      <c r="AM417" s="16"/>
      <c r="AN417" s="16" t="s">
        <v>340</v>
      </c>
      <c r="AO417" s="16" t="s">
        <v>340</v>
      </c>
      <c r="AP417" s="16" t="s">
        <v>335</v>
      </c>
      <c r="AQ417" s="16"/>
      <c r="AR417" s="21" t="n">
        <f aca="false">IF(AND(T417&lt;&gt;"",H417&lt;&gt;""),IF(AND((T417-H417)*86400&gt;=0,(T417-H417)*86400&lt;تنظیمات!$B$13),1,0),0)</f>
        <v>0</v>
      </c>
      <c r="AS417" s="21" t="n">
        <f aca="false">IF(Z417="پوز",IF(OR(AB417="",COUNTIF(پوزها!$A$2:$A$5,AA417)=0),1,0),0)</f>
        <v>0</v>
      </c>
      <c r="AT417" s="21" t="n">
        <f aca="false">IF(AI417="",0,IF(AI417&gt;0,1,0))</f>
        <v>0</v>
      </c>
      <c r="AU417" s="21" t="n">
        <f aca="false">IF(AI417="",0,IF(AI417&lt;0,1,0))</f>
        <v>0</v>
      </c>
      <c r="AV417" s="21" t="n">
        <f aca="false">IF(U417&gt;V417,1,0)</f>
        <v>0</v>
      </c>
      <c r="AW417" s="21" t="n">
        <f aca="false">IF(OR(W417&gt;تنظیمات!$B$8,X417="بله"),1,0)</f>
        <v>0</v>
      </c>
      <c r="AX417" s="21" t="n">
        <f aca="false">IF(AND(N417="بله",L417&gt;تنظیمات!$B$9),1,0)</f>
        <v>0</v>
      </c>
      <c r="AY417" s="21" t="n">
        <f aca="false">IF(Y417="معکوس",1,0)</f>
        <v>0</v>
      </c>
      <c r="AZ417" s="21" t="n">
        <f aca="false">IF(ABS(AJ417)&gt;تنظیمات!$B$10,1,0)</f>
        <v>0</v>
      </c>
      <c r="BA417" s="21" t="n">
        <f aca="false">IF(AND(OR(AD417="رایگان/VIP",AD417="جانباز"),AF417="خیر"),1,0)</f>
        <v>0</v>
      </c>
      <c r="BB417" s="21" t="n">
        <f aca="false">IF(AE417="",0,IF(COUNTIF($AE$2:$AE$1001,AE417)&gt;1,1,0))</f>
        <v>0</v>
      </c>
      <c r="BC417" s="21" t="n">
        <f aca="false">IF(AND(H417="",I417&gt;تنظیمات!$B$12*60,AM417="خالی"),1,0)</f>
        <v>0</v>
      </c>
      <c r="BD417" s="21" t="n">
        <f aca="false">IF(AND(AP417="بله",I417&lt;تنظیمات!$B$14,AO417="خیر"),1,0)</f>
        <v>0</v>
      </c>
      <c r="BE417" s="21" t="n">
        <f aca="false">IF(AN417="خیر",1,0)</f>
        <v>0</v>
      </c>
      <c r="BF417" s="21" t="n">
        <f aca="false">IF(AND(AD417="فیش مفقودی",AQ417="بله",I417&gt;تنظیمات!$B$12*60),1,0)</f>
        <v>0</v>
      </c>
      <c r="BG417" s="21" t="n">
        <f aca="false">IF(AND(AK417&gt;تنظیمات!$B$11,AL417="بله"),1,0)</f>
        <v>0</v>
      </c>
      <c r="BH417" s="21" t="n">
        <f aca="false">MIN(100,AR417*تنظیمات!$B$21+AS417*تنظیمات!$B$22+AT417*تنظیمات!$B$23+AU417*تنظیمات!$B$24+AV417*تنظیمات!$B$25+AW417*تنظیمات!$B$26+AX417*تنظیمات!$B$27+AY417*تنظیمات!$B$28+AZ417*تنظیمات!$B$29+BA417*تنظیمات!$B$30+BB417*تنظیمات!$B$31+BC417*تنظیمات!$B$32+BD417*تنظیمات!$B$33+BE417*تنظیمات!$B$34+BF417*تنظیمات!$B$35+BG417*تنظیمات!$B$36)</f>
        <v>0</v>
      </c>
      <c r="BI417" s="16" t="str">
        <f aca="false">IF(BH417&gt;=60,"بحرانی",IF(BH417&gt;=30,"مشکوک",IF(BH417&gt;0,"هشدار","عادی")))</f>
        <v>عادی</v>
      </c>
      <c r="BJ417" s="16" t="s">
        <v>338</v>
      </c>
    </row>
    <row r="418" customFormat="false" ht="15" hidden="false" customHeight="false" outlineLevel="0" collapsed="false">
      <c r="A418" s="16" t="s">
        <v>1711</v>
      </c>
      <c r="B418" s="16" t="s">
        <v>1400</v>
      </c>
      <c r="C418" s="16"/>
      <c r="D418" s="16" t="s">
        <v>344</v>
      </c>
      <c r="E418" s="16" t="s">
        <v>332</v>
      </c>
      <c r="F418" s="16" t="s">
        <v>333</v>
      </c>
      <c r="G418" s="17" t="n">
        <v>46286.610625</v>
      </c>
      <c r="H418" s="17" t="n">
        <v>46286.6127083333</v>
      </c>
      <c r="I418" s="18" t="n">
        <f aca="false">IF(H418="",ROUND((تنظیمات!$B$7-G418)*1440,0),ROUND((H418-G418)*1440,0))</f>
        <v>3</v>
      </c>
      <c r="J418" s="16" t="s">
        <v>346</v>
      </c>
      <c r="K418" s="16" t="s">
        <v>410</v>
      </c>
      <c r="L418" s="19" t="n">
        <v>0.995</v>
      </c>
      <c r="M418" s="19" t="n">
        <v>0.954</v>
      </c>
      <c r="N418" s="16" t="s">
        <v>335</v>
      </c>
      <c r="O418" s="16" t="s">
        <v>650</v>
      </c>
      <c r="P418" s="16" t="s">
        <v>420</v>
      </c>
      <c r="Q418" s="20" t="n">
        <v>46286</v>
      </c>
      <c r="R418" s="16" t="s">
        <v>1712</v>
      </c>
      <c r="S418" s="16" t="s">
        <v>404</v>
      </c>
      <c r="T418" s="17"/>
      <c r="U418" s="21" t="n">
        <v>1</v>
      </c>
      <c r="V418" s="21" t="n">
        <v>1</v>
      </c>
      <c r="W418" s="22" t="n">
        <v>4.8</v>
      </c>
      <c r="X418" s="16" t="s">
        <v>335</v>
      </c>
      <c r="Y418" s="16" t="s">
        <v>338</v>
      </c>
      <c r="Z418" s="16" t="s">
        <v>628</v>
      </c>
      <c r="AA418" s="16"/>
      <c r="AB418" s="23"/>
      <c r="AC418" s="17"/>
      <c r="AD418" s="16" t="s">
        <v>338</v>
      </c>
      <c r="AE418" s="16"/>
      <c r="AF418" s="16" t="str">
        <f aca="false">IF(COUNTIF(لیست_سفید!$A$2:$A$21,B418)&gt;0,"بله","خیر")</f>
        <v>خیر</v>
      </c>
      <c r="AG418" s="24" t="n">
        <f aca="false">IF(H418="","",IF(AD418="فیش مفقودی",تنظیمات!$B$6,(INT(I418/1440)*تنظیمات!$B$5+IF(MOD(I418,1440)&lt;=تنظیمات!$B$2,0,MIN(تنظیمات!$B$5,تنظیمات!$B$3+MAX(0,ROUNDUP((MOD(I418,1440)-60)/60,0))*تنظیمات!$B$4)))*INDEX(تعرفه!$B$2:$B$7,MATCH(AD418,تعرفه!$A$2:$A$7,0))))</f>
        <v>0</v>
      </c>
      <c r="AH418" s="24" t="n">
        <v>0</v>
      </c>
      <c r="AI418" s="24" t="n">
        <f aca="false">IF(AG418="","",AH418-AG418)</f>
        <v>0</v>
      </c>
      <c r="AJ418" s="21" t="n">
        <v>3</v>
      </c>
      <c r="AK418" s="21" t="n">
        <v>0</v>
      </c>
      <c r="AL418" s="16" t="s">
        <v>335</v>
      </c>
      <c r="AM418" s="16"/>
      <c r="AN418" s="16" t="s">
        <v>340</v>
      </c>
      <c r="AO418" s="16" t="s">
        <v>340</v>
      </c>
      <c r="AP418" s="16" t="s">
        <v>335</v>
      </c>
      <c r="AQ418" s="16"/>
      <c r="AR418" s="21" t="n">
        <f aca="false">IF(AND(T418&lt;&gt;"",H418&lt;&gt;""),IF(AND((T418-H418)*86400&gt;=0,(T418-H418)*86400&lt;تنظیمات!$B$13),1,0),0)</f>
        <v>0</v>
      </c>
      <c r="AS418" s="21" t="n">
        <f aca="false">IF(Z418="پوز",IF(OR(AB418="",COUNTIF(پوزها!$A$2:$A$5,AA418)=0),1,0),0)</f>
        <v>0</v>
      </c>
      <c r="AT418" s="21" t="n">
        <f aca="false">IF(AI418="",0,IF(AI418&gt;0,1,0))</f>
        <v>0</v>
      </c>
      <c r="AU418" s="21" t="n">
        <f aca="false">IF(AI418="",0,IF(AI418&lt;0,1,0))</f>
        <v>0</v>
      </c>
      <c r="AV418" s="21" t="n">
        <f aca="false">IF(U418&gt;V418,1,0)</f>
        <v>0</v>
      </c>
      <c r="AW418" s="21" t="n">
        <f aca="false">IF(OR(W418&gt;تنظیمات!$B$8,X418="بله"),1,0)</f>
        <v>0</v>
      </c>
      <c r="AX418" s="21" t="n">
        <f aca="false">IF(AND(N418="بله",L418&gt;تنظیمات!$B$9),1,0)</f>
        <v>0</v>
      </c>
      <c r="AY418" s="21" t="n">
        <f aca="false">IF(Y418="معکوس",1,0)</f>
        <v>0</v>
      </c>
      <c r="AZ418" s="21" t="n">
        <f aca="false">IF(ABS(AJ418)&gt;تنظیمات!$B$10,1,0)</f>
        <v>0</v>
      </c>
      <c r="BA418" s="21" t="n">
        <f aca="false">IF(AND(OR(AD418="رایگان/VIP",AD418="جانباز"),AF418="خیر"),1,0)</f>
        <v>0</v>
      </c>
      <c r="BB418" s="21" t="n">
        <f aca="false">IF(AE418="",0,IF(COUNTIF($AE$2:$AE$1001,AE418)&gt;1,1,0))</f>
        <v>0</v>
      </c>
      <c r="BC418" s="21" t="n">
        <f aca="false">IF(AND(H418="",I418&gt;تنظیمات!$B$12*60,AM418="خالی"),1,0)</f>
        <v>0</v>
      </c>
      <c r="BD418" s="21" t="n">
        <f aca="false">IF(AND(AP418="بله",I418&lt;تنظیمات!$B$14,AO418="خیر"),1,0)</f>
        <v>0</v>
      </c>
      <c r="BE418" s="21" t="n">
        <f aca="false">IF(AN418="خیر",1,0)</f>
        <v>0</v>
      </c>
      <c r="BF418" s="21" t="n">
        <f aca="false">IF(AND(AD418="فیش مفقودی",AQ418="بله",I418&gt;تنظیمات!$B$12*60),1,0)</f>
        <v>0</v>
      </c>
      <c r="BG418" s="21" t="n">
        <f aca="false">IF(AND(AK418&gt;تنظیمات!$B$11,AL418="بله"),1,0)</f>
        <v>0</v>
      </c>
      <c r="BH418" s="21" t="n">
        <f aca="false">MIN(100,AR418*تنظیمات!$B$21+AS418*تنظیمات!$B$22+AT418*تنظیمات!$B$23+AU418*تنظیمات!$B$24+AV418*تنظیمات!$B$25+AW418*تنظیمات!$B$26+AX418*تنظیمات!$B$27+AY418*تنظیمات!$B$28+AZ418*تنظیمات!$B$29+BA418*تنظیمات!$B$30+BB418*تنظیمات!$B$31+BC418*تنظیمات!$B$32+BD418*تنظیمات!$B$33+BE418*تنظیمات!$B$34+BF418*تنظیمات!$B$35+BG418*تنظیمات!$B$36)</f>
        <v>0</v>
      </c>
      <c r="BI418" s="16" t="str">
        <f aca="false">IF(BH418&gt;=60,"بحرانی",IF(BH418&gt;=30,"مشکوک",IF(BH418&gt;0,"هشدار","عادی")))</f>
        <v>عادی</v>
      </c>
      <c r="BJ418" s="16" t="s">
        <v>338</v>
      </c>
    </row>
    <row r="419" customFormat="false" ht="15" hidden="false" customHeight="false" outlineLevel="0" collapsed="false">
      <c r="A419" s="16" t="s">
        <v>1713</v>
      </c>
      <c r="B419" s="16" t="s">
        <v>1667</v>
      </c>
      <c r="C419" s="16"/>
      <c r="D419" s="16" t="s">
        <v>382</v>
      </c>
      <c r="E419" s="16" t="s">
        <v>345</v>
      </c>
      <c r="F419" s="16" t="s">
        <v>333</v>
      </c>
      <c r="G419" s="17" t="n">
        <v>46286.6193518519</v>
      </c>
      <c r="H419" s="17" t="n">
        <v>46286.7422685185</v>
      </c>
      <c r="I419" s="18" t="n">
        <f aca="false">IF(H419="",ROUND((تنظیمات!$B$7-G419)*1440,0),ROUND((H419-G419)*1440,0))</f>
        <v>177</v>
      </c>
      <c r="J419" s="16" t="s">
        <v>346</v>
      </c>
      <c r="K419" s="16" t="s">
        <v>400</v>
      </c>
      <c r="L419" s="19" t="n">
        <v>0.963</v>
      </c>
      <c r="M419" s="19" t="n">
        <v>0.879</v>
      </c>
      <c r="N419" s="16" t="s">
        <v>335</v>
      </c>
      <c r="O419" s="16" t="s">
        <v>419</v>
      </c>
      <c r="P419" s="16" t="s">
        <v>420</v>
      </c>
      <c r="Q419" s="20" t="n">
        <v>46286</v>
      </c>
      <c r="R419" s="16" t="s">
        <v>1714</v>
      </c>
      <c r="S419" s="16" t="s">
        <v>404</v>
      </c>
      <c r="T419" s="17"/>
      <c r="U419" s="21" t="n">
        <v>1</v>
      </c>
      <c r="V419" s="21" t="n">
        <v>1</v>
      </c>
      <c r="W419" s="22" t="n">
        <v>4.6</v>
      </c>
      <c r="X419" s="16" t="s">
        <v>335</v>
      </c>
      <c r="Y419" s="16" t="s">
        <v>338</v>
      </c>
      <c r="Z419" s="16" t="s">
        <v>413</v>
      </c>
      <c r="AA419" s="16" t="s">
        <v>427</v>
      </c>
      <c r="AB419" s="23" t="s">
        <v>1715</v>
      </c>
      <c r="AC419" s="17" t="n">
        <v>46286.7419097222</v>
      </c>
      <c r="AD419" s="16" t="s">
        <v>338</v>
      </c>
      <c r="AE419" s="16"/>
      <c r="AF419" s="16" t="str">
        <f aca="false">IF(COUNTIF(لیست_سفید!$A$2:$A$21,B419)&gt;0,"بله","خیر")</f>
        <v>خیر</v>
      </c>
      <c r="AG419" s="24" t="n">
        <f aca="false">IF(H419="","",IF(AD419="فیش مفقودی",تنظیمات!$B$6,(INT(I419/1440)*تنظیمات!$B$5+IF(MOD(I419,1440)&lt;=تنظیمات!$B$2,0,MIN(تنظیمات!$B$5,تنظیمات!$B$3+MAX(0,ROUNDUP((MOD(I419,1440)-60)/60,0))*تنظیمات!$B$4)))*INDEX(تعرفه!$B$2:$B$7,MATCH(AD419,تعرفه!$A$2:$A$7,0))))</f>
        <v>48000</v>
      </c>
      <c r="AH419" s="24" t="n">
        <v>48000</v>
      </c>
      <c r="AI419" s="24" t="n">
        <f aca="false">IF(AG419="","",AH419-AG419)</f>
        <v>0</v>
      </c>
      <c r="AJ419" s="21" t="n">
        <v>-2</v>
      </c>
      <c r="AK419" s="21" t="n">
        <v>0</v>
      </c>
      <c r="AL419" s="16" t="s">
        <v>335</v>
      </c>
      <c r="AM419" s="16"/>
      <c r="AN419" s="16" t="s">
        <v>340</v>
      </c>
      <c r="AO419" s="16" t="s">
        <v>340</v>
      </c>
      <c r="AP419" s="16" t="s">
        <v>335</v>
      </c>
      <c r="AQ419" s="16"/>
      <c r="AR419" s="21" t="n">
        <f aca="false">IF(AND(T419&lt;&gt;"",H419&lt;&gt;""),IF(AND((T419-H419)*86400&gt;=0,(T419-H419)*86400&lt;تنظیمات!$B$13),1,0),0)</f>
        <v>0</v>
      </c>
      <c r="AS419" s="21" t="n">
        <f aca="false">IF(Z419="پوز",IF(OR(AB419="",COUNTIF(پوزها!$A$2:$A$5,AA419)=0),1,0),0)</f>
        <v>0</v>
      </c>
      <c r="AT419" s="21" t="n">
        <f aca="false">IF(AI419="",0,IF(AI419&gt;0,1,0))</f>
        <v>0</v>
      </c>
      <c r="AU419" s="21" t="n">
        <f aca="false">IF(AI419="",0,IF(AI419&lt;0,1,0))</f>
        <v>0</v>
      </c>
      <c r="AV419" s="21" t="n">
        <f aca="false">IF(U419&gt;V419,1,0)</f>
        <v>0</v>
      </c>
      <c r="AW419" s="21" t="n">
        <f aca="false">IF(OR(W419&gt;تنظیمات!$B$8,X419="بله"),1,0)</f>
        <v>0</v>
      </c>
      <c r="AX419" s="21" t="n">
        <f aca="false">IF(AND(N419="بله",L419&gt;تنظیمات!$B$9),1,0)</f>
        <v>0</v>
      </c>
      <c r="AY419" s="21" t="n">
        <f aca="false">IF(Y419="معکوس",1,0)</f>
        <v>0</v>
      </c>
      <c r="AZ419" s="21" t="n">
        <f aca="false">IF(ABS(AJ419)&gt;تنظیمات!$B$10,1,0)</f>
        <v>0</v>
      </c>
      <c r="BA419" s="21" t="n">
        <f aca="false">IF(AND(OR(AD419="رایگان/VIP",AD419="جانباز"),AF419="خیر"),1,0)</f>
        <v>0</v>
      </c>
      <c r="BB419" s="21" t="n">
        <f aca="false">IF(AE419="",0,IF(COUNTIF($AE$2:$AE$1001,AE419)&gt;1,1,0))</f>
        <v>0</v>
      </c>
      <c r="BC419" s="21" t="n">
        <f aca="false">IF(AND(H419="",I419&gt;تنظیمات!$B$12*60,AM419="خالی"),1,0)</f>
        <v>0</v>
      </c>
      <c r="BD419" s="21" t="n">
        <f aca="false">IF(AND(AP419="بله",I419&lt;تنظیمات!$B$14,AO419="خیر"),1,0)</f>
        <v>0</v>
      </c>
      <c r="BE419" s="21" t="n">
        <f aca="false">IF(AN419="خیر",1,0)</f>
        <v>0</v>
      </c>
      <c r="BF419" s="21" t="n">
        <f aca="false">IF(AND(AD419="فیش مفقودی",AQ419="بله",I419&gt;تنظیمات!$B$12*60),1,0)</f>
        <v>0</v>
      </c>
      <c r="BG419" s="21" t="n">
        <f aca="false">IF(AND(AK419&gt;تنظیمات!$B$11,AL419="بله"),1,0)</f>
        <v>0</v>
      </c>
      <c r="BH419" s="21" t="n">
        <f aca="false">MIN(100,AR419*تنظیمات!$B$21+AS419*تنظیمات!$B$22+AT419*تنظیمات!$B$23+AU419*تنظیمات!$B$24+AV419*تنظیمات!$B$25+AW419*تنظیمات!$B$26+AX419*تنظیمات!$B$27+AY419*تنظیمات!$B$28+AZ419*تنظیمات!$B$29+BA419*تنظیمات!$B$30+BB419*تنظیمات!$B$31+BC419*تنظیمات!$B$32+BD419*تنظیمات!$B$33+BE419*تنظیمات!$B$34+BF419*تنظیمات!$B$35+BG419*تنظیمات!$B$36)</f>
        <v>0</v>
      </c>
      <c r="BI419" s="16" t="str">
        <f aca="false">IF(BH419&gt;=60,"بحرانی",IF(BH419&gt;=30,"مشکوک",IF(BH419&gt;0,"هشدار","عادی")))</f>
        <v>عادی</v>
      </c>
      <c r="BJ419" s="16" t="s">
        <v>338</v>
      </c>
    </row>
    <row r="420" customFormat="false" ht="15" hidden="false" customHeight="false" outlineLevel="0" collapsed="false">
      <c r="A420" s="16" t="s">
        <v>1716</v>
      </c>
      <c r="B420" s="16" t="s">
        <v>1717</v>
      </c>
      <c r="C420" s="16"/>
      <c r="D420" s="16" t="s">
        <v>382</v>
      </c>
      <c r="E420" s="16" t="s">
        <v>345</v>
      </c>
      <c r="F420" s="16" t="s">
        <v>333</v>
      </c>
      <c r="G420" s="17" t="n">
        <v>46286.6354282407</v>
      </c>
      <c r="H420" s="17" t="n">
        <v>46286.6736226852</v>
      </c>
      <c r="I420" s="18" t="n">
        <f aca="false">IF(H420="",ROUND((تنظیمات!$B$7-G420)*1440,0),ROUND((H420-G420)*1440,0))</f>
        <v>55</v>
      </c>
      <c r="J420" s="16" t="s">
        <v>334</v>
      </c>
      <c r="K420" s="16" t="s">
        <v>400</v>
      </c>
      <c r="L420" s="19" t="n">
        <v>0.943</v>
      </c>
      <c r="M420" s="19" t="n">
        <v>0.985</v>
      </c>
      <c r="N420" s="16" t="s">
        <v>335</v>
      </c>
      <c r="O420" s="16" t="s">
        <v>419</v>
      </c>
      <c r="P420" s="16" t="s">
        <v>420</v>
      </c>
      <c r="Q420" s="20" t="n">
        <v>46286</v>
      </c>
      <c r="R420" s="16" t="s">
        <v>1718</v>
      </c>
      <c r="S420" s="16" t="s">
        <v>404</v>
      </c>
      <c r="T420" s="17"/>
      <c r="U420" s="21" t="n">
        <v>1</v>
      </c>
      <c r="V420" s="21" t="n">
        <v>1</v>
      </c>
      <c r="W420" s="22" t="n">
        <v>4.6</v>
      </c>
      <c r="X420" s="16" t="s">
        <v>335</v>
      </c>
      <c r="Y420" s="16" t="s">
        <v>338</v>
      </c>
      <c r="Z420" s="16" t="s">
        <v>413</v>
      </c>
      <c r="AA420" s="16" t="s">
        <v>427</v>
      </c>
      <c r="AB420" s="23" t="s">
        <v>1719</v>
      </c>
      <c r="AC420" s="17" t="n">
        <v>46286.6728356482</v>
      </c>
      <c r="AD420" s="16" t="s">
        <v>338</v>
      </c>
      <c r="AE420" s="16"/>
      <c r="AF420" s="16" t="str">
        <f aca="false">IF(COUNTIF(لیست_سفید!$A$2:$A$21,B420)&gt;0,"بله","خیر")</f>
        <v>خیر</v>
      </c>
      <c r="AG420" s="24" t="n">
        <f aca="false">IF(H420="","",IF(AD420="فیش مفقودی",تنظیمات!$B$6,(INT(I420/1440)*تنظیمات!$B$5+IF(MOD(I420,1440)&lt;=تنظیمات!$B$2,0,MIN(تنظیمات!$B$5,تنظیمات!$B$3+MAX(0,ROUNDUP((MOD(I420,1440)-60)/60,0))*تنظیمات!$B$4)))*INDEX(تعرفه!$B$2:$B$7,MATCH(AD420,تعرفه!$A$2:$A$7,0))))</f>
        <v>20000</v>
      </c>
      <c r="AH420" s="24" t="n">
        <v>20000</v>
      </c>
      <c r="AI420" s="24" t="n">
        <f aca="false">IF(AG420="","",AH420-AG420)</f>
        <v>0</v>
      </c>
      <c r="AJ420" s="21" t="n">
        <v>-1</v>
      </c>
      <c r="AK420" s="21" t="n">
        <v>0</v>
      </c>
      <c r="AL420" s="16" t="s">
        <v>335</v>
      </c>
      <c r="AM420" s="16"/>
      <c r="AN420" s="16" t="s">
        <v>340</v>
      </c>
      <c r="AO420" s="16" t="s">
        <v>340</v>
      </c>
      <c r="AP420" s="16" t="s">
        <v>335</v>
      </c>
      <c r="AQ420" s="16"/>
      <c r="AR420" s="21" t="n">
        <f aca="false">IF(AND(T420&lt;&gt;"",H420&lt;&gt;""),IF(AND((T420-H420)*86400&gt;=0,(T420-H420)*86400&lt;تنظیمات!$B$13),1,0),0)</f>
        <v>0</v>
      </c>
      <c r="AS420" s="21" t="n">
        <f aca="false">IF(Z420="پوز",IF(OR(AB420="",COUNTIF(پوزها!$A$2:$A$5,AA420)=0),1,0),0)</f>
        <v>0</v>
      </c>
      <c r="AT420" s="21" t="n">
        <f aca="false">IF(AI420="",0,IF(AI420&gt;0,1,0))</f>
        <v>0</v>
      </c>
      <c r="AU420" s="21" t="n">
        <f aca="false">IF(AI420="",0,IF(AI420&lt;0,1,0))</f>
        <v>0</v>
      </c>
      <c r="AV420" s="21" t="n">
        <f aca="false">IF(U420&gt;V420,1,0)</f>
        <v>0</v>
      </c>
      <c r="AW420" s="21" t="n">
        <f aca="false">IF(OR(W420&gt;تنظیمات!$B$8,X420="بله"),1,0)</f>
        <v>0</v>
      </c>
      <c r="AX420" s="21" t="n">
        <f aca="false">IF(AND(N420="بله",L420&gt;تنظیمات!$B$9),1,0)</f>
        <v>0</v>
      </c>
      <c r="AY420" s="21" t="n">
        <f aca="false">IF(Y420="معکوس",1,0)</f>
        <v>0</v>
      </c>
      <c r="AZ420" s="21" t="n">
        <f aca="false">IF(ABS(AJ420)&gt;تنظیمات!$B$10,1,0)</f>
        <v>0</v>
      </c>
      <c r="BA420" s="21" t="n">
        <f aca="false">IF(AND(OR(AD420="رایگان/VIP",AD420="جانباز"),AF420="خیر"),1,0)</f>
        <v>0</v>
      </c>
      <c r="BB420" s="21" t="n">
        <f aca="false">IF(AE420="",0,IF(COUNTIF($AE$2:$AE$1001,AE420)&gt;1,1,0))</f>
        <v>0</v>
      </c>
      <c r="BC420" s="21" t="n">
        <f aca="false">IF(AND(H420="",I420&gt;تنظیمات!$B$12*60,AM420="خالی"),1,0)</f>
        <v>0</v>
      </c>
      <c r="BD420" s="21" t="n">
        <f aca="false">IF(AND(AP420="بله",I420&lt;تنظیمات!$B$14,AO420="خیر"),1,0)</f>
        <v>0</v>
      </c>
      <c r="BE420" s="21" t="n">
        <f aca="false">IF(AN420="خیر",1,0)</f>
        <v>0</v>
      </c>
      <c r="BF420" s="21" t="n">
        <f aca="false">IF(AND(AD420="فیش مفقودی",AQ420="بله",I420&gt;تنظیمات!$B$12*60),1,0)</f>
        <v>0</v>
      </c>
      <c r="BG420" s="21" t="n">
        <f aca="false">IF(AND(AK420&gt;تنظیمات!$B$11,AL420="بله"),1,0)</f>
        <v>0</v>
      </c>
      <c r="BH420" s="21" t="n">
        <f aca="false">MIN(100,AR420*تنظیمات!$B$21+AS420*تنظیمات!$B$22+AT420*تنظیمات!$B$23+AU420*تنظیمات!$B$24+AV420*تنظیمات!$B$25+AW420*تنظیمات!$B$26+AX420*تنظیمات!$B$27+AY420*تنظیمات!$B$28+AZ420*تنظیمات!$B$29+BA420*تنظیمات!$B$30+BB420*تنظیمات!$B$31+BC420*تنظیمات!$B$32+BD420*تنظیمات!$B$33+BE420*تنظیمات!$B$34+BF420*تنظیمات!$B$35+BG420*تنظیمات!$B$36)</f>
        <v>0</v>
      </c>
      <c r="BI420" s="16" t="str">
        <f aca="false">IF(BH420&gt;=60,"بحرانی",IF(BH420&gt;=30,"مشکوک",IF(BH420&gt;0,"هشدار","عادی")))</f>
        <v>عادی</v>
      </c>
      <c r="BJ420" s="16" t="s">
        <v>338</v>
      </c>
    </row>
    <row r="421" customFormat="false" ht="15" hidden="false" customHeight="false" outlineLevel="0" collapsed="false">
      <c r="A421" s="16" t="s">
        <v>1720</v>
      </c>
      <c r="B421" s="16" t="s">
        <v>1721</v>
      </c>
      <c r="C421" s="16"/>
      <c r="D421" s="16" t="s">
        <v>331</v>
      </c>
      <c r="E421" s="16" t="s">
        <v>351</v>
      </c>
      <c r="F421" s="16" t="s">
        <v>333</v>
      </c>
      <c r="G421" s="17" t="n">
        <v>46286.635462963</v>
      </c>
      <c r="H421" s="17" t="n">
        <v>46286.7187962963</v>
      </c>
      <c r="I421" s="18" t="n">
        <f aca="false">IF(H421="",ROUND((تنظیمات!$B$7-G421)*1440,0),ROUND((H421-G421)*1440,0))</f>
        <v>120</v>
      </c>
      <c r="J421" s="16" t="s">
        <v>334</v>
      </c>
      <c r="K421" s="16" t="s">
        <v>400</v>
      </c>
      <c r="L421" s="19" t="n">
        <v>0.965</v>
      </c>
      <c r="M421" s="19" t="n">
        <v>0.955</v>
      </c>
      <c r="N421" s="16" t="s">
        <v>335</v>
      </c>
      <c r="O421" s="16" t="s">
        <v>419</v>
      </c>
      <c r="P421" s="16" t="s">
        <v>420</v>
      </c>
      <c r="Q421" s="20" t="n">
        <v>46286</v>
      </c>
      <c r="R421" s="16" t="s">
        <v>1722</v>
      </c>
      <c r="S421" s="16" t="s">
        <v>404</v>
      </c>
      <c r="T421" s="17"/>
      <c r="U421" s="21" t="n">
        <v>1</v>
      </c>
      <c r="V421" s="21" t="n">
        <v>1</v>
      </c>
      <c r="W421" s="22" t="n">
        <v>3.4</v>
      </c>
      <c r="X421" s="16" t="s">
        <v>335</v>
      </c>
      <c r="Y421" s="16" t="s">
        <v>338</v>
      </c>
      <c r="Z421" s="16" t="s">
        <v>405</v>
      </c>
      <c r="AA421" s="16"/>
      <c r="AB421" s="23"/>
      <c r="AC421" s="17"/>
      <c r="AD421" s="16" t="s">
        <v>338</v>
      </c>
      <c r="AE421" s="16"/>
      <c r="AF421" s="16" t="str">
        <f aca="false">IF(COUNTIF(لیست_سفید!$A$2:$A$21,B421)&gt;0,"بله","خیر")</f>
        <v>خیر</v>
      </c>
      <c r="AG421" s="24" t="n">
        <f aca="false">IF(H421="","",IF(AD421="فیش مفقودی",تنظیمات!$B$6,(INT(I421/1440)*تنظیمات!$B$5+IF(MOD(I421,1440)&lt;=تنظیمات!$B$2,0,MIN(تنظیمات!$B$5,تنظیمات!$B$3+MAX(0,ROUNDUP((MOD(I421,1440)-60)/60,0))*تنظیمات!$B$4)))*INDEX(تعرفه!$B$2:$B$7,MATCH(AD421,تعرفه!$A$2:$A$7,0))))</f>
        <v>34000</v>
      </c>
      <c r="AH421" s="24" t="n">
        <v>34000</v>
      </c>
      <c r="AI421" s="24" t="n">
        <f aca="false">IF(AG421="","",AH421-AG421)</f>
        <v>0</v>
      </c>
      <c r="AJ421" s="21" t="n">
        <v>1</v>
      </c>
      <c r="AK421" s="21" t="n">
        <v>0</v>
      </c>
      <c r="AL421" s="16" t="s">
        <v>335</v>
      </c>
      <c r="AM421" s="16"/>
      <c r="AN421" s="16" t="s">
        <v>340</v>
      </c>
      <c r="AO421" s="16" t="s">
        <v>340</v>
      </c>
      <c r="AP421" s="16" t="s">
        <v>335</v>
      </c>
      <c r="AQ421" s="16"/>
      <c r="AR421" s="21" t="n">
        <f aca="false">IF(AND(T421&lt;&gt;"",H421&lt;&gt;""),IF(AND((T421-H421)*86400&gt;=0,(T421-H421)*86400&lt;تنظیمات!$B$13),1,0),0)</f>
        <v>0</v>
      </c>
      <c r="AS421" s="21" t="n">
        <f aca="false">IF(Z421="پوز",IF(OR(AB421="",COUNTIF(پوزها!$A$2:$A$5,AA421)=0),1,0),0)</f>
        <v>0</v>
      </c>
      <c r="AT421" s="21" t="n">
        <f aca="false">IF(AI421="",0,IF(AI421&gt;0,1,0))</f>
        <v>0</v>
      </c>
      <c r="AU421" s="21" t="n">
        <f aca="false">IF(AI421="",0,IF(AI421&lt;0,1,0))</f>
        <v>0</v>
      </c>
      <c r="AV421" s="21" t="n">
        <f aca="false">IF(U421&gt;V421,1,0)</f>
        <v>0</v>
      </c>
      <c r="AW421" s="21" t="n">
        <f aca="false">IF(OR(W421&gt;تنظیمات!$B$8,X421="بله"),1,0)</f>
        <v>0</v>
      </c>
      <c r="AX421" s="21" t="n">
        <f aca="false">IF(AND(N421="بله",L421&gt;تنظیمات!$B$9),1,0)</f>
        <v>0</v>
      </c>
      <c r="AY421" s="21" t="n">
        <f aca="false">IF(Y421="معکوس",1,0)</f>
        <v>0</v>
      </c>
      <c r="AZ421" s="21" t="n">
        <f aca="false">IF(ABS(AJ421)&gt;تنظیمات!$B$10,1,0)</f>
        <v>0</v>
      </c>
      <c r="BA421" s="21" t="n">
        <f aca="false">IF(AND(OR(AD421="رایگان/VIP",AD421="جانباز"),AF421="خیر"),1,0)</f>
        <v>0</v>
      </c>
      <c r="BB421" s="21" t="n">
        <f aca="false">IF(AE421="",0,IF(COUNTIF($AE$2:$AE$1001,AE421)&gt;1,1,0))</f>
        <v>0</v>
      </c>
      <c r="BC421" s="21" t="n">
        <f aca="false">IF(AND(H421="",I421&gt;تنظیمات!$B$12*60,AM421="خالی"),1,0)</f>
        <v>0</v>
      </c>
      <c r="BD421" s="21" t="n">
        <f aca="false">IF(AND(AP421="بله",I421&lt;تنظیمات!$B$14,AO421="خیر"),1,0)</f>
        <v>0</v>
      </c>
      <c r="BE421" s="21" t="n">
        <f aca="false">IF(AN421="خیر",1,0)</f>
        <v>0</v>
      </c>
      <c r="BF421" s="21" t="n">
        <f aca="false">IF(AND(AD421="فیش مفقودی",AQ421="بله",I421&gt;تنظیمات!$B$12*60),1,0)</f>
        <v>0</v>
      </c>
      <c r="BG421" s="21" t="n">
        <f aca="false">IF(AND(AK421&gt;تنظیمات!$B$11,AL421="بله"),1,0)</f>
        <v>0</v>
      </c>
      <c r="BH421" s="21" t="n">
        <f aca="false">MIN(100,AR421*تنظیمات!$B$21+AS421*تنظیمات!$B$22+AT421*تنظیمات!$B$23+AU421*تنظیمات!$B$24+AV421*تنظیمات!$B$25+AW421*تنظیمات!$B$26+AX421*تنظیمات!$B$27+AY421*تنظیمات!$B$28+AZ421*تنظیمات!$B$29+BA421*تنظیمات!$B$30+BB421*تنظیمات!$B$31+BC421*تنظیمات!$B$32+BD421*تنظیمات!$B$33+BE421*تنظیمات!$B$34+BF421*تنظیمات!$B$35+BG421*تنظیمات!$B$36)</f>
        <v>0</v>
      </c>
      <c r="BI421" s="16" t="str">
        <f aca="false">IF(BH421&gt;=60,"بحرانی",IF(BH421&gt;=30,"مشکوک",IF(BH421&gt;0,"هشدار","عادی")))</f>
        <v>عادی</v>
      </c>
      <c r="BJ421" s="16" t="s">
        <v>338</v>
      </c>
    </row>
    <row r="422" customFormat="false" ht="15" hidden="false" customHeight="false" outlineLevel="0" collapsed="false">
      <c r="A422" s="16" t="s">
        <v>1723</v>
      </c>
      <c r="B422" s="16" t="s">
        <v>1200</v>
      </c>
      <c r="C422" s="16"/>
      <c r="D422" s="16" t="s">
        <v>358</v>
      </c>
      <c r="E422" s="16" t="s">
        <v>363</v>
      </c>
      <c r="F422" s="16" t="s">
        <v>359</v>
      </c>
      <c r="G422" s="17" t="n">
        <v>46286.6686342593</v>
      </c>
      <c r="H422" s="17" t="n">
        <v>46286.8033564815</v>
      </c>
      <c r="I422" s="18" t="n">
        <f aca="false">IF(H422="",ROUND((تنظیمات!$B$7-G422)*1440,0),ROUND((H422-G422)*1440,0))</f>
        <v>194</v>
      </c>
      <c r="J422" s="16" t="s">
        <v>346</v>
      </c>
      <c r="K422" s="16" t="s">
        <v>400</v>
      </c>
      <c r="L422" s="19" t="n">
        <v>0.954</v>
      </c>
      <c r="M422" s="19" t="n">
        <v>0.961</v>
      </c>
      <c r="N422" s="16" t="s">
        <v>335</v>
      </c>
      <c r="O422" s="16" t="s">
        <v>419</v>
      </c>
      <c r="P422" s="16" t="s">
        <v>420</v>
      </c>
      <c r="Q422" s="20" t="n">
        <v>46286</v>
      </c>
      <c r="R422" s="16" t="s">
        <v>1724</v>
      </c>
      <c r="S422" s="16" t="s">
        <v>404</v>
      </c>
      <c r="T422" s="17"/>
      <c r="U422" s="21" t="n">
        <v>1</v>
      </c>
      <c r="V422" s="21" t="n">
        <v>1</v>
      </c>
      <c r="W422" s="22" t="n">
        <v>6.2</v>
      </c>
      <c r="X422" s="16" t="s">
        <v>335</v>
      </c>
      <c r="Y422" s="16" t="s">
        <v>338</v>
      </c>
      <c r="Z422" s="16" t="s">
        <v>413</v>
      </c>
      <c r="AA422" s="16" t="s">
        <v>427</v>
      </c>
      <c r="AB422" s="23" t="s">
        <v>1725</v>
      </c>
      <c r="AC422" s="17" t="n">
        <v>46286.8029398148</v>
      </c>
      <c r="AD422" s="16" t="s">
        <v>338</v>
      </c>
      <c r="AE422" s="16"/>
      <c r="AF422" s="16" t="str">
        <f aca="false">IF(COUNTIF(لیست_سفید!$A$2:$A$21,B422)&gt;0,"بله","خیر")</f>
        <v>خیر</v>
      </c>
      <c r="AG422" s="24" t="n">
        <f aca="false">IF(H422="","",IF(AD422="فیش مفقودی",تنظیمات!$B$6,(INT(I422/1440)*تنظیمات!$B$5+IF(MOD(I422,1440)&lt;=تنظیمات!$B$2,0,MIN(تنظیمات!$B$5,تنظیمات!$B$3+MAX(0,ROUNDUP((MOD(I422,1440)-60)/60,0))*تنظیمات!$B$4)))*INDEX(تعرفه!$B$2:$B$7,MATCH(AD422,تعرفه!$A$2:$A$7,0))))</f>
        <v>62000</v>
      </c>
      <c r="AH422" s="24" t="n">
        <v>62000</v>
      </c>
      <c r="AI422" s="24" t="n">
        <f aca="false">IF(AG422="","",AH422-AG422)</f>
        <v>0</v>
      </c>
      <c r="AJ422" s="21" t="n">
        <v>1</v>
      </c>
      <c r="AK422" s="21" t="n">
        <v>18</v>
      </c>
      <c r="AL422" s="16" t="s">
        <v>335</v>
      </c>
      <c r="AM422" s="16"/>
      <c r="AN422" s="16" t="s">
        <v>340</v>
      </c>
      <c r="AO422" s="16" t="s">
        <v>340</v>
      </c>
      <c r="AP422" s="16" t="s">
        <v>335</v>
      </c>
      <c r="AQ422" s="16"/>
      <c r="AR422" s="21" t="n">
        <f aca="false">IF(AND(T422&lt;&gt;"",H422&lt;&gt;""),IF(AND((T422-H422)*86400&gt;=0,(T422-H422)*86400&lt;تنظیمات!$B$13),1,0),0)</f>
        <v>0</v>
      </c>
      <c r="AS422" s="21" t="n">
        <f aca="false">IF(Z422="پوز",IF(OR(AB422="",COUNTIF(پوزها!$A$2:$A$5,AA422)=0),1,0),0)</f>
        <v>0</v>
      </c>
      <c r="AT422" s="21" t="n">
        <f aca="false">IF(AI422="",0,IF(AI422&gt;0,1,0))</f>
        <v>0</v>
      </c>
      <c r="AU422" s="21" t="n">
        <f aca="false">IF(AI422="",0,IF(AI422&lt;0,1,0))</f>
        <v>0</v>
      </c>
      <c r="AV422" s="21" t="n">
        <f aca="false">IF(U422&gt;V422,1,0)</f>
        <v>0</v>
      </c>
      <c r="AW422" s="21" t="n">
        <f aca="false">IF(OR(W422&gt;تنظیمات!$B$8,X422="بله"),1,0)</f>
        <v>0</v>
      </c>
      <c r="AX422" s="21" t="n">
        <f aca="false">IF(AND(N422="بله",L422&gt;تنظیمات!$B$9),1,0)</f>
        <v>0</v>
      </c>
      <c r="AY422" s="21" t="n">
        <f aca="false">IF(Y422="معکوس",1,0)</f>
        <v>0</v>
      </c>
      <c r="AZ422" s="21" t="n">
        <f aca="false">IF(ABS(AJ422)&gt;تنظیمات!$B$10,1,0)</f>
        <v>0</v>
      </c>
      <c r="BA422" s="21" t="n">
        <f aca="false">IF(AND(OR(AD422="رایگان/VIP",AD422="جانباز"),AF422="خیر"),1,0)</f>
        <v>0</v>
      </c>
      <c r="BB422" s="21" t="n">
        <f aca="false">IF(AE422="",0,IF(COUNTIF($AE$2:$AE$1001,AE422)&gt;1,1,0))</f>
        <v>0</v>
      </c>
      <c r="BC422" s="21" t="n">
        <f aca="false">IF(AND(H422="",I422&gt;تنظیمات!$B$12*60,AM422="خالی"),1,0)</f>
        <v>0</v>
      </c>
      <c r="BD422" s="21" t="n">
        <f aca="false">IF(AND(AP422="بله",I422&lt;تنظیمات!$B$14,AO422="خیر"),1,0)</f>
        <v>0</v>
      </c>
      <c r="BE422" s="21" t="n">
        <f aca="false">IF(AN422="خیر",1,0)</f>
        <v>0</v>
      </c>
      <c r="BF422" s="21" t="n">
        <f aca="false">IF(AND(AD422="فیش مفقودی",AQ422="بله",I422&gt;تنظیمات!$B$12*60),1,0)</f>
        <v>0</v>
      </c>
      <c r="BG422" s="21" t="n">
        <f aca="false">IF(AND(AK422&gt;تنظیمات!$B$11,AL422="بله"),1,0)</f>
        <v>0</v>
      </c>
      <c r="BH422" s="21" t="n">
        <f aca="false">MIN(100,AR422*تنظیمات!$B$21+AS422*تنظیمات!$B$22+AT422*تنظیمات!$B$23+AU422*تنظیمات!$B$24+AV422*تنظیمات!$B$25+AW422*تنظیمات!$B$26+AX422*تنظیمات!$B$27+AY422*تنظیمات!$B$28+AZ422*تنظیمات!$B$29+BA422*تنظیمات!$B$30+BB422*تنظیمات!$B$31+BC422*تنظیمات!$B$32+BD422*تنظیمات!$B$33+BE422*تنظیمات!$B$34+BF422*تنظیمات!$B$35+BG422*تنظیمات!$B$36)</f>
        <v>0</v>
      </c>
      <c r="BI422" s="16" t="str">
        <f aca="false">IF(BH422&gt;=60,"بحرانی",IF(BH422&gt;=30,"مشکوک",IF(BH422&gt;0,"هشدار","عادی")))</f>
        <v>عادی</v>
      </c>
      <c r="BJ422" s="16" t="s">
        <v>338</v>
      </c>
    </row>
    <row r="423" customFormat="false" ht="15" hidden="false" customHeight="false" outlineLevel="0" collapsed="false">
      <c r="A423" s="16" t="s">
        <v>1726</v>
      </c>
      <c r="B423" s="16" t="s">
        <v>871</v>
      </c>
      <c r="C423" s="16"/>
      <c r="D423" s="16" t="s">
        <v>370</v>
      </c>
      <c r="E423" s="16" t="s">
        <v>351</v>
      </c>
      <c r="F423" s="16" t="s">
        <v>333</v>
      </c>
      <c r="G423" s="17" t="n">
        <v>46286.6692476852</v>
      </c>
      <c r="H423" s="17" t="n">
        <v>46288.5109143519</v>
      </c>
      <c r="I423" s="18" t="n">
        <f aca="false">IF(H423="",ROUND((تنظیمات!$B$7-G423)*1440,0),ROUND((H423-G423)*1440,0))</f>
        <v>2652</v>
      </c>
      <c r="J423" s="16" t="s">
        <v>346</v>
      </c>
      <c r="K423" s="16" t="s">
        <v>400</v>
      </c>
      <c r="L423" s="19" t="n">
        <v>0.995</v>
      </c>
      <c r="M423" s="19" t="n">
        <v>0.903</v>
      </c>
      <c r="N423" s="16" t="s">
        <v>335</v>
      </c>
      <c r="O423" s="16" t="s">
        <v>419</v>
      </c>
      <c r="P423" s="16" t="s">
        <v>402</v>
      </c>
      <c r="Q423" s="20" t="n">
        <v>46288</v>
      </c>
      <c r="R423" s="16" t="s">
        <v>1727</v>
      </c>
      <c r="S423" s="16" t="s">
        <v>404</v>
      </c>
      <c r="T423" s="17"/>
      <c r="U423" s="21" t="n">
        <v>1</v>
      </c>
      <c r="V423" s="21" t="n">
        <v>1</v>
      </c>
      <c r="W423" s="22" t="n">
        <v>5.9</v>
      </c>
      <c r="X423" s="16" t="s">
        <v>335</v>
      </c>
      <c r="Y423" s="16" t="s">
        <v>338</v>
      </c>
      <c r="Z423" s="16" t="s">
        <v>405</v>
      </c>
      <c r="AA423" s="16"/>
      <c r="AB423" s="23"/>
      <c r="AC423" s="17"/>
      <c r="AD423" s="16" t="s">
        <v>338</v>
      </c>
      <c r="AE423" s="16"/>
      <c r="AF423" s="16" t="str">
        <f aca="false">IF(COUNTIF(لیست_سفید!$A$2:$A$21,B423)&gt;0,"بله","خیر")</f>
        <v>خیر</v>
      </c>
      <c r="AG423" s="24" t="n">
        <f aca="false">IF(H423="","",IF(AD423="فیش مفقودی",تنظیمات!$B$6,(INT(I423/1440)*تنظیمات!$B$5+IF(MOD(I423,1440)&lt;=تنظیمات!$B$2,0,MIN(تنظیمات!$B$5,تنظیمات!$B$3+MAX(0,ROUNDUP((MOD(I423,1440)-60)/60,0))*تنظیمات!$B$4)))*INDEX(تعرفه!$B$2:$B$7,MATCH(AD423,تعرفه!$A$2:$A$7,0))))</f>
        <v>360000</v>
      </c>
      <c r="AH423" s="24" t="n">
        <v>360000</v>
      </c>
      <c r="AI423" s="24" t="n">
        <f aca="false">IF(AG423="","",AH423-AG423)</f>
        <v>0</v>
      </c>
      <c r="AJ423" s="21" t="n">
        <v>0</v>
      </c>
      <c r="AK423" s="21" t="n">
        <v>0</v>
      </c>
      <c r="AL423" s="16" t="s">
        <v>335</v>
      </c>
      <c r="AM423" s="16"/>
      <c r="AN423" s="16" t="s">
        <v>340</v>
      </c>
      <c r="AO423" s="16" t="s">
        <v>340</v>
      </c>
      <c r="AP423" s="16" t="s">
        <v>335</v>
      </c>
      <c r="AQ423" s="16"/>
      <c r="AR423" s="21" t="n">
        <f aca="false">IF(AND(T423&lt;&gt;"",H423&lt;&gt;""),IF(AND((T423-H423)*86400&gt;=0,(T423-H423)*86400&lt;تنظیمات!$B$13),1,0),0)</f>
        <v>0</v>
      </c>
      <c r="AS423" s="21" t="n">
        <f aca="false">IF(Z423="پوز",IF(OR(AB423="",COUNTIF(پوزها!$A$2:$A$5,AA423)=0),1,0),0)</f>
        <v>0</v>
      </c>
      <c r="AT423" s="21" t="n">
        <f aca="false">IF(AI423="",0,IF(AI423&gt;0,1,0))</f>
        <v>0</v>
      </c>
      <c r="AU423" s="21" t="n">
        <f aca="false">IF(AI423="",0,IF(AI423&lt;0,1,0))</f>
        <v>0</v>
      </c>
      <c r="AV423" s="21" t="n">
        <f aca="false">IF(U423&gt;V423,1,0)</f>
        <v>0</v>
      </c>
      <c r="AW423" s="21" t="n">
        <f aca="false">IF(OR(W423&gt;تنظیمات!$B$8,X423="بله"),1,0)</f>
        <v>0</v>
      </c>
      <c r="AX423" s="21" t="n">
        <f aca="false">IF(AND(N423="بله",L423&gt;تنظیمات!$B$9),1,0)</f>
        <v>0</v>
      </c>
      <c r="AY423" s="21" t="n">
        <f aca="false">IF(Y423="معکوس",1,0)</f>
        <v>0</v>
      </c>
      <c r="AZ423" s="21" t="n">
        <f aca="false">IF(ABS(AJ423)&gt;تنظیمات!$B$10,1,0)</f>
        <v>0</v>
      </c>
      <c r="BA423" s="21" t="n">
        <f aca="false">IF(AND(OR(AD423="رایگان/VIP",AD423="جانباز"),AF423="خیر"),1,0)</f>
        <v>0</v>
      </c>
      <c r="BB423" s="21" t="n">
        <f aca="false">IF(AE423="",0,IF(COUNTIF($AE$2:$AE$1001,AE423)&gt;1,1,0))</f>
        <v>0</v>
      </c>
      <c r="BC423" s="21" t="n">
        <f aca="false">IF(AND(H423="",I423&gt;تنظیمات!$B$12*60,AM423="خالی"),1,0)</f>
        <v>0</v>
      </c>
      <c r="BD423" s="21" t="n">
        <f aca="false">IF(AND(AP423="بله",I423&lt;تنظیمات!$B$14,AO423="خیر"),1,0)</f>
        <v>0</v>
      </c>
      <c r="BE423" s="21" t="n">
        <f aca="false">IF(AN423="خیر",1,0)</f>
        <v>0</v>
      </c>
      <c r="BF423" s="21" t="n">
        <f aca="false">IF(AND(AD423="فیش مفقودی",AQ423="بله",I423&gt;تنظیمات!$B$12*60),1,0)</f>
        <v>0</v>
      </c>
      <c r="BG423" s="21" t="n">
        <f aca="false">IF(AND(AK423&gt;تنظیمات!$B$11,AL423="بله"),1,0)</f>
        <v>0</v>
      </c>
      <c r="BH423" s="21" t="n">
        <f aca="false">MIN(100,AR423*تنظیمات!$B$21+AS423*تنظیمات!$B$22+AT423*تنظیمات!$B$23+AU423*تنظیمات!$B$24+AV423*تنظیمات!$B$25+AW423*تنظیمات!$B$26+AX423*تنظیمات!$B$27+AY423*تنظیمات!$B$28+AZ423*تنظیمات!$B$29+BA423*تنظیمات!$B$30+BB423*تنظیمات!$B$31+BC423*تنظیمات!$B$32+BD423*تنظیمات!$B$33+BE423*تنظیمات!$B$34+BF423*تنظیمات!$B$35+BG423*تنظیمات!$B$36)</f>
        <v>0</v>
      </c>
      <c r="BI423" s="16" t="str">
        <f aca="false">IF(BH423&gt;=60,"بحرانی",IF(BH423&gt;=30,"مشکوک",IF(BH423&gt;0,"هشدار","عادی")))</f>
        <v>عادی</v>
      </c>
      <c r="BJ423" s="16" t="s">
        <v>338</v>
      </c>
    </row>
    <row r="424" customFormat="false" ht="15" hidden="false" customHeight="false" outlineLevel="0" collapsed="false">
      <c r="A424" s="16" t="s">
        <v>1728</v>
      </c>
      <c r="B424" s="16" t="s">
        <v>1104</v>
      </c>
      <c r="C424" s="16"/>
      <c r="D424" s="16" t="s">
        <v>431</v>
      </c>
      <c r="E424" s="16" t="s">
        <v>345</v>
      </c>
      <c r="F424" s="16" t="s">
        <v>333</v>
      </c>
      <c r="G424" s="17" t="n">
        <v>46286.684212963</v>
      </c>
      <c r="H424" s="17" t="n">
        <v>46286.7432407407</v>
      </c>
      <c r="I424" s="18" t="n">
        <f aca="false">IF(H424="",ROUND((تنظیمات!$B$7-G424)*1440,0),ROUND((H424-G424)*1440,0))</f>
        <v>85</v>
      </c>
      <c r="J424" s="16" t="s">
        <v>334</v>
      </c>
      <c r="K424" s="16" t="s">
        <v>410</v>
      </c>
      <c r="L424" s="19" t="n">
        <v>0.919</v>
      </c>
      <c r="M424" s="19" t="n">
        <v>0.957</v>
      </c>
      <c r="N424" s="16" t="s">
        <v>335</v>
      </c>
      <c r="O424" s="16" t="s">
        <v>650</v>
      </c>
      <c r="P424" s="16" t="s">
        <v>420</v>
      </c>
      <c r="Q424" s="20" t="n">
        <v>46286</v>
      </c>
      <c r="R424" s="16" t="s">
        <v>1729</v>
      </c>
      <c r="S424" s="16" t="s">
        <v>404</v>
      </c>
      <c r="T424" s="17"/>
      <c r="U424" s="21" t="n">
        <v>1</v>
      </c>
      <c r="V424" s="21" t="n">
        <v>1</v>
      </c>
      <c r="W424" s="22" t="n">
        <v>7.2</v>
      </c>
      <c r="X424" s="16" t="s">
        <v>335</v>
      </c>
      <c r="Y424" s="16" t="s">
        <v>338</v>
      </c>
      <c r="Z424" s="16" t="s">
        <v>413</v>
      </c>
      <c r="AA424" s="16" t="s">
        <v>414</v>
      </c>
      <c r="AB424" s="23" t="s">
        <v>1730</v>
      </c>
      <c r="AC424" s="17" t="n">
        <v>46286.7430092593</v>
      </c>
      <c r="AD424" s="16" t="s">
        <v>338</v>
      </c>
      <c r="AE424" s="16"/>
      <c r="AF424" s="16" t="str">
        <f aca="false">IF(COUNTIF(لیست_سفید!$A$2:$A$21,B424)&gt;0,"بله","خیر")</f>
        <v>خیر</v>
      </c>
      <c r="AG424" s="24" t="n">
        <f aca="false">IF(H424="","",IF(AD424="فیش مفقودی",تنظیمات!$B$6,(INT(I424/1440)*تنظیمات!$B$5+IF(MOD(I424,1440)&lt;=تنظیمات!$B$2,0,MIN(تنظیمات!$B$5,تنظیمات!$B$3+MAX(0,ROUNDUP((MOD(I424,1440)-60)/60,0))*تنظیمات!$B$4)))*INDEX(تعرفه!$B$2:$B$7,MATCH(AD424,تعرفه!$A$2:$A$7,0))))</f>
        <v>34000</v>
      </c>
      <c r="AH424" s="24" t="n">
        <v>34000</v>
      </c>
      <c r="AI424" s="24" t="n">
        <f aca="false">IF(AG424="","",AH424-AG424)</f>
        <v>0</v>
      </c>
      <c r="AJ424" s="21" t="n">
        <v>-5</v>
      </c>
      <c r="AK424" s="21" t="n">
        <v>0</v>
      </c>
      <c r="AL424" s="16" t="s">
        <v>335</v>
      </c>
      <c r="AM424" s="16"/>
      <c r="AN424" s="16" t="s">
        <v>340</v>
      </c>
      <c r="AO424" s="16" t="s">
        <v>340</v>
      </c>
      <c r="AP424" s="16" t="s">
        <v>335</v>
      </c>
      <c r="AQ424" s="16"/>
      <c r="AR424" s="21" t="n">
        <f aca="false">IF(AND(T424&lt;&gt;"",H424&lt;&gt;""),IF(AND((T424-H424)*86400&gt;=0,(T424-H424)*86400&lt;تنظیمات!$B$13),1,0),0)</f>
        <v>0</v>
      </c>
      <c r="AS424" s="21" t="n">
        <f aca="false">IF(Z424="پوز",IF(OR(AB424="",COUNTIF(پوزها!$A$2:$A$5,AA424)=0),1,0),0)</f>
        <v>0</v>
      </c>
      <c r="AT424" s="21" t="n">
        <f aca="false">IF(AI424="",0,IF(AI424&gt;0,1,0))</f>
        <v>0</v>
      </c>
      <c r="AU424" s="21" t="n">
        <f aca="false">IF(AI424="",0,IF(AI424&lt;0,1,0))</f>
        <v>0</v>
      </c>
      <c r="AV424" s="21" t="n">
        <f aca="false">IF(U424&gt;V424,1,0)</f>
        <v>0</v>
      </c>
      <c r="AW424" s="21" t="n">
        <f aca="false">IF(OR(W424&gt;تنظیمات!$B$8,X424="بله"),1,0)</f>
        <v>0</v>
      </c>
      <c r="AX424" s="21" t="n">
        <f aca="false">IF(AND(N424="بله",L424&gt;تنظیمات!$B$9),1,0)</f>
        <v>0</v>
      </c>
      <c r="AY424" s="21" t="n">
        <f aca="false">IF(Y424="معکوس",1,0)</f>
        <v>0</v>
      </c>
      <c r="AZ424" s="21" t="n">
        <f aca="false">IF(ABS(AJ424)&gt;تنظیمات!$B$10,1,0)</f>
        <v>0</v>
      </c>
      <c r="BA424" s="21" t="n">
        <f aca="false">IF(AND(OR(AD424="رایگان/VIP",AD424="جانباز"),AF424="خیر"),1,0)</f>
        <v>0</v>
      </c>
      <c r="BB424" s="21" t="n">
        <f aca="false">IF(AE424="",0,IF(COUNTIF($AE$2:$AE$1001,AE424)&gt;1,1,0))</f>
        <v>0</v>
      </c>
      <c r="BC424" s="21" t="n">
        <f aca="false">IF(AND(H424="",I424&gt;تنظیمات!$B$12*60,AM424="خالی"),1,0)</f>
        <v>0</v>
      </c>
      <c r="BD424" s="21" t="n">
        <f aca="false">IF(AND(AP424="بله",I424&lt;تنظیمات!$B$14,AO424="خیر"),1,0)</f>
        <v>0</v>
      </c>
      <c r="BE424" s="21" t="n">
        <f aca="false">IF(AN424="خیر",1,0)</f>
        <v>0</v>
      </c>
      <c r="BF424" s="21" t="n">
        <f aca="false">IF(AND(AD424="فیش مفقودی",AQ424="بله",I424&gt;تنظیمات!$B$12*60),1,0)</f>
        <v>0</v>
      </c>
      <c r="BG424" s="21" t="n">
        <f aca="false">IF(AND(AK424&gt;تنظیمات!$B$11,AL424="بله"),1,0)</f>
        <v>0</v>
      </c>
      <c r="BH424" s="21" t="n">
        <f aca="false">MIN(100,AR424*تنظیمات!$B$21+AS424*تنظیمات!$B$22+AT424*تنظیمات!$B$23+AU424*تنظیمات!$B$24+AV424*تنظیمات!$B$25+AW424*تنظیمات!$B$26+AX424*تنظیمات!$B$27+AY424*تنظیمات!$B$28+AZ424*تنظیمات!$B$29+BA424*تنظیمات!$B$30+BB424*تنظیمات!$B$31+BC424*تنظیمات!$B$32+BD424*تنظیمات!$B$33+BE424*تنظیمات!$B$34+BF424*تنظیمات!$B$35+BG424*تنظیمات!$B$36)</f>
        <v>0</v>
      </c>
      <c r="BI424" s="16" t="str">
        <f aca="false">IF(BH424&gt;=60,"بحرانی",IF(BH424&gt;=30,"مشکوک",IF(BH424&gt;0,"هشدار","عادی")))</f>
        <v>عادی</v>
      </c>
      <c r="BJ424" s="16" t="s">
        <v>338</v>
      </c>
    </row>
    <row r="425" customFormat="false" ht="15" hidden="false" customHeight="false" outlineLevel="0" collapsed="false">
      <c r="A425" s="16" t="s">
        <v>1731</v>
      </c>
      <c r="B425" s="16" t="s">
        <v>1732</v>
      </c>
      <c r="C425" s="16"/>
      <c r="D425" s="16" t="s">
        <v>450</v>
      </c>
      <c r="E425" s="16" t="s">
        <v>332</v>
      </c>
      <c r="F425" s="16" t="s">
        <v>333</v>
      </c>
      <c r="G425" s="17" t="n">
        <v>46286.6993518519</v>
      </c>
      <c r="H425" s="17" t="n">
        <v>46286.7201851852</v>
      </c>
      <c r="I425" s="18" t="n">
        <f aca="false">IF(H425="",ROUND((تنظیمات!$B$7-G425)*1440,0),ROUND((H425-G425)*1440,0))</f>
        <v>30</v>
      </c>
      <c r="J425" s="16" t="s">
        <v>334</v>
      </c>
      <c r="K425" s="16" t="s">
        <v>410</v>
      </c>
      <c r="L425" s="19" t="n">
        <v>0.948</v>
      </c>
      <c r="M425" s="19" t="n">
        <v>0.951</v>
      </c>
      <c r="N425" s="16" t="s">
        <v>335</v>
      </c>
      <c r="O425" s="16" t="s">
        <v>650</v>
      </c>
      <c r="P425" s="16" t="s">
        <v>420</v>
      </c>
      <c r="Q425" s="20" t="n">
        <v>46286</v>
      </c>
      <c r="R425" s="16" t="s">
        <v>1733</v>
      </c>
      <c r="S425" s="16" t="s">
        <v>404</v>
      </c>
      <c r="T425" s="17"/>
      <c r="U425" s="21" t="n">
        <v>1</v>
      </c>
      <c r="V425" s="21" t="n">
        <v>1</v>
      </c>
      <c r="W425" s="22" t="n">
        <v>4</v>
      </c>
      <c r="X425" s="16" t="s">
        <v>335</v>
      </c>
      <c r="Y425" s="16" t="s">
        <v>338</v>
      </c>
      <c r="Z425" s="16" t="s">
        <v>413</v>
      </c>
      <c r="AA425" s="16" t="s">
        <v>414</v>
      </c>
      <c r="AB425" s="23" t="s">
        <v>1734</v>
      </c>
      <c r="AC425" s="17" t="n">
        <v>46286.7196990741</v>
      </c>
      <c r="AD425" s="16" t="s">
        <v>338</v>
      </c>
      <c r="AE425" s="16"/>
      <c r="AF425" s="16" t="str">
        <f aca="false">IF(COUNTIF(لیست_سفید!$A$2:$A$21,B425)&gt;0,"بله","خیر")</f>
        <v>خیر</v>
      </c>
      <c r="AG425" s="24" t="n">
        <f aca="false">IF(H425="","",IF(AD425="فیش مفقودی",تنظیمات!$B$6,(INT(I425/1440)*تنظیمات!$B$5+IF(MOD(I425,1440)&lt;=تنظیمات!$B$2,0,MIN(تنظیمات!$B$5,تنظیمات!$B$3+MAX(0,ROUNDUP((MOD(I425,1440)-60)/60,0))*تنظیمات!$B$4)))*INDEX(تعرفه!$B$2:$B$7,MATCH(AD425,تعرفه!$A$2:$A$7,0))))</f>
        <v>20000</v>
      </c>
      <c r="AH425" s="24" t="n">
        <v>20000</v>
      </c>
      <c r="AI425" s="24" t="n">
        <f aca="false">IF(AG425="","",AH425-AG425)</f>
        <v>0</v>
      </c>
      <c r="AJ425" s="21" t="n">
        <v>-2</v>
      </c>
      <c r="AK425" s="21" t="n">
        <v>0</v>
      </c>
      <c r="AL425" s="16" t="s">
        <v>335</v>
      </c>
      <c r="AM425" s="16"/>
      <c r="AN425" s="16" t="s">
        <v>340</v>
      </c>
      <c r="AO425" s="16" t="s">
        <v>340</v>
      </c>
      <c r="AP425" s="16" t="s">
        <v>335</v>
      </c>
      <c r="AQ425" s="16"/>
      <c r="AR425" s="21" t="n">
        <f aca="false">IF(AND(T425&lt;&gt;"",H425&lt;&gt;""),IF(AND((T425-H425)*86400&gt;=0,(T425-H425)*86400&lt;تنظیمات!$B$13),1,0),0)</f>
        <v>0</v>
      </c>
      <c r="AS425" s="21" t="n">
        <f aca="false">IF(Z425="پوز",IF(OR(AB425="",COUNTIF(پوزها!$A$2:$A$5,AA425)=0),1,0),0)</f>
        <v>0</v>
      </c>
      <c r="AT425" s="21" t="n">
        <f aca="false">IF(AI425="",0,IF(AI425&gt;0,1,0))</f>
        <v>0</v>
      </c>
      <c r="AU425" s="21" t="n">
        <f aca="false">IF(AI425="",0,IF(AI425&lt;0,1,0))</f>
        <v>0</v>
      </c>
      <c r="AV425" s="21" t="n">
        <f aca="false">IF(U425&gt;V425,1,0)</f>
        <v>0</v>
      </c>
      <c r="AW425" s="21" t="n">
        <f aca="false">IF(OR(W425&gt;تنظیمات!$B$8,X425="بله"),1,0)</f>
        <v>0</v>
      </c>
      <c r="AX425" s="21" t="n">
        <f aca="false">IF(AND(N425="بله",L425&gt;تنظیمات!$B$9),1,0)</f>
        <v>0</v>
      </c>
      <c r="AY425" s="21" t="n">
        <f aca="false">IF(Y425="معکوس",1,0)</f>
        <v>0</v>
      </c>
      <c r="AZ425" s="21" t="n">
        <f aca="false">IF(ABS(AJ425)&gt;تنظیمات!$B$10,1,0)</f>
        <v>0</v>
      </c>
      <c r="BA425" s="21" t="n">
        <f aca="false">IF(AND(OR(AD425="رایگان/VIP",AD425="جانباز"),AF425="خیر"),1,0)</f>
        <v>0</v>
      </c>
      <c r="BB425" s="21" t="n">
        <f aca="false">IF(AE425="",0,IF(COUNTIF($AE$2:$AE$1001,AE425)&gt;1,1,0))</f>
        <v>0</v>
      </c>
      <c r="BC425" s="21" t="n">
        <f aca="false">IF(AND(H425="",I425&gt;تنظیمات!$B$12*60,AM425="خالی"),1,0)</f>
        <v>0</v>
      </c>
      <c r="BD425" s="21" t="n">
        <f aca="false">IF(AND(AP425="بله",I425&lt;تنظیمات!$B$14,AO425="خیر"),1,0)</f>
        <v>0</v>
      </c>
      <c r="BE425" s="21" t="n">
        <f aca="false">IF(AN425="خیر",1,0)</f>
        <v>0</v>
      </c>
      <c r="BF425" s="21" t="n">
        <f aca="false">IF(AND(AD425="فیش مفقودی",AQ425="بله",I425&gt;تنظیمات!$B$12*60),1,0)</f>
        <v>0</v>
      </c>
      <c r="BG425" s="21" t="n">
        <f aca="false">IF(AND(AK425&gt;تنظیمات!$B$11,AL425="بله"),1,0)</f>
        <v>0</v>
      </c>
      <c r="BH425" s="21" t="n">
        <f aca="false">MIN(100,AR425*تنظیمات!$B$21+AS425*تنظیمات!$B$22+AT425*تنظیمات!$B$23+AU425*تنظیمات!$B$24+AV425*تنظیمات!$B$25+AW425*تنظیمات!$B$26+AX425*تنظیمات!$B$27+AY425*تنظیمات!$B$28+AZ425*تنظیمات!$B$29+BA425*تنظیمات!$B$30+BB425*تنظیمات!$B$31+BC425*تنظیمات!$B$32+BD425*تنظیمات!$B$33+BE425*تنظیمات!$B$34+BF425*تنظیمات!$B$35+BG425*تنظیمات!$B$36)</f>
        <v>0</v>
      </c>
      <c r="BI425" s="16" t="str">
        <f aca="false">IF(BH425&gt;=60,"بحرانی",IF(BH425&gt;=30,"مشکوک",IF(BH425&gt;0,"هشدار","عادی")))</f>
        <v>عادی</v>
      </c>
      <c r="BJ425" s="16" t="s">
        <v>338</v>
      </c>
    </row>
    <row r="426" customFormat="false" ht="15" hidden="false" customHeight="false" outlineLevel="0" collapsed="false">
      <c r="A426" s="16" t="s">
        <v>1735</v>
      </c>
      <c r="B426" s="16" t="s">
        <v>1042</v>
      </c>
      <c r="C426" s="16"/>
      <c r="D426" s="16" t="s">
        <v>350</v>
      </c>
      <c r="E426" s="16" t="s">
        <v>351</v>
      </c>
      <c r="F426" s="16" t="s">
        <v>333</v>
      </c>
      <c r="G426" s="17" t="n">
        <v>46286.7061342593</v>
      </c>
      <c r="H426" s="17" t="n">
        <v>46286.8116898148</v>
      </c>
      <c r="I426" s="18" t="n">
        <f aca="false">IF(H426="",ROUND((تنظیمات!$B$7-G426)*1440,0),ROUND((H426-G426)*1440,0))</f>
        <v>152</v>
      </c>
      <c r="J426" s="16" t="s">
        <v>346</v>
      </c>
      <c r="K426" s="16" t="s">
        <v>400</v>
      </c>
      <c r="L426" s="19" t="n">
        <v>0.943</v>
      </c>
      <c r="M426" s="19" t="n">
        <v>0.972</v>
      </c>
      <c r="N426" s="16" t="s">
        <v>335</v>
      </c>
      <c r="O426" s="16" t="s">
        <v>419</v>
      </c>
      <c r="P426" s="16" t="s">
        <v>420</v>
      </c>
      <c r="Q426" s="20" t="n">
        <v>46286</v>
      </c>
      <c r="R426" s="16" t="s">
        <v>1736</v>
      </c>
      <c r="S426" s="16" t="s">
        <v>404</v>
      </c>
      <c r="T426" s="17"/>
      <c r="U426" s="21" t="n">
        <v>1</v>
      </c>
      <c r="V426" s="21" t="n">
        <v>1</v>
      </c>
      <c r="W426" s="22" t="n">
        <v>4.8</v>
      </c>
      <c r="X426" s="16" t="s">
        <v>335</v>
      </c>
      <c r="Y426" s="16" t="s">
        <v>338</v>
      </c>
      <c r="Z426" s="16" t="s">
        <v>413</v>
      </c>
      <c r="AA426" s="16" t="s">
        <v>427</v>
      </c>
      <c r="AB426" s="23" t="s">
        <v>1737</v>
      </c>
      <c r="AC426" s="17" t="n">
        <v>46286.8112268519</v>
      </c>
      <c r="AD426" s="16" t="s">
        <v>338</v>
      </c>
      <c r="AE426" s="16"/>
      <c r="AF426" s="16" t="str">
        <f aca="false">IF(COUNTIF(لیست_سفید!$A$2:$A$21,B426)&gt;0,"بله","خیر")</f>
        <v>خیر</v>
      </c>
      <c r="AG426" s="24" t="n">
        <f aca="false">IF(H426="","",IF(AD426="فیش مفقودی",تنظیمات!$B$6,(INT(I426/1440)*تنظیمات!$B$5+IF(MOD(I426,1440)&lt;=تنظیمات!$B$2,0,MIN(تنظیمات!$B$5,تنظیمات!$B$3+MAX(0,ROUNDUP((MOD(I426,1440)-60)/60,0))*تنظیمات!$B$4)))*INDEX(تعرفه!$B$2:$B$7,MATCH(AD426,تعرفه!$A$2:$A$7,0))))</f>
        <v>48000</v>
      </c>
      <c r="AH426" s="24" t="n">
        <v>48000</v>
      </c>
      <c r="AI426" s="24" t="n">
        <f aca="false">IF(AG426="","",AH426-AG426)</f>
        <v>0</v>
      </c>
      <c r="AJ426" s="21" t="n">
        <v>2</v>
      </c>
      <c r="AK426" s="21" t="n">
        <v>0</v>
      </c>
      <c r="AL426" s="16" t="s">
        <v>335</v>
      </c>
      <c r="AM426" s="16"/>
      <c r="AN426" s="16" t="s">
        <v>340</v>
      </c>
      <c r="AO426" s="16" t="s">
        <v>340</v>
      </c>
      <c r="AP426" s="16" t="s">
        <v>335</v>
      </c>
      <c r="AQ426" s="16"/>
      <c r="AR426" s="21" t="n">
        <f aca="false">IF(AND(T426&lt;&gt;"",H426&lt;&gt;""),IF(AND((T426-H426)*86400&gt;=0,(T426-H426)*86400&lt;تنظیمات!$B$13),1,0),0)</f>
        <v>0</v>
      </c>
      <c r="AS426" s="21" t="n">
        <f aca="false">IF(Z426="پوز",IF(OR(AB426="",COUNTIF(پوزها!$A$2:$A$5,AA426)=0),1,0),0)</f>
        <v>0</v>
      </c>
      <c r="AT426" s="21" t="n">
        <f aca="false">IF(AI426="",0,IF(AI426&gt;0,1,0))</f>
        <v>0</v>
      </c>
      <c r="AU426" s="21" t="n">
        <f aca="false">IF(AI426="",0,IF(AI426&lt;0,1,0))</f>
        <v>0</v>
      </c>
      <c r="AV426" s="21" t="n">
        <f aca="false">IF(U426&gt;V426,1,0)</f>
        <v>0</v>
      </c>
      <c r="AW426" s="21" t="n">
        <f aca="false">IF(OR(W426&gt;تنظیمات!$B$8,X426="بله"),1,0)</f>
        <v>0</v>
      </c>
      <c r="AX426" s="21" t="n">
        <f aca="false">IF(AND(N426="بله",L426&gt;تنظیمات!$B$9),1,0)</f>
        <v>0</v>
      </c>
      <c r="AY426" s="21" t="n">
        <f aca="false">IF(Y426="معکوس",1,0)</f>
        <v>0</v>
      </c>
      <c r="AZ426" s="21" t="n">
        <f aca="false">IF(ABS(AJ426)&gt;تنظیمات!$B$10,1,0)</f>
        <v>0</v>
      </c>
      <c r="BA426" s="21" t="n">
        <f aca="false">IF(AND(OR(AD426="رایگان/VIP",AD426="جانباز"),AF426="خیر"),1,0)</f>
        <v>0</v>
      </c>
      <c r="BB426" s="21" t="n">
        <f aca="false">IF(AE426="",0,IF(COUNTIF($AE$2:$AE$1001,AE426)&gt;1,1,0))</f>
        <v>0</v>
      </c>
      <c r="BC426" s="21" t="n">
        <f aca="false">IF(AND(H426="",I426&gt;تنظیمات!$B$12*60,AM426="خالی"),1,0)</f>
        <v>0</v>
      </c>
      <c r="BD426" s="21" t="n">
        <f aca="false">IF(AND(AP426="بله",I426&lt;تنظیمات!$B$14,AO426="خیر"),1,0)</f>
        <v>0</v>
      </c>
      <c r="BE426" s="21" t="n">
        <f aca="false">IF(AN426="خیر",1,0)</f>
        <v>0</v>
      </c>
      <c r="BF426" s="21" t="n">
        <f aca="false">IF(AND(AD426="فیش مفقودی",AQ426="بله",I426&gt;تنظیمات!$B$12*60),1,0)</f>
        <v>0</v>
      </c>
      <c r="BG426" s="21" t="n">
        <f aca="false">IF(AND(AK426&gt;تنظیمات!$B$11,AL426="بله"),1,0)</f>
        <v>0</v>
      </c>
      <c r="BH426" s="21" t="n">
        <f aca="false">MIN(100,AR426*تنظیمات!$B$21+AS426*تنظیمات!$B$22+AT426*تنظیمات!$B$23+AU426*تنظیمات!$B$24+AV426*تنظیمات!$B$25+AW426*تنظیمات!$B$26+AX426*تنظیمات!$B$27+AY426*تنظیمات!$B$28+AZ426*تنظیمات!$B$29+BA426*تنظیمات!$B$30+BB426*تنظیمات!$B$31+BC426*تنظیمات!$B$32+BD426*تنظیمات!$B$33+BE426*تنظیمات!$B$34+BF426*تنظیمات!$B$35+BG426*تنظیمات!$B$36)</f>
        <v>0</v>
      </c>
      <c r="BI426" s="16" t="str">
        <f aca="false">IF(BH426&gt;=60,"بحرانی",IF(BH426&gt;=30,"مشکوک",IF(BH426&gt;0,"هشدار","عادی")))</f>
        <v>عادی</v>
      </c>
      <c r="BJ426" s="16" t="s">
        <v>338</v>
      </c>
    </row>
    <row r="427" customFormat="false" ht="15" hidden="false" customHeight="false" outlineLevel="0" collapsed="false">
      <c r="A427" s="16" t="s">
        <v>1738</v>
      </c>
      <c r="B427" s="16" t="s">
        <v>343</v>
      </c>
      <c r="C427" s="16"/>
      <c r="D427" s="16" t="s">
        <v>344</v>
      </c>
      <c r="E427" s="16" t="s">
        <v>345</v>
      </c>
      <c r="F427" s="16" t="s">
        <v>333</v>
      </c>
      <c r="G427" s="17" t="n">
        <v>46286.7132638889</v>
      </c>
      <c r="H427" s="17" t="n">
        <v>46286.9459027778</v>
      </c>
      <c r="I427" s="18" t="n">
        <f aca="false">IF(H427="",ROUND((تنظیمات!$B$7-G427)*1440,0),ROUND((H427-G427)*1440,0))</f>
        <v>335</v>
      </c>
      <c r="J427" s="16" t="s">
        <v>334</v>
      </c>
      <c r="K427" s="16" t="s">
        <v>400</v>
      </c>
      <c r="L427" s="19" t="n">
        <v>0.947</v>
      </c>
      <c r="M427" s="19" t="n">
        <v>0.941</v>
      </c>
      <c r="N427" s="16" t="s">
        <v>335</v>
      </c>
      <c r="O427" s="16" t="s">
        <v>666</v>
      </c>
      <c r="P427" s="16" t="s">
        <v>651</v>
      </c>
      <c r="Q427" s="20" t="n">
        <v>46286</v>
      </c>
      <c r="R427" s="16" t="s">
        <v>1739</v>
      </c>
      <c r="S427" s="16" t="s">
        <v>404</v>
      </c>
      <c r="T427" s="17"/>
      <c r="U427" s="21" t="n">
        <v>1</v>
      </c>
      <c r="V427" s="21" t="n">
        <v>1</v>
      </c>
      <c r="W427" s="22" t="n">
        <v>4.9</v>
      </c>
      <c r="X427" s="16" t="s">
        <v>335</v>
      </c>
      <c r="Y427" s="16" t="s">
        <v>338</v>
      </c>
      <c r="Z427" s="16" t="s">
        <v>413</v>
      </c>
      <c r="AA427" s="16" t="s">
        <v>427</v>
      </c>
      <c r="AB427" s="23" t="s">
        <v>1740</v>
      </c>
      <c r="AC427" s="17" t="n">
        <v>46286.9451736111</v>
      </c>
      <c r="AD427" s="16" t="s">
        <v>338</v>
      </c>
      <c r="AE427" s="16"/>
      <c r="AF427" s="16" t="str">
        <f aca="false">IF(COUNTIF(لیست_سفید!$A$2:$A$21,B427)&gt;0,"بله","خیر")</f>
        <v>خیر</v>
      </c>
      <c r="AG427" s="24" t="n">
        <f aca="false">IF(H427="","",IF(AD427="فیش مفقودی",تنظیمات!$B$6,(INT(I427/1440)*تنظیمات!$B$5+IF(MOD(I427,1440)&lt;=تنظیمات!$B$2,0,MIN(تنظیمات!$B$5,تنظیمات!$B$3+MAX(0,ROUNDUP((MOD(I427,1440)-60)/60,0))*تنظیمات!$B$4)))*INDEX(تعرفه!$B$2:$B$7,MATCH(AD427,تعرفه!$A$2:$A$7,0))))</f>
        <v>90000</v>
      </c>
      <c r="AH427" s="24" t="n">
        <v>90000</v>
      </c>
      <c r="AI427" s="24" t="n">
        <f aca="false">IF(AG427="","",AH427-AG427)</f>
        <v>0</v>
      </c>
      <c r="AJ427" s="21" t="n">
        <v>0</v>
      </c>
      <c r="AK427" s="21" t="n">
        <v>0</v>
      </c>
      <c r="AL427" s="16" t="s">
        <v>335</v>
      </c>
      <c r="AM427" s="16"/>
      <c r="AN427" s="16" t="s">
        <v>340</v>
      </c>
      <c r="AO427" s="16" t="s">
        <v>340</v>
      </c>
      <c r="AP427" s="16" t="s">
        <v>335</v>
      </c>
      <c r="AQ427" s="16"/>
      <c r="AR427" s="21" t="n">
        <f aca="false">IF(AND(T427&lt;&gt;"",H427&lt;&gt;""),IF(AND((T427-H427)*86400&gt;=0,(T427-H427)*86400&lt;تنظیمات!$B$13),1,0),0)</f>
        <v>0</v>
      </c>
      <c r="AS427" s="21" t="n">
        <f aca="false">IF(Z427="پوز",IF(OR(AB427="",COUNTIF(پوزها!$A$2:$A$5,AA427)=0),1,0),0)</f>
        <v>0</v>
      </c>
      <c r="AT427" s="21" t="n">
        <f aca="false">IF(AI427="",0,IF(AI427&gt;0,1,0))</f>
        <v>0</v>
      </c>
      <c r="AU427" s="21" t="n">
        <f aca="false">IF(AI427="",0,IF(AI427&lt;0,1,0))</f>
        <v>0</v>
      </c>
      <c r="AV427" s="21" t="n">
        <f aca="false">IF(U427&gt;V427,1,0)</f>
        <v>0</v>
      </c>
      <c r="AW427" s="21" t="n">
        <f aca="false">IF(OR(W427&gt;تنظیمات!$B$8,X427="بله"),1,0)</f>
        <v>0</v>
      </c>
      <c r="AX427" s="21" t="n">
        <f aca="false">IF(AND(N427="بله",L427&gt;تنظیمات!$B$9),1,0)</f>
        <v>0</v>
      </c>
      <c r="AY427" s="21" t="n">
        <f aca="false">IF(Y427="معکوس",1,0)</f>
        <v>0</v>
      </c>
      <c r="AZ427" s="21" t="n">
        <f aca="false">IF(ABS(AJ427)&gt;تنظیمات!$B$10,1,0)</f>
        <v>0</v>
      </c>
      <c r="BA427" s="21" t="n">
        <f aca="false">IF(AND(OR(AD427="رایگان/VIP",AD427="جانباز"),AF427="خیر"),1,0)</f>
        <v>0</v>
      </c>
      <c r="BB427" s="21" t="n">
        <f aca="false">IF(AE427="",0,IF(COUNTIF($AE$2:$AE$1001,AE427)&gt;1,1,0))</f>
        <v>0</v>
      </c>
      <c r="BC427" s="21" t="n">
        <f aca="false">IF(AND(H427="",I427&gt;تنظیمات!$B$12*60,AM427="خالی"),1,0)</f>
        <v>0</v>
      </c>
      <c r="BD427" s="21" t="n">
        <f aca="false">IF(AND(AP427="بله",I427&lt;تنظیمات!$B$14,AO427="خیر"),1,0)</f>
        <v>0</v>
      </c>
      <c r="BE427" s="21" t="n">
        <f aca="false">IF(AN427="خیر",1,0)</f>
        <v>0</v>
      </c>
      <c r="BF427" s="21" t="n">
        <f aca="false">IF(AND(AD427="فیش مفقودی",AQ427="بله",I427&gt;تنظیمات!$B$12*60),1,0)</f>
        <v>0</v>
      </c>
      <c r="BG427" s="21" t="n">
        <f aca="false">IF(AND(AK427&gt;تنظیمات!$B$11,AL427="بله"),1,0)</f>
        <v>0</v>
      </c>
      <c r="BH427" s="21" t="n">
        <f aca="false">MIN(100,AR427*تنظیمات!$B$21+AS427*تنظیمات!$B$22+AT427*تنظیمات!$B$23+AU427*تنظیمات!$B$24+AV427*تنظیمات!$B$25+AW427*تنظیمات!$B$26+AX427*تنظیمات!$B$27+AY427*تنظیمات!$B$28+AZ427*تنظیمات!$B$29+BA427*تنظیمات!$B$30+BB427*تنظیمات!$B$31+BC427*تنظیمات!$B$32+BD427*تنظیمات!$B$33+BE427*تنظیمات!$B$34+BF427*تنظیمات!$B$35+BG427*تنظیمات!$B$36)</f>
        <v>0</v>
      </c>
      <c r="BI427" s="16" t="str">
        <f aca="false">IF(BH427&gt;=60,"بحرانی",IF(BH427&gt;=30,"مشکوک",IF(BH427&gt;0,"هشدار","عادی")))</f>
        <v>عادی</v>
      </c>
      <c r="BJ427" s="16" t="s">
        <v>338</v>
      </c>
    </row>
    <row r="428" customFormat="false" ht="15" hidden="false" customHeight="false" outlineLevel="0" collapsed="false">
      <c r="A428" s="16" t="s">
        <v>1741</v>
      </c>
      <c r="B428" s="16" t="s">
        <v>597</v>
      </c>
      <c r="C428" s="16"/>
      <c r="D428" s="16" t="s">
        <v>523</v>
      </c>
      <c r="E428" s="16" t="s">
        <v>375</v>
      </c>
      <c r="F428" s="16" t="s">
        <v>333</v>
      </c>
      <c r="G428" s="17" t="n">
        <v>46286.7144444444</v>
      </c>
      <c r="H428" s="17" t="n">
        <v>46286.76375</v>
      </c>
      <c r="I428" s="18" t="n">
        <f aca="false">IF(H428="",ROUND((تنظیمات!$B$7-G428)*1440,0),ROUND((H428-G428)*1440,0))</f>
        <v>71</v>
      </c>
      <c r="J428" s="16" t="s">
        <v>334</v>
      </c>
      <c r="K428" s="16" t="s">
        <v>410</v>
      </c>
      <c r="L428" s="19" t="n">
        <v>0.919</v>
      </c>
      <c r="M428" s="19" t="n">
        <v>0.995</v>
      </c>
      <c r="N428" s="16" t="s">
        <v>335</v>
      </c>
      <c r="O428" s="16" t="s">
        <v>650</v>
      </c>
      <c r="P428" s="16" t="s">
        <v>420</v>
      </c>
      <c r="Q428" s="20" t="n">
        <v>46286</v>
      </c>
      <c r="R428" s="16" t="s">
        <v>1742</v>
      </c>
      <c r="S428" s="16" t="s">
        <v>404</v>
      </c>
      <c r="T428" s="17"/>
      <c r="U428" s="21" t="n">
        <v>1</v>
      </c>
      <c r="V428" s="21" t="n">
        <v>1</v>
      </c>
      <c r="W428" s="22" t="n">
        <v>7</v>
      </c>
      <c r="X428" s="16" t="s">
        <v>335</v>
      </c>
      <c r="Y428" s="16" t="s">
        <v>338</v>
      </c>
      <c r="Z428" s="16" t="s">
        <v>405</v>
      </c>
      <c r="AA428" s="16"/>
      <c r="AB428" s="23"/>
      <c r="AC428" s="17"/>
      <c r="AD428" s="16" t="s">
        <v>338</v>
      </c>
      <c r="AE428" s="16"/>
      <c r="AF428" s="16" t="str">
        <f aca="false">IF(COUNTIF(لیست_سفید!$A$2:$A$21,B428)&gt;0,"بله","خیر")</f>
        <v>خیر</v>
      </c>
      <c r="AG428" s="24" t="n">
        <f aca="false">IF(H428="","",IF(AD428="فیش مفقودی",تنظیمات!$B$6,(INT(I428/1440)*تنظیمات!$B$5+IF(MOD(I428,1440)&lt;=تنظیمات!$B$2,0,MIN(تنظیمات!$B$5,تنظیمات!$B$3+MAX(0,ROUNDUP((MOD(I428,1440)-60)/60,0))*تنظیمات!$B$4)))*INDEX(تعرفه!$B$2:$B$7,MATCH(AD428,تعرفه!$A$2:$A$7,0))))</f>
        <v>34000</v>
      </c>
      <c r="AH428" s="24" t="n">
        <v>34000</v>
      </c>
      <c r="AI428" s="24" t="n">
        <f aca="false">IF(AG428="","",AH428-AG428)</f>
        <v>0</v>
      </c>
      <c r="AJ428" s="21" t="n">
        <v>-1</v>
      </c>
      <c r="AK428" s="21" t="n">
        <v>68</v>
      </c>
      <c r="AL428" s="16" t="s">
        <v>335</v>
      </c>
      <c r="AM428" s="16"/>
      <c r="AN428" s="16" t="s">
        <v>340</v>
      </c>
      <c r="AO428" s="16" t="s">
        <v>340</v>
      </c>
      <c r="AP428" s="16" t="s">
        <v>335</v>
      </c>
      <c r="AQ428" s="16"/>
      <c r="AR428" s="21" t="n">
        <f aca="false">IF(AND(T428&lt;&gt;"",H428&lt;&gt;""),IF(AND((T428-H428)*86400&gt;=0,(T428-H428)*86400&lt;تنظیمات!$B$13),1,0),0)</f>
        <v>0</v>
      </c>
      <c r="AS428" s="21" t="n">
        <f aca="false">IF(Z428="پوز",IF(OR(AB428="",COUNTIF(پوزها!$A$2:$A$5,AA428)=0),1,0),0)</f>
        <v>0</v>
      </c>
      <c r="AT428" s="21" t="n">
        <f aca="false">IF(AI428="",0,IF(AI428&gt;0,1,0))</f>
        <v>0</v>
      </c>
      <c r="AU428" s="21" t="n">
        <f aca="false">IF(AI428="",0,IF(AI428&lt;0,1,0))</f>
        <v>0</v>
      </c>
      <c r="AV428" s="21" t="n">
        <f aca="false">IF(U428&gt;V428,1,0)</f>
        <v>0</v>
      </c>
      <c r="AW428" s="21" t="n">
        <f aca="false">IF(OR(W428&gt;تنظیمات!$B$8,X428="بله"),1,0)</f>
        <v>0</v>
      </c>
      <c r="AX428" s="21" t="n">
        <f aca="false">IF(AND(N428="بله",L428&gt;تنظیمات!$B$9),1,0)</f>
        <v>0</v>
      </c>
      <c r="AY428" s="21" t="n">
        <f aca="false">IF(Y428="معکوس",1,0)</f>
        <v>0</v>
      </c>
      <c r="AZ428" s="21" t="n">
        <f aca="false">IF(ABS(AJ428)&gt;تنظیمات!$B$10,1,0)</f>
        <v>0</v>
      </c>
      <c r="BA428" s="21" t="n">
        <f aca="false">IF(AND(OR(AD428="رایگان/VIP",AD428="جانباز"),AF428="خیر"),1,0)</f>
        <v>0</v>
      </c>
      <c r="BB428" s="21" t="n">
        <f aca="false">IF(AE428="",0,IF(COUNTIF($AE$2:$AE$1001,AE428)&gt;1,1,0))</f>
        <v>0</v>
      </c>
      <c r="BC428" s="21" t="n">
        <f aca="false">IF(AND(H428="",I428&gt;تنظیمات!$B$12*60,AM428="خالی"),1,0)</f>
        <v>0</v>
      </c>
      <c r="BD428" s="21" t="n">
        <f aca="false">IF(AND(AP428="بله",I428&lt;تنظیمات!$B$14,AO428="خیر"),1,0)</f>
        <v>0</v>
      </c>
      <c r="BE428" s="21" t="n">
        <f aca="false">IF(AN428="خیر",1,0)</f>
        <v>0</v>
      </c>
      <c r="BF428" s="21" t="n">
        <f aca="false">IF(AND(AD428="فیش مفقودی",AQ428="بله",I428&gt;تنظیمات!$B$12*60),1,0)</f>
        <v>0</v>
      </c>
      <c r="BG428" s="21" t="n">
        <f aca="false">IF(AND(AK428&gt;تنظیمات!$B$11,AL428="بله"),1,0)</f>
        <v>0</v>
      </c>
      <c r="BH428" s="21" t="n">
        <f aca="false">MIN(100,AR428*تنظیمات!$B$21+AS428*تنظیمات!$B$22+AT428*تنظیمات!$B$23+AU428*تنظیمات!$B$24+AV428*تنظیمات!$B$25+AW428*تنظیمات!$B$26+AX428*تنظیمات!$B$27+AY428*تنظیمات!$B$28+AZ428*تنظیمات!$B$29+BA428*تنظیمات!$B$30+BB428*تنظیمات!$B$31+BC428*تنظیمات!$B$32+BD428*تنظیمات!$B$33+BE428*تنظیمات!$B$34+BF428*تنظیمات!$B$35+BG428*تنظیمات!$B$36)</f>
        <v>0</v>
      </c>
      <c r="BI428" s="16" t="str">
        <f aca="false">IF(BH428&gt;=60,"بحرانی",IF(BH428&gt;=30,"مشکوک",IF(BH428&gt;0,"هشدار","عادی")))</f>
        <v>عادی</v>
      </c>
      <c r="BJ428" s="16" t="s">
        <v>338</v>
      </c>
    </row>
    <row r="429" customFormat="false" ht="15" hidden="false" customHeight="false" outlineLevel="0" collapsed="false">
      <c r="A429" s="16" t="s">
        <v>1743</v>
      </c>
      <c r="B429" s="16" t="s">
        <v>343</v>
      </c>
      <c r="C429" s="16"/>
      <c r="D429" s="16" t="s">
        <v>344</v>
      </c>
      <c r="E429" s="16" t="s">
        <v>345</v>
      </c>
      <c r="F429" s="16" t="s">
        <v>333</v>
      </c>
      <c r="G429" s="17" t="n">
        <v>46286.7327546296</v>
      </c>
      <c r="H429" s="17" t="n">
        <v>46286.7383101852</v>
      </c>
      <c r="I429" s="18" t="n">
        <f aca="false">IF(H429="",ROUND((تنظیمات!$B$7-G429)*1440,0),ROUND((H429-G429)*1440,0))</f>
        <v>8</v>
      </c>
      <c r="J429" s="16" t="s">
        <v>346</v>
      </c>
      <c r="K429" s="16" t="s">
        <v>400</v>
      </c>
      <c r="L429" s="19" t="n">
        <v>0.949</v>
      </c>
      <c r="M429" s="19" t="n">
        <v>0.976</v>
      </c>
      <c r="N429" s="16" t="s">
        <v>335</v>
      </c>
      <c r="O429" s="16" t="s">
        <v>419</v>
      </c>
      <c r="P429" s="16" t="s">
        <v>420</v>
      </c>
      <c r="Q429" s="20" t="n">
        <v>46286</v>
      </c>
      <c r="R429" s="16" t="s">
        <v>1744</v>
      </c>
      <c r="S429" s="16" t="s">
        <v>404</v>
      </c>
      <c r="T429" s="17"/>
      <c r="U429" s="21" t="n">
        <v>1</v>
      </c>
      <c r="V429" s="21" t="n">
        <v>1</v>
      </c>
      <c r="W429" s="22" t="n">
        <v>5.8</v>
      </c>
      <c r="X429" s="16" t="s">
        <v>335</v>
      </c>
      <c r="Y429" s="16" t="s">
        <v>338</v>
      </c>
      <c r="Z429" s="16" t="s">
        <v>628</v>
      </c>
      <c r="AA429" s="16"/>
      <c r="AB429" s="23"/>
      <c r="AC429" s="17"/>
      <c r="AD429" s="16" t="s">
        <v>338</v>
      </c>
      <c r="AE429" s="16"/>
      <c r="AF429" s="16" t="str">
        <f aca="false">IF(COUNTIF(لیست_سفید!$A$2:$A$21,B429)&gt;0,"بله","خیر")</f>
        <v>خیر</v>
      </c>
      <c r="AG429" s="24" t="n">
        <f aca="false">IF(H429="","",IF(AD429="فیش مفقودی",تنظیمات!$B$6,(INT(I429/1440)*تنظیمات!$B$5+IF(MOD(I429,1440)&lt;=تنظیمات!$B$2,0,MIN(تنظیمات!$B$5,تنظیمات!$B$3+MAX(0,ROUNDUP((MOD(I429,1440)-60)/60,0))*تنظیمات!$B$4)))*INDEX(تعرفه!$B$2:$B$7,MATCH(AD429,تعرفه!$A$2:$A$7,0))))</f>
        <v>0</v>
      </c>
      <c r="AH429" s="24" t="n">
        <v>0</v>
      </c>
      <c r="AI429" s="24" t="n">
        <f aca="false">IF(AG429="","",AH429-AG429)</f>
        <v>0</v>
      </c>
      <c r="AJ429" s="21" t="n">
        <v>0</v>
      </c>
      <c r="AK429" s="21" t="n">
        <v>0</v>
      </c>
      <c r="AL429" s="16" t="s">
        <v>335</v>
      </c>
      <c r="AM429" s="16"/>
      <c r="AN429" s="16" t="s">
        <v>340</v>
      </c>
      <c r="AO429" s="16" t="s">
        <v>335</v>
      </c>
      <c r="AP429" s="16" t="s">
        <v>340</v>
      </c>
      <c r="AQ429" s="16"/>
      <c r="AR429" s="21" t="n">
        <f aca="false">IF(AND(T429&lt;&gt;"",H429&lt;&gt;""),IF(AND((T429-H429)*86400&gt;=0,(T429-H429)*86400&lt;تنظیمات!$B$13),1,0),0)</f>
        <v>0</v>
      </c>
      <c r="AS429" s="21" t="n">
        <f aca="false">IF(Z429="پوز",IF(OR(AB429="",COUNTIF(پوزها!$A$2:$A$5,AA429)=0),1,0),0)</f>
        <v>0</v>
      </c>
      <c r="AT429" s="21" t="n">
        <f aca="false">IF(AI429="",0,IF(AI429&gt;0,1,0))</f>
        <v>0</v>
      </c>
      <c r="AU429" s="21" t="n">
        <f aca="false">IF(AI429="",0,IF(AI429&lt;0,1,0))</f>
        <v>0</v>
      </c>
      <c r="AV429" s="21" t="n">
        <f aca="false">IF(U429&gt;V429,1,0)</f>
        <v>0</v>
      </c>
      <c r="AW429" s="21" t="n">
        <f aca="false">IF(OR(W429&gt;تنظیمات!$B$8,X429="بله"),1,0)</f>
        <v>0</v>
      </c>
      <c r="AX429" s="21" t="n">
        <f aca="false">IF(AND(N429="بله",L429&gt;تنظیمات!$B$9),1,0)</f>
        <v>0</v>
      </c>
      <c r="AY429" s="21" t="n">
        <f aca="false">IF(Y429="معکوس",1,0)</f>
        <v>0</v>
      </c>
      <c r="AZ429" s="21" t="n">
        <f aca="false">IF(ABS(AJ429)&gt;تنظیمات!$B$10,1,0)</f>
        <v>0</v>
      </c>
      <c r="BA429" s="21" t="n">
        <f aca="false">IF(AND(OR(AD429="رایگان/VIP",AD429="جانباز"),AF429="خیر"),1,0)</f>
        <v>0</v>
      </c>
      <c r="BB429" s="21" t="n">
        <f aca="false">IF(AE429="",0,IF(COUNTIF($AE$2:$AE$1001,AE429)&gt;1,1,0))</f>
        <v>0</v>
      </c>
      <c r="BC429" s="21" t="n">
        <f aca="false">IF(AND(H429="",I429&gt;تنظیمات!$B$12*60,AM429="خالی"),1,0)</f>
        <v>0</v>
      </c>
      <c r="BD429" s="21" t="n">
        <f aca="false">IF(AND(AP429="بله",I429&lt;تنظیمات!$B$14,AO429="خیر"),1,0)</f>
        <v>1</v>
      </c>
      <c r="BE429" s="21" t="n">
        <f aca="false">IF(AN429="خیر",1,0)</f>
        <v>0</v>
      </c>
      <c r="BF429" s="21" t="n">
        <f aca="false">IF(AND(AD429="فیش مفقودی",AQ429="بله",I429&gt;تنظیمات!$B$12*60),1,0)</f>
        <v>0</v>
      </c>
      <c r="BG429" s="21" t="n">
        <f aca="false">IF(AND(AK429&gt;تنظیمات!$B$11,AL429="بله"),1,0)</f>
        <v>0</v>
      </c>
      <c r="BH429" s="21" t="n">
        <f aca="false">MIN(100,AR429*تنظیمات!$B$21+AS429*تنظیمات!$B$22+AT429*تنظیمات!$B$23+AU429*تنظیمات!$B$24+AV429*تنظیمات!$B$25+AW429*تنظیمات!$B$26+AX429*تنظیمات!$B$27+AY429*تنظیمات!$B$28+AZ429*تنظیمات!$B$29+BA429*تنظیمات!$B$30+BB429*تنظیمات!$B$31+BC429*تنظیمات!$B$32+BD429*تنظیمات!$B$33+BE429*تنظیمات!$B$34+BF429*تنظیمات!$B$35+BG429*تنظیمات!$B$36)</f>
        <v>40</v>
      </c>
      <c r="BI429" s="16" t="str">
        <f aca="false">IF(BH429&gt;=60,"بحرانی",IF(BH429&gt;=30,"مشکوک",IF(BH429&gt;0,"هشدار","عادی")))</f>
        <v>مشکوک</v>
      </c>
      <c r="BJ429" s="16" t="s">
        <v>1329</v>
      </c>
    </row>
    <row r="430" customFormat="false" ht="15" hidden="false" customHeight="false" outlineLevel="0" collapsed="false">
      <c r="A430" s="16" t="s">
        <v>1745</v>
      </c>
      <c r="B430" s="16" t="s">
        <v>1248</v>
      </c>
      <c r="C430" s="16"/>
      <c r="D430" s="16" t="s">
        <v>350</v>
      </c>
      <c r="E430" s="16" t="s">
        <v>363</v>
      </c>
      <c r="F430" s="16" t="s">
        <v>333</v>
      </c>
      <c r="G430" s="17" t="n">
        <v>46286.7506018519</v>
      </c>
      <c r="H430" s="17" t="n">
        <v>46286.8283796296</v>
      </c>
      <c r="I430" s="18" t="n">
        <f aca="false">IF(H430="",ROUND((تنظیمات!$B$7-G430)*1440,0),ROUND((H430-G430)*1440,0))</f>
        <v>112</v>
      </c>
      <c r="J430" s="16" t="s">
        <v>346</v>
      </c>
      <c r="K430" s="16" t="s">
        <v>410</v>
      </c>
      <c r="L430" s="19" t="n">
        <v>0.952</v>
      </c>
      <c r="M430" s="19" t="n">
        <v>0.937</v>
      </c>
      <c r="N430" s="16" t="s">
        <v>335</v>
      </c>
      <c r="O430" s="16" t="s">
        <v>650</v>
      </c>
      <c r="P430" s="16" t="s">
        <v>420</v>
      </c>
      <c r="Q430" s="20" t="n">
        <v>46286</v>
      </c>
      <c r="R430" s="16" t="s">
        <v>1746</v>
      </c>
      <c r="S430" s="16" t="s">
        <v>404</v>
      </c>
      <c r="T430" s="17"/>
      <c r="U430" s="21" t="n">
        <v>1</v>
      </c>
      <c r="V430" s="21" t="n">
        <v>1</v>
      </c>
      <c r="W430" s="22" t="n">
        <v>5.3</v>
      </c>
      <c r="X430" s="16" t="s">
        <v>335</v>
      </c>
      <c r="Y430" s="16" t="s">
        <v>338</v>
      </c>
      <c r="Z430" s="16" t="s">
        <v>413</v>
      </c>
      <c r="AA430" s="16" t="s">
        <v>414</v>
      </c>
      <c r="AB430" s="23" t="s">
        <v>1747</v>
      </c>
      <c r="AC430" s="17" t="n">
        <v>46286.8273958333</v>
      </c>
      <c r="AD430" s="16" t="s">
        <v>338</v>
      </c>
      <c r="AE430" s="16"/>
      <c r="AF430" s="16" t="str">
        <f aca="false">IF(COUNTIF(لیست_سفید!$A$2:$A$21,B430)&gt;0,"بله","خیر")</f>
        <v>خیر</v>
      </c>
      <c r="AG430" s="24" t="n">
        <f aca="false">IF(H430="","",IF(AD430="فیش مفقودی",تنظیمات!$B$6,(INT(I430/1440)*تنظیمات!$B$5+IF(MOD(I430,1440)&lt;=تنظیمات!$B$2,0,MIN(تنظیمات!$B$5,تنظیمات!$B$3+MAX(0,ROUNDUP((MOD(I430,1440)-60)/60,0))*تنظیمات!$B$4)))*INDEX(تعرفه!$B$2:$B$7,MATCH(AD430,تعرفه!$A$2:$A$7,0))))</f>
        <v>34000</v>
      </c>
      <c r="AH430" s="24" t="n">
        <v>34000</v>
      </c>
      <c r="AI430" s="24" t="n">
        <f aca="false">IF(AG430="","",AH430-AG430)</f>
        <v>0</v>
      </c>
      <c r="AJ430" s="21" t="n">
        <v>0</v>
      </c>
      <c r="AK430" s="21" t="n">
        <v>0</v>
      </c>
      <c r="AL430" s="16" t="s">
        <v>335</v>
      </c>
      <c r="AM430" s="16"/>
      <c r="AN430" s="16" t="s">
        <v>340</v>
      </c>
      <c r="AO430" s="16" t="s">
        <v>340</v>
      </c>
      <c r="AP430" s="16" t="s">
        <v>335</v>
      </c>
      <c r="AQ430" s="16"/>
      <c r="AR430" s="21" t="n">
        <f aca="false">IF(AND(T430&lt;&gt;"",H430&lt;&gt;""),IF(AND((T430-H430)*86400&gt;=0,(T430-H430)*86400&lt;تنظیمات!$B$13),1,0),0)</f>
        <v>0</v>
      </c>
      <c r="AS430" s="21" t="n">
        <f aca="false">IF(Z430="پوز",IF(OR(AB430="",COUNTIF(پوزها!$A$2:$A$5,AA430)=0),1,0),0)</f>
        <v>0</v>
      </c>
      <c r="AT430" s="21" t="n">
        <f aca="false">IF(AI430="",0,IF(AI430&gt;0,1,0))</f>
        <v>0</v>
      </c>
      <c r="AU430" s="21" t="n">
        <f aca="false">IF(AI430="",0,IF(AI430&lt;0,1,0))</f>
        <v>0</v>
      </c>
      <c r="AV430" s="21" t="n">
        <f aca="false">IF(U430&gt;V430,1,0)</f>
        <v>0</v>
      </c>
      <c r="AW430" s="21" t="n">
        <f aca="false">IF(OR(W430&gt;تنظیمات!$B$8,X430="بله"),1,0)</f>
        <v>0</v>
      </c>
      <c r="AX430" s="21" t="n">
        <f aca="false">IF(AND(N430="بله",L430&gt;تنظیمات!$B$9),1,0)</f>
        <v>0</v>
      </c>
      <c r="AY430" s="21" t="n">
        <f aca="false">IF(Y430="معکوس",1,0)</f>
        <v>0</v>
      </c>
      <c r="AZ430" s="21" t="n">
        <f aca="false">IF(ABS(AJ430)&gt;تنظیمات!$B$10,1,0)</f>
        <v>0</v>
      </c>
      <c r="BA430" s="21" t="n">
        <f aca="false">IF(AND(OR(AD430="رایگان/VIP",AD430="جانباز"),AF430="خیر"),1,0)</f>
        <v>0</v>
      </c>
      <c r="BB430" s="21" t="n">
        <f aca="false">IF(AE430="",0,IF(COUNTIF($AE$2:$AE$1001,AE430)&gt;1,1,0))</f>
        <v>0</v>
      </c>
      <c r="BC430" s="21" t="n">
        <f aca="false">IF(AND(H430="",I430&gt;تنظیمات!$B$12*60,AM430="خالی"),1,0)</f>
        <v>0</v>
      </c>
      <c r="BD430" s="21" t="n">
        <f aca="false">IF(AND(AP430="بله",I430&lt;تنظیمات!$B$14,AO430="خیر"),1,0)</f>
        <v>0</v>
      </c>
      <c r="BE430" s="21" t="n">
        <f aca="false">IF(AN430="خیر",1,0)</f>
        <v>0</v>
      </c>
      <c r="BF430" s="21" t="n">
        <f aca="false">IF(AND(AD430="فیش مفقودی",AQ430="بله",I430&gt;تنظیمات!$B$12*60),1,0)</f>
        <v>0</v>
      </c>
      <c r="BG430" s="21" t="n">
        <f aca="false">IF(AND(AK430&gt;تنظیمات!$B$11,AL430="بله"),1,0)</f>
        <v>0</v>
      </c>
      <c r="BH430" s="21" t="n">
        <f aca="false">MIN(100,AR430*تنظیمات!$B$21+AS430*تنظیمات!$B$22+AT430*تنظیمات!$B$23+AU430*تنظیمات!$B$24+AV430*تنظیمات!$B$25+AW430*تنظیمات!$B$26+AX430*تنظیمات!$B$27+AY430*تنظیمات!$B$28+AZ430*تنظیمات!$B$29+BA430*تنظیمات!$B$30+BB430*تنظیمات!$B$31+BC430*تنظیمات!$B$32+BD430*تنظیمات!$B$33+BE430*تنظیمات!$B$34+BF430*تنظیمات!$B$35+BG430*تنظیمات!$B$36)</f>
        <v>0</v>
      </c>
      <c r="BI430" s="16" t="str">
        <f aca="false">IF(BH430&gt;=60,"بحرانی",IF(BH430&gt;=30,"مشکوک",IF(BH430&gt;0,"هشدار","عادی")))</f>
        <v>عادی</v>
      </c>
      <c r="BJ430" s="16" t="s">
        <v>338</v>
      </c>
    </row>
    <row r="431" customFormat="false" ht="15" hidden="false" customHeight="false" outlineLevel="0" collapsed="false">
      <c r="A431" s="16" t="s">
        <v>1748</v>
      </c>
      <c r="B431" s="16" t="s">
        <v>1206</v>
      </c>
      <c r="C431" s="16"/>
      <c r="D431" s="16" t="s">
        <v>450</v>
      </c>
      <c r="E431" s="16" t="s">
        <v>351</v>
      </c>
      <c r="F431" s="16" t="s">
        <v>333</v>
      </c>
      <c r="G431" s="17" t="n">
        <v>46286.7784375</v>
      </c>
      <c r="H431" s="17" t="n">
        <v>46286.7944097222</v>
      </c>
      <c r="I431" s="18" t="n">
        <f aca="false">IF(H431="",ROUND((تنظیمات!$B$7-G431)*1440,0),ROUND((H431-G431)*1440,0))</f>
        <v>23</v>
      </c>
      <c r="J431" s="16" t="s">
        <v>346</v>
      </c>
      <c r="K431" s="16" t="s">
        <v>410</v>
      </c>
      <c r="L431" s="19" t="n">
        <v>0.917</v>
      </c>
      <c r="M431" s="19" t="n">
        <v>0.995</v>
      </c>
      <c r="N431" s="16" t="s">
        <v>335</v>
      </c>
      <c r="O431" s="16" t="s">
        <v>650</v>
      </c>
      <c r="P431" s="16" t="s">
        <v>420</v>
      </c>
      <c r="Q431" s="20" t="n">
        <v>46286</v>
      </c>
      <c r="R431" s="16" t="s">
        <v>1749</v>
      </c>
      <c r="S431" s="16" t="s">
        <v>404</v>
      </c>
      <c r="T431" s="17"/>
      <c r="U431" s="21" t="n">
        <v>1</v>
      </c>
      <c r="V431" s="21" t="n">
        <v>1</v>
      </c>
      <c r="W431" s="22" t="n">
        <v>4.7</v>
      </c>
      <c r="X431" s="16" t="s">
        <v>335</v>
      </c>
      <c r="Y431" s="16" t="s">
        <v>338</v>
      </c>
      <c r="Z431" s="16" t="s">
        <v>413</v>
      </c>
      <c r="AA431" s="16" t="s">
        <v>414</v>
      </c>
      <c r="AB431" s="23" t="s">
        <v>1750</v>
      </c>
      <c r="AC431" s="17" t="n">
        <v>46286.7939930556</v>
      </c>
      <c r="AD431" s="16" t="s">
        <v>338</v>
      </c>
      <c r="AE431" s="16"/>
      <c r="AF431" s="16" t="str">
        <f aca="false">IF(COUNTIF(لیست_سفید!$A$2:$A$21,B431)&gt;0,"بله","خیر")</f>
        <v>خیر</v>
      </c>
      <c r="AG431" s="24" t="n">
        <f aca="false">IF(H431="","",IF(AD431="فیش مفقودی",تنظیمات!$B$6,(INT(I431/1440)*تنظیمات!$B$5+IF(MOD(I431,1440)&lt;=تنظیمات!$B$2,0,MIN(تنظیمات!$B$5,تنظیمات!$B$3+MAX(0,ROUNDUP((MOD(I431,1440)-60)/60,0))*تنظیمات!$B$4)))*INDEX(تعرفه!$B$2:$B$7,MATCH(AD431,تعرفه!$A$2:$A$7,0))))</f>
        <v>20000</v>
      </c>
      <c r="AH431" s="24" t="n">
        <v>20000</v>
      </c>
      <c r="AI431" s="24" t="n">
        <f aca="false">IF(AG431="","",AH431-AG431)</f>
        <v>0</v>
      </c>
      <c r="AJ431" s="21" t="n">
        <v>0</v>
      </c>
      <c r="AK431" s="21" t="n">
        <v>0</v>
      </c>
      <c r="AL431" s="16" t="s">
        <v>335</v>
      </c>
      <c r="AM431" s="16"/>
      <c r="AN431" s="16" t="s">
        <v>340</v>
      </c>
      <c r="AO431" s="16" t="s">
        <v>340</v>
      </c>
      <c r="AP431" s="16" t="s">
        <v>335</v>
      </c>
      <c r="AQ431" s="16"/>
      <c r="AR431" s="21" t="n">
        <f aca="false">IF(AND(T431&lt;&gt;"",H431&lt;&gt;""),IF(AND((T431-H431)*86400&gt;=0,(T431-H431)*86400&lt;تنظیمات!$B$13),1,0),0)</f>
        <v>0</v>
      </c>
      <c r="AS431" s="21" t="n">
        <f aca="false">IF(Z431="پوز",IF(OR(AB431="",COUNTIF(پوزها!$A$2:$A$5,AA431)=0),1,0),0)</f>
        <v>0</v>
      </c>
      <c r="AT431" s="21" t="n">
        <f aca="false">IF(AI431="",0,IF(AI431&gt;0,1,0))</f>
        <v>0</v>
      </c>
      <c r="AU431" s="21" t="n">
        <f aca="false">IF(AI431="",0,IF(AI431&lt;0,1,0))</f>
        <v>0</v>
      </c>
      <c r="AV431" s="21" t="n">
        <f aca="false">IF(U431&gt;V431,1,0)</f>
        <v>0</v>
      </c>
      <c r="AW431" s="21" t="n">
        <f aca="false">IF(OR(W431&gt;تنظیمات!$B$8,X431="بله"),1,0)</f>
        <v>0</v>
      </c>
      <c r="AX431" s="21" t="n">
        <f aca="false">IF(AND(N431="بله",L431&gt;تنظیمات!$B$9),1,0)</f>
        <v>0</v>
      </c>
      <c r="AY431" s="21" t="n">
        <f aca="false">IF(Y431="معکوس",1,0)</f>
        <v>0</v>
      </c>
      <c r="AZ431" s="21" t="n">
        <f aca="false">IF(ABS(AJ431)&gt;تنظیمات!$B$10,1,0)</f>
        <v>0</v>
      </c>
      <c r="BA431" s="21" t="n">
        <f aca="false">IF(AND(OR(AD431="رایگان/VIP",AD431="جانباز"),AF431="خیر"),1,0)</f>
        <v>0</v>
      </c>
      <c r="BB431" s="21" t="n">
        <f aca="false">IF(AE431="",0,IF(COUNTIF($AE$2:$AE$1001,AE431)&gt;1,1,0))</f>
        <v>0</v>
      </c>
      <c r="BC431" s="21" t="n">
        <f aca="false">IF(AND(H431="",I431&gt;تنظیمات!$B$12*60,AM431="خالی"),1,0)</f>
        <v>0</v>
      </c>
      <c r="BD431" s="21" t="n">
        <f aca="false">IF(AND(AP431="بله",I431&lt;تنظیمات!$B$14,AO431="خیر"),1,0)</f>
        <v>0</v>
      </c>
      <c r="BE431" s="21" t="n">
        <f aca="false">IF(AN431="خیر",1,0)</f>
        <v>0</v>
      </c>
      <c r="BF431" s="21" t="n">
        <f aca="false">IF(AND(AD431="فیش مفقودی",AQ431="بله",I431&gt;تنظیمات!$B$12*60),1,0)</f>
        <v>0</v>
      </c>
      <c r="BG431" s="21" t="n">
        <f aca="false">IF(AND(AK431&gt;تنظیمات!$B$11,AL431="بله"),1,0)</f>
        <v>0</v>
      </c>
      <c r="BH431" s="21" t="n">
        <f aca="false">MIN(100,AR431*تنظیمات!$B$21+AS431*تنظیمات!$B$22+AT431*تنظیمات!$B$23+AU431*تنظیمات!$B$24+AV431*تنظیمات!$B$25+AW431*تنظیمات!$B$26+AX431*تنظیمات!$B$27+AY431*تنظیمات!$B$28+AZ431*تنظیمات!$B$29+BA431*تنظیمات!$B$30+BB431*تنظیمات!$B$31+BC431*تنظیمات!$B$32+BD431*تنظیمات!$B$33+BE431*تنظیمات!$B$34+BF431*تنظیمات!$B$35+BG431*تنظیمات!$B$36)</f>
        <v>0</v>
      </c>
      <c r="BI431" s="16" t="str">
        <f aca="false">IF(BH431&gt;=60,"بحرانی",IF(BH431&gt;=30,"مشکوک",IF(BH431&gt;0,"هشدار","عادی")))</f>
        <v>عادی</v>
      </c>
      <c r="BJ431" s="16" t="s">
        <v>338</v>
      </c>
    </row>
    <row r="432" customFormat="false" ht="15" hidden="false" customHeight="false" outlineLevel="0" collapsed="false">
      <c r="A432" s="16" t="s">
        <v>1751</v>
      </c>
      <c r="B432" s="16" t="s">
        <v>1752</v>
      </c>
      <c r="C432" s="16"/>
      <c r="D432" s="16" t="s">
        <v>374</v>
      </c>
      <c r="E432" s="16" t="s">
        <v>363</v>
      </c>
      <c r="F432" s="16" t="s">
        <v>359</v>
      </c>
      <c r="G432" s="17" t="n">
        <v>46286.7846643519</v>
      </c>
      <c r="H432" s="17" t="n">
        <v>46286.808275463</v>
      </c>
      <c r="I432" s="18" t="n">
        <f aca="false">IF(H432="",ROUND((تنظیمات!$B$7-G432)*1440,0),ROUND((H432-G432)*1440,0))</f>
        <v>34</v>
      </c>
      <c r="J432" s="16" t="s">
        <v>334</v>
      </c>
      <c r="K432" s="16" t="s">
        <v>400</v>
      </c>
      <c r="L432" s="19" t="n">
        <v>0.894</v>
      </c>
      <c r="M432" s="19" t="n">
        <v>0.945</v>
      </c>
      <c r="N432" s="16" t="s">
        <v>335</v>
      </c>
      <c r="O432" s="16" t="s">
        <v>419</v>
      </c>
      <c r="P432" s="16" t="s">
        <v>420</v>
      </c>
      <c r="Q432" s="20" t="n">
        <v>46286</v>
      </c>
      <c r="R432" s="16" t="s">
        <v>1753</v>
      </c>
      <c r="S432" s="16" t="s">
        <v>404</v>
      </c>
      <c r="T432" s="17"/>
      <c r="U432" s="21" t="n">
        <v>1</v>
      </c>
      <c r="V432" s="21" t="n">
        <v>1</v>
      </c>
      <c r="W432" s="22" t="n">
        <v>6.6</v>
      </c>
      <c r="X432" s="16" t="s">
        <v>335</v>
      </c>
      <c r="Y432" s="16" t="s">
        <v>338</v>
      </c>
      <c r="Z432" s="16" t="s">
        <v>405</v>
      </c>
      <c r="AA432" s="16"/>
      <c r="AB432" s="23"/>
      <c r="AC432" s="17"/>
      <c r="AD432" s="16" t="s">
        <v>338</v>
      </c>
      <c r="AE432" s="16"/>
      <c r="AF432" s="16" t="str">
        <f aca="false">IF(COUNTIF(لیست_سفید!$A$2:$A$21,B432)&gt;0,"بله","خیر")</f>
        <v>خیر</v>
      </c>
      <c r="AG432" s="24" t="n">
        <f aca="false">IF(H432="","",IF(AD432="فیش مفقودی",تنظیمات!$B$6,(INT(I432/1440)*تنظیمات!$B$5+IF(MOD(I432,1440)&lt;=تنظیمات!$B$2,0,MIN(تنظیمات!$B$5,تنظیمات!$B$3+MAX(0,ROUNDUP((MOD(I432,1440)-60)/60,0))*تنظیمات!$B$4)))*INDEX(تعرفه!$B$2:$B$7,MATCH(AD432,تعرفه!$A$2:$A$7,0))))</f>
        <v>20000</v>
      </c>
      <c r="AH432" s="24" t="n">
        <v>20000</v>
      </c>
      <c r="AI432" s="24" t="n">
        <f aca="false">IF(AG432="","",AH432-AG432)</f>
        <v>0</v>
      </c>
      <c r="AJ432" s="21" t="n">
        <v>1</v>
      </c>
      <c r="AK432" s="21" t="n">
        <v>0</v>
      </c>
      <c r="AL432" s="16" t="s">
        <v>335</v>
      </c>
      <c r="AM432" s="16"/>
      <c r="AN432" s="16" t="s">
        <v>340</v>
      </c>
      <c r="AO432" s="16" t="s">
        <v>340</v>
      </c>
      <c r="AP432" s="16" t="s">
        <v>335</v>
      </c>
      <c r="AQ432" s="16"/>
      <c r="AR432" s="21" t="n">
        <f aca="false">IF(AND(T432&lt;&gt;"",H432&lt;&gt;""),IF(AND((T432-H432)*86400&gt;=0,(T432-H432)*86400&lt;تنظیمات!$B$13),1,0),0)</f>
        <v>0</v>
      </c>
      <c r="AS432" s="21" t="n">
        <f aca="false">IF(Z432="پوز",IF(OR(AB432="",COUNTIF(پوزها!$A$2:$A$5,AA432)=0),1,0),0)</f>
        <v>0</v>
      </c>
      <c r="AT432" s="21" t="n">
        <f aca="false">IF(AI432="",0,IF(AI432&gt;0,1,0))</f>
        <v>0</v>
      </c>
      <c r="AU432" s="21" t="n">
        <f aca="false">IF(AI432="",0,IF(AI432&lt;0,1,0))</f>
        <v>0</v>
      </c>
      <c r="AV432" s="21" t="n">
        <f aca="false">IF(U432&gt;V432,1,0)</f>
        <v>0</v>
      </c>
      <c r="AW432" s="21" t="n">
        <f aca="false">IF(OR(W432&gt;تنظیمات!$B$8,X432="بله"),1,0)</f>
        <v>0</v>
      </c>
      <c r="AX432" s="21" t="n">
        <f aca="false">IF(AND(N432="بله",L432&gt;تنظیمات!$B$9),1,0)</f>
        <v>0</v>
      </c>
      <c r="AY432" s="21" t="n">
        <f aca="false">IF(Y432="معکوس",1,0)</f>
        <v>0</v>
      </c>
      <c r="AZ432" s="21" t="n">
        <f aca="false">IF(ABS(AJ432)&gt;تنظیمات!$B$10,1,0)</f>
        <v>0</v>
      </c>
      <c r="BA432" s="21" t="n">
        <f aca="false">IF(AND(OR(AD432="رایگان/VIP",AD432="جانباز"),AF432="خیر"),1,0)</f>
        <v>0</v>
      </c>
      <c r="BB432" s="21" t="n">
        <f aca="false">IF(AE432="",0,IF(COUNTIF($AE$2:$AE$1001,AE432)&gt;1,1,0))</f>
        <v>0</v>
      </c>
      <c r="BC432" s="21" t="n">
        <f aca="false">IF(AND(H432="",I432&gt;تنظیمات!$B$12*60,AM432="خالی"),1,0)</f>
        <v>0</v>
      </c>
      <c r="BD432" s="21" t="n">
        <f aca="false">IF(AND(AP432="بله",I432&lt;تنظیمات!$B$14,AO432="خیر"),1,0)</f>
        <v>0</v>
      </c>
      <c r="BE432" s="21" t="n">
        <f aca="false">IF(AN432="خیر",1,0)</f>
        <v>0</v>
      </c>
      <c r="BF432" s="21" t="n">
        <f aca="false">IF(AND(AD432="فیش مفقودی",AQ432="بله",I432&gt;تنظیمات!$B$12*60),1,0)</f>
        <v>0</v>
      </c>
      <c r="BG432" s="21" t="n">
        <f aca="false">IF(AND(AK432&gt;تنظیمات!$B$11,AL432="بله"),1,0)</f>
        <v>0</v>
      </c>
      <c r="BH432" s="21" t="n">
        <f aca="false">MIN(100,AR432*تنظیمات!$B$21+AS432*تنظیمات!$B$22+AT432*تنظیمات!$B$23+AU432*تنظیمات!$B$24+AV432*تنظیمات!$B$25+AW432*تنظیمات!$B$26+AX432*تنظیمات!$B$27+AY432*تنظیمات!$B$28+AZ432*تنظیمات!$B$29+BA432*تنظیمات!$B$30+BB432*تنظیمات!$B$31+BC432*تنظیمات!$B$32+BD432*تنظیمات!$B$33+BE432*تنظیمات!$B$34+BF432*تنظیمات!$B$35+BG432*تنظیمات!$B$36)</f>
        <v>0</v>
      </c>
      <c r="BI432" s="16" t="str">
        <f aca="false">IF(BH432&gt;=60,"بحرانی",IF(BH432&gt;=30,"مشکوک",IF(BH432&gt;0,"هشدار","عادی")))</f>
        <v>عادی</v>
      </c>
      <c r="BJ432" s="16" t="s">
        <v>338</v>
      </c>
    </row>
    <row r="433" customFormat="false" ht="15" hidden="false" customHeight="false" outlineLevel="0" collapsed="false">
      <c r="A433" s="16" t="s">
        <v>1754</v>
      </c>
      <c r="B433" s="16" t="s">
        <v>1755</v>
      </c>
      <c r="C433" s="16" t="s">
        <v>1756</v>
      </c>
      <c r="D433" s="16" t="s">
        <v>370</v>
      </c>
      <c r="E433" s="16" t="s">
        <v>351</v>
      </c>
      <c r="F433" s="16" t="s">
        <v>333</v>
      </c>
      <c r="G433" s="17" t="n">
        <v>46286.7943402778</v>
      </c>
      <c r="H433" s="17" t="n">
        <v>46286.8519791667</v>
      </c>
      <c r="I433" s="18" t="n">
        <f aca="false">IF(H433="",ROUND((تنظیمات!$B$7-G433)*1440,0),ROUND((H433-G433)*1440,0))</f>
        <v>83</v>
      </c>
      <c r="J433" s="16" t="s">
        <v>334</v>
      </c>
      <c r="K433" s="16" t="s">
        <v>410</v>
      </c>
      <c r="L433" s="19" t="n">
        <v>0.544</v>
      </c>
      <c r="M433" s="19" t="n">
        <v>0.97</v>
      </c>
      <c r="N433" s="16" t="s">
        <v>340</v>
      </c>
      <c r="O433" s="16" t="s">
        <v>650</v>
      </c>
      <c r="P433" s="16" t="s">
        <v>420</v>
      </c>
      <c r="Q433" s="20" t="n">
        <v>46286</v>
      </c>
      <c r="R433" s="16" t="s">
        <v>1757</v>
      </c>
      <c r="S433" s="16" t="s">
        <v>404</v>
      </c>
      <c r="T433" s="17"/>
      <c r="U433" s="21" t="n">
        <v>1</v>
      </c>
      <c r="V433" s="21" t="n">
        <v>1</v>
      </c>
      <c r="W433" s="22" t="n">
        <v>3.4</v>
      </c>
      <c r="X433" s="16" t="s">
        <v>335</v>
      </c>
      <c r="Y433" s="16" t="s">
        <v>338</v>
      </c>
      <c r="Z433" s="16" t="s">
        <v>413</v>
      </c>
      <c r="AA433" s="16" t="s">
        <v>414</v>
      </c>
      <c r="AB433" s="23" t="s">
        <v>1758</v>
      </c>
      <c r="AC433" s="17" t="n">
        <v>46286.8512268519</v>
      </c>
      <c r="AD433" s="16" t="s">
        <v>338</v>
      </c>
      <c r="AE433" s="16"/>
      <c r="AF433" s="16" t="str">
        <f aca="false">IF(COUNTIF(لیست_سفید!$A$2:$A$21,B433)&gt;0,"بله","خیر")</f>
        <v>خیر</v>
      </c>
      <c r="AG433" s="24" t="n">
        <f aca="false">IF(H433="","",IF(AD433="فیش مفقودی",تنظیمات!$B$6,(INT(I433/1440)*تنظیمات!$B$5+IF(MOD(I433,1440)&lt;=تنظیمات!$B$2,0,MIN(تنظیمات!$B$5,تنظیمات!$B$3+MAX(0,ROUNDUP((MOD(I433,1440)-60)/60,0))*تنظیمات!$B$4)))*INDEX(تعرفه!$B$2:$B$7,MATCH(AD433,تعرفه!$A$2:$A$7,0))))</f>
        <v>34000</v>
      </c>
      <c r="AH433" s="24" t="n">
        <v>34000</v>
      </c>
      <c r="AI433" s="24" t="n">
        <f aca="false">IF(AG433="","",AH433-AG433)</f>
        <v>0</v>
      </c>
      <c r="AJ433" s="21" t="n">
        <v>0</v>
      </c>
      <c r="AK433" s="21" t="n">
        <v>0</v>
      </c>
      <c r="AL433" s="16" t="s">
        <v>335</v>
      </c>
      <c r="AM433" s="16"/>
      <c r="AN433" s="16" t="s">
        <v>340</v>
      </c>
      <c r="AO433" s="16" t="s">
        <v>340</v>
      </c>
      <c r="AP433" s="16" t="s">
        <v>335</v>
      </c>
      <c r="AQ433" s="16"/>
      <c r="AR433" s="21" t="n">
        <f aca="false">IF(AND(T433&lt;&gt;"",H433&lt;&gt;""),IF(AND((T433-H433)*86400&gt;=0,(T433-H433)*86400&lt;تنظیمات!$B$13),1,0),0)</f>
        <v>0</v>
      </c>
      <c r="AS433" s="21" t="n">
        <f aca="false">IF(Z433="پوز",IF(OR(AB433="",COUNTIF(پوزها!$A$2:$A$5,AA433)=0),1,0),0)</f>
        <v>0</v>
      </c>
      <c r="AT433" s="21" t="n">
        <f aca="false">IF(AI433="",0,IF(AI433&gt;0,1,0))</f>
        <v>0</v>
      </c>
      <c r="AU433" s="21" t="n">
        <f aca="false">IF(AI433="",0,IF(AI433&lt;0,1,0))</f>
        <v>0</v>
      </c>
      <c r="AV433" s="21" t="n">
        <f aca="false">IF(U433&gt;V433,1,0)</f>
        <v>0</v>
      </c>
      <c r="AW433" s="21" t="n">
        <f aca="false">IF(OR(W433&gt;تنظیمات!$B$8,X433="بله"),1,0)</f>
        <v>0</v>
      </c>
      <c r="AX433" s="21" t="n">
        <f aca="false">IF(AND(N433="بله",L433&gt;تنظیمات!$B$9),1,0)</f>
        <v>0</v>
      </c>
      <c r="AY433" s="21" t="n">
        <f aca="false">IF(Y433="معکوس",1,0)</f>
        <v>0</v>
      </c>
      <c r="AZ433" s="21" t="n">
        <f aca="false">IF(ABS(AJ433)&gt;تنظیمات!$B$10,1,0)</f>
        <v>0</v>
      </c>
      <c r="BA433" s="21" t="n">
        <f aca="false">IF(AND(OR(AD433="رایگان/VIP",AD433="جانباز"),AF433="خیر"),1,0)</f>
        <v>0</v>
      </c>
      <c r="BB433" s="21" t="n">
        <f aca="false">IF(AE433="",0,IF(COUNTIF($AE$2:$AE$1001,AE433)&gt;1,1,0))</f>
        <v>0</v>
      </c>
      <c r="BC433" s="21" t="n">
        <f aca="false">IF(AND(H433="",I433&gt;تنظیمات!$B$12*60,AM433="خالی"),1,0)</f>
        <v>0</v>
      </c>
      <c r="BD433" s="21" t="n">
        <f aca="false">IF(AND(AP433="بله",I433&lt;تنظیمات!$B$14,AO433="خیر"),1,0)</f>
        <v>0</v>
      </c>
      <c r="BE433" s="21" t="n">
        <f aca="false">IF(AN433="خیر",1,0)</f>
        <v>0</v>
      </c>
      <c r="BF433" s="21" t="n">
        <f aca="false">IF(AND(AD433="فیش مفقودی",AQ433="بله",I433&gt;تنظیمات!$B$12*60),1,0)</f>
        <v>0</v>
      </c>
      <c r="BG433" s="21" t="n">
        <f aca="false">IF(AND(AK433&gt;تنظیمات!$B$11,AL433="بله"),1,0)</f>
        <v>0</v>
      </c>
      <c r="BH433" s="21" t="n">
        <f aca="false">MIN(100,AR433*تنظیمات!$B$21+AS433*تنظیمات!$B$22+AT433*تنظیمات!$B$23+AU433*تنظیمات!$B$24+AV433*تنظیمات!$B$25+AW433*تنظیمات!$B$26+AX433*تنظیمات!$B$27+AY433*تنظیمات!$B$28+AZ433*تنظیمات!$B$29+BA433*تنظیمات!$B$30+BB433*تنظیمات!$B$31+BC433*تنظیمات!$B$32+BD433*تنظیمات!$B$33+BE433*تنظیمات!$B$34+BF433*تنظیمات!$B$35+BG433*تنظیمات!$B$36)</f>
        <v>0</v>
      </c>
      <c r="BI433" s="16" t="str">
        <f aca="false">IF(BH433&gt;=60,"بحرانی",IF(BH433&gt;=30,"مشکوک",IF(BH433&gt;0,"هشدار","عادی")))</f>
        <v>عادی</v>
      </c>
      <c r="BJ433" s="16" t="s">
        <v>338</v>
      </c>
    </row>
    <row r="434" customFormat="false" ht="15" hidden="false" customHeight="false" outlineLevel="0" collapsed="false">
      <c r="A434" s="16" t="s">
        <v>1759</v>
      </c>
      <c r="B434" s="16" t="s">
        <v>1185</v>
      </c>
      <c r="C434" s="16"/>
      <c r="D434" s="16" t="s">
        <v>469</v>
      </c>
      <c r="E434" s="16" t="s">
        <v>332</v>
      </c>
      <c r="F434" s="16" t="s">
        <v>359</v>
      </c>
      <c r="G434" s="17" t="n">
        <v>46286.7992592593</v>
      </c>
      <c r="H434" s="17" t="n">
        <v>46286.8450925926</v>
      </c>
      <c r="I434" s="18" t="n">
        <f aca="false">IF(H434="",ROUND((تنظیمات!$B$7-G434)*1440,0),ROUND((H434-G434)*1440,0))</f>
        <v>66</v>
      </c>
      <c r="J434" s="16" t="s">
        <v>346</v>
      </c>
      <c r="K434" s="16" t="s">
        <v>410</v>
      </c>
      <c r="L434" s="19" t="n">
        <v>0.956</v>
      </c>
      <c r="M434" s="19" t="n">
        <v>0.965</v>
      </c>
      <c r="N434" s="16" t="s">
        <v>335</v>
      </c>
      <c r="O434" s="16" t="s">
        <v>650</v>
      </c>
      <c r="P434" s="16" t="s">
        <v>420</v>
      </c>
      <c r="Q434" s="20" t="n">
        <v>46286</v>
      </c>
      <c r="R434" s="16" t="s">
        <v>1760</v>
      </c>
      <c r="S434" s="16" t="s">
        <v>404</v>
      </c>
      <c r="T434" s="17"/>
      <c r="U434" s="21" t="n">
        <v>1</v>
      </c>
      <c r="V434" s="21" t="n">
        <v>1</v>
      </c>
      <c r="W434" s="22" t="n">
        <v>4.3</v>
      </c>
      <c r="X434" s="16" t="s">
        <v>335</v>
      </c>
      <c r="Y434" s="16" t="s">
        <v>338</v>
      </c>
      <c r="Z434" s="16" t="s">
        <v>405</v>
      </c>
      <c r="AA434" s="16"/>
      <c r="AB434" s="23"/>
      <c r="AC434" s="17"/>
      <c r="AD434" s="16" t="s">
        <v>338</v>
      </c>
      <c r="AE434" s="16"/>
      <c r="AF434" s="16" t="str">
        <f aca="false">IF(COUNTIF(لیست_سفید!$A$2:$A$21,B434)&gt;0,"بله","خیر")</f>
        <v>خیر</v>
      </c>
      <c r="AG434" s="24" t="n">
        <f aca="false">IF(H434="","",IF(AD434="فیش مفقودی",تنظیمات!$B$6,(INT(I434/1440)*تنظیمات!$B$5+IF(MOD(I434,1440)&lt;=تنظیمات!$B$2,0,MIN(تنظیمات!$B$5,تنظیمات!$B$3+MAX(0,ROUNDUP((MOD(I434,1440)-60)/60,0))*تنظیمات!$B$4)))*INDEX(تعرفه!$B$2:$B$7,MATCH(AD434,تعرفه!$A$2:$A$7,0))))</f>
        <v>34000</v>
      </c>
      <c r="AH434" s="24" t="n">
        <v>34000</v>
      </c>
      <c r="AI434" s="24" t="n">
        <f aca="false">IF(AG434="","",AH434-AG434)</f>
        <v>0</v>
      </c>
      <c r="AJ434" s="21" t="n">
        <v>0</v>
      </c>
      <c r="AK434" s="21" t="n">
        <v>0</v>
      </c>
      <c r="AL434" s="16" t="s">
        <v>335</v>
      </c>
      <c r="AM434" s="16"/>
      <c r="AN434" s="16" t="s">
        <v>340</v>
      </c>
      <c r="AO434" s="16" t="s">
        <v>340</v>
      </c>
      <c r="AP434" s="16" t="s">
        <v>335</v>
      </c>
      <c r="AQ434" s="16"/>
      <c r="AR434" s="21" t="n">
        <f aca="false">IF(AND(T434&lt;&gt;"",H434&lt;&gt;""),IF(AND((T434-H434)*86400&gt;=0,(T434-H434)*86400&lt;تنظیمات!$B$13),1,0),0)</f>
        <v>0</v>
      </c>
      <c r="AS434" s="21" t="n">
        <f aca="false">IF(Z434="پوز",IF(OR(AB434="",COUNTIF(پوزها!$A$2:$A$5,AA434)=0),1,0),0)</f>
        <v>0</v>
      </c>
      <c r="AT434" s="21" t="n">
        <f aca="false">IF(AI434="",0,IF(AI434&gt;0,1,0))</f>
        <v>0</v>
      </c>
      <c r="AU434" s="21" t="n">
        <f aca="false">IF(AI434="",0,IF(AI434&lt;0,1,0))</f>
        <v>0</v>
      </c>
      <c r="AV434" s="21" t="n">
        <f aca="false">IF(U434&gt;V434,1,0)</f>
        <v>0</v>
      </c>
      <c r="AW434" s="21" t="n">
        <f aca="false">IF(OR(W434&gt;تنظیمات!$B$8,X434="بله"),1,0)</f>
        <v>0</v>
      </c>
      <c r="AX434" s="21" t="n">
        <f aca="false">IF(AND(N434="بله",L434&gt;تنظیمات!$B$9),1,0)</f>
        <v>0</v>
      </c>
      <c r="AY434" s="21" t="n">
        <f aca="false">IF(Y434="معکوس",1,0)</f>
        <v>0</v>
      </c>
      <c r="AZ434" s="21" t="n">
        <f aca="false">IF(ABS(AJ434)&gt;تنظیمات!$B$10,1,0)</f>
        <v>0</v>
      </c>
      <c r="BA434" s="21" t="n">
        <f aca="false">IF(AND(OR(AD434="رایگان/VIP",AD434="جانباز"),AF434="خیر"),1,0)</f>
        <v>0</v>
      </c>
      <c r="BB434" s="21" t="n">
        <f aca="false">IF(AE434="",0,IF(COUNTIF($AE$2:$AE$1001,AE434)&gt;1,1,0))</f>
        <v>0</v>
      </c>
      <c r="BC434" s="21" t="n">
        <f aca="false">IF(AND(H434="",I434&gt;تنظیمات!$B$12*60,AM434="خالی"),1,0)</f>
        <v>0</v>
      </c>
      <c r="BD434" s="21" t="n">
        <f aca="false">IF(AND(AP434="بله",I434&lt;تنظیمات!$B$14,AO434="خیر"),1,0)</f>
        <v>0</v>
      </c>
      <c r="BE434" s="21" t="n">
        <f aca="false">IF(AN434="خیر",1,0)</f>
        <v>0</v>
      </c>
      <c r="BF434" s="21" t="n">
        <f aca="false">IF(AND(AD434="فیش مفقودی",AQ434="بله",I434&gt;تنظیمات!$B$12*60),1,0)</f>
        <v>0</v>
      </c>
      <c r="BG434" s="21" t="n">
        <f aca="false">IF(AND(AK434&gt;تنظیمات!$B$11,AL434="بله"),1,0)</f>
        <v>0</v>
      </c>
      <c r="BH434" s="21" t="n">
        <f aca="false">MIN(100,AR434*تنظیمات!$B$21+AS434*تنظیمات!$B$22+AT434*تنظیمات!$B$23+AU434*تنظیمات!$B$24+AV434*تنظیمات!$B$25+AW434*تنظیمات!$B$26+AX434*تنظیمات!$B$27+AY434*تنظیمات!$B$28+AZ434*تنظیمات!$B$29+BA434*تنظیمات!$B$30+BB434*تنظیمات!$B$31+BC434*تنظیمات!$B$32+BD434*تنظیمات!$B$33+BE434*تنظیمات!$B$34+BF434*تنظیمات!$B$35+BG434*تنظیمات!$B$36)</f>
        <v>0</v>
      </c>
      <c r="BI434" s="16" t="str">
        <f aca="false">IF(BH434&gt;=60,"بحرانی",IF(BH434&gt;=30,"مشکوک",IF(BH434&gt;0,"هشدار","عادی")))</f>
        <v>عادی</v>
      </c>
      <c r="BJ434" s="16" t="s">
        <v>338</v>
      </c>
    </row>
    <row r="435" customFormat="false" ht="15" hidden="false" customHeight="false" outlineLevel="0" collapsed="false">
      <c r="A435" s="16" t="s">
        <v>1761</v>
      </c>
      <c r="B435" s="16" t="s">
        <v>357</v>
      </c>
      <c r="C435" s="16"/>
      <c r="D435" s="16" t="s">
        <v>358</v>
      </c>
      <c r="E435" s="16" t="s">
        <v>351</v>
      </c>
      <c r="F435" s="16" t="s">
        <v>359</v>
      </c>
      <c r="G435" s="17" t="n">
        <v>46286.8030208333</v>
      </c>
      <c r="H435" s="17" t="n">
        <v>46286.8509375</v>
      </c>
      <c r="I435" s="18" t="n">
        <f aca="false">IF(H435="",ROUND((تنظیمات!$B$7-G435)*1440,0),ROUND((H435-G435)*1440,0))</f>
        <v>69</v>
      </c>
      <c r="J435" s="16" t="s">
        <v>334</v>
      </c>
      <c r="K435" s="16" t="s">
        <v>400</v>
      </c>
      <c r="L435" s="19" t="n">
        <v>0.952</v>
      </c>
      <c r="M435" s="19" t="n">
        <v>0.968</v>
      </c>
      <c r="N435" s="16" t="s">
        <v>335</v>
      </c>
      <c r="O435" s="16" t="s">
        <v>419</v>
      </c>
      <c r="P435" s="16" t="s">
        <v>420</v>
      </c>
      <c r="Q435" s="20" t="n">
        <v>46286</v>
      </c>
      <c r="R435" s="16" t="s">
        <v>1762</v>
      </c>
      <c r="S435" s="16" t="s">
        <v>404</v>
      </c>
      <c r="T435" s="17"/>
      <c r="U435" s="21" t="n">
        <v>1</v>
      </c>
      <c r="V435" s="21" t="n">
        <v>1</v>
      </c>
      <c r="W435" s="22" t="n">
        <v>4.2</v>
      </c>
      <c r="X435" s="16" t="s">
        <v>335</v>
      </c>
      <c r="Y435" s="16" t="s">
        <v>338</v>
      </c>
      <c r="Z435" s="16" t="s">
        <v>405</v>
      </c>
      <c r="AA435" s="16"/>
      <c r="AB435" s="23"/>
      <c r="AC435" s="17"/>
      <c r="AD435" s="16" t="s">
        <v>338</v>
      </c>
      <c r="AE435" s="16"/>
      <c r="AF435" s="16" t="str">
        <f aca="false">IF(COUNTIF(لیست_سفید!$A$2:$A$21,B435)&gt;0,"بله","خیر")</f>
        <v>خیر</v>
      </c>
      <c r="AG435" s="24" t="n">
        <f aca="false">IF(H435="","",IF(AD435="فیش مفقودی",تنظیمات!$B$6,(INT(I435/1440)*تنظیمات!$B$5+IF(MOD(I435,1440)&lt;=تنظیمات!$B$2,0,MIN(تنظیمات!$B$5,تنظیمات!$B$3+MAX(0,ROUNDUP((MOD(I435,1440)-60)/60,0))*تنظیمات!$B$4)))*INDEX(تعرفه!$B$2:$B$7,MATCH(AD435,تعرفه!$A$2:$A$7,0))))</f>
        <v>34000</v>
      </c>
      <c r="AH435" s="24" t="n">
        <v>34000</v>
      </c>
      <c r="AI435" s="24" t="n">
        <f aca="false">IF(AG435="","",AH435-AG435)</f>
        <v>0</v>
      </c>
      <c r="AJ435" s="21" t="n">
        <v>2</v>
      </c>
      <c r="AK435" s="21" t="n">
        <v>0</v>
      </c>
      <c r="AL435" s="16" t="s">
        <v>335</v>
      </c>
      <c r="AM435" s="16"/>
      <c r="AN435" s="16" t="s">
        <v>340</v>
      </c>
      <c r="AO435" s="16" t="s">
        <v>340</v>
      </c>
      <c r="AP435" s="16" t="s">
        <v>335</v>
      </c>
      <c r="AQ435" s="16"/>
      <c r="AR435" s="21" t="n">
        <f aca="false">IF(AND(T435&lt;&gt;"",H435&lt;&gt;""),IF(AND((T435-H435)*86400&gt;=0,(T435-H435)*86400&lt;تنظیمات!$B$13),1,0),0)</f>
        <v>0</v>
      </c>
      <c r="AS435" s="21" t="n">
        <f aca="false">IF(Z435="پوز",IF(OR(AB435="",COUNTIF(پوزها!$A$2:$A$5,AA435)=0),1,0),0)</f>
        <v>0</v>
      </c>
      <c r="AT435" s="21" t="n">
        <f aca="false">IF(AI435="",0,IF(AI435&gt;0,1,0))</f>
        <v>0</v>
      </c>
      <c r="AU435" s="21" t="n">
        <f aca="false">IF(AI435="",0,IF(AI435&lt;0,1,0))</f>
        <v>0</v>
      </c>
      <c r="AV435" s="21" t="n">
        <f aca="false">IF(U435&gt;V435,1,0)</f>
        <v>0</v>
      </c>
      <c r="AW435" s="21" t="n">
        <f aca="false">IF(OR(W435&gt;تنظیمات!$B$8,X435="بله"),1,0)</f>
        <v>0</v>
      </c>
      <c r="AX435" s="21" t="n">
        <f aca="false">IF(AND(N435="بله",L435&gt;تنظیمات!$B$9),1,0)</f>
        <v>0</v>
      </c>
      <c r="AY435" s="21" t="n">
        <f aca="false">IF(Y435="معکوس",1,0)</f>
        <v>0</v>
      </c>
      <c r="AZ435" s="21" t="n">
        <f aca="false">IF(ABS(AJ435)&gt;تنظیمات!$B$10,1,0)</f>
        <v>0</v>
      </c>
      <c r="BA435" s="21" t="n">
        <f aca="false">IF(AND(OR(AD435="رایگان/VIP",AD435="جانباز"),AF435="خیر"),1,0)</f>
        <v>0</v>
      </c>
      <c r="BB435" s="21" t="n">
        <f aca="false">IF(AE435="",0,IF(COUNTIF($AE$2:$AE$1001,AE435)&gt;1,1,0))</f>
        <v>0</v>
      </c>
      <c r="BC435" s="21" t="n">
        <f aca="false">IF(AND(H435="",I435&gt;تنظیمات!$B$12*60,AM435="خالی"),1,0)</f>
        <v>0</v>
      </c>
      <c r="BD435" s="21" t="n">
        <f aca="false">IF(AND(AP435="بله",I435&lt;تنظیمات!$B$14,AO435="خیر"),1,0)</f>
        <v>0</v>
      </c>
      <c r="BE435" s="21" t="n">
        <f aca="false">IF(AN435="خیر",1,0)</f>
        <v>0</v>
      </c>
      <c r="BF435" s="21" t="n">
        <f aca="false">IF(AND(AD435="فیش مفقودی",AQ435="بله",I435&gt;تنظیمات!$B$12*60),1,0)</f>
        <v>0</v>
      </c>
      <c r="BG435" s="21" t="n">
        <f aca="false">IF(AND(AK435&gt;تنظیمات!$B$11,AL435="بله"),1,0)</f>
        <v>0</v>
      </c>
      <c r="BH435" s="21" t="n">
        <f aca="false">MIN(100,AR435*تنظیمات!$B$21+AS435*تنظیمات!$B$22+AT435*تنظیمات!$B$23+AU435*تنظیمات!$B$24+AV435*تنظیمات!$B$25+AW435*تنظیمات!$B$26+AX435*تنظیمات!$B$27+AY435*تنظیمات!$B$28+AZ435*تنظیمات!$B$29+BA435*تنظیمات!$B$30+BB435*تنظیمات!$B$31+BC435*تنظیمات!$B$32+BD435*تنظیمات!$B$33+BE435*تنظیمات!$B$34+BF435*تنظیمات!$B$35+BG435*تنظیمات!$B$36)</f>
        <v>0</v>
      </c>
      <c r="BI435" s="16" t="str">
        <f aca="false">IF(BH435&gt;=60,"بحرانی",IF(BH435&gt;=30,"مشکوک",IF(BH435&gt;0,"هشدار","عادی")))</f>
        <v>عادی</v>
      </c>
      <c r="BJ435" s="16" t="s">
        <v>338</v>
      </c>
    </row>
    <row r="436" customFormat="false" ht="15" hidden="false" customHeight="false" outlineLevel="0" collapsed="false">
      <c r="A436" s="16" t="s">
        <v>1763</v>
      </c>
      <c r="B436" s="16" t="s">
        <v>381</v>
      </c>
      <c r="C436" s="16"/>
      <c r="D436" s="16" t="s">
        <v>382</v>
      </c>
      <c r="E436" s="16" t="s">
        <v>351</v>
      </c>
      <c r="F436" s="16" t="s">
        <v>333</v>
      </c>
      <c r="G436" s="17" t="n">
        <v>46286.8499189815</v>
      </c>
      <c r="H436" s="17" t="n">
        <v>46286.867974537</v>
      </c>
      <c r="I436" s="18" t="n">
        <f aca="false">IF(H436="",ROUND((تنظیمات!$B$7-G436)*1440,0),ROUND((H436-G436)*1440,0))</f>
        <v>26</v>
      </c>
      <c r="J436" s="16" t="s">
        <v>346</v>
      </c>
      <c r="K436" s="16" t="s">
        <v>410</v>
      </c>
      <c r="L436" s="19" t="n">
        <v>0.901</v>
      </c>
      <c r="M436" s="19" t="n">
        <v>0.983</v>
      </c>
      <c r="N436" s="16" t="s">
        <v>335</v>
      </c>
      <c r="O436" s="16" t="s">
        <v>650</v>
      </c>
      <c r="P436" s="16" t="s">
        <v>420</v>
      </c>
      <c r="Q436" s="20" t="n">
        <v>46286</v>
      </c>
      <c r="R436" s="16" t="s">
        <v>1764</v>
      </c>
      <c r="S436" s="16" t="s">
        <v>404</v>
      </c>
      <c r="T436" s="17"/>
      <c r="U436" s="21" t="n">
        <v>1</v>
      </c>
      <c r="V436" s="21" t="n">
        <v>1</v>
      </c>
      <c r="W436" s="22" t="n">
        <v>5.9</v>
      </c>
      <c r="X436" s="16" t="s">
        <v>335</v>
      </c>
      <c r="Y436" s="16" t="s">
        <v>338</v>
      </c>
      <c r="Z436" s="16" t="s">
        <v>413</v>
      </c>
      <c r="AA436" s="16" t="s">
        <v>414</v>
      </c>
      <c r="AB436" s="23" t="s">
        <v>1765</v>
      </c>
      <c r="AC436" s="17" t="n">
        <v>46286.8671064815</v>
      </c>
      <c r="AD436" s="16" t="s">
        <v>338</v>
      </c>
      <c r="AE436" s="16"/>
      <c r="AF436" s="16" t="str">
        <f aca="false">IF(COUNTIF(لیست_سفید!$A$2:$A$21,B436)&gt;0,"بله","خیر")</f>
        <v>خیر</v>
      </c>
      <c r="AG436" s="24" t="n">
        <f aca="false">IF(H436="","",IF(AD436="فیش مفقودی",تنظیمات!$B$6,(INT(I436/1440)*تنظیمات!$B$5+IF(MOD(I436,1440)&lt;=تنظیمات!$B$2,0,MIN(تنظیمات!$B$5,تنظیمات!$B$3+MAX(0,ROUNDUP((MOD(I436,1440)-60)/60,0))*تنظیمات!$B$4)))*INDEX(تعرفه!$B$2:$B$7,MATCH(AD436,تعرفه!$A$2:$A$7,0))))</f>
        <v>20000</v>
      </c>
      <c r="AH436" s="24" t="n">
        <v>20000</v>
      </c>
      <c r="AI436" s="24" t="n">
        <f aca="false">IF(AG436="","",AH436-AG436)</f>
        <v>0</v>
      </c>
      <c r="AJ436" s="21" t="n">
        <v>-1</v>
      </c>
      <c r="AK436" s="21" t="n">
        <v>0</v>
      </c>
      <c r="AL436" s="16" t="s">
        <v>335</v>
      </c>
      <c r="AM436" s="16"/>
      <c r="AN436" s="16" t="s">
        <v>340</v>
      </c>
      <c r="AO436" s="16" t="s">
        <v>340</v>
      </c>
      <c r="AP436" s="16" t="s">
        <v>335</v>
      </c>
      <c r="AQ436" s="16"/>
      <c r="AR436" s="21" t="n">
        <f aca="false">IF(AND(T436&lt;&gt;"",H436&lt;&gt;""),IF(AND((T436-H436)*86400&gt;=0,(T436-H436)*86400&lt;تنظیمات!$B$13),1,0),0)</f>
        <v>0</v>
      </c>
      <c r="AS436" s="21" t="n">
        <f aca="false">IF(Z436="پوز",IF(OR(AB436="",COUNTIF(پوزها!$A$2:$A$5,AA436)=0),1,0),0)</f>
        <v>0</v>
      </c>
      <c r="AT436" s="21" t="n">
        <f aca="false">IF(AI436="",0,IF(AI436&gt;0,1,0))</f>
        <v>0</v>
      </c>
      <c r="AU436" s="21" t="n">
        <f aca="false">IF(AI436="",0,IF(AI436&lt;0,1,0))</f>
        <v>0</v>
      </c>
      <c r="AV436" s="21" t="n">
        <f aca="false">IF(U436&gt;V436,1,0)</f>
        <v>0</v>
      </c>
      <c r="AW436" s="21" t="n">
        <f aca="false">IF(OR(W436&gt;تنظیمات!$B$8,X436="بله"),1,0)</f>
        <v>0</v>
      </c>
      <c r="AX436" s="21" t="n">
        <f aca="false">IF(AND(N436="بله",L436&gt;تنظیمات!$B$9),1,0)</f>
        <v>0</v>
      </c>
      <c r="AY436" s="21" t="n">
        <f aca="false">IF(Y436="معکوس",1,0)</f>
        <v>0</v>
      </c>
      <c r="AZ436" s="21" t="n">
        <f aca="false">IF(ABS(AJ436)&gt;تنظیمات!$B$10,1,0)</f>
        <v>0</v>
      </c>
      <c r="BA436" s="21" t="n">
        <f aca="false">IF(AND(OR(AD436="رایگان/VIP",AD436="جانباز"),AF436="خیر"),1,0)</f>
        <v>0</v>
      </c>
      <c r="BB436" s="21" t="n">
        <f aca="false">IF(AE436="",0,IF(COUNTIF($AE$2:$AE$1001,AE436)&gt;1,1,0))</f>
        <v>0</v>
      </c>
      <c r="BC436" s="21" t="n">
        <f aca="false">IF(AND(H436="",I436&gt;تنظیمات!$B$12*60,AM436="خالی"),1,0)</f>
        <v>0</v>
      </c>
      <c r="BD436" s="21" t="n">
        <f aca="false">IF(AND(AP436="بله",I436&lt;تنظیمات!$B$14,AO436="خیر"),1,0)</f>
        <v>0</v>
      </c>
      <c r="BE436" s="21" t="n">
        <f aca="false">IF(AN436="خیر",1,0)</f>
        <v>0</v>
      </c>
      <c r="BF436" s="21" t="n">
        <f aca="false">IF(AND(AD436="فیش مفقودی",AQ436="بله",I436&gt;تنظیمات!$B$12*60),1,0)</f>
        <v>0</v>
      </c>
      <c r="BG436" s="21" t="n">
        <f aca="false">IF(AND(AK436&gt;تنظیمات!$B$11,AL436="بله"),1,0)</f>
        <v>0</v>
      </c>
      <c r="BH436" s="21" t="n">
        <f aca="false">MIN(100,AR436*تنظیمات!$B$21+AS436*تنظیمات!$B$22+AT436*تنظیمات!$B$23+AU436*تنظیمات!$B$24+AV436*تنظیمات!$B$25+AW436*تنظیمات!$B$26+AX436*تنظیمات!$B$27+AY436*تنظیمات!$B$28+AZ436*تنظیمات!$B$29+BA436*تنظیمات!$B$30+BB436*تنظیمات!$B$31+BC436*تنظیمات!$B$32+BD436*تنظیمات!$B$33+BE436*تنظیمات!$B$34+BF436*تنظیمات!$B$35+BG436*تنظیمات!$B$36)</f>
        <v>0</v>
      </c>
      <c r="BI436" s="16" t="str">
        <f aca="false">IF(BH436&gt;=60,"بحرانی",IF(BH436&gt;=30,"مشکوک",IF(BH436&gt;0,"هشدار","عادی")))</f>
        <v>عادی</v>
      </c>
      <c r="BJ436" s="16" t="s">
        <v>338</v>
      </c>
    </row>
    <row r="437" customFormat="false" ht="15" hidden="false" customHeight="false" outlineLevel="0" collapsed="false">
      <c r="A437" s="16" t="s">
        <v>1766</v>
      </c>
      <c r="B437" s="16" t="s">
        <v>808</v>
      </c>
      <c r="C437" s="16"/>
      <c r="D437" s="16" t="s">
        <v>331</v>
      </c>
      <c r="E437" s="16" t="s">
        <v>351</v>
      </c>
      <c r="F437" s="16" t="s">
        <v>333</v>
      </c>
      <c r="G437" s="17" t="n">
        <v>46286.8806828704</v>
      </c>
      <c r="H437" s="17" t="n">
        <v>46286.8904050926</v>
      </c>
      <c r="I437" s="18" t="n">
        <f aca="false">IF(H437="",ROUND((تنظیمات!$B$7-G437)*1440,0),ROUND((H437-G437)*1440,0))</f>
        <v>14</v>
      </c>
      <c r="J437" s="16" t="s">
        <v>346</v>
      </c>
      <c r="K437" s="16" t="s">
        <v>410</v>
      </c>
      <c r="L437" s="19" t="n">
        <v>0.935</v>
      </c>
      <c r="M437" s="19" t="n">
        <v>0.912</v>
      </c>
      <c r="N437" s="16" t="s">
        <v>335</v>
      </c>
      <c r="O437" s="16" t="s">
        <v>650</v>
      </c>
      <c r="P437" s="16" t="s">
        <v>420</v>
      </c>
      <c r="Q437" s="20" t="n">
        <v>46286</v>
      </c>
      <c r="R437" s="16" t="s">
        <v>1767</v>
      </c>
      <c r="S437" s="16" t="s">
        <v>404</v>
      </c>
      <c r="T437" s="17"/>
      <c r="U437" s="21" t="n">
        <v>1</v>
      </c>
      <c r="V437" s="21" t="n">
        <v>1</v>
      </c>
      <c r="W437" s="22" t="n">
        <v>3.9</v>
      </c>
      <c r="X437" s="16" t="s">
        <v>335</v>
      </c>
      <c r="Y437" s="16" t="s">
        <v>338</v>
      </c>
      <c r="Z437" s="16" t="s">
        <v>413</v>
      </c>
      <c r="AA437" s="16" t="s">
        <v>414</v>
      </c>
      <c r="AB437" s="23" t="s">
        <v>1768</v>
      </c>
      <c r="AC437" s="17" t="n">
        <v>46286.8899768519</v>
      </c>
      <c r="AD437" s="16" t="s">
        <v>338</v>
      </c>
      <c r="AE437" s="16"/>
      <c r="AF437" s="16" t="str">
        <f aca="false">IF(COUNTIF(لیست_سفید!$A$2:$A$21,B437)&gt;0,"بله","خیر")</f>
        <v>خیر</v>
      </c>
      <c r="AG437" s="24" t="n">
        <f aca="false">IF(H437="","",IF(AD437="فیش مفقودی",تنظیمات!$B$6,(INT(I437/1440)*تنظیمات!$B$5+IF(MOD(I437,1440)&lt;=تنظیمات!$B$2,0,MIN(تنظیمات!$B$5,تنظیمات!$B$3+MAX(0,ROUNDUP((MOD(I437,1440)-60)/60,0))*تنظیمات!$B$4)))*INDEX(تعرفه!$B$2:$B$7,MATCH(AD437,تعرفه!$A$2:$A$7,0))))</f>
        <v>20000</v>
      </c>
      <c r="AH437" s="24" t="n">
        <v>20000</v>
      </c>
      <c r="AI437" s="24" t="n">
        <f aca="false">IF(AG437="","",AH437-AG437)</f>
        <v>0</v>
      </c>
      <c r="AJ437" s="21" t="n">
        <v>-3</v>
      </c>
      <c r="AK437" s="21" t="n">
        <v>0</v>
      </c>
      <c r="AL437" s="16" t="s">
        <v>335</v>
      </c>
      <c r="AM437" s="16"/>
      <c r="AN437" s="16" t="s">
        <v>340</v>
      </c>
      <c r="AO437" s="16" t="s">
        <v>340</v>
      </c>
      <c r="AP437" s="16" t="s">
        <v>335</v>
      </c>
      <c r="AQ437" s="16"/>
      <c r="AR437" s="21" t="n">
        <f aca="false">IF(AND(T437&lt;&gt;"",H437&lt;&gt;""),IF(AND((T437-H437)*86400&gt;=0,(T437-H437)*86400&lt;تنظیمات!$B$13),1,0),0)</f>
        <v>0</v>
      </c>
      <c r="AS437" s="21" t="n">
        <f aca="false">IF(Z437="پوز",IF(OR(AB437="",COUNTIF(پوزها!$A$2:$A$5,AA437)=0),1,0),0)</f>
        <v>0</v>
      </c>
      <c r="AT437" s="21" t="n">
        <f aca="false">IF(AI437="",0,IF(AI437&gt;0,1,0))</f>
        <v>0</v>
      </c>
      <c r="AU437" s="21" t="n">
        <f aca="false">IF(AI437="",0,IF(AI437&lt;0,1,0))</f>
        <v>0</v>
      </c>
      <c r="AV437" s="21" t="n">
        <f aca="false">IF(U437&gt;V437,1,0)</f>
        <v>0</v>
      </c>
      <c r="AW437" s="21" t="n">
        <f aca="false">IF(OR(W437&gt;تنظیمات!$B$8,X437="بله"),1,0)</f>
        <v>0</v>
      </c>
      <c r="AX437" s="21" t="n">
        <f aca="false">IF(AND(N437="بله",L437&gt;تنظیمات!$B$9),1,0)</f>
        <v>0</v>
      </c>
      <c r="AY437" s="21" t="n">
        <f aca="false">IF(Y437="معکوس",1,0)</f>
        <v>0</v>
      </c>
      <c r="AZ437" s="21" t="n">
        <f aca="false">IF(ABS(AJ437)&gt;تنظیمات!$B$10,1,0)</f>
        <v>0</v>
      </c>
      <c r="BA437" s="21" t="n">
        <f aca="false">IF(AND(OR(AD437="رایگان/VIP",AD437="جانباز"),AF437="خیر"),1,0)</f>
        <v>0</v>
      </c>
      <c r="BB437" s="21" t="n">
        <f aca="false">IF(AE437="",0,IF(COUNTIF($AE$2:$AE$1001,AE437)&gt;1,1,0))</f>
        <v>0</v>
      </c>
      <c r="BC437" s="21" t="n">
        <f aca="false">IF(AND(H437="",I437&gt;تنظیمات!$B$12*60,AM437="خالی"),1,0)</f>
        <v>0</v>
      </c>
      <c r="BD437" s="21" t="n">
        <f aca="false">IF(AND(AP437="بله",I437&lt;تنظیمات!$B$14,AO437="خیر"),1,0)</f>
        <v>0</v>
      </c>
      <c r="BE437" s="21" t="n">
        <f aca="false">IF(AN437="خیر",1,0)</f>
        <v>0</v>
      </c>
      <c r="BF437" s="21" t="n">
        <f aca="false">IF(AND(AD437="فیش مفقودی",AQ437="بله",I437&gt;تنظیمات!$B$12*60),1,0)</f>
        <v>0</v>
      </c>
      <c r="BG437" s="21" t="n">
        <f aca="false">IF(AND(AK437&gt;تنظیمات!$B$11,AL437="بله"),1,0)</f>
        <v>0</v>
      </c>
      <c r="BH437" s="21" t="n">
        <f aca="false">MIN(100,AR437*تنظیمات!$B$21+AS437*تنظیمات!$B$22+AT437*تنظیمات!$B$23+AU437*تنظیمات!$B$24+AV437*تنظیمات!$B$25+AW437*تنظیمات!$B$26+AX437*تنظیمات!$B$27+AY437*تنظیمات!$B$28+AZ437*تنظیمات!$B$29+BA437*تنظیمات!$B$30+BB437*تنظیمات!$B$31+BC437*تنظیمات!$B$32+BD437*تنظیمات!$B$33+BE437*تنظیمات!$B$34+BF437*تنظیمات!$B$35+BG437*تنظیمات!$B$36)</f>
        <v>0</v>
      </c>
      <c r="BI437" s="16" t="str">
        <f aca="false">IF(BH437&gt;=60,"بحرانی",IF(BH437&gt;=30,"مشکوک",IF(BH437&gt;0,"هشدار","عادی")))</f>
        <v>عادی</v>
      </c>
      <c r="BJ437" s="16" t="s">
        <v>338</v>
      </c>
    </row>
    <row r="438" customFormat="false" ht="15" hidden="false" customHeight="false" outlineLevel="0" collapsed="false">
      <c r="A438" s="16" t="s">
        <v>1769</v>
      </c>
      <c r="B438" s="16" t="s">
        <v>354</v>
      </c>
      <c r="C438" s="16"/>
      <c r="D438" s="16" t="s">
        <v>350</v>
      </c>
      <c r="E438" s="16" t="s">
        <v>345</v>
      </c>
      <c r="F438" s="16" t="s">
        <v>333</v>
      </c>
      <c r="G438" s="17" t="n">
        <v>46286.8813078704</v>
      </c>
      <c r="H438" s="17" t="n">
        <v>46286.9160300926</v>
      </c>
      <c r="I438" s="18" t="n">
        <f aca="false">IF(H438="",ROUND((تنظیمات!$B$7-G438)*1440,0),ROUND((H438-G438)*1440,0))</f>
        <v>50</v>
      </c>
      <c r="J438" s="16" t="s">
        <v>334</v>
      </c>
      <c r="K438" s="16" t="s">
        <v>410</v>
      </c>
      <c r="L438" s="19" t="n">
        <v>0.857</v>
      </c>
      <c r="M438" s="19" t="n">
        <v>0.922</v>
      </c>
      <c r="N438" s="16" t="s">
        <v>335</v>
      </c>
      <c r="O438" s="16" t="s">
        <v>650</v>
      </c>
      <c r="P438" s="16" t="s">
        <v>420</v>
      </c>
      <c r="Q438" s="20" t="n">
        <v>46286</v>
      </c>
      <c r="R438" s="16" t="s">
        <v>1770</v>
      </c>
      <c r="S438" s="16" t="s">
        <v>404</v>
      </c>
      <c r="T438" s="17"/>
      <c r="U438" s="21" t="n">
        <v>1</v>
      </c>
      <c r="V438" s="21" t="n">
        <v>1</v>
      </c>
      <c r="W438" s="22" t="n">
        <v>5</v>
      </c>
      <c r="X438" s="16" t="s">
        <v>335</v>
      </c>
      <c r="Y438" s="16" t="s">
        <v>338</v>
      </c>
      <c r="Z438" s="16" t="s">
        <v>413</v>
      </c>
      <c r="AA438" s="16" t="s">
        <v>414</v>
      </c>
      <c r="AB438" s="23" t="s">
        <v>1771</v>
      </c>
      <c r="AC438" s="17" t="n">
        <v>46286.9152314815</v>
      </c>
      <c r="AD438" s="16" t="s">
        <v>481</v>
      </c>
      <c r="AE438" s="16" t="s">
        <v>1772</v>
      </c>
      <c r="AF438" s="16" t="str">
        <f aca="false">IF(COUNTIF(لیست_سفید!$A$2:$A$21,B438)&gt;0,"بله","خیر")</f>
        <v>خیر</v>
      </c>
      <c r="AG438" s="24" t="n">
        <f aca="false">IF(H438="","",IF(AD438="فیش مفقودی",تنظیمات!$B$6,(INT(I438/1440)*تنظیمات!$B$5+IF(MOD(I438,1440)&lt;=تنظیمات!$B$2,0,MIN(تنظیمات!$B$5,تنظیمات!$B$3+MAX(0,ROUNDUP((MOD(I438,1440)-60)/60,0))*تنظیمات!$B$4)))*INDEX(تعرفه!$B$2:$B$7,MATCH(AD438,تعرفه!$A$2:$A$7,0))))</f>
        <v>10000</v>
      </c>
      <c r="AH438" s="24" t="n">
        <v>10000</v>
      </c>
      <c r="AI438" s="24" t="n">
        <f aca="false">IF(AG438="","",AH438-AG438)</f>
        <v>0</v>
      </c>
      <c r="AJ438" s="21" t="n">
        <v>0</v>
      </c>
      <c r="AK438" s="21" t="n">
        <v>0</v>
      </c>
      <c r="AL438" s="16" t="s">
        <v>335</v>
      </c>
      <c r="AM438" s="16"/>
      <c r="AN438" s="16" t="s">
        <v>340</v>
      </c>
      <c r="AO438" s="16" t="s">
        <v>340</v>
      </c>
      <c r="AP438" s="16" t="s">
        <v>335</v>
      </c>
      <c r="AQ438" s="16"/>
      <c r="AR438" s="21" t="n">
        <f aca="false">IF(AND(T438&lt;&gt;"",H438&lt;&gt;""),IF(AND((T438-H438)*86400&gt;=0,(T438-H438)*86400&lt;تنظیمات!$B$13),1,0),0)</f>
        <v>0</v>
      </c>
      <c r="AS438" s="21" t="n">
        <f aca="false">IF(Z438="پوز",IF(OR(AB438="",COUNTIF(پوزها!$A$2:$A$5,AA438)=0),1,0),0)</f>
        <v>0</v>
      </c>
      <c r="AT438" s="21" t="n">
        <f aca="false">IF(AI438="",0,IF(AI438&gt;0,1,0))</f>
        <v>0</v>
      </c>
      <c r="AU438" s="21" t="n">
        <f aca="false">IF(AI438="",0,IF(AI438&lt;0,1,0))</f>
        <v>0</v>
      </c>
      <c r="AV438" s="21" t="n">
        <f aca="false">IF(U438&gt;V438,1,0)</f>
        <v>0</v>
      </c>
      <c r="AW438" s="21" t="n">
        <f aca="false">IF(OR(W438&gt;تنظیمات!$B$8,X438="بله"),1,0)</f>
        <v>0</v>
      </c>
      <c r="AX438" s="21" t="n">
        <f aca="false">IF(AND(N438="بله",L438&gt;تنظیمات!$B$9),1,0)</f>
        <v>0</v>
      </c>
      <c r="AY438" s="21" t="n">
        <f aca="false">IF(Y438="معکوس",1,0)</f>
        <v>0</v>
      </c>
      <c r="AZ438" s="21" t="n">
        <f aca="false">IF(ABS(AJ438)&gt;تنظیمات!$B$10,1,0)</f>
        <v>0</v>
      </c>
      <c r="BA438" s="21" t="n">
        <f aca="false">IF(AND(OR(AD438="رایگان/VIP",AD438="جانباز"),AF438="خیر"),1,0)</f>
        <v>0</v>
      </c>
      <c r="BB438" s="21" t="n">
        <f aca="false">IF(AE438="",0,IF(COUNTIF($AE$2:$AE$1001,AE438)&gt;1,1,0))</f>
        <v>0</v>
      </c>
      <c r="BC438" s="21" t="n">
        <f aca="false">IF(AND(H438="",I438&gt;تنظیمات!$B$12*60,AM438="خالی"),1,0)</f>
        <v>0</v>
      </c>
      <c r="BD438" s="21" t="n">
        <f aca="false">IF(AND(AP438="بله",I438&lt;تنظیمات!$B$14,AO438="خیر"),1,0)</f>
        <v>0</v>
      </c>
      <c r="BE438" s="21" t="n">
        <f aca="false">IF(AN438="خیر",1,0)</f>
        <v>0</v>
      </c>
      <c r="BF438" s="21" t="n">
        <f aca="false">IF(AND(AD438="فیش مفقودی",AQ438="بله",I438&gt;تنظیمات!$B$12*60),1,0)</f>
        <v>0</v>
      </c>
      <c r="BG438" s="21" t="n">
        <f aca="false">IF(AND(AK438&gt;تنظیمات!$B$11,AL438="بله"),1,0)</f>
        <v>0</v>
      </c>
      <c r="BH438" s="21" t="n">
        <f aca="false">MIN(100,AR438*تنظیمات!$B$21+AS438*تنظیمات!$B$22+AT438*تنظیمات!$B$23+AU438*تنظیمات!$B$24+AV438*تنظیمات!$B$25+AW438*تنظیمات!$B$26+AX438*تنظیمات!$B$27+AY438*تنظیمات!$B$28+AZ438*تنظیمات!$B$29+BA438*تنظیمات!$B$30+BB438*تنظیمات!$B$31+BC438*تنظیمات!$B$32+BD438*تنظیمات!$B$33+BE438*تنظیمات!$B$34+BF438*تنظیمات!$B$35+BG438*تنظیمات!$B$36)</f>
        <v>0</v>
      </c>
      <c r="BI438" s="16" t="str">
        <f aca="false">IF(BH438&gt;=60,"بحرانی",IF(BH438&gt;=30,"مشکوک",IF(BH438&gt;0,"هشدار","عادی")))</f>
        <v>عادی</v>
      </c>
      <c r="BJ438" s="16" t="s">
        <v>338</v>
      </c>
    </row>
    <row r="439" customFormat="false" ht="15" hidden="false" customHeight="false" outlineLevel="0" collapsed="false">
      <c r="A439" s="16" t="s">
        <v>1773</v>
      </c>
      <c r="B439" s="16" t="s">
        <v>1605</v>
      </c>
      <c r="C439" s="16"/>
      <c r="D439" s="16" t="s">
        <v>331</v>
      </c>
      <c r="E439" s="16" t="s">
        <v>345</v>
      </c>
      <c r="F439" s="16" t="s">
        <v>333</v>
      </c>
      <c r="G439" s="17" t="n">
        <v>46286.8996990741</v>
      </c>
      <c r="H439" s="17" t="n">
        <v>46287.2663657407</v>
      </c>
      <c r="I439" s="18" t="n">
        <f aca="false">IF(H439="",ROUND((تنظیمات!$B$7-G439)*1440,0),ROUND((H439-G439)*1440,0))</f>
        <v>528</v>
      </c>
      <c r="J439" s="16" t="s">
        <v>346</v>
      </c>
      <c r="K439" s="16" t="s">
        <v>410</v>
      </c>
      <c r="L439" s="19" t="n">
        <v>0.951</v>
      </c>
      <c r="M439" s="19" t="n">
        <v>0.966</v>
      </c>
      <c r="N439" s="16" t="s">
        <v>335</v>
      </c>
      <c r="O439" s="16" t="s">
        <v>425</v>
      </c>
      <c r="P439" s="16" t="s">
        <v>402</v>
      </c>
      <c r="Q439" s="20" t="n">
        <v>46287</v>
      </c>
      <c r="R439" s="16" t="s">
        <v>1774</v>
      </c>
      <c r="S439" s="16" t="s">
        <v>404</v>
      </c>
      <c r="T439" s="17"/>
      <c r="U439" s="21" t="n">
        <v>1</v>
      </c>
      <c r="V439" s="21" t="n">
        <v>1</v>
      </c>
      <c r="W439" s="22" t="n">
        <v>4.2</v>
      </c>
      <c r="X439" s="16" t="s">
        <v>335</v>
      </c>
      <c r="Y439" s="16" t="s">
        <v>338</v>
      </c>
      <c r="Z439" s="16" t="s">
        <v>443</v>
      </c>
      <c r="AA439" s="16"/>
      <c r="AB439" s="23"/>
      <c r="AC439" s="17"/>
      <c r="AD439" s="16" t="s">
        <v>444</v>
      </c>
      <c r="AE439" s="16"/>
      <c r="AF439" s="16" t="str">
        <f aca="false">IF(COUNTIF(لیست_سفید!$A$2:$A$21,B439)&gt;0,"بله","خیر")</f>
        <v>خیر</v>
      </c>
      <c r="AG439" s="24" t="n">
        <f aca="false">IF(H439="","",IF(AD439="فیش مفقودی",تنظیمات!$B$6,(INT(I439/1440)*تنظیمات!$B$5+IF(MOD(I439,1440)&lt;=تنظیمات!$B$2,0,MIN(تنظیمات!$B$5,تنظیمات!$B$3+MAX(0,ROUNDUP((MOD(I439,1440)-60)/60,0))*تنظیمات!$B$4)))*INDEX(تعرفه!$B$2:$B$7,MATCH(AD439,تعرفه!$A$2:$A$7,0))))</f>
        <v>0</v>
      </c>
      <c r="AH439" s="24" t="n">
        <v>0</v>
      </c>
      <c r="AI439" s="24" t="n">
        <f aca="false">IF(AG439="","",AH439-AG439)</f>
        <v>0</v>
      </c>
      <c r="AJ439" s="21" t="n">
        <v>0</v>
      </c>
      <c r="AK439" s="21" t="n">
        <v>0</v>
      </c>
      <c r="AL439" s="16" t="s">
        <v>335</v>
      </c>
      <c r="AM439" s="16"/>
      <c r="AN439" s="16" t="s">
        <v>340</v>
      </c>
      <c r="AO439" s="16" t="s">
        <v>340</v>
      </c>
      <c r="AP439" s="16" t="s">
        <v>335</v>
      </c>
      <c r="AQ439" s="16"/>
      <c r="AR439" s="21" t="n">
        <f aca="false">IF(AND(T439&lt;&gt;"",H439&lt;&gt;""),IF(AND((T439-H439)*86400&gt;=0,(T439-H439)*86400&lt;تنظیمات!$B$13),1,0),0)</f>
        <v>0</v>
      </c>
      <c r="AS439" s="21" t="n">
        <f aca="false">IF(Z439="پوز",IF(OR(AB439="",COUNTIF(پوزها!$A$2:$A$5,AA439)=0),1,0),0)</f>
        <v>0</v>
      </c>
      <c r="AT439" s="21" t="n">
        <f aca="false">IF(AI439="",0,IF(AI439&gt;0,1,0))</f>
        <v>0</v>
      </c>
      <c r="AU439" s="21" t="n">
        <f aca="false">IF(AI439="",0,IF(AI439&lt;0,1,0))</f>
        <v>0</v>
      </c>
      <c r="AV439" s="21" t="n">
        <f aca="false">IF(U439&gt;V439,1,0)</f>
        <v>0</v>
      </c>
      <c r="AW439" s="21" t="n">
        <f aca="false">IF(OR(W439&gt;تنظیمات!$B$8,X439="بله"),1,0)</f>
        <v>0</v>
      </c>
      <c r="AX439" s="21" t="n">
        <f aca="false">IF(AND(N439="بله",L439&gt;تنظیمات!$B$9),1,0)</f>
        <v>0</v>
      </c>
      <c r="AY439" s="21" t="n">
        <f aca="false">IF(Y439="معکوس",1,0)</f>
        <v>0</v>
      </c>
      <c r="AZ439" s="21" t="n">
        <f aca="false">IF(ABS(AJ439)&gt;تنظیمات!$B$10,1,0)</f>
        <v>0</v>
      </c>
      <c r="BA439" s="21" t="n">
        <f aca="false">IF(AND(OR(AD439="رایگان/VIP",AD439="جانباز"),AF439="خیر"),1,0)</f>
        <v>0</v>
      </c>
      <c r="BB439" s="21" t="n">
        <f aca="false">IF(AE439="",0,IF(COUNTIF($AE$2:$AE$1001,AE439)&gt;1,1,0))</f>
        <v>0</v>
      </c>
      <c r="BC439" s="21" t="n">
        <f aca="false">IF(AND(H439="",I439&gt;تنظیمات!$B$12*60,AM439="خالی"),1,0)</f>
        <v>0</v>
      </c>
      <c r="BD439" s="21" t="n">
        <f aca="false">IF(AND(AP439="بله",I439&lt;تنظیمات!$B$14,AO439="خیر"),1,0)</f>
        <v>0</v>
      </c>
      <c r="BE439" s="21" t="n">
        <f aca="false">IF(AN439="خیر",1,0)</f>
        <v>0</v>
      </c>
      <c r="BF439" s="21" t="n">
        <f aca="false">IF(AND(AD439="فیش مفقودی",AQ439="بله",I439&gt;تنظیمات!$B$12*60),1,0)</f>
        <v>0</v>
      </c>
      <c r="BG439" s="21" t="n">
        <f aca="false">IF(AND(AK439&gt;تنظیمات!$B$11,AL439="بله"),1,0)</f>
        <v>0</v>
      </c>
      <c r="BH439" s="21" t="n">
        <f aca="false">MIN(100,AR439*تنظیمات!$B$21+AS439*تنظیمات!$B$22+AT439*تنظیمات!$B$23+AU439*تنظیمات!$B$24+AV439*تنظیمات!$B$25+AW439*تنظیمات!$B$26+AX439*تنظیمات!$B$27+AY439*تنظیمات!$B$28+AZ439*تنظیمات!$B$29+BA439*تنظیمات!$B$30+BB439*تنظیمات!$B$31+BC439*تنظیمات!$B$32+BD439*تنظیمات!$B$33+BE439*تنظیمات!$B$34+BF439*تنظیمات!$B$35+BG439*تنظیمات!$B$36)</f>
        <v>0</v>
      </c>
      <c r="BI439" s="16" t="str">
        <f aca="false">IF(BH439&gt;=60,"بحرانی",IF(BH439&gt;=30,"مشکوک",IF(BH439&gt;0,"هشدار","عادی")))</f>
        <v>عادی</v>
      </c>
      <c r="BJ439" s="16" t="s">
        <v>338</v>
      </c>
    </row>
    <row r="440" customFormat="false" ht="15" hidden="false" customHeight="false" outlineLevel="0" collapsed="false">
      <c r="A440" s="16" t="s">
        <v>1775</v>
      </c>
      <c r="B440" s="16" t="s">
        <v>1776</v>
      </c>
      <c r="C440" s="16"/>
      <c r="D440" s="16" t="s">
        <v>508</v>
      </c>
      <c r="E440" s="16" t="s">
        <v>345</v>
      </c>
      <c r="F440" s="16" t="s">
        <v>333</v>
      </c>
      <c r="G440" s="17" t="n">
        <v>46286.9573842593</v>
      </c>
      <c r="H440" s="17"/>
      <c r="I440" s="18" t="n">
        <f aca="false">IF(H440="",ROUND((تنظیمات!$B$7-G440)*1440,0),ROUND((H440-G440)*1440,0))</f>
        <v>11941</v>
      </c>
      <c r="J440" s="16" t="s">
        <v>346</v>
      </c>
      <c r="K440" s="16"/>
      <c r="L440" s="19" t="n">
        <v>0.943</v>
      </c>
      <c r="M440" s="19"/>
      <c r="N440" s="16" t="s">
        <v>335</v>
      </c>
      <c r="O440" s="16"/>
      <c r="P440" s="16"/>
      <c r="Q440" s="20"/>
      <c r="R440" s="16" t="s">
        <v>1777</v>
      </c>
      <c r="S440" s="16" t="s">
        <v>337</v>
      </c>
      <c r="T440" s="17"/>
      <c r="U440" s="21" t="n">
        <v>1</v>
      </c>
      <c r="V440" s="21" t="n">
        <v>1</v>
      </c>
      <c r="W440" s="22" t="n">
        <v>4.8</v>
      </c>
      <c r="X440" s="16" t="s">
        <v>335</v>
      </c>
      <c r="Y440" s="16" t="s">
        <v>338</v>
      </c>
      <c r="Z440" s="16"/>
      <c r="AA440" s="16"/>
      <c r="AB440" s="23"/>
      <c r="AC440" s="17"/>
      <c r="AD440" s="16" t="s">
        <v>338</v>
      </c>
      <c r="AE440" s="16"/>
      <c r="AF440" s="16" t="str">
        <f aca="false">IF(COUNTIF(لیست_سفید!$A$2:$A$21,B440)&gt;0,"بله","خیر")</f>
        <v>خیر</v>
      </c>
      <c r="AG440" s="24" t="str">
        <f aca="false">IF(H440="","",IF(AD440="فیش مفقودی",تنظیمات!$B$6,(INT(I440/1440)*تنظیمات!$B$5+IF(MOD(I440,1440)&lt;=تنظیمات!$B$2,0,MIN(تنظیمات!$B$5,تنظیمات!$B$3+MAX(0,ROUNDUP((MOD(I440,1440)-60)/60,0))*تنظیمات!$B$4)))*INDEX(تعرفه!$B$2:$B$7,MATCH(AD440,تعرفه!$A$2:$A$7,0))))</f>
        <v/>
      </c>
      <c r="AH440" s="24"/>
      <c r="AI440" s="24" t="str">
        <f aca="false">IF(AG440="","",AH440-AG440)</f>
        <v/>
      </c>
      <c r="AJ440" s="21" t="n">
        <v>-4</v>
      </c>
      <c r="AK440" s="21" t="n">
        <v>0</v>
      </c>
      <c r="AL440" s="16" t="s">
        <v>335</v>
      </c>
      <c r="AM440" s="16" t="s">
        <v>1704</v>
      </c>
      <c r="AN440" s="16" t="s">
        <v>340</v>
      </c>
      <c r="AO440" s="16" t="s">
        <v>340</v>
      </c>
      <c r="AP440" s="16" t="s">
        <v>335</v>
      </c>
      <c r="AQ440" s="16"/>
      <c r="AR440" s="21" t="n">
        <f aca="false">IF(AND(T440&lt;&gt;"",H440&lt;&gt;""),IF(AND((T440-H440)*86400&gt;=0,(T440-H440)*86400&lt;تنظیمات!$B$13),1,0),0)</f>
        <v>0</v>
      </c>
      <c r="AS440" s="21" t="n">
        <f aca="false">IF(Z440="پوز",IF(OR(AB440="",COUNTIF(پوزها!$A$2:$A$5,AA440)=0),1,0),0)</f>
        <v>0</v>
      </c>
      <c r="AT440" s="21" t="n">
        <f aca="false">IF(AI440="",0,IF(AI440&gt;0,1,0))</f>
        <v>0</v>
      </c>
      <c r="AU440" s="21" t="n">
        <f aca="false">IF(AI440="",0,IF(AI440&lt;0,1,0))</f>
        <v>0</v>
      </c>
      <c r="AV440" s="21" t="n">
        <f aca="false">IF(U440&gt;V440,1,0)</f>
        <v>0</v>
      </c>
      <c r="AW440" s="21" t="n">
        <f aca="false">IF(OR(W440&gt;تنظیمات!$B$8,X440="بله"),1,0)</f>
        <v>0</v>
      </c>
      <c r="AX440" s="21" t="n">
        <f aca="false">IF(AND(N440="بله",L440&gt;تنظیمات!$B$9),1,0)</f>
        <v>0</v>
      </c>
      <c r="AY440" s="21" t="n">
        <f aca="false">IF(Y440="معکوس",1,0)</f>
        <v>0</v>
      </c>
      <c r="AZ440" s="21" t="n">
        <f aca="false">IF(ABS(AJ440)&gt;تنظیمات!$B$10,1,0)</f>
        <v>0</v>
      </c>
      <c r="BA440" s="21" t="n">
        <f aca="false">IF(AND(OR(AD440="رایگان/VIP",AD440="جانباز"),AF440="خیر"),1,0)</f>
        <v>0</v>
      </c>
      <c r="BB440" s="21" t="n">
        <f aca="false">IF(AE440="",0,IF(COUNTIF($AE$2:$AE$1001,AE440)&gt;1,1,0))</f>
        <v>0</v>
      </c>
      <c r="BC440" s="21" t="n">
        <f aca="false">IF(AND(H440="",I440&gt;تنظیمات!$B$12*60,AM440="خالی"),1,0)</f>
        <v>0</v>
      </c>
      <c r="BD440" s="21" t="n">
        <f aca="false">IF(AND(AP440="بله",I440&lt;تنظیمات!$B$14,AO440="خیر"),1,0)</f>
        <v>0</v>
      </c>
      <c r="BE440" s="21" t="n">
        <f aca="false">IF(AN440="خیر",1,0)</f>
        <v>0</v>
      </c>
      <c r="BF440" s="21" t="n">
        <f aca="false">IF(AND(AD440="فیش مفقودی",AQ440="بله",I440&gt;تنظیمات!$B$12*60),1,0)</f>
        <v>0</v>
      </c>
      <c r="BG440" s="21" t="n">
        <f aca="false">IF(AND(AK440&gt;تنظیمات!$B$11,AL440="بله"),1,0)</f>
        <v>0</v>
      </c>
      <c r="BH440" s="21" t="n">
        <f aca="false">MIN(100,AR440*تنظیمات!$B$21+AS440*تنظیمات!$B$22+AT440*تنظیمات!$B$23+AU440*تنظیمات!$B$24+AV440*تنظیمات!$B$25+AW440*تنظیمات!$B$26+AX440*تنظیمات!$B$27+AY440*تنظیمات!$B$28+AZ440*تنظیمات!$B$29+BA440*تنظیمات!$B$30+BB440*تنظیمات!$B$31+BC440*تنظیمات!$B$32+BD440*تنظیمات!$B$33+BE440*تنظیمات!$B$34+BF440*تنظیمات!$B$35+BG440*تنظیمات!$B$36)</f>
        <v>0</v>
      </c>
      <c r="BI440" s="16" t="str">
        <f aca="false">IF(BH440&gt;=60,"بحرانی",IF(BH440&gt;=30,"مشکوک",IF(BH440&gt;0,"هشدار","عادی")))</f>
        <v>عادی</v>
      </c>
      <c r="BJ440" s="16" t="s">
        <v>338</v>
      </c>
    </row>
    <row r="441" customFormat="false" ht="15" hidden="false" customHeight="false" outlineLevel="0" collapsed="false">
      <c r="A441" s="16" t="s">
        <v>1778</v>
      </c>
      <c r="B441" s="16" t="s">
        <v>343</v>
      </c>
      <c r="C441" s="16"/>
      <c r="D441" s="16" t="s">
        <v>344</v>
      </c>
      <c r="E441" s="16" t="s">
        <v>345</v>
      </c>
      <c r="F441" s="16" t="s">
        <v>333</v>
      </c>
      <c r="G441" s="17" t="n">
        <v>46286.9647916667</v>
      </c>
      <c r="H441" s="17" t="n">
        <v>46287.0286805556</v>
      </c>
      <c r="I441" s="18" t="n">
        <f aca="false">IF(H441="",ROUND((تنظیمات!$B$7-G441)*1440,0),ROUND((H441-G441)*1440,0))</f>
        <v>92</v>
      </c>
      <c r="J441" s="16" t="s">
        <v>334</v>
      </c>
      <c r="K441" s="16" t="s">
        <v>400</v>
      </c>
      <c r="L441" s="19" t="n">
        <v>0.898</v>
      </c>
      <c r="M441" s="19" t="n">
        <v>0.975</v>
      </c>
      <c r="N441" s="16" t="s">
        <v>335</v>
      </c>
      <c r="O441" s="16" t="s">
        <v>666</v>
      </c>
      <c r="P441" s="16" t="s">
        <v>651</v>
      </c>
      <c r="Q441" s="20" t="n">
        <v>46286</v>
      </c>
      <c r="R441" s="16" t="s">
        <v>1779</v>
      </c>
      <c r="S441" s="16" t="s">
        <v>404</v>
      </c>
      <c r="T441" s="17"/>
      <c r="U441" s="21" t="n">
        <v>1</v>
      </c>
      <c r="V441" s="21" t="n">
        <v>1</v>
      </c>
      <c r="W441" s="22" t="n">
        <v>6</v>
      </c>
      <c r="X441" s="16" t="s">
        <v>335</v>
      </c>
      <c r="Y441" s="16" t="s">
        <v>338</v>
      </c>
      <c r="Z441" s="16" t="s">
        <v>405</v>
      </c>
      <c r="AA441" s="16"/>
      <c r="AB441" s="23"/>
      <c r="AC441" s="17"/>
      <c r="AD441" s="16" t="s">
        <v>338</v>
      </c>
      <c r="AE441" s="16"/>
      <c r="AF441" s="16" t="str">
        <f aca="false">IF(COUNTIF(لیست_سفید!$A$2:$A$21,B441)&gt;0,"بله","خیر")</f>
        <v>خیر</v>
      </c>
      <c r="AG441" s="24" t="n">
        <f aca="false">IF(H441="","",IF(AD441="فیش مفقودی",تنظیمات!$B$6,(INT(I441/1440)*تنظیمات!$B$5+IF(MOD(I441,1440)&lt;=تنظیمات!$B$2,0,MIN(تنظیمات!$B$5,تنظیمات!$B$3+MAX(0,ROUNDUP((MOD(I441,1440)-60)/60,0))*تنظیمات!$B$4)))*INDEX(تعرفه!$B$2:$B$7,MATCH(AD441,تعرفه!$A$2:$A$7,0))))</f>
        <v>34000</v>
      </c>
      <c r="AH441" s="24" t="n">
        <v>34000</v>
      </c>
      <c r="AI441" s="24" t="n">
        <f aca="false">IF(AG441="","",AH441-AG441)</f>
        <v>0</v>
      </c>
      <c r="AJ441" s="21" t="n">
        <v>1</v>
      </c>
      <c r="AK441" s="21" t="n">
        <v>0</v>
      </c>
      <c r="AL441" s="16" t="s">
        <v>335</v>
      </c>
      <c r="AM441" s="16"/>
      <c r="AN441" s="16" t="s">
        <v>340</v>
      </c>
      <c r="AO441" s="16" t="s">
        <v>340</v>
      </c>
      <c r="AP441" s="16" t="s">
        <v>335</v>
      </c>
      <c r="AQ441" s="16"/>
      <c r="AR441" s="21" t="n">
        <f aca="false">IF(AND(T441&lt;&gt;"",H441&lt;&gt;""),IF(AND((T441-H441)*86400&gt;=0,(T441-H441)*86400&lt;تنظیمات!$B$13),1,0),0)</f>
        <v>0</v>
      </c>
      <c r="AS441" s="21" t="n">
        <f aca="false">IF(Z441="پوز",IF(OR(AB441="",COUNTIF(پوزها!$A$2:$A$5,AA441)=0),1,0),0)</f>
        <v>0</v>
      </c>
      <c r="AT441" s="21" t="n">
        <f aca="false">IF(AI441="",0,IF(AI441&gt;0,1,0))</f>
        <v>0</v>
      </c>
      <c r="AU441" s="21" t="n">
        <f aca="false">IF(AI441="",0,IF(AI441&lt;0,1,0))</f>
        <v>0</v>
      </c>
      <c r="AV441" s="21" t="n">
        <f aca="false">IF(U441&gt;V441,1,0)</f>
        <v>0</v>
      </c>
      <c r="AW441" s="21" t="n">
        <f aca="false">IF(OR(W441&gt;تنظیمات!$B$8,X441="بله"),1,0)</f>
        <v>0</v>
      </c>
      <c r="AX441" s="21" t="n">
        <f aca="false">IF(AND(N441="بله",L441&gt;تنظیمات!$B$9),1,0)</f>
        <v>0</v>
      </c>
      <c r="AY441" s="21" t="n">
        <f aca="false">IF(Y441="معکوس",1,0)</f>
        <v>0</v>
      </c>
      <c r="AZ441" s="21" t="n">
        <f aca="false">IF(ABS(AJ441)&gt;تنظیمات!$B$10,1,0)</f>
        <v>0</v>
      </c>
      <c r="BA441" s="21" t="n">
        <f aca="false">IF(AND(OR(AD441="رایگان/VIP",AD441="جانباز"),AF441="خیر"),1,0)</f>
        <v>0</v>
      </c>
      <c r="BB441" s="21" t="n">
        <f aca="false">IF(AE441="",0,IF(COUNTIF($AE$2:$AE$1001,AE441)&gt;1,1,0))</f>
        <v>0</v>
      </c>
      <c r="BC441" s="21" t="n">
        <f aca="false">IF(AND(H441="",I441&gt;تنظیمات!$B$12*60,AM441="خالی"),1,0)</f>
        <v>0</v>
      </c>
      <c r="BD441" s="21" t="n">
        <f aca="false">IF(AND(AP441="بله",I441&lt;تنظیمات!$B$14,AO441="خیر"),1,0)</f>
        <v>0</v>
      </c>
      <c r="BE441" s="21" t="n">
        <f aca="false">IF(AN441="خیر",1,0)</f>
        <v>0</v>
      </c>
      <c r="BF441" s="21" t="n">
        <f aca="false">IF(AND(AD441="فیش مفقودی",AQ441="بله",I441&gt;تنظیمات!$B$12*60),1,0)</f>
        <v>0</v>
      </c>
      <c r="BG441" s="21" t="n">
        <f aca="false">IF(AND(AK441&gt;تنظیمات!$B$11,AL441="بله"),1,0)</f>
        <v>0</v>
      </c>
      <c r="BH441" s="21" t="n">
        <f aca="false">MIN(100,AR441*تنظیمات!$B$21+AS441*تنظیمات!$B$22+AT441*تنظیمات!$B$23+AU441*تنظیمات!$B$24+AV441*تنظیمات!$B$25+AW441*تنظیمات!$B$26+AX441*تنظیمات!$B$27+AY441*تنظیمات!$B$28+AZ441*تنظیمات!$B$29+BA441*تنظیمات!$B$30+BB441*تنظیمات!$B$31+BC441*تنظیمات!$B$32+BD441*تنظیمات!$B$33+BE441*تنظیمات!$B$34+BF441*تنظیمات!$B$35+BG441*تنظیمات!$B$36)</f>
        <v>0</v>
      </c>
      <c r="BI441" s="16" t="str">
        <f aca="false">IF(BH441&gt;=60,"بحرانی",IF(BH441&gt;=30,"مشکوک",IF(BH441&gt;0,"هشدار","عادی")))</f>
        <v>عادی</v>
      </c>
      <c r="BJ441" s="16" t="s">
        <v>338</v>
      </c>
    </row>
    <row r="442" customFormat="false" ht="15" hidden="false" customHeight="false" outlineLevel="0" collapsed="false">
      <c r="A442" s="16" t="s">
        <v>1780</v>
      </c>
      <c r="B442" s="16" t="s">
        <v>1781</v>
      </c>
      <c r="C442" s="16"/>
      <c r="D442" s="16" t="s">
        <v>386</v>
      </c>
      <c r="E442" s="16" t="s">
        <v>390</v>
      </c>
      <c r="F442" s="16" t="s">
        <v>333</v>
      </c>
      <c r="G442" s="17" t="n">
        <v>46287.0209606482</v>
      </c>
      <c r="H442" s="17" t="n">
        <v>46287.309849537</v>
      </c>
      <c r="I442" s="18" t="n">
        <f aca="false">IF(H442="",ROUND((تنظیمات!$B$7-G442)*1440,0),ROUND((H442-G442)*1440,0))</f>
        <v>416</v>
      </c>
      <c r="J442" s="16" t="s">
        <v>346</v>
      </c>
      <c r="K442" s="16" t="s">
        <v>410</v>
      </c>
      <c r="L442" s="19" t="n">
        <v>0.945</v>
      </c>
      <c r="M442" s="19" t="n">
        <v>0.941</v>
      </c>
      <c r="N442" s="16" t="s">
        <v>335</v>
      </c>
      <c r="O442" s="16" t="s">
        <v>425</v>
      </c>
      <c r="P442" s="16" t="s">
        <v>402</v>
      </c>
      <c r="Q442" s="20" t="n">
        <v>46287</v>
      </c>
      <c r="R442" s="16" t="s">
        <v>1782</v>
      </c>
      <c r="S442" s="16" t="s">
        <v>404</v>
      </c>
      <c r="T442" s="17"/>
      <c r="U442" s="21" t="n">
        <v>1</v>
      </c>
      <c r="V442" s="21" t="n">
        <v>1</v>
      </c>
      <c r="W442" s="22" t="n">
        <v>3.7</v>
      </c>
      <c r="X442" s="16" t="s">
        <v>335</v>
      </c>
      <c r="Y442" s="16" t="s">
        <v>338</v>
      </c>
      <c r="Z442" s="16" t="s">
        <v>443</v>
      </c>
      <c r="AA442" s="16"/>
      <c r="AB442" s="23"/>
      <c r="AC442" s="17"/>
      <c r="AD442" s="16" t="s">
        <v>444</v>
      </c>
      <c r="AE442" s="16"/>
      <c r="AF442" s="16" t="str">
        <f aca="false">IF(COUNTIF(لیست_سفید!$A$2:$A$21,B442)&gt;0,"بله","خیر")</f>
        <v>خیر</v>
      </c>
      <c r="AG442" s="24" t="n">
        <f aca="false">IF(H442="","",IF(AD442="فیش مفقودی",تنظیمات!$B$6,(INT(I442/1440)*تنظیمات!$B$5+IF(MOD(I442,1440)&lt;=تنظیمات!$B$2,0,MIN(تنظیمات!$B$5,تنظیمات!$B$3+MAX(0,ROUNDUP((MOD(I442,1440)-60)/60,0))*تنظیمات!$B$4)))*INDEX(تعرفه!$B$2:$B$7,MATCH(AD442,تعرفه!$A$2:$A$7,0))))</f>
        <v>0</v>
      </c>
      <c r="AH442" s="24" t="n">
        <v>0</v>
      </c>
      <c r="AI442" s="24" t="n">
        <f aca="false">IF(AG442="","",AH442-AG442)</f>
        <v>0</v>
      </c>
      <c r="AJ442" s="21" t="n">
        <v>0</v>
      </c>
      <c r="AK442" s="21" t="n">
        <v>0</v>
      </c>
      <c r="AL442" s="16" t="s">
        <v>335</v>
      </c>
      <c r="AM442" s="16"/>
      <c r="AN442" s="16" t="s">
        <v>340</v>
      </c>
      <c r="AO442" s="16" t="s">
        <v>340</v>
      </c>
      <c r="AP442" s="16" t="s">
        <v>335</v>
      </c>
      <c r="AQ442" s="16"/>
      <c r="AR442" s="21" t="n">
        <f aca="false">IF(AND(T442&lt;&gt;"",H442&lt;&gt;""),IF(AND((T442-H442)*86400&gt;=0,(T442-H442)*86400&lt;تنظیمات!$B$13),1,0),0)</f>
        <v>0</v>
      </c>
      <c r="AS442" s="21" t="n">
        <f aca="false">IF(Z442="پوز",IF(OR(AB442="",COUNTIF(پوزها!$A$2:$A$5,AA442)=0),1,0),0)</f>
        <v>0</v>
      </c>
      <c r="AT442" s="21" t="n">
        <f aca="false">IF(AI442="",0,IF(AI442&gt;0,1,0))</f>
        <v>0</v>
      </c>
      <c r="AU442" s="21" t="n">
        <f aca="false">IF(AI442="",0,IF(AI442&lt;0,1,0))</f>
        <v>0</v>
      </c>
      <c r="AV442" s="21" t="n">
        <f aca="false">IF(U442&gt;V442,1,0)</f>
        <v>0</v>
      </c>
      <c r="AW442" s="21" t="n">
        <f aca="false">IF(OR(W442&gt;تنظیمات!$B$8,X442="بله"),1,0)</f>
        <v>0</v>
      </c>
      <c r="AX442" s="21" t="n">
        <f aca="false">IF(AND(N442="بله",L442&gt;تنظیمات!$B$9),1,0)</f>
        <v>0</v>
      </c>
      <c r="AY442" s="21" t="n">
        <f aca="false">IF(Y442="معکوس",1,0)</f>
        <v>0</v>
      </c>
      <c r="AZ442" s="21" t="n">
        <f aca="false">IF(ABS(AJ442)&gt;تنظیمات!$B$10,1,0)</f>
        <v>0</v>
      </c>
      <c r="BA442" s="21" t="n">
        <f aca="false">IF(AND(OR(AD442="رایگان/VIP",AD442="جانباز"),AF442="خیر"),1,0)</f>
        <v>0</v>
      </c>
      <c r="BB442" s="21" t="n">
        <f aca="false">IF(AE442="",0,IF(COUNTIF($AE$2:$AE$1001,AE442)&gt;1,1,0))</f>
        <v>0</v>
      </c>
      <c r="BC442" s="21" t="n">
        <f aca="false">IF(AND(H442="",I442&gt;تنظیمات!$B$12*60,AM442="خالی"),1,0)</f>
        <v>0</v>
      </c>
      <c r="BD442" s="21" t="n">
        <f aca="false">IF(AND(AP442="بله",I442&lt;تنظیمات!$B$14,AO442="خیر"),1,0)</f>
        <v>0</v>
      </c>
      <c r="BE442" s="21" t="n">
        <f aca="false">IF(AN442="خیر",1,0)</f>
        <v>0</v>
      </c>
      <c r="BF442" s="21" t="n">
        <f aca="false">IF(AND(AD442="فیش مفقودی",AQ442="بله",I442&gt;تنظیمات!$B$12*60),1,0)</f>
        <v>0</v>
      </c>
      <c r="BG442" s="21" t="n">
        <f aca="false">IF(AND(AK442&gt;تنظیمات!$B$11,AL442="بله"),1,0)</f>
        <v>0</v>
      </c>
      <c r="BH442" s="21" t="n">
        <f aca="false">MIN(100,AR442*تنظیمات!$B$21+AS442*تنظیمات!$B$22+AT442*تنظیمات!$B$23+AU442*تنظیمات!$B$24+AV442*تنظیمات!$B$25+AW442*تنظیمات!$B$26+AX442*تنظیمات!$B$27+AY442*تنظیمات!$B$28+AZ442*تنظیمات!$B$29+BA442*تنظیمات!$B$30+BB442*تنظیمات!$B$31+BC442*تنظیمات!$B$32+BD442*تنظیمات!$B$33+BE442*تنظیمات!$B$34+BF442*تنظیمات!$B$35+BG442*تنظیمات!$B$36)</f>
        <v>0</v>
      </c>
      <c r="BI442" s="16" t="str">
        <f aca="false">IF(BH442&gt;=60,"بحرانی",IF(BH442&gt;=30,"مشکوک",IF(BH442&gt;0,"هشدار","عادی")))</f>
        <v>عادی</v>
      </c>
      <c r="BJ442" s="16" t="s">
        <v>338</v>
      </c>
    </row>
    <row r="443" customFormat="false" ht="15" hidden="false" customHeight="false" outlineLevel="0" collapsed="false">
      <c r="A443" s="16" t="s">
        <v>1783</v>
      </c>
      <c r="B443" s="16" t="s">
        <v>767</v>
      </c>
      <c r="C443" s="16"/>
      <c r="D443" s="16" t="s">
        <v>418</v>
      </c>
      <c r="E443" s="16" t="s">
        <v>345</v>
      </c>
      <c r="F443" s="16" t="s">
        <v>333</v>
      </c>
      <c r="G443" s="17" t="n">
        <v>46287.0836574074</v>
      </c>
      <c r="H443" s="17" t="n">
        <v>46287.6621296296</v>
      </c>
      <c r="I443" s="18" t="n">
        <f aca="false">IF(H443="",ROUND((تنظیمات!$B$7-G443)*1440,0),ROUND((H443-G443)*1440,0))</f>
        <v>833</v>
      </c>
      <c r="J443" s="16" t="s">
        <v>346</v>
      </c>
      <c r="K443" s="16" t="s">
        <v>400</v>
      </c>
      <c r="L443" s="19" t="n">
        <v>0.995</v>
      </c>
      <c r="M443" s="19" t="n">
        <v>0.93</v>
      </c>
      <c r="N443" s="16" t="s">
        <v>335</v>
      </c>
      <c r="O443" s="16" t="s">
        <v>441</v>
      </c>
      <c r="P443" s="16" t="s">
        <v>420</v>
      </c>
      <c r="Q443" s="20" t="n">
        <v>46287</v>
      </c>
      <c r="R443" s="16" t="s">
        <v>1784</v>
      </c>
      <c r="S443" s="16" t="s">
        <v>404</v>
      </c>
      <c r="T443" s="17"/>
      <c r="U443" s="21" t="n">
        <v>1</v>
      </c>
      <c r="V443" s="21" t="n">
        <v>1</v>
      </c>
      <c r="W443" s="22" t="n">
        <v>6</v>
      </c>
      <c r="X443" s="16" t="s">
        <v>335</v>
      </c>
      <c r="Y443" s="16" t="s">
        <v>338</v>
      </c>
      <c r="Z443" s="16" t="s">
        <v>405</v>
      </c>
      <c r="AA443" s="16"/>
      <c r="AB443" s="23"/>
      <c r="AC443" s="17"/>
      <c r="AD443" s="16" t="s">
        <v>338</v>
      </c>
      <c r="AE443" s="16"/>
      <c r="AF443" s="16" t="str">
        <f aca="false">IF(COUNTIF(لیست_سفید!$A$2:$A$21,B443)&gt;0,"بله","خیر")</f>
        <v>خیر</v>
      </c>
      <c r="AG443" s="24" t="n">
        <f aca="false">IF(H443="","",IF(AD443="فیش مفقودی",تنظیمات!$B$6,(INT(I443/1440)*تنظیمات!$B$5+IF(MOD(I443,1440)&lt;=تنظیمات!$B$2,0,MIN(تنظیمات!$B$5,تنظیمات!$B$3+MAX(0,ROUNDUP((MOD(I443,1440)-60)/60,0))*تنظیمات!$B$4)))*INDEX(تعرفه!$B$2:$B$7,MATCH(AD443,تعرفه!$A$2:$A$7,0))))</f>
        <v>180000</v>
      </c>
      <c r="AH443" s="24" t="n">
        <v>180000</v>
      </c>
      <c r="AI443" s="24" t="n">
        <f aca="false">IF(AG443="","",AH443-AG443)</f>
        <v>0</v>
      </c>
      <c r="AJ443" s="21" t="n">
        <v>-5</v>
      </c>
      <c r="AK443" s="21" t="n">
        <v>0</v>
      </c>
      <c r="AL443" s="16" t="s">
        <v>335</v>
      </c>
      <c r="AM443" s="16"/>
      <c r="AN443" s="16" t="s">
        <v>340</v>
      </c>
      <c r="AO443" s="16" t="s">
        <v>340</v>
      </c>
      <c r="AP443" s="16" t="s">
        <v>335</v>
      </c>
      <c r="AQ443" s="16"/>
      <c r="AR443" s="21" t="n">
        <f aca="false">IF(AND(T443&lt;&gt;"",H443&lt;&gt;""),IF(AND((T443-H443)*86400&gt;=0,(T443-H443)*86400&lt;تنظیمات!$B$13),1,0),0)</f>
        <v>0</v>
      </c>
      <c r="AS443" s="21" t="n">
        <f aca="false">IF(Z443="پوز",IF(OR(AB443="",COUNTIF(پوزها!$A$2:$A$5,AA443)=0),1,0),0)</f>
        <v>0</v>
      </c>
      <c r="AT443" s="21" t="n">
        <f aca="false">IF(AI443="",0,IF(AI443&gt;0,1,0))</f>
        <v>0</v>
      </c>
      <c r="AU443" s="21" t="n">
        <f aca="false">IF(AI443="",0,IF(AI443&lt;0,1,0))</f>
        <v>0</v>
      </c>
      <c r="AV443" s="21" t="n">
        <f aca="false">IF(U443&gt;V443,1,0)</f>
        <v>0</v>
      </c>
      <c r="AW443" s="21" t="n">
        <f aca="false">IF(OR(W443&gt;تنظیمات!$B$8,X443="بله"),1,0)</f>
        <v>0</v>
      </c>
      <c r="AX443" s="21" t="n">
        <f aca="false">IF(AND(N443="بله",L443&gt;تنظیمات!$B$9),1,0)</f>
        <v>0</v>
      </c>
      <c r="AY443" s="21" t="n">
        <f aca="false">IF(Y443="معکوس",1,0)</f>
        <v>0</v>
      </c>
      <c r="AZ443" s="21" t="n">
        <f aca="false">IF(ABS(AJ443)&gt;تنظیمات!$B$10,1,0)</f>
        <v>0</v>
      </c>
      <c r="BA443" s="21" t="n">
        <f aca="false">IF(AND(OR(AD443="رایگان/VIP",AD443="جانباز"),AF443="خیر"),1,0)</f>
        <v>0</v>
      </c>
      <c r="BB443" s="21" t="n">
        <f aca="false">IF(AE443="",0,IF(COUNTIF($AE$2:$AE$1001,AE443)&gt;1,1,0))</f>
        <v>0</v>
      </c>
      <c r="BC443" s="21" t="n">
        <f aca="false">IF(AND(H443="",I443&gt;تنظیمات!$B$12*60,AM443="خالی"),1,0)</f>
        <v>0</v>
      </c>
      <c r="BD443" s="21" t="n">
        <f aca="false">IF(AND(AP443="بله",I443&lt;تنظیمات!$B$14,AO443="خیر"),1,0)</f>
        <v>0</v>
      </c>
      <c r="BE443" s="21" t="n">
        <f aca="false">IF(AN443="خیر",1,0)</f>
        <v>0</v>
      </c>
      <c r="BF443" s="21" t="n">
        <f aca="false">IF(AND(AD443="فیش مفقودی",AQ443="بله",I443&gt;تنظیمات!$B$12*60),1,0)</f>
        <v>0</v>
      </c>
      <c r="BG443" s="21" t="n">
        <f aca="false">IF(AND(AK443&gt;تنظیمات!$B$11,AL443="بله"),1,0)</f>
        <v>0</v>
      </c>
      <c r="BH443" s="21" t="n">
        <f aca="false">MIN(100,AR443*تنظیمات!$B$21+AS443*تنظیمات!$B$22+AT443*تنظیمات!$B$23+AU443*تنظیمات!$B$24+AV443*تنظیمات!$B$25+AW443*تنظیمات!$B$26+AX443*تنظیمات!$B$27+AY443*تنظیمات!$B$28+AZ443*تنظیمات!$B$29+BA443*تنظیمات!$B$30+BB443*تنظیمات!$B$31+BC443*تنظیمات!$B$32+BD443*تنظیمات!$B$33+BE443*تنظیمات!$B$34+BF443*تنظیمات!$B$35+BG443*تنظیمات!$B$36)</f>
        <v>0</v>
      </c>
      <c r="BI443" s="16" t="str">
        <f aca="false">IF(BH443&gt;=60,"بحرانی",IF(BH443&gt;=30,"مشکوک",IF(BH443&gt;0,"هشدار","عادی")))</f>
        <v>عادی</v>
      </c>
      <c r="BJ443" s="16" t="s">
        <v>338</v>
      </c>
    </row>
    <row r="444" customFormat="false" ht="15" hidden="false" customHeight="false" outlineLevel="0" collapsed="false">
      <c r="A444" s="16" t="s">
        <v>1785</v>
      </c>
      <c r="B444" s="16" t="s">
        <v>1786</v>
      </c>
      <c r="C444" s="16"/>
      <c r="D444" s="16" t="s">
        <v>540</v>
      </c>
      <c r="E444" s="16" t="s">
        <v>345</v>
      </c>
      <c r="F444" s="16" t="s">
        <v>359</v>
      </c>
      <c r="G444" s="17" t="n">
        <v>46287.0910532407</v>
      </c>
      <c r="H444" s="17" t="n">
        <v>46287.4042476852</v>
      </c>
      <c r="I444" s="18" t="n">
        <f aca="false">IF(H444="",ROUND((تنظیمات!$B$7-G444)*1440,0),ROUND((H444-G444)*1440,0))</f>
        <v>451</v>
      </c>
      <c r="J444" s="16" t="s">
        <v>346</v>
      </c>
      <c r="K444" s="16" t="s">
        <v>400</v>
      </c>
      <c r="L444" s="19" t="n">
        <v>0.908</v>
      </c>
      <c r="M444" s="19" t="n">
        <v>0.995</v>
      </c>
      <c r="N444" s="16" t="s">
        <v>335</v>
      </c>
      <c r="O444" s="16" t="s">
        <v>677</v>
      </c>
      <c r="P444" s="16" t="s">
        <v>402</v>
      </c>
      <c r="Q444" s="20" t="n">
        <v>46287</v>
      </c>
      <c r="R444" s="16" t="s">
        <v>1787</v>
      </c>
      <c r="S444" s="16" t="s">
        <v>404</v>
      </c>
      <c r="T444" s="17"/>
      <c r="U444" s="21" t="n">
        <v>1</v>
      </c>
      <c r="V444" s="21" t="n">
        <v>1</v>
      </c>
      <c r="W444" s="22" t="n">
        <v>6.1</v>
      </c>
      <c r="X444" s="16" t="s">
        <v>335</v>
      </c>
      <c r="Y444" s="16" t="s">
        <v>338</v>
      </c>
      <c r="Z444" s="16" t="s">
        <v>443</v>
      </c>
      <c r="AA444" s="16"/>
      <c r="AB444" s="23"/>
      <c r="AC444" s="17"/>
      <c r="AD444" s="16" t="s">
        <v>444</v>
      </c>
      <c r="AE444" s="16"/>
      <c r="AF444" s="16" t="str">
        <f aca="false">IF(COUNTIF(لیست_سفید!$A$2:$A$21,B444)&gt;0,"بله","خیر")</f>
        <v>خیر</v>
      </c>
      <c r="AG444" s="24" t="n">
        <f aca="false">IF(H444="","",IF(AD444="فیش مفقودی",تنظیمات!$B$6,(INT(I444/1440)*تنظیمات!$B$5+IF(MOD(I444,1440)&lt;=تنظیمات!$B$2,0,MIN(تنظیمات!$B$5,تنظیمات!$B$3+MAX(0,ROUNDUP((MOD(I444,1440)-60)/60,0))*تنظیمات!$B$4)))*INDEX(تعرفه!$B$2:$B$7,MATCH(AD444,تعرفه!$A$2:$A$7,0))))</f>
        <v>0</v>
      </c>
      <c r="AH444" s="24" t="n">
        <v>0</v>
      </c>
      <c r="AI444" s="24" t="n">
        <f aca="false">IF(AG444="","",AH444-AG444)</f>
        <v>0</v>
      </c>
      <c r="AJ444" s="21" t="n">
        <v>0</v>
      </c>
      <c r="AK444" s="21" t="n">
        <v>0</v>
      </c>
      <c r="AL444" s="16" t="s">
        <v>335</v>
      </c>
      <c r="AM444" s="16"/>
      <c r="AN444" s="16" t="s">
        <v>340</v>
      </c>
      <c r="AO444" s="16" t="s">
        <v>340</v>
      </c>
      <c r="AP444" s="16" t="s">
        <v>335</v>
      </c>
      <c r="AQ444" s="16"/>
      <c r="AR444" s="21" t="n">
        <f aca="false">IF(AND(T444&lt;&gt;"",H444&lt;&gt;""),IF(AND((T444-H444)*86400&gt;=0,(T444-H444)*86400&lt;تنظیمات!$B$13),1,0),0)</f>
        <v>0</v>
      </c>
      <c r="AS444" s="21" t="n">
        <f aca="false">IF(Z444="پوز",IF(OR(AB444="",COUNTIF(پوزها!$A$2:$A$5,AA444)=0),1,0),0)</f>
        <v>0</v>
      </c>
      <c r="AT444" s="21" t="n">
        <f aca="false">IF(AI444="",0,IF(AI444&gt;0,1,0))</f>
        <v>0</v>
      </c>
      <c r="AU444" s="21" t="n">
        <f aca="false">IF(AI444="",0,IF(AI444&lt;0,1,0))</f>
        <v>0</v>
      </c>
      <c r="AV444" s="21" t="n">
        <f aca="false">IF(U444&gt;V444,1,0)</f>
        <v>0</v>
      </c>
      <c r="AW444" s="21" t="n">
        <f aca="false">IF(OR(W444&gt;تنظیمات!$B$8,X444="بله"),1,0)</f>
        <v>0</v>
      </c>
      <c r="AX444" s="21" t="n">
        <f aca="false">IF(AND(N444="بله",L444&gt;تنظیمات!$B$9),1,0)</f>
        <v>0</v>
      </c>
      <c r="AY444" s="21" t="n">
        <f aca="false">IF(Y444="معکوس",1,0)</f>
        <v>0</v>
      </c>
      <c r="AZ444" s="21" t="n">
        <f aca="false">IF(ABS(AJ444)&gt;تنظیمات!$B$10,1,0)</f>
        <v>0</v>
      </c>
      <c r="BA444" s="21" t="n">
        <f aca="false">IF(AND(OR(AD444="رایگان/VIP",AD444="جانباز"),AF444="خیر"),1,0)</f>
        <v>0</v>
      </c>
      <c r="BB444" s="21" t="n">
        <f aca="false">IF(AE444="",0,IF(COUNTIF($AE$2:$AE$1001,AE444)&gt;1,1,0))</f>
        <v>0</v>
      </c>
      <c r="BC444" s="21" t="n">
        <f aca="false">IF(AND(H444="",I444&gt;تنظیمات!$B$12*60,AM444="خالی"),1,0)</f>
        <v>0</v>
      </c>
      <c r="BD444" s="21" t="n">
        <f aca="false">IF(AND(AP444="بله",I444&lt;تنظیمات!$B$14,AO444="خیر"),1,0)</f>
        <v>0</v>
      </c>
      <c r="BE444" s="21" t="n">
        <f aca="false">IF(AN444="خیر",1,0)</f>
        <v>0</v>
      </c>
      <c r="BF444" s="21" t="n">
        <f aca="false">IF(AND(AD444="فیش مفقودی",AQ444="بله",I444&gt;تنظیمات!$B$12*60),1,0)</f>
        <v>0</v>
      </c>
      <c r="BG444" s="21" t="n">
        <f aca="false">IF(AND(AK444&gt;تنظیمات!$B$11,AL444="بله"),1,0)</f>
        <v>0</v>
      </c>
      <c r="BH444" s="21" t="n">
        <f aca="false">MIN(100,AR444*تنظیمات!$B$21+AS444*تنظیمات!$B$22+AT444*تنظیمات!$B$23+AU444*تنظیمات!$B$24+AV444*تنظیمات!$B$25+AW444*تنظیمات!$B$26+AX444*تنظیمات!$B$27+AY444*تنظیمات!$B$28+AZ444*تنظیمات!$B$29+BA444*تنظیمات!$B$30+BB444*تنظیمات!$B$31+BC444*تنظیمات!$B$32+BD444*تنظیمات!$B$33+BE444*تنظیمات!$B$34+BF444*تنظیمات!$B$35+BG444*تنظیمات!$B$36)</f>
        <v>0</v>
      </c>
      <c r="BI444" s="16" t="str">
        <f aca="false">IF(BH444&gt;=60,"بحرانی",IF(BH444&gt;=30,"مشکوک",IF(BH444&gt;0,"هشدار","عادی")))</f>
        <v>عادی</v>
      </c>
      <c r="BJ444" s="16" t="s">
        <v>338</v>
      </c>
    </row>
    <row r="445" customFormat="false" ht="15" hidden="false" customHeight="false" outlineLevel="0" collapsed="false">
      <c r="A445" s="16" t="s">
        <v>1788</v>
      </c>
      <c r="B445" s="16" t="s">
        <v>522</v>
      </c>
      <c r="C445" s="16"/>
      <c r="D445" s="16" t="s">
        <v>523</v>
      </c>
      <c r="E445" s="16" t="s">
        <v>351</v>
      </c>
      <c r="F445" s="16" t="s">
        <v>333</v>
      </c>
      <c r="G445" s="17" t="n">
        <v>46287.157962963</v>
      </c>
      <c r="H445" s="17" t="n">
        <v>46287.395462963</v>
      </c>
      <c r="I445" s="18" t="n">
        <f aca="false">IF(H445="",ROUND((تنظیمات!$B$7-G445)*1440,0),ROUND((H445-G445)*1440,0))</f>
        <v>342</v>
      </c>
      <c r="J445" s="16" t="s">
        <v>346</v>
      </c>
      <c r="K445" s="16" t="s">
        <v>410</v>
      </c>
      <c r="L445" s="19" t="n">
        <v>0.982</v>
      </c>
      <c r="M445" s="19" t="n">
        <v>0.974</v>
      </c>
      <c r="N445" s="16" t="s">
        <v>335</v>
      </c>
      <c r="O445" s="16" t="s">
        <v>425</v>
      </c>
      <c r="P445" s="16" t="s">
        <v>402</v>
      </c>
      <c r="Q445" s="20" t="n">
        <v>46287</v>
      </c>
      <c r="R445" s="16" t="s">
        <v>1789</v>
      </c>
      <c r="S445" s="16" t="s">
        <v>404</v>
      </c>
      <c r="T445" s="17"/>
      <c r="U445" s="21" t="n">
        <v>1</v>
      </c>
      <c r="V445" s="21" t="n">
        <v>1</v>
      </c>
      <c r="W445" s="22" t="n">
        <v>5.7</v>
      </c>
      <c r="X445" s="16" t="s">
        <v>335</v>
      </c>
      <c r="Y445" s="16" t="s">
        <v>338</v>
      </c>
      <c r="Z445" s="16" t="s">
        <v>443</v>
      </c>
      <c r="AA445" s="16"/>
      <c r="AB445" s="23"/>
      <c r="AC445" s="17"/>
      <c r="AD445" s="16" t="s">
        <v>444</v>
      </c>
      <c r="AE445" s="16"/>
      <c r="AF445" s="16" t="str">
        <f aca="false">IF(COUNTIF(لیست_سفید!$A$2:$A$21,B445)&gt;0,"بله","خیر")</f>
        <v>خیر</v>
      </c>
      <c r="AG445" s="24" t="n">
        <f aca="false">IF(H445="","",IF(AD445="فیش مفقودی",تنظیمات!$B$6,(INT(I445/1440)*تنظیمات!$B$5+IF(MOD(I445,1440)&lt;=تنظیمات!$B$2,0,MIN(تنظیمات!$B$5,تنظیمات!$B$3+MAX(0,ROUNDUP((MOD(I445,1440)-60)/60,0))*تنظیمات!$B$4)))*INDEX(تعرفه!$B$2:$B$7,MATCH(AD445,تعرفه!$A$2:$A$7,0))))</f>
        <v>0</v>
      </c>
      <c r="AH445" s="24" t="n">
        <v>0</v>
      </c>
      <c r="AI445" s="24" t="n">
        <f aca="false">IF(AG445="","",AH445-AG445)</f>
        <v>0</v>
      </c>
      <c r="AJ445" s="21" t="n">
        <v>2</v>
      </c>
      <c r="AK445" s="21" t="n">
        <v>0</v>
      </c>
      <c r="AL445" s="16" t="s">
        <v>335</v>
      </c>
      <c r="AM445" s="16"/>
      <c r="AN445" s="16" t="s">
        <v>340</v>
      </c>
      <c r="AO445" s="16" t="s">
        <v>340</v>
      </c>
      <c r="AP445" s="16" t="s">
        <v>335</v>
      </c>
      <c r="AQ445" s="16"/>
      <c r="AR445" s="21" t="n">
        <f aca="false">IF(AND(T445&lt;&gt;"",H445&lt;&gt;""),IF(AND((T445-H445)*86400&gt;=0,(T445-H445)*86400&lt;تنظیمات!$B$13),1,0),0)</f>
        <v>0</v>
      </c>
      <c r="AS445" s="21" t="n">
        <f aca="false">IF(Z445="پوز",IF(OR(AB445="",COUNTIF(پوزها!$A$2:$A$5,AA445)=0),1,0),0)</f>
        <v>0</v>
      </c>
      <c r="AT445" s="21" t="n">
        <f aca="false">IF(AI445="",0,IF(AI445&gt;0,1,0))</f>
        <v>0</v>
      </c>
      <c r="AU445" s="21" t="n">
        <f aca="false">IF(AI445="",0,IF(AI445&lt;0,1,0))</f>
        <v>0</v>
      </c>
      <c r="AV445" s="21" t="n">
        <f aca="false">IF(U445&gt;V445,1,0)</f>
        <v>0</v>
      </c>
      <c r="AW445" s="21" t="n">
        <f aca="false">IF(OR(W445&gt;تنظیمات!$B$8,X445="بله"),1,0)</f>
        <v>0</v>
      </c>
      <c r="AX445" s="21" t="n">
        <f aca="false">IF(AND(N445="بله",L445&gt;تنظیمات!$B$9),1,0)</f>
        <v>0</v>
      </c>
      <c r="AY445" s="21" t="n">
        <f aca="false">IF(Y445="معکوس",1,0)</f>
        <v>0</v>
      </c>
      <c r="AZ445" s="21" t="n">
        <f aca="false">IF(ABS(AJ445)&gt;تنظیمات!$B$10,1,0)</f>
        <v>0</v>
      </c>
      <c r="BA445" s="21" t="n">
        <f aca="false">IF(AND(OR(AD445="رایگان/VIP",AD445="جانباز"),AF445="خیر"),1,0)</f>
        <v>0</v>
      </c>
      <c r="BB445" s="21" t="n">
        <f aca="false">IF(AE445="",0,IF(COUNTIF($AE$2:$AE$1001,AE445)&gt;1,1,0))</f>
        <v>0</v>
      </c>
      <c r="BC445" s="21" t="n">
        <f aca="false">IF(AND(H445="",I445&gt;تنظیمات!$B$12*60,AM445="خالی"),1,0)</f>
        <v>0</v>
      </c>
      <c r="BD445" s="21" t="n">
        <f aca="false">IF(AND(AP445="بله",I445&lt;تنظیمات!$B$14,AO445="خیر"),1,0)</f>
        <v>0</v>
      </c>
      <c r="BE445" s="21" t="n">
        <f aca="false">IF(AN445="خیر",1,0)</f>
        <v>0</v>
      </c>
      <c r="BF445" s="21" t="n">
        <f aca="false">IF(AND(AD445="فیش مفقودی",AQ445="بله",I445&gt;تنظیمات!$B$12*60),1,0)</f>
        <v>0</v>
      </c>
      <c r="BG445" s="21" t="n">
        <f aca="false">IF(AND(AK445&gt;تنظیمات!$B$11,AL445="بله"),1,0)</f>
        <v>0</v>
      </c>
      <c r="BH445" s="21" t="n">
        <f aca="false">MIN(100,AR445*تنظیمات!$B$21+AS445*تنظیمات!$B$22+AT445*تنظیمات!$B$23+AU445*تنظیمات!$B$24+AV445*تنظیمات!$B$25+AW445*تنظیمات!$B$26+AX445*تنظیمات!$B$27+AY445*تنظیمات!$B$28+AZ445*تنظیمات!$B$29+BA445*تنظیمات!$B$30+BB445*تنظیمات!$B$31+BC445*تنظیمات!$B$32+BD445*تنظیمات!$B$33+BE445*تنظیمات!$B$34+BF445*تنظیمات!$B$35+BG445*تنظیمات!$B$36)</f>
        <v>0</v>
      </c>
      <c r="BI445" s="16" t="str">
        <f aca="false">IF(BH445&gt;=60,"بحرانی",IF(BH445&gt;=30,"مشکوک",IF(BH445&gt;0,"هشدار","عادی")))</f>
        <v>عادی</v>
      </c>
      <c r="BJ445" s="16" t="s">
        <v>338</v>
      </c>
    </row>
    <row r="446" customFormat="false" ht="15" hidden="false" customHeight="false" outlineLevel="0" collapsed="false">
      <c r="A446" s="16" t="s">
        <v>1790</v>
      </c>
      <c r="B446" s="16" t="s">
        <v>1791</v>
      </c>
      <c r="C446" s="16"/>
      <c r="D446" s="16" t="s">
        <v>331</v>
      </c>
      <c r="E446" s="16" t="s">
        <v>345</v>
      </c>
      <c r="F446" s="16" t="s">
        <v>333</v>
      </c>
      <c r="G446" s="17" t="n">
        <v>46287.1611689815</v>
      </c>
      <c r="H446" s="17" t="n">
        <v>46287.5090856482</v>
      </c>
      <c r="I446" s="18" t="n">
        <f aca="false">IF(H446="",ROUND((تنظیمات!$B$7-G446)*1440,0),ROUND((H446-G446)*1440,0))</f>
        <v>501</v>
      </c>
      <c r="J446" s="16" t="s">
        <v>334</v>
      </c>
      <c r="K446" s="16" t="s">
        <v>410</v>
      </c>
      <c r="L446" s="19" t="n">
        <v>0.963</v>
      </c>
      <c r="M446" s="19" t="n">
        <v>0.92</v>
      </c>
      <c r="N446" s="16" t="s">
        <v>335</v>
      </c>
      <c r="O446" s="16" t="s">
        <v>425</v>
      </c>
      <c r="P446" s="16" t="s">
        <v>402</v>
      </c>
      <c r="Q446" s="20" t="n">
        <v>46287</v>
      </c>
      <c r="R446" s="16" t="s">
        <v>1792</v>
      </c>
      <c r="S446" s="16" t="s">
        <v>404</v>
      </c>
      <c r="T446" s="17"/>
      <c r="U446" s="21" t="n">
        <v>1</v>
      </c>
      <c r="V446" s="21" t="n">
        <v>1</v>
      </c>
      <c r="W446" s="22" t="n">
        <v>4.8</v>
      </c>
      <c r="X446" s="16" t="s">
        <v>335</v>
      </c>
      <c r="Y446" s="16" t="s">
        <v>338</v>
      </c>
      <c r="Z446" s="16" t="s">
        <v>443</v>
      </c>
      <c r="AA446" s="16"/>
      <c r="AB446" s="23"/>
      <c r="AC446" s="17"/>
      <c r="AD446" s="16" t="s">
        <v>444</v>
      </c>
      <c r="AE446" s="16"/>
      <c r="AF446" s="16" t="str">
        <f aca="false">IF(COUNTIF(لیست_سفید!$A$2:$A$21,B446)&gt;0,"بله","خیر")</f>
        <v>خیر</v>
      </c>
      <c r="AG446" s="24" t="n">
        <f aca="false">IF(H446="","",IF(AD446="فیش مفقودی",تنظیمات!$B$6,(INT(I446/1440)*تنظیمات!$B$5+IF(MOD(I446,1440)&lt;=تنظیمات!$B$2,0,MIN(تنظیمات!$B$5,تنظیمات!$B$3+MAX(0,ROUNDUP((MOD(I446,1440)-60)/60,0))*تنظیمات!$B$4)))*INDEX(تعرفه!$B$2:$B$7,MATCH(AD446,تعرفه!$A$2:$A$7,0))))</f>
        <v>0</v>
      </c>
      <c r="AH446" s="24" t="n">
        <v>0</v>
      </c>
      <c r="AI446" s="24" t="n">
        <f aca="false">IF(AG446="","",AH446-AG446)</f>
        <v>0</v>
      </c>
      <c r="AJ446" s="21" t="n">
        <v>0</v>
      </c>
      <c r="AK446" s="21" t="n">
        <v>0</v>
      </c>
      <c r="AL446" s="16" t="s">
        <v>335</v>
      </c>
      <c r="AM446" s="16"/>
      <c r="AN446" s="16" t="s">
        <v>340</v>
      </c>
      <c r="AO446" s="16" t="s">
        <v>340</v>
      </c>
      <c r="AP446" s="16" t="s">
        <v>335</v>
      </c>
      <c r="AQ446" s="16"/>
      <c r="AR446" s="21" t="n">
        <f aca="false">IF(AND(T446&lt;&gt;"",H446&lt;&gt;""),IF(AND((T446-H446)*86400&gt;=0,(T446-H446)*86400&lt;تنظیمات!$B$13),1,0),0)</f>
        <v>0</v>
      </c>
      <c r="AS446" s="21" t="n">
        <f aca="false">IF(Z446="پوز",IF(OR(AB446="",COUNTIF(پوزها!$A$2:$A$5,AA446)=0),1,0),0)</f>
        <v>0</v>
      </c>
      <c r="AT446" s="21" t="n">
        <f aca="false">IF(AI446="",0,IF(AI446&gt;0,1,0))</f>
        <v>0</v>
      </c>
      <c r="AU446" s="21" t="n">
        <f aca="false">IF(AI446="",0,IF(AI446&lt;0,1,0))</f>
        <v>0</v>
      </c>
      <c r="AV446" s="21" t="n">
        <f aca="false">IF(U446&gt;V446,1,0)</f>
        <v>0</v>
      </c>
      <c r="AW446" s="21" t="n">
        <f aca="false">IF(OR(W446&gt;تنظیمات!$B$8,X446="بله"),1,0)</f>
        <v>0</v>
      </c>
      <c r="AX446" s="21" t="n">
        <f aca="false">IF(AND(N446="بله",L446&gt;تنظیمات!$B$9),1,0)</f>
        <v>0</v>
      </c>
      <c r="AY446" s="21" t="n">
        <f aca="false">IF(Y446="معکوس",1,0)</f>
        <v>0</v>
      </c>
      <c r="AZ446" s="21" t="n">
        <f aca="false">IF(ABS(AJ446)&gt;تنظیمات!$B$10,1,0)</f>
        <v>0</v>
      </c>
      <c r="BA446" s="21" t="n">
        <f aca="false">IF(AND(OR(AD446="رایگان/VIP",AD446="جانباز"),AF446="خیر"),1,0)</f>
        <v>0</v>
      </c>
      <c r="BB446" s="21" t="n">
        <f aca="false">IF(AE446="",0,IF(COUNTIF($AE$2:$AE$1001,AE446)&gt;1,1,0))</f>
        <v>0</v>
      </c>
      <c r="BC446" s="21" t="n">
        <f aca="false">IF(AND(H446="",I446&gt;تنظیمات!$B$12*60,AM446="خالی"),1,0)</f>
        <v>0</v>
      </c>
      <c r="BD446" s="21" t="n">
        <f aca="false">IF(AND(AP446="بله",I446&lt;تنظیمات!$B$14,AO446="خیر"),1,0)</f>
        <v>0</v>
      </c>
      <c r="BE446" s="21" t="n">
        <f aca="false">IF(AN446="خیر",1,0)</f>
        <v>0</v>
      </c>
      <c r="BF446" s="21" t="n">
        <f aca="false">IF(AND(AD446="فیش مفقودی",AQ446="بله",I446&gt;تنظیمات!$B$12*60),1,0)</f>
        <v>0</v>
      </c>
      <c r="BG446" s="21" t="n">
        <f aca="false">IF(AND(AK446&gt;تنظیمات!$B$11,AL446="بله"),1,0)</f>
        <v>0</v>
      </c>
      <c r="BH446" s="21" t="n">
        <f aca="false">MIN(100,AR446*تنظیمات!$B$21+AS446*تنظیمات!$B$22+AT446*تنظیمات!$B$23+AU446*تنظیمات!$B$24+AV446*تنظیمات!$B$25+AW446*تنظیمات!$B$26+AX446*تنظیمات!$B$27+AY446*تنظیمات!$B$28+AZ446*تنظیمات!$B$29+BA446*تنظیمات!$B$30+BB446*تنظیمات!$B$31+BC446*تنظیمات!$B$32+BD446*تنظیمات!$B$33+BE446*تنظیمات!$B$34+BF446*تنظیمات!$B$35+BG446*تنظیمات!$B$36)</f>
        <v>0</v>
      </c>
      <c r="BI446" s="16" t="str">
        <f aca="false">IF(BH446&gt;=60,"بحرانی",IF(BH446&gt;=30,"مشکوک",IF(BH446&gt;0,"هشدار","عادی")))</f>
        <v>عادی</v>
      </c>
      <c r="BJ446" s="16" t="s">
        <v>338</v>
      </c>
    </row>
    <row r="447" customFormat="false" ht="15" hidden="false" customHeight="false" outlineLevel="0" collapsed="false">
      <c r="A447" s="16" t="s">
        <v>1793</v>
      </c>
      <c r="B447" s="16" t="s">
        <v>875</v>
      </c>
      <c r="C447" s="16"/>
      <c r="D447" s="16" t="s">
        <v>418</v>
      </c>
      <c r="E447" s="16" t="s">
        <v>332</v>
      </c>
      <c r="F447" s="16" t="s">
        <v>333</v>
      </c>
      <c r="G447" s="17" t="n">
        <v>46287.2178240741</v>
      </c>
      <c r="H447" s="17" t="n">
        <v>46287.5164351852</v>
      </c>
      <c r="I447" s="18" t="n">
        <f aca="false">IF(H447="",ROUND((تنظیمات!$B$7-G447)*1440,0),ROUND((H447-G447)*1440,0))</f>
        <v>430</v>
      </c>
      <c r="J447" s="16" t="s">
        <v>334</v>
      </c>
      <c r="K447" s="16" t="s">
        <v>410</v>
      </c>
      <c r="L447" s="19" t="n">
        <v>0.953</v>
      </c>
      <c r="M447" s="19" t="n">
        <v>0.941</v>
      </c>
      <c r="N447" s="16" t="s">
        <v>335</v>
      </c>
      <c r="O447" s="16" t="s">
        <v>425</v>
      </c>
      <c r="P447" s="16" t="s">
        <v>402</v>
      </c>
      <c r="Q447" s="20" t="n">
        <v>46287</v>
      </c>
      <c r="R447" s="16" t="s">
        <v>1794</v>
      </c>
      <c r="S447" s="16" t="s">
        <v>404</v>
      </c>
      <c r="T447" s="17"/>
      <c r="U447" s="21" t="n">
        <v>1</v>
      </c>
      <c r="V447" s="21" t="n">
        <v>1</v>
      </c>
      <c r="W447" s="22" t="n">
        <v>3.5</v>
      </c>
      <c r="X447" s="16" t="s">
        <v>335</v>
      </c>
      <c r="Y447" s="16" t="s">
        <v>338</v>
      </c>
      <c r="Z447" s="16" t="s">
        <v>405</v>
      </c>
      <c r="AA447" s="16"/>
      <c r="AB447" s="23"/>
      <c r="AC447" s="17"/>
      <c r="AD447" s="16" t="s">
        <v>338</v>
      </c>
      <c r="AE447" s="16"/>
      <c r="AF447" s="16" t="str">
        <f aca="false">IF(COUNTIF(لیست_سفید!$A$2:$A$21,B447)&gt;0,"بله","خیر")</f>
        <v>خیر</v>
      </c>
      <c r="AG447" s="24" t="n">
        <f aca="false">IF(H447="","",IF(AD447="فیش مفقودی",تنظیمات!$B$6,(INT(I447/1440)*تنظیمات!$B$5+IF(MOD(I447,1440)&lt;=تنظیمات!$B$2,0,MIN(تنظیمات!$B$5,تنظیمات!$B$3+MAX(0,ROUNDUP((MOD(I447,1440)-60)/60,0))*تنظیمات!$B$4)))*INDEX(تعرفه!$B$2:$B$7,MATCH(AD447,تعرفه!$A$2:$A$7,0))))</f>
        <v>118000</v>
      </c>
      <c r="AH447" s="24" t="n">
        <v>118000</v>
      </c>
      <c r="AI447" s="24" t="n">
        <f aca="false">IF(AG447="","",AH447-AG447)</f>
        <v>0</v>
      </c>
      <c r="AJ447" s="21" t="n">
        <v>-1</v>
      </c>
      <c r="AK447" s="21" t="n">
        <v>0</v>
      </c>
      <c r="AL447" s="16" t="s">
        <v>335</v>
      </c>
      <c r="AM447" s="16"/>
      <c r="AN447" s="16" t="s">
        <v>340</v>
      </c>
      <c r="AO447" s="16" t="s">
        <v>340</v>
      </c>
      <c r="AP447" s="16" t="s">
        <v>335</v>
      </c>
      <c r="AQ447" s="16"/>
      <c r="AR447" s="21" t="n">
        <f aca="false">IF(AND(T447&lt;&gt;"",H447&lt;&gt;""),IF(AND((T447-H447)*86400&gt;=0,(T447-H447)*86400&lt;تنظیمات!$B$13),1,0),0)</f>
        <v>0</v>
      </c>
      <c r="AS447" s="21" t="n">
        <f aca="false">IF(Z447="پوز",IF(OR(AB447="",COUNTIF(پوزها!$A$2:$A$5,AA447)=0),1,0),0)</f>
        <v>0</v>
      </c>
      <c r="AT447" s="21" t="n">
        <f aca="false">IF(AI447="",0,IF(AI447&gt;0,1,0))</f>
        <v>0</v>
      </c>
      <c r="AU447" s="21" t="n">
        <f aca="false">IF(AI447="",0,IF(AI447&lt;0,1,0))</f>
        <v>0</v>
      </c>
      <c r="AV447" s="21" t="n">
        <f aca="false">IF(U447&gt;V447,1,0)</f>
        <v>0</v>
      </c>
      <c r="AW447" s="21" t="n">
        <f aca="false">IF(OR(W447&gt;تنظیمات!$B$8,X447="بله"),1,0)</f>
        <v>0</v>
      </c>
      <c r="AX447" s="21" t="n">
        <f aca="false">IF(AND(N447="بله",L447&gt;تنظیمات!$B$9),1,0)</f>
        <v>0</v>
      </c>
      <c r="AY447" s="21" t="n">
        <f aca="false">IF(Y447="معکوس",1,0)</f>
        <v>0</v>
      </c>
      <c r="AZ447" s="21" t="n">
        <f aca="false">IF(ABS(AJ447)&gt;تنظیمات!$B$10,1,0)</f>
        <v>0</v>
      </c>
      <c r="BA447" s="21" t="n">
        <f aca="false">IF(AND(OR(AD447="رایگان/VIP",AD447="جانباز"),AF447="خیر"),1,0)</f>
        <v>0</v>
      </c>
      <c r="BB447" s="21" t="n">
        <f aca="false">IF(AE447="",0,IF(COUNTIF($AE$2:$AE$1001,AE447)&gt;1,1,0))</f>
        <v>0</v>
      </c>
      <c r="BC447" s="21" t="n">
        <f aca="false">IF(AND(H447="",I447&gt;تنظیمات!$B$12*60,AM447="خالی"),1,0)</f>
        <v>0</v>
      </c>
      <c r="BD447" s="21" t="n">
        <f aca="false">IF(AND(AP447="بله",I447&lt;تنظیمات!$B$14,AO447="خیر"),1,0)</f>
        <v>0</v>
      </c>
      <c r="BE447" s="21" t="n">
        <f aca="false">IF(AN447="خیر",1,0)</f>
        <v>0</v>
      </c>
      <c r="BF447" s="21" t="n">
        <f aca="false">IF(AND(AD447="فیش مفقودی",AQ447="بله",I447&gt;تنظیمات!$B$12*60),1,0)</f>
        <v>0</v>
      </c>
      <c r="BG447" s="21" t="n">
        <f aca="false">IF(AND(AK447&gt;تنظیمات!$B$11,AL447="بله"),1,0)</f>
        <v>0</v>
      </c>
      <c r="BH447" s="21" t="n">
        <f aca="false">MIN(100,AR447*تنظیمات!$B$21+AS447*تنظیمات!$B$22+AT447*تنظیمات!$B$23+AU447*تنظیمات!$B$24+AV447*تنظیمات!$B$25+AW447*تنظیمات!$B$26+AX447*تنظیمات!$B$27+AY447*تنظیمات!$B$28+AZ447*تنظیمات!$B$29+BA447*تنظیمات!$B$30+BB447*تنظیمات!$B$31+BC447*تنظیمات!$B$32+BD447*تنظیمات!$B$33+BE447*تنظیمات!$B$34+BF447*تنظیمات!$B$35+BG447*تنظیمات!$B$36)</f>
        <v>0</v>
      </c>
      <c r="BI447" s="16" t="str">
        <f aca="false">IF(BH447&gt;=60,"بحرانی",IF(BH447&gt;=30,"مشکوک",IF(BH447&gt;0,"هشدار","عادی")))</f>
        <v>عادی</v>
      </c>
      <c r="BJ447" s="16" t="s">
        <v>338</v>
      </c>
    </row>
    <row r="448" customFormat="false" ht="15" hidden="false" customHeight="false" outlineLevel="0" collapsed="false">
      <c r="A448" s="16" t="s">
        <v>1795</v>
      </c>
      <c r="B448" s="16" t="s">
        <v>555</v>
      </c>
      <c r="C448" s="16"/>
      <c r="D448" s="16" t="s">
        <v>450</v>
      </c>
      <c r="E448" s="16" t="s">
        <v>332</v>
      </c>
      <c r="F448" s="16" t="s">
        <v>333</v>
      </c>
      <c r="G448" s="17" t="n">
        <v>46287.2309143519</v>
      </c>
      <c r="H448" s="17" t="n">
        <v>46287.5642476852</v>
      </c>
      <c r="I448" s="18" t="n">
        <f aca="false">IF(H448="",ROUND((تنظیمات!$B$7-G448)*1440,0),ROUND((H448-G448)*1440,0))</f>
        <v>480</v>
      </c>
      <c r="J448" s="16" t="s">
        <v>334</v>
      </c>
      <c r="K448" s="16" t="s">
        <v>400</v>
      </c>
      <c r="L448" s="19" t="n">
        <v>0.949</v>
      </c>
      <c r="M448" s="19" t="n">
        <v>0.92</v>
      </c>
      <c r="N448" s="16" t="s">
        <v>335</v>
      </c>
      <c r="O448" s="16" t="s">
        <v>677</v>
      </c>
      <c r="P448" s="16" t="s">
        <v>402</v>
      </c>
      <c r="Q448" s="20" t="n">
        <v>46287</v>
      </c>
      <c r="R448" s="16" t="s">
        <v>1796</v>
      </c>
      <c r="S448" s="16" t="s">
        <v>404</v>
      </c>
      <c r="T448" s="17"/>
      <c r="U448" s="21" t="n">
        <v>1</v>
      </c>
      <c r="V448" s="21" t="n">
        <v>1</v>
      </c>
      <c r="W448" s="22" t="n">
        <v>6.8</v>
      </c>
      <c r="X448" s="16" t="s">
        <v>335</v>
      </c>
      <c r="Y448" s="16" t="s">
        <v>338</v>
      </c>
      <c r="Z448" s="16" t="s">
        <v>405</v>
      </c>
      <c r="AA448" s="16"/>
      <c r="AB448" s="23"/>
      <c r="AC448" s="17"/>
      <c r="AD448" s="16" t="s">
        <v>481</v>
      </c>
      <c r="AE448" s="16" t="s">
        <v>1797</v>
      </c>
      <c r="AF448" s="16" t="str">
        <f aca="false">IF(COUNTIF(لیست_سفید!$A$2:$A$21,B448)&gt;0,"بله","خیر")</f>
        <v>خیر</v>
      </c>
      <c r="AG448" s="24" t="n">
        <f aca="false">IF(H448="","",IF(AD448="فیش مفقودی",تنظیمات!$B$6,(INT(I448/1440)*تنظیمات!$B$5+IF(MOD(I448,1440)&lt;=تنظیمات!$B$2,0,MIN(تنظیمات!$B$5,تنظیمات!$B$3+MAX(0,ROUNDUP((MOD(I448,1440)-60)/60,0))*تنظیمات!$B$4)))*INDEX(تعرفه!$B$2:$B$7,MATCH(AD448,تعرفه!$A$2:$A$7,0))))</f>
        <v>59000</v>
      </c>
      <c r="AH448" s="24" t="n">
        <v>59000</v>
      </c>
      <c r="AI448" s="24" t="n">
        <f aca="false">IF(AG448="","",AH448-AG448)</f>
        <v>0</v>
      </c>
      <c r="AJ448" s="21" t="n">
        <v>0</v>
      </c>
      <c r="AK448" s="21" t="n">
        <v>0</v>
      </c>
      <c r="AL448" s="16" t="s">
        <v>335</v>
      </c>
      <c r="AM448" s="16"/>
      <c r="AN448" s="16" t="s">
        <v>340</v>
      </c>
      <c r="AO448" s="16" t="s">
        <v>340</v>
      </c>
      <c r="AP448" s="16" t="s">
        <v>335</v>
      </c>
      <c r="AQ448" s="16"/>
      <c r="AR448" s="21" t="n">
        <f aca="false">IF(AND(T448&lt;&gt;"",H448&lt;&gt;""),IF(AND((T448-H448)*86400&gt;=0,(T448-H448)*86400&lt;تنظیمات!$B$13),1,0),0)</f>
        <v>0</v>
      </c>
      <c r="AS448" s="21" t="n">
        <f aca="false">IF(Z448="پوز",IF(OR(AB448="",COUNTIF(پوزها!$A$2:$A$5,AA448)=0),1,0),0)</f>
        <v>0</v>
      </c>
      <c r="AT448" s="21" t="n">
        <f aca="false">IF(AI448="",0,IF(AI448&gt;0,1,0))</f>
        <v>0</v>
      </c>
      <c r="AU448" s="21" t="n">
        <f aca="false">IF(AI448="",0,IF(AI448&lt;0,1,0))</f>
        <v>0</v>
      </c>
      <c r="AV448" s="21" t="n">
        <f aca="false">IF(U448&gt;V448,1,0)</f>
        <v>0</v>
      </c>
      <c r="AW448" s="21" t="n">
        <f aca="false">IF(OR(W448&gt;تنظیمات!$B$8,X448="بله"),1,0)</f>
        <v>0</v>
      </c>
      <c r="AX448" s="21" t="n">
        <f aca="false">IF(AND(N448="بله",L448&gt;تنظیمات!$B$9),1,0)</f>
        <v>0</v>
      </c>
      <c r="AY448" s="21" t="n">
        <f aca="false">IF(Y448="معکوس",1,0)</f>
        <v>0</v>
      </c>
      <c r="AZ448" s="21" t="n">
        <f aca="false">IF(ABS(AJ448)&gt;تنظیمات!$B$10,1,0)</f>
        <v>0</v>
      </c>
      <c r="BA448" s="21" t="n">
        <f aca="false">IF(AND(OR(AD448="رایگان/VIP",AD448="جانباز"),AF448="خیر"),1,0)</f>
        <v>0</v>
      </c>
      <c r="BB448" s="21" t="n">
        <f aca="false">IF(AE448="",0,IF(COUNTIF($AE$2:$AE$1001,AE448)&gt;1,1,0))</f>
        <v>0</v>
      </c>
      <c r="BC448" s="21" t="n">
        <f aca="false">IF(AND(H448="",I448&gt;تنظیمات!$B$12*60,AM448="خالی"),1,0)</f>
        <v>0</v>
      </c>
      <c r="BD448" s="21" t="n">
        <f aca="false">IF(AND(AP448="بله",I448&lt;تنظیمات!$B$14,AO448="خیر"),1,0)</f>
        <v>0</v>
      </c>
      <c r="BE448" s="21" t="n">
        <f aca="false">IF(AN448="خیر",1,0)</f>
        <v>0</v>
      </c>
      <c r="BF448" s="21" t="n">
        <f aca="false">IF(AND(AD448="فیش مفقودی",AQ448="بله",I448&gt;تنظیمات!$B$12*60),1,0)</f>
        <v>0</v>
      </c>
      <c r="BG448" s="21" t="n">
        <f aca="false">IF(AND(AK448&gt;تنظیمات!$B$11,AL448="بله"),1,0)</f>
        <v>0</v>
      </c>
      <c r="BH448" s="21" t="n">
        <f aca="false">MIN(100,AR448*تنظیمات!$B$21+AS448*تنظیمات!$B$22+AT448*تنظیمات!$B$23+AU448*تنظیمات!$B$24+AV448*تنظیمات!$B$25+AW448*تنظیمات!$B$26+AX448*تنظیمات!$B$27+AY448*تنظیمات!$B$28+AZ448*تنظیمات!$B$29+BA448*تنظیمات!$B$30+BB448*تنظیمات!$B$31+BC448*تنظیمات!$B$32+BD448*تنظیمات!$B$33+BE448*تنظیمات!$B$34+BF448*تنظیمات!$B$35+BG448*تنظیمات!$B$36)</f>
        <v>0</v>
      </c>
      <c r="BI448" s="16" t="str">
        <f aca="false">IF(BH448&gt;=60,"بحرانی",IF(BH448&gt;=30,"مشکوک",IF(BH448&gt;0,"هشدار","عادی")))</f>
        <v>عادی</v>
      </c>
      <c r="BJ448" s="16" t="s">
        <v>338</v>
      </c>
    </row>
    <row r="449" customFormat="false" ht="15" hidden="false" customHeight="false" outlineLevel="0" collapsed="false">
      <c r="A449" s="16" t="s">
        <v>1798</v>
      </c>
      <c r="B449" s="16" t="s">
        <v>575</v>
      </c>
      <c r="C449" s="16"/>
      <c r="D449" s="16" t="s">
        <v>370</v>
      </c>
      <c r="E449" s="16" t="s">
        <v>363</v>
      </c>
      <c r="F449" s="16" t="s">
        <v>333</v>
      </c>
      <c r="G449" s="17" t="n">
        <v>46287.257650463</v>
      </c>
      <c r="H449" s="17"/>
      <c r="I449" s="18" t="n">
        <f aca="false">IF(H449="",ROUND((تنظیمات!$B$7-G449)*1440,0),ROUND((H449-G449)*1440,0))</f>
        <v>11509</v>
      </c>
      <c r="J449" s="16" t="s">
        <v>334</v>
      </c>
      <c r="K449" s="16"/>
      <c r="L449" s="19" t="n">
        <v>0.848</v>
      </c>
      <c r="M449" s="19"/>
      <c r="N449" s="16" t="s">
        <v>335</v>
      </c>
      <c r="O449" s="16"/>
      <c r="P449" s="16"/>
      <c r="Q449" s="20"/>
      <c r="R449" s="16" t="s">
        <v>1799</v>
      </c>
      <c r="S449" s="16" t="s">
        <v>337</v>
      </c>
      <c r="T449" s="17"/>
      <c r="U449" s="21" t="n">
        <v>1</v>
      </c>
      <c r="V449" s="21" t="n">
        <v>1</v>
      </c>
      <c r="W449" s="22" t="n">
        <v>4.1</v>
      </c>
      <c r="X449" s="16" t="s">
        <v>335</v>
      </c>
      <c r="Y449" s="16" t="s">
        <v>338</v>
      </c>
      <c r="Z449" s="16"/>
      <c r="AA449" s="16"/>
      <c r="AB449" s="23"/>
      <c r="AC449" s="17"/>
      <c r="AD449" s="16" t="s">
        <v>338</v>
      </c>
      <c r="AE449" s="16"/>
      <c r="AF449" s="16" t="str">
        <f aca="false">IF(COUNTIF(لیست_سفید!$A$2:$A$21,B449)&gt;0,"بله","خیر")</f>
        <v>خیر</v>
      </c>
      <c r="AG449" s="24" t="str">
        <f aca="false">IF(H449="","",IF(AD449="فیش مفقودی",تنظیمات!$B$6,(INT(I449/1440)*تنظیمات!$B$5+IF(MOD(I449,1440)&lt;=تنظیمات!$B$2,0,MIN(تنظیمات!$B$5,تنظیمات!$B$3+MAX(0,ROUNDUP((MOD(I449,1440)-60)/60,0))*تنظیمات!$B$4)))*INDEX(تعرفه!$B$2:$B$7,MATCH(AD449,تعرفه!$A$2:$A$7,0))))</f>
        <v/>
      </c>
      <c r="AH449" s="24"/>
      <c r="AI449" s="24" t="str">
        <f aca="false">IF(AG449="","",AH449-AG449)</f>
        <v/>
      </c>
      <c r="AJ449" s="21" t="n">
        <v>0</v>
      </c>
      <c r="AK449" s="21" t="n">
        <v>0</v>
      </c>
      <c r="AL449" s="16" t="s">
        <v>335</v>
      </c>
      <c r="AM449" s="16" t="s">
        <v>1704</v>
      </c>
      <c r="AN449" s="16" t="s">
        <v>340</v>
      </c>
      <c r="AO449" s="16" t="s">
        <v>340</v>
      </c>
      <c r="AP449" s="16" t="s">
        <v>335</v>
      </c>
      <c r="AQ449" s="16"/>
      <c r="AR449" s="21" t="n">
        <f aca="false">IF(AND(T449&lt;&gt;"",H449&lt;&gt;""),IF(AND((T449-H449)*86400&gt;=0,(T449-H449)*86400&lt;تنظیمات!$B$13),1,0),0)</f>
        <v>0</v>
      </c>
      <c r="AS449" s="21" t="n">
        <f aca="false">IF(Z449="پوز",IF(OR(AB449="",COUNTIF(پوزها!$A$2:$A$5,AA449)=0),1,0),0)</f>
        <v>0</v>
      </c>
      <c r="AT449" s="21" t="n">
        <f aca="false">IF(AI449="",0,IF(AI449&gt;0,1,0))</f>
        <v>0</v>
      </c>
      <c r="AU449" s="21" t="n">
        <f aca="false">IF(AI449="",0,IF(AI449&lt;0,1,0))</f>
        <v>0</v>
      </c>
      <c r="AV449" s="21" t="n">
        <f aca="false">IF(U449&gt;V449,1,0)</f>
        <v>0</v>
      </c>
      <c r="AW449" s="21" t="n">
        <f aca="false">IF(OR(W449&gt;تنظیمات!$B$8,X449="بله"),1,0)</f>
        <v>0</v>
      </c>
      <c r="AX449" s="21" t="n">
        <f aca="false">IF(AND(N449="بله",L449&gt;تنظیمات!$B$9),1,0)</f>
        <v>0</v>
      </c>
      <c r="AY449" s="21" t="n">
        <f aca="false">IF(Y449="معکوس",1,0)</f>
        <v>0</v>
      </c>
      <c r="AZ449" s="21" t="n">
        <f aca="false">IF(ABS(AJ449)&gt;تنظیمات!$B$10,1,0)</f>
        <v>0</v>
      </c>
      <c r="BA449" s="21" t="n">
        <f aca="false">IF(AND(OR(AD449="رایگان/VIP",AD449="جانباز"),AF449="خیر"),1,0)</f>
        <v>0</v>
      </c>
      <c r="BB449" s="21" t="n">
        <f aca="false">IF(AE449="",0,IF(COUNTIF($AE$2:$AE$1001,AE449)&gt;1,1,0))</f>
        <v>0</v>
      </c>
      <c r="BC449" s="21" t="n">
        <f aca="false">IF(AND(H449="",I449&gt;تنظیمات!$B$12*60,AM449="خالی"),1,0)</f>
        <v>0</v>
      </c>
      <c r="BD449" s="21" t="n">
        <f aca="false">IF(AND(AP449="بله",I449&lt;تنظیمات!$B$14,AO449="خیر"),1,0)</f>
        <v>0</v>
      </c>
      <c r="BE449" s="21" t="n">
        <f aca="false">IF(AN449="خیر",1,0)</f>
        <v>0</v>
      </c>
      <c r="BF449" s="21" t="n">
        <f aca="false">IF(AND(AD449="فیش مفقودی",AQ449="بله",I449&gt;تنظیمات!$B$12*60),1,0)</f>
        <v>0</v>
      </c>
      <c r="BG449" s="21" t="n">
        <f aca="false">IF(AND(AK449&gt;تنظیمات!$B$11,AL449="بله"),1,0)</f>
        <v>0</v>
      </c>
      <c r="BH449" s="21" t="n">
        <f aca="false">MIN(100,AR449*تنظیمات!$B$21+AS449*تنظیمات!$B$22+AT449*تنظیمات!$B$23+AU449*تنظیمات!$B$24+AV449*تنظیمات!$B$25+AW449*تنظیمات!$B$26+AX449*تنظیمات!$B$27+AY449*تنظیمات!$B$28+AZ449*تنظیمات!$B$29+BA449*تنظیمات!$B$30+BB449*تنظیمات!$B$31+BC449*تنظیمات!$B$32+BD449*تنظیمات!$B$33+BE449*تنظیمات!$B$34+BF449*تنظیمات!$B$35+BG449*تنظیمات!$B$36)</f>
        <v>0</v>
      </c>
      <c r="BI449" s="16" t="str">
        <f aca="false">IF(BH449&gt;=60,"بحرانی",IF(BH449&gt;=30,"مشکوک",IF(BH449&gt;0,"هشدار","عادی")))</f>
        <v>عادی</v>
      </c>
      <c r="BJ449" s="16" t="s">
        <v>338</v>
      </c>
    </row>
    <row r="450" customFormat="false" ht="15" hidden="false" customHeight="false" outlineLevel="0" collapsed="false">
      <c r="A450" s="16" t="s">
        <v>1800</v>
      </c>
      <c r="B450" s="16" t="s">
        <v>1801</v>
      </c>
      <c r="C450" s="16"/>
      <c r="D450" s="16" t="s">
        <v>450</v>
      </c>
      <c r="E450" s="16" t="s">
        <v>390</v>
      </c>
      <c r="F450" s="16" t="s">
        <v>333</v>
      </c>
      <c r="G450" s="17" t="n">
        <v>46287.2635648148</v>
      </c>
      <c r="H450" s="17" t="n">
        <v>46287.2948148148</v>
      </c>
      <c r="I450" s="18" t="n">
        <f aca="false">IF(H450="",ROUND((تنظیمات!$B$7-G450)*1440,0),ROUND((H450-G450)*1440,0))</f>
        <v>45</v>
      </c>
      <c r="J450" s="16" t="s">
        <v>346</v>
      </c>
      <c r="K450" s="16" t="s">
        <v>400</v>
      </c>
      <c r="L450" s="19" t="n">
        <v>0.916</v>
      </c>
      <c r="M450" s="19" t="n">
        <v>0.932</v>
      </c>
      <c r="N450" s="16" t="s">
        <v>335</v>
      </c>
      <c r="O450" s="16" t="s">
        <v>677</v>
      </c>
      <c r="P450" s="16" t="s">
        <v>402</v>
      </c>
      <c r="Q450" s="20" t="n">
        <v>46287</v>
      </c>
      <c r="R450" s="16" t="s">
        <v>1802</v>
      </c>
      <c r="S450" s="16" t="s">
        <v>452</v>
      </c>
      <c r="T450" s="17" t="n">
        <v>46287.2921412037</v>
      </c>
      <c r="U450" s="21" t="n">
        <v>1</v>
      </c>
      <c r="V450" s="21" t="n">
        <v>1</v>
      </c>
      <c r="W450" s="22" t="n">
        <v>5.4</v>
      </c>
      <c r="X450" s="16" t="s">
        <v>335</v>
      </c>
      <c r="Y450" s="16" t="s">
        <v>338</v>
      </c>
      <c r="Z450" s="16" t="s">
        <v>405</v>
      </c>
      <c r="AA450" s="16"/>
      <c r="AB450" s="23"/>
      <c r="AC450" s="17"/>
      <c r="AD450" s="16" t="s">
        <v>338</v>
      </c>
      <c r="AE450" s="16"/>
      <c r="AF450" s="16" t="str">
        <f aca="false">IF(COUNTIF(لیست_سفید!$A$2:$A$21,B450)&gt;0,"بله","خیر")</f>
        <v>خیر</v>
      </c>
      <c r="AG450" s="24" t="n">
        <f aca="false">IF(H450="","",IF(AD450="فیش مفقودی",تنظیمات!$B$6,(INT(I450/1440)*تنظیمات!$B$5+IF(MOD(I450,1440)&lt;=تنظیمات!$B$2,0,MIN(تنظیمات!$B$5,تنظیمات!$B$3+MAX(0,ROUNDUP((MOD(I450,1440)-60)/60,0))*تنظیمات!$B$4)))*INDEX(تعرفه!$B$2:$B$7,MATCH(AD450,تعرفه!$A$2:$A$7,0))))</f>
        <v>20000</v>
      </c>
      <c r="AH450" s="24" t="n">
        <v>20000</v>
      </c>
      <c r="AI450" s="24" t="n">
        <f aca="false">IF(AG450="","",AH450-AG450)</f>
        <v>0</v>
      </c>
      <c r="AJ450" s="21" t="n">
        <v>1</v>
      </c>
      <c r="AK450" s="21" t="n">
        <v>0</v>
      </c>
      <c r="AL450" s="16" t="s">
        <v>335</v>
      </c>
      <c r="AM450" s="16"/>
      <c r="AN450" s="16" t="s">
        <v>340</v>
      </c>
      <c r="AO450" s="16" t="s">
        <v>340</v>
      </c>
      <c r="AP450" s="16" t="s">
        <v>335</v>
      </c>
      <c r="AQ450" s="16"/>
      <c r="AR450" s="21" t="n">
        <f aca="false">IF(AND(T450&lt;&gt;"",H450&lt;&gt;""),IF(AND((T450-H450)*86400&gt;=0,(T450-H450)*86400&lt;تنظیمات!$B$13),1,0),0)</f>
        <v>0</v>
      </c>
      <c r="AS450" s="21" t="n">
        <f aca="false">IF(Z450="پوز",IF(OR(AB450="",COUNTIF(پوزها!$A$2:$A$5,AA450)=0),1,0),0)</f>
        <v>0</v>
      </c>
      <c r="AT450" s="21" t="n">
        <f aca="false">IF(AI450="",0,IF(AI450&gt;0,1,0))</f>
        <v>0</v>
      </c>
      <c r="AU450" s="21" t="n">
        <f aca="false">IF(AI450="",0,IF(AI450&lt;0,1,0))</f>
        <v>0</v>
      </c>
      <c r="AV450" s="21" t="n">
        <f aca="false">IF(U450&gt;V450,1,0)</f>
        <v>0</v>
      </c>
      <c r="AW450" s="21" t="n">
        <f aca="false">IF(OR(W450&gt;تنظیمات!$B$8,X450="بله"),1,0)</f>
        <v>0</v>
      </c>
      <c r="AX450" s="21" t="n">
        <f aca="false">IF(AND(N450="بله",L450&gt;تنظیمات!$B$9),1,0)</f>
        <v>0</v>
      </c>
      <c r="AY450" s="21" t="n">
        <f aca="false">IF(Y450="معکوس",1,0)</f>
        <v>0</v>
      </c>
      <c r="AZ450" s="21" t="n">
        <f aca="false">IF(ABS(AJ450)&gt;تنظیمات!$B$10,1,0)</f>
        <v>0</v>
      </c>
      <c r="BA450" s="21" t="n">
        <f aca="false">IF(AND(OR(AD450="رایگان/VIP",AD450="جانباز"),AF450="خیر"),1,0)</f>
        <v>0</v>
      </c>
      <c r="BB450" s="21" t="n">
        <f aca="false">IF(AE450="",0,IF(COUNTIF($AE$2:$AE$1001,AE450)&gt;1,1,0))</f>
        <v>0</v>
      </c>
      <c r="BC450" s="21" t="n">
        <f aca="false">IF(AND(H450="",I450&gt;تنظیمات!$B$12*60,AM450="خالی"),1,0)</f>
        <v>0</v>
      </c>
      <c r="BD450" s="21" t="n">
        <f aca="false">IF(AND(AP450="بله",I450&lt;تنظیمات!$B$14,AO450="خیر"),1,0)</f>
        <v>0</v>
      </c>
      <c r="BE450" s="21" t="n">
        <f aca="false">IF(AN450="خیر",1,0)</f>
        <v>0</v>
      </c>
      <c r="BF450" s="21" t="n">
        <f aca="false">IF(AND(AD450="فیش مفقودی",AQ450="بله",I450&gt;تنظیمات!$B$12*60),1,0)</f>
        <v>0</v>
      </c>
      <c r="BG450" s="21" t="n">
        <f aca="false">IF(AND(AK450&gt;تنظیمات!$B$11,AL450="بله"),1,0)</f>
        <v>0</v>
      </c>
      <c r="BH450" s="21" t="n">
        <f aca="false">MIN(100,AR450*تنظیمات!$B$21+AS450*تنظیمات!$B$22+AT450*تنظیمات!$B$23+AU450*تنظیمات!$B$24+AV450*تنظیمات!$B$25+AW450*تنظیمات!$B$26+AX450*تنظیمات!$B$27+AY450*تنظیمات!$B$28+AZ450*تنظیمات!$B$29+BA450*تنظیمات!$B$30+BB450*تنظیمات!$B$31+BC450*تنظیمات!$B$32+BD450*تنظیمات!$B$33+BE450*تنظیمات!$B$34+BF450*تنظیمات!$B$35+BG450*تنظیمات!$B$36)</f>
        <v>0</v>
      </c>
      <c r="BI450" s="16" t="str">
        <f aca="false">IF(BH450&gt;=60,"بحرانی",IF(BH450&gt;=30,"مشکوک",IF(BH450&gt;0,"هشدار","عادی")))</f>
        <v>عادی</v>
      </c>
      <c r="BJ450" s="16" t="s">
        <v>338</v>
      </c>
    </row>
    <row r="451" customFormat="false" ht="15" hidden="false" customHeight="false" outlineLevel="0" collapsed="false">
      <c r="A451" s="16" t="s">
        <v>1803</v>
      </c>
      <c r="B451" s="16" t="s">
        <v>1694</v>
      </c>
      <c r="C451" s="16"/>
      <c r="D451" s="16" t="s">
        <v>382</v>
      </c>
      <c r="E451" s="16" t="s">
        <v>375</v>
      </c>
      <c r="F451" s="16" t="s">
        <v>333</v>
      </c>
      <c r="G451" s="17" t="n">
        <v>46287.2683333333</v>
      </c>
      <c r="H451" s="17" t="n">
        <v>46287.4363888889</v>
      </c>
      <c r="I451" s="18" t="n">
        <f aca="false">IF(H451="",ROUND((تنظیمات!$B$7-G451)*1440,0),ROUND((H451-G451)*1440,0))</f>
        <v>242</v>
      </c>
      <c r="J451" s="16" t="s">
        <v>334</v>
      </c>
      <c r="K451" s="16" t="s">
        <v>410</v>
      </c>
      <c r="L451" s="19" t="n">
        <v>0.96</v>
      </c>
      <c r="M451" s="19" t="n">
        <v>0.894</v>
      </c>
      <c r="N451" s="16" t="s">
        <v>335</v>
      </c>
      <c r="O451" s="16" t="s">
        <v>425</v>
      </c>
      <c r="P451" s="16" t="s">
        <v>402</v>
      </c>
      <c r="Q451" s="20" t="n">
        <v>46287</v>
      </c>
      <c r="R451" s="16" t="s">
        <v>1804</v>
      </c>
      <c r="S451" s="16" t="s">
        <v>404</v>
      </c>
      <c r="T451" s="17"/>
      <c r="U451" s="21" t="n">
        <v>1</v>
      </c>
      <c r="V451" s="21" t="n">
        <v>1</v>
      </c>
      <c r="W451" s="22" t="n">
        <v>5.6</v>
      </c>
      <c r="X451" s="16" t="s">
        <v>335</v>
      </c>
      <c r="Y451" s="16" t="s">
        <v>338</v>
      </c>
      <c r="Z451" s="16" t="s">
        <v>413</v>
      </c>
      <c r="AA451" s="16" t="s">
        <v>414</v>
      </c>
      <c r="AB451" s="23" t="s">
        <v>1805</v>
      </c>
      <c r="AC451" s="17" t="n">
        <v>46287.436099537</v>
      </c>
      <c r="AD451" s="16" t="s">
        <v>338</v>
      </c>
      <c r="AE451" s="16"/>
      <c r="AF451" s="16" t="str">
        <f aca="false">IF(COUNTIF(لیست_سفید!$A$2:$A$21,B451)&gt;0,"بله","خیر")</f>
        <v>خیر</v>
      </c>
      <c r="AG451" s="24" t="n">
        <f aca="false">IF(H451="","",IF(AD451="فیش مفقودی",تنظیمات!$B$6,(INT(I451/1440)*تنظیمات!$B$5+IF(MOD(I451,1440)&lt;=تنظیمات!$B$2,0,MIN(تنظیمات!$B$5,تنظیمات!$B$3+MAX(0,ROUNDUP((MOD(I451,1440)-60)/60,0))*تنظیمات!$B$4)))*INDEX(تعرفه!$B$2:$B$7,MATCH(AD451,تعرفه!$A$2:$A$7,0))))</f>
        <v>76000</v>
      </c>
      <c r="AH451" s="24" t="n">
        <v>76000</v>
      </c>
      <c r="AI451" s="24" t="n">
        <f aca="false">IF(AG451="","",AH451-AG451)</f>
        <v>0</v>
      </c>
      <c r="AJ451" s="21" t="n">
        <v>0</v>
      </c>
      <c r="AK451" s="21" t="n">
        <v>0</v>
      </c>
      <c r="AL451" s="16" t="s">
        <v>335</v>
      </c>
      <c r="AM451" s="16"/>
      <c r="AN451" s="16" t="s">
        <v>340</v>
      </c>
      <c r="AO451" s="16" t="s">
        <v>340</v>
      </c>
      <c r="AP451" s="16" t="s">
        <v>335</v>
      </c>
      <c r="AQ451" s="16"/>
      <c r="AR451" s="21" t="n">
        <f aca="false">IF(AND(T451&lt;&gt;"",H451&lt;&gt;""),IF(AND((T451-H451)*86400&gt;=0,(T451-H451)*86400&lt;تنظیمات!$B$13),1,0),0)</f>
        <v>0</v>
      </c>
      <c r="AS451" s="21" t="n">
        <f aca="false">IF(Z451="پوز",IF(OR(AB451="",COUNTIF(پوزها!$A$2:$A$5,AA451)=0),1,0),0)</f>
        <v>0</v>
      </c>
      <c r="AT451" s="21" t="n">
        <f aca="false">IF(AI451="",0,IF(AI451&gt;0,1,0))</f>
        <v>0</v>
      </c>
      <c r="AU451" s="21" t="n">
        <f aca="false">IF(AI451="",0,IF(AI451&lt;0,1,0))</f>
        <v>0</v>
      </c>
      <c r="AV451" s="21" t="n">
        <f aca="false">IF(U451&gt;V451,1,0)</f>
        <v>0</v>
      </c>
      <c r="AW451" s="21" t="n">
        <f aca="false">IF(OR(W451&gt;تنظیمات!$B$8,X451="بله"),1,0)</f>
        <v>0</v>
      </c>
      <c r="AX451" s="21" t="n">
        <f aca="false">IF(AND(N451="بله",L451&gt;تنظیمات!$B$9),1,0)</f>
        <v>0</v>
      </c>
      <c r="AY451" s="21" t="n">
        <f aca="false">IF(Y451="معکوس",1,0)</f>
        <v>0</v>
      </c>
      <c r="AZ451" s="21" t="n">
        <f aca="false">IF(ABS(AJ451)&gt;تنظیمات!$B$10,1,0)</f>
        <v>0</v>
      </c>
      <c r="BA451" s="21" t="n">
        <f aca="false">IF(AND(OR(AD451="رایگان/VIP",AD451="جانباز"),AF451="خیر"),1,0)</f>
        <v>0</v>
      </c>
      <c r="BB451" s="21" t="n">
        <f aca="false">IF(AE451="",0,IF(COUNTIF($AE$2:$AE$1001,AE451)&gt;1,1,0))</f>
        <v>0</v>
      </c>
      <c r="BC451" s="21" t="n">
        <f aca="false">IF(AND(H451="",I451&gt;تنظیمات!$B$12*60,AM451="خالی"),1,0)</f>
        <v>0</v>
      </c>
      <c r="BD451" s="21" t="n">
        <f aca="false">IF(AND(AP451="بله",I451&lt;تنظیمات!$B$14,AO451="خیر"),1,0)</f>
        <v>0</v>
      </c>
      <c r="BE451" s="21" t="n">
        <f aca="false">IF(AN451="خیر",1,0)</f>
        <v>0</v>
      </c>
      <c r="BF451" s="21" t="n">
        <f aca="false">IF(AND(AD451="فیش مفقودی",AQ451="بله",I451&gt;تنظیمات!$B$12*60),1,0)</f>
        <v>0</v>
      </c>
      <c r="BG451" s="21" t="n">
        <f aca="false">IF(AND(AK451&gt;تنظیمات!$B$11,AL451="بله"),1,0)</f>
        <v>0</v>
      </c>
      <c r="BH451" s="21" t="n">
        <f aca="false">MIN(100,AR451*تنظیمات!$B$21+AS451*تنظیمات!$B$22+AT451*تنظیمات!$B$23+AU451*تنظیمات!$B$24+AV451*تنظیمات!$B$25+AW451*تنظیمات!$B$26+AX451*تنظیمات!$B$27+AY451*تنظیمات!$B$28+AZ451*تنظیمات!$B$29+BA451*تنظیمات!$B$30+BB451*تنظیمات!$B$31+BC451*تنظیمات!$B$32+BD451*تنظیمات!$B$33+BE451*تنظیمات!$B$34+BF451*تنظیمات!$B$35+BG451*تنظیمات!$B$36)</f>
        <v>0</v>
      </c>
      <c r="BI451" s="16" t="str">
        <f aca="false">IF(BH451&gt;=60,"بحرانی",IF(BH451&gt;=30,"مشکوک",IF(BH451&gt;0,"هشدار","عادی")))</f>
        <v>عادی</v>
      </c>
      <c r="BJ451" s="16" t="s">
        <v>338</v>
      </c>
    </row>
    <row r="452" customFormat="false" ht="15" hidden="false" customHeight="false" outlineLevel="0" collapsed="false">
      <c r="A452" s="16" t="s">
        <v>1806</v>
      </c>
      <c r="B452" s="16" t="s">
        <v>1807</v>
      </c>
      <c r="C452" s="16"/>
      <c r="D452" s="16" t="s">
        <v>370</v>
      </c>
      <c r="E452" s="16" t="s">
        <v>375</v>
      </c>
      <c r="F452" s="16" t="s">
        <v>333</v>
      </c>
      <c r="G452" s="17" t="n">
        <v>46287.3161342593</v>
      </c>
      <c r="H452" s="17" t="n">
        <v>46287.3633564815</v>
      </c>
      <c r="I452" s="18" t="n">
        <f aca="false">IF(H452="",ROUND((تنظیمات!$B$7-G452)*1440,0),ROUND((H452-G452)*1440,0))</f>
        <v>68</v>
      </c>
      <c r="J452" s="16" t="s">
        <v>346</v>
      </c>
      <c r="K452" s="16" t="s">
        <v>400</v>
      </c>
      <c r="L452" s="19" t="n">
        <v>0.901</v>
      </c>
      <c r="M452" s="19" t="n">
        <v>0.889</v>
      </c>
      <c r="N452" s="16" t="s">
        <v>335</v>
      </c>
      <c r="O452" s="16" t="s">
        <v>677</v>
      </c>
      <c r="P452" s="16" t="s">
        <v>402</v>
      </c>
      <c r="Q452" s="20" t="n">
        <v>46287</v>
      </c>
      <c r="R452" s="16" t="s">
        <v>1808</v>
      </c>
      <c r="S452" s="16" t="s">
        <v>404</v>
      </c>
      <c r="T452" s="17"/>
      <c r="U452" s="21" t="n">
        <v>1</v>
      </c>
      <c r="V452" s="21" t="n">
        <v>1</v>
      </c>
      <c r="W452" s="22" t="n">
        <v>4.9</v>
      </c>
      <c r="X452" s="16" t="s">
        <v>335</v>
      </c>
      <c r="Y452" s="16" t="s">
        <v>338</v>
      </c>
      <c r="Z452" s="16" t="s">
        <v>413</v>
      </c>
      <c r="AA452" s="16" t="s">
        <v>427</v>
      </c>
      <c r="AB452" s="23" t="s">
        <v>1809</v>
      </c>
      <c r="AC452" s="17" t="n">
        <v>46287.3629398148</v>
      </c>
      <c r="AD452" s="16" t="s">
        <v>338</v>
      </c>
      <c r="AE452" s="16"/>
      <c r="AF452" s="16" t="str">
        <f aca="false">IF(COUNTIF(لیست_سفید!$A$2:$A$21,B452)&gt;0,"بله","خیر")</f>
        <v>خیر</v>
      </c>
      <c r="AG452" s="24" t="n">
        <f aca="false">IF(H452="","",IF(AD452="فیش مفقودی",تنظیمات!$B$6,(INT(I452/1440)*تنظیمات!$B$5+IF(MOD(I452,1440)&lt;=تنظیمات!$B$2,0,MIN(تنظیمات!$B$5,تنظیمات!$B$3+MAX(0,ROUNDUP((MOD(I452,1440)-60)/60,0))*تنظیمات!$B$4)))*INDEX(تعرفه!$B$2:$B$7,MATCH(AD452,تعرفه!$A$2:$A$7,0))))</f>
        <v>34000</v>
      </c>
      <c r="AH452" s="24" t="n">
        <v>34000</v>
      </c>
      <c r="AI452" s="24" t="n">
        <f aca="false">IF(AG452="","",AH452-AG452)</f>
        <v>0</v>
      </c>
      <c r="AJ452" s="21" t="n">
        <v>-2</v>
      </c>
      <c r="AK452" s="21" t="n">
        <v>0</v>
      </c>
      <c r="AL452" s="16" t="s">
        <v>335</v>
      </c>
      <c r="AM452" s="16"/>
      <c r="AN452" s="16" t="s">
        <v>340</v>
      </c>
      <c r="AO452" s="16" t="s">
        <v>340</v>
      </c>
      <c r="AP452" s="16" t="s">
        <v>335</v>
      </c>
      <c r="AQ452" s="16"/>
      <c r="AR452" s="21" t="n">
        <f aca="false">IF(AND(T452&lt;&gt;"",H452&lt;&gt;""),IF(AND((T452-H452)*86400&gt;=0,(T452-H452)*86400&lt;تنظیمات!$B$13),1,0),0)</f>
        <v>0</v>
      </c>
      <c r="AS452" s="21" t="n">
        <f aca="false">IF(Z452="پوز",IF(OR(AB452="",COUNTIF(پوزها!$A$2:$A$5,AA452)=0),1,0),0)</f>
        <v>0</v>
      </c>
      <c r="AT452" s="21" t="n">
        <f aca="false">IF(AI452="",0,IF(AI452&gt;0,1,0))</f>
        <v>0</v>
      </c>
      <c r="AU452" s="21" t="n">
        <f aca="false">IF(AI452="",0,IF(AI452&lt;0,1,0))</f>
        <v>0</v>
      </c>
      <c r="AV452" s="21" t="n">
        <f aca="false">IF(U452&gt;V452,1,0)</f>
        <v>0</v>
      </c>
      <c r="AW452" s="21" t="n">
        <f aca="false">IF(OR(W452&gt;تنظیمات!$B$8,X452="بله"),1,0)</f>
        <v>0</v>
      </c>
      <c r="AX452" s="21" t="n">
        <f aca="false">IF(AND(N452="بله",L452&gt;تنظیمات!$B$9),1,0)</f>
        <v>0</v>
      </c>
      <c r="AY452" s="21" t="n">
        <f aca="false">IF(Y452="معکوس",1,0)</f>
        <v>0</v>
      </c>
      <c r="AZ452" s="21" t="n">
        <f aca="false">IF(ABS(AJ452)&gt;تنظیمات!$B$10,1,0)</f>
        <v>0</v>
      </c>
      <c r="BA452" s="21" t="n">
        <f aca="false">IF(AND(OR(AD452="رایگان/VIP",AD452="جانباز"),AF452="خیر"),1,0)</f>
        <v>0</v>
      </c>
      <c r="BB452" s="21" t="n">
        <f aca="false">IF(AE452="",0,IF(COUNTIF($AE$2:$AE$1001,AE452)&gt;1,1,0))</f>
        <v>0</v>
      </c>
      <c r="BC452" s="21" t="n">
        <f aca="false">IF(AND(H452="",I452&gt;تنظیمات!$B$12*60,AM452="خالی"),1,0)</f>
        <v>0</v>
      </c>
      <c r="BD452" s="21" t="n">
        <f aca="false">IF(AND(AP452="بله",I452&lt;تنظیمات!$B$14,AO452="خیر"),1,0)</f>
        <v>0</v>
      </c>
      <c r="BE452" s="21" t="n">
        <f aca="false">IF(AN452="خیر",1,0)</f>
        <v>0</v>
      </c>
      <c r="BF452" s="21" t="n">
        <f aca="false">IF(AND(AD452="فیش مفقودی",AQ452="بله",I452&gt;تنظیمات!$B$12*60),1,0)</f>
        <v>0</v>
      </c>
      <c r="BG452" s="21" t="n">
        <f aca="false">IF(AND(AK452&gt;تنظیمات!$B$11,AL452="بله"),1,0)</f>
        <v>0</v>
      </c>
      <c r="BH452" s="21" t="n">
        <f aca="false">MIN(100,AR452*تنظیمات!$B$21+AS452*تنظیمات!$B$22+AT452*تنظیمات!$B$23+AU452*تنظیمات!$B$24+AV452*تنظیمات!$B$25+AW452*تنظیمات!$B$26+AX452*تنظیمات!$B$27+AY452*تنظیمات!$B$28+AZ452*تنظیمات!$B$29+BA452*تنظیمات!$B$30+BB452*تنظیمات!$B$31+BC452*تنظیمات!$B$32+BD452*تنظیمات!$B$33+BE452*تنظیمات!$B$34+BF452*تنظیمات!$B$35+BG452*تنظیمات!$B$36)</f>
        <v>0</v>
      </c>
      <c r="BI452" s="16" t="str">
        <f aca="false">IF(BH452&gt;=60,"بحرانی",IF(BH452&gt;=30,"مشکوک",IF(BH452&gt;0,"هشدار","عادی")))</f>
        <v>عادی</v>
      </c>
      <c r="BJ452" s="16" t="s">
        <v>338</v>
      </c>
    </row>
    <row r="453" customFormat="false" ht="15" hidden="false" customHeight="false" outlineLevel="0" collapsed="false">
      <c r="A453" s="16" t="s">
        <v>1810</v>
      </c>
      <c r="B453" s="16" t="s">
        <v>1227</v>
      </c>
      <c r="C453" s="16"/>
      <c r="D453" s="16" t="s">
        <v>386</v>
      </c>
      <c r="E453" s="16" t="s">
        <v>363</v>
      </c>
      <c r="F453" s="16" t="s">
        <v>333</v>
      </c>
      <c r="G453" s="17" t="n">
        <v>46287.3269097222</v>
      </c>
      <c r="H453" s="17" t="n">
        <v>46287.3491319444</v>
      </c>
      <c r="I453" s="18" t="n">
        <f aca="false">IF(H453="",ROUND((تنظیمات!$B$7-G453)*1440,0),ROUND((H453-G453)*1440,0))</f>
        <v>32</v>
      </c>
      <c r="J453" s="16" t="s">
        <v>334</v>
      </c>
      <c r="K453" s="16" t="s">
        <v>410</v>
      </c>
      <c r="L453" s="19" t="n">
        <v>0.989</v>
      </c>
      <c r="M453" s="19" t="n">
        <v>0.937</v>
      </c>
      <c r="N453" s="16" t="s">
        <v>335</v>
      </c>
      <c r="O453" s="16" t="s">
        <v>425</v>
      </c>
      <c r="P453" s="16" t="s">
        <v>402</v>
      </c>
      <c r="Q453" s="20" t="n">
        <v>46287</v>
      </c>
      <c r="R453" s="16" t="s">
        <v>1811</v>
      </c>
      <c r="S453" s="16" t="s">
        <v>404</v>
      </c>
      <c r="T453" s="17"/>
      <c r="U453" s="21" t="n">
        <v>1</v>
      </c>
      <c r="V453" s="21" t="n">
        <v>1</v>
      </c>
      <c r="W453" s="22" t="n">
        <v>5.5</v>
      </c>
      <c r="X453" s="16" t="s">
        <v>335</v>
      </c>
      <c r="Y453" s="16" t="s">
        <v>338</v>
      </c>
      <c r="Z453" s="16" t="s">
        <v>413</v>
      </c>
      <c r="AA453" s="16" t="s">
        <v>414</v>
      </c>
      <c r="AB453" s="23" t="s">
        <v>1812</v>
      </c>
      <c r="AC453" s="17" t="n">
        <v>46287.3488888889</v>
      </c>
      <c r="AD453" s="16" t="s">
        <v>338</v>
      </c>
      <c r="AE453" s="16"/>
      <c r="AF453" s="16" t="str">
        <f aca="false">IF(COUNTIF(لیست_سفید!$A$2:$A$21,B453)&gt;0,"بله","خیر")</f>
        <v>خیر</v>
      </c>
      <c r="AG453" s="24" t="n">
        <f aca="false">IF(H453="","",IF(AD453="فیش مفقودی",تنظیمات!$B$6,(INT(I453/1440)*تنظیمات!$B$5+IF(MOD(I453,1440)&lt;=تنظیمات!$B$2,0,MIN(تنظیمات!$B$5,تنظیمات!$B$3+MAX(0,ROUNDUP((MOD(I453,1440)-60)/60,0))*تنظیمات!$B$4)))*INDEX(تعرفه!$B$2:$B$7,MATCH(AD453,تعرفه!$A$2:$A$7,0))))</f>
        <v>20000</v>
      </c>
      <c r="AH453" s="24" t="n">
        <v>20000</v>
      </c>
      <c r="AI453" s="24" t="n">
        <f aca="false">IF(AG453="","",AH453-AG453)</f>
        <v>0</v>
      </c>
      <c r="AJ453" s="21" t="n">
        <v>3</v>
      </c>
      <c r="AK453" s="21" t="n">
        <v>0</v>
      </c>
      <c r="AL453" s="16" t="s">
        <v>335</v>
      </c>
      <c r="AM453" s="16"/>
      <c r="AN453" s="16" t="s">
        <v>340</v>
      </c>
      <c r="AO453" s="16" t="s">
        <v>340</v>
      </c>
      <c r="AP453" s="16" t="s">
        <v>335</v>
      </c>
      <c r="AQ453" s="16"/>
      <c r="AR453" s="21" t="n">
        <f aca="false">IF(AND(T453&lt;&gt;"",H453&lt;&gt;""),IF(AND((T453-H453)*86400&gt;=0,(T453-H453)*86400&lt;تنظیمات!$B$13),1,0),0)</f>
        <v>0</v>
      </c>
      <c r="AS453" s="21" t="n">
        <f aca="false">IF(Z453="پوز",IF(OR(AB453="",COUNTIF(پوزها!$A$2:$A$5,AA453)=0),1,0),0)</f>
        <v>0</v>
      </c>
      <c r="AT453" s="21" t="n">
        <f aca="false">IF(AI453="",0,IF(AI453&gt;0,1,0))</f>
        <v>0</v>
      </c>
      <c r="AU453" s="21" t="n">
        <f aca="false">IF(AI453="",0,IF(AI453&lt;0,1,0))</f>
        <v>0</v>
      </c>
      <c r="AV453" s="21" t="n">
        <f aca="false">IF(U453&gt;V453,1,0)</f>
        <v>0</v>
      </c>
      <c r="AW453" s="21" t="n">
        <f aca="false">IF(OR(W453&gt;تنظیمات!$B$8,X453="بله"),1,0)</f>
        <v>0</v>
      </c>
      <c r="AX453" s="21" t="n">
        <f aca="false">IF(AND(N453="بله",L453&gt;تنظیمات!$B$9),1,0)</f>
        <v>0</v>
      </c>
      <c r="AY453" s="21" t="n">
        <f aca="false">IF(Y453="معکوس",1,0)</f>
        <v>0</v>
      </c>
      <c r="AZ453" s="21" t="n">
        <f aca="false">IF(ABS(AJ453)&gt;تنظیمات!$B$10,1,0)</f>
        <v>0</v>
      </c>
      <c r="BA453" s="21" t="n">
        <f aca="false">IF(AND(OR(AD453="رایگان/VIP",AD453="جانباز"),AF453="خیر"),1,0)</f>
        <v>0</v>
      </c>
      <c r="BB453" s="21" t="n">
        <f aca="false">IF(AE453="",0,IF(COUNTIF($AE$2:$AE$1001,AE453)&gt;1,1,0))</f>
        <v>0</v>
      </c>
      <c r="BC453" s="21" t="n">
        <f aca="false">IF(AND(H453="",I453&gt;تنظیمات!$B$12*60,AM453="خالی"),1,0)</f>
        <v>0</v>
      </c>
      <c r="BD453" s="21" t="n">
        <f aca="false">IF(AND(AP453="بله",I453&lt;تنظیمات!$B$14,AO453="خیر"),1,0)</f>
        <v>0</v>
      </c>
      <c r="BE453" s="21" t="n">
        <f aca="false">IF(AN453="خیر",1,0)</f>
        <v>0</v>
      </c>
      <c r="BF453" s="21" t="n">
        <f aca="false">IF(AND(AD453="فیش مفقودی",AQ453="بله",I453&gt;تنظیمات!$B$12*60),1,0)</f>
        <v>0</v>
      </c>
      <c r="BG453" s="21" t="n">
        <f aca="false">IF(AND(AK453&gt;تنظیمات!$B$11,AL453="بله"),1,0)</f>
        <v>0</v>
      </c>
      <c r="BH453" s="21" t="n">
        <f aca="false">MIN(100,AR453*تنظیمات!$B$21+AS453*تنظیمات!$B$22+AT453*تنظیمات!$B$23+AU453*تنظیمات!$B$24+AV453*تنظیمات!$B$25+AW453*تنظیمات!$B$26+AX453*تنظیمات!$B$27+AY453*تنظیمات!$B$28+AZ453*تنظیمات!$B$29+BA453*تنظیمات!$B$30+BB453*تنظیمات!$B$31+BC453*تنظیمات!$B$32+BD453*تنظیمات!$B$33+BE453*تنظیمات!$B$34+BF453*تنظیمات!$B$35+BG453*تنظیمات!$B$36)</f>
        <v>0</v>
      </c>
      <c r="BI453" s="16" t="str">
        <f aca="false">IF(BH453&gt;=60,"بحرانی",IF(BH453&gt;=30,"مشکوک",IF(BH453&gt;0,"هشدار","عادی")))</f>
        <v>عادی</v>
      </c>
      <c r="BJ453" s="16" t="s">
        <v>338</v>
      </c>
    </row>
    <row r="454" customFormat="false" ht="15" hidden="false" customHeight="false" outlineLevel="0" collapsed="false">
      <c r="A454" s="16" t="s">
        <v>1813</v>
      </c>
      <c r="B454" s="16" t="s">
        <v>936</v>
      </c>
      <c r="C454" s="16"/>
      <c r="D454" s="16" t="s">
        <v>440</v>
      </c>
      <c r="E454" s="16" t="s">
        <v>332</v>
      </c>
      <c r="F454" s="16" t="s">
        <v>359</v>
      </c>
      <c r="G454" s="17" t="n">
        <v>46287.3337268519</v>
      </c>
      <c r="H454" s="17" t="n">
        <v>46287.363587963</v>
      </c>
      <c r="I454" s="18" t="n">
        <f aca="false">IF(H454="",ROUND((تنظیمات!$B$7-G454)*1440,0),ROUND((H454-G454)*1440,0))</f>
        <v>43</v>
      </c>
      <c r="J454" s="16" t="s">
        <v>346</v>
      </c>
      <c r="K454" s="16" t="s">
        <v>400</v>
      </c>
      <c r="L454" s="19" t="n">
        <v>0.897</v>
      </c>
      <c r="M454" s="19" t="n">
        <v>0.957</v>
      </c>
      <c r="N454" s="16" t="s">
        <v>335</v>
      </c>
      <c r="O454" s="16" t="s">
        <v>677</v>
      </c>
      <c r="P454" s="16" t="s">
        <v>402</v>
      </c>
      <c r="Q454" s="20" t="n">
        <v>46287</v>
      </c>
      <c r="R454" s="16" t="s">
        <v>1814</v>
      </c>
      <c r="S454" s="16" t="s">
        <v>404</v>
      </c>
      <c r="T454" s="17"/>
      <c r="U454" s="21" t="n">
        <v>1</v>
      </c>
      <c r="V454" s="21" t="n">
        <v>1</v>
      </c>
      <c r="W454" s="22" t="n">
        <v>2.5</v>
      </c>
      <c r="X454" s="16" t="s">
        <v>335</v>
      </c>
      <c r="Y454" s="16" t="s">
        <v>338</v>
      </c>
      <c r="Z454" s="16" t="s">
        <v>413</v>
      </c>
      <c r="AA454" s="16" t="s">
        <v>427</v>
      </c>
      <c r="AB454" s="23" t="s">
        <v>1815</v>
      </c>
      <c r="AC454" s="17" t="n">
        <v>46287.3627777778</v>
      </c>
      <c r="AD454" s="16" t="s">
        <v>338</v>
      </c>
      <c r="AE454" s="16"/>
      <c r="AF454" s="16" t="str">
        <f aca="false">IF(COUNTIF(لیست_سفید!$A$2:$A$21,B454)&gt;0,"بله","خیر")</f>
        <v>خیر</v>
      </c>
      <c r="AG454" s="24" t="n">
        <f aca="false">IF(H454="","",IF(AD454="فیش مفقودی",تنظیمات!$B$6,(INT(I454/1440)*تنظیمات!$B$5+IF(MOD(I454,1440)&lt;=تنظیمات!$B$2,0,MIN(تنظیمات!$B$5,تنظیمات!$B$3+MAX(0,ROUNDUP((MOD(I454,1440)-60)/60,0))*تنظیمات!$B$4)))*INDEX(تعرفه!$B$2:$B$7,MATCH(AD454,تعرفه!$A$2:$A$7,0))))</f>
        <v>20000</v>
      </c>
      <c r="AH454" s="24" t="n">
        <v>20000</v>
      </c>
      <c r="AI454" s="24" t="n">
        <f aca="false">IF(AG454="","",AH454-AG454)</f>
        <v>0</v>
      </c>
      <c r="AJ454" s="21" t="n">
        <v>-1</v>
      </c>
      <c r="AK454" s="21" t="n">
        <v>0</v>
      </c>
      <c r="AL454" s="16" t="s">
        <v>335</v>
      </c>
      <c r="AM454" s="16"/>
      <c r="AN454" s="16" t="s">
        <v>340</v>
      </c>
      <c r="AO454" s="16" t="s">
        <v>340</v>
      </c>
      <c r="AP454" s="16" t="s">
        <v>335</v>
      </c>
      <c r="AQ454" s="16"/>
      <c r="AR454" s="21" t="n">
        <f aca="false">IF(AND(T454&lt;&gt;"",H454&lt;&gt;""),IF(AND((T454-H454)*86400&gt;=0,(T454-H454)*86400&lt;تنظیمات!$B$13),1,0),0)</f>
        <v>0</v>
      </c>
      <c r="AS454" s="21" t="n">
        <f aca="false">IF(Z454="پوز",IF(OR(AB454="",COUNTIF(پوزها!$A$2:$A$5,AA454)=0),1,0),0)</f>
        <v>0</v>
      </c>
      <c r="AT454" s="21" t="n">
        <f aca="false">IF(AI454="",0,IF(AI454&gt;0,1,0))</f>
        <v>0</v>
      </c>
      <c r="AU454" s="21" t="n">
        <f aca="false">IF(AI454="",0,IF(AI454&lt;0,1,0))</f>
        <v>0</v>
      </c>
      <c r="AV454" s="21" t="n">
        <f aca="false">IF(U454&gt;V454,1,0)</f>
        <v>0</v>
      </c>
      <c r="AW454" s="21" t="n">
        <f aca="false">IF(OR(W454&gt;تنظیمات!$B$8,X454="بله"),1,0)</f>
        <v>0</v>
      </c>
      <c r="AX454" s="21" t="n">
        <f aca="false">IF(AND(N454="بله",L454&gt;تنظیمات!$B$9),1,0)</f>
        <v>0</v>
      </c>
      <c r="AY454" s="21" t="n">
        <f aca="false">IF(Y454="معکوس",1,0)</f>
        <v>0</v>
      </c>
      <c r="AZ454" s="21" t="n">
        <f aca="false">IF(ABS(AJ454)&gt;تنظیمات!$B$10,1,0)</f>
        <v>0</v>
      </c>
      <c r="BA454" s="21" t="n">
        <f aca="false">IF(AND(OR(AD454="رایگان/VIP",AD454="جانباز"),AF454="خیر"),1,0)</f>
        <v>0</v>
      </c>
      <c r="BB454" s="21" t="n">
        <f aca="false">IF(AE454="",0,IF(COUNTIF($AE$2:$AE$1001,AE454)&gt;1,1,0))</f>
        <v>0</v>
      </c>
      <c r="BC454" s="21" t="n">
        <f aca="false">IF(AND(H454="",I454&gt;تنظیمات!$B$12*60,AM454="خالی"),1,0)</f>
        <v>0</v>
      </c>
      <c r="BD454" s="21" t="n">
        <f aca="false">IF(AND(AP454="بله",I454&lt;تنظیمات!$B$14,AO454="خیر"),1,0)</f>
        <v>0</v>
      </c>
      <c r="BE454" s="21" t="n">
        <f aca="false">IF(AN454="خیر",1,0)</f>
        <v>0</v>
      </c>
      <c r="BF454" s="21" t="n">
        <f aca="false">IF(AND(AD454="فیش مفقودی",AQ454="بله",I454&gt;تنظیمات!$B$12*60),1,0)</f>
        <v>0</v>
      </c>
      <c r="BG454" s="21" t="n">
        <f aca="false">IF(AND(AK454&gt;تنظیمات!$B$11,AL454="بله"),1,0)</f>
        <v>0</v>
      </c>
      <c r="BH454" s="21" t="n">
        <f aca="false">MIN(100,AR454*تنظیمات!$B$21+AS454*تنظیمات!$B$22+AT454*تنظیمات!$B$23+AU454*تنظیمات!$B$24+AV454*تنظیمات!$B$25+AW454*تنظیمات!$B$26+AX454*تنظیمات!$B$27+AY454*تنظیمات!$B$28+AZ454*تنظیمات!$B$29+BA454*تنظیمات!$B$30+BB454*تنظیمات!$B$31+BC454*تنظیمات!$B$32+BD454*تنظیمات!$B$33+BE454*تنظیمات!$B$34+BF454*تنظیمات!$B$35+BG454*تنظیمات!$B$36)</f>
        <v>0</v>
      </c>
      <c r="BI454" s="16" t="str">
        <f aca="false">IF(BH454&gt;=60,"بحرانی",IF(BH454&gt;=30,"مشکوک",IF(BH454&gt;0,"هشدار","عادی")))</f>
        <v>عادی</v>
      </c>
      <c r="BJ454" s="16" t="s">
        <v>338</v>
      </c>
    </row>
    <row r="455" customFormat="false" ht="15" hidden="false" customHeight="false" outlineLevel="0" collapsed="false">
      <c r="A455" s="16" t="s">
        <v>1816</v>
      </c>
      <c r="B455" s="16" t="s">
        <v>1817</v>
      </c>
      <c r="C455" s="16"/>
      <c r="D455" s="16" t="s">
        <v>523</v>
      </c>
      <c r="E455" s="16" t="s">
        <v>363</v>
      </c>
      <c r="F455" s="16" t="s">
        <v>333</v>
      </c>
      <c r="G455" s="17" t="n">
        <v>46287.3382175926</v>
      </c>
      <c r="H455" s="17" t="n">
        <v>46287.4305787037</v>
      </c>
      <c r="I455" s="18" t="n">
        <f aca="false">IF(H455="",ROUND((تنظیمات!$B$7-G455)*1440,0),ROUND((H455-G455)*1440,0))</f>
        <v>133</v>
      </c>
      <c r="J455" s="16" t="s">
        <v>334</v>
      </c>
      <c r="K455" s="16" t="s">
        <v>410</v>
      </c>
      <c r="L455" s="19" t="n">
        <v>0.942</v>
      </c>
      <c r="M455" s="19" t="n">
        <v>0.917</v>
      </c>
      <c r="N455" s="16" t="s">
        <v>335</v>
      </c>
      <c r="O455" s="16" t="s">
        <v>425</v>
      </c>
      <c r="P455" s="16" t="s">
        <v>402</v>
      </c>
      <c r="Q455" s="20" t="n">
        <v>46287</v>
      </c>
      <c r="R455" s="16" t="s">
        <v>1818</v>
      </c>
      <c r="S455" s="16" t="s">
        <v>404</v>
      </c>
      <c r="T455" s="17"/>
      <c r="U455" s="21" t="n">
        <v>1</v>
      </c>
      <c r="V455" s="21" t="n">
        <v>1</v>
      </c>
      <c r="W455" s="22" t="n">
        <v>7.7</v>
      </c>
      <c r="X455" s="16" t="s">
        <v>335</v>
      </c>
      <c r="Y455" s="16" t="s">
        <v>338</v>
      </c>
      <c r="Z455" s="16" t="s">
        <v>413</v>
      </c>
      <c r="AA455" s="16" t="s">
        <v>414</v>
      </c>
      <c r="AB455" s="23" t="s">
        <v>1819</v>
      </c>
      <c r="AC455" s="17" t="n">
        <v>46287.4301041667</v>
      </c>
      <c r="AD455" s="16" t="s">
        <v>338</v>
      </c>
      <c r="AE455" s="16"/>
      <c r="AF455" s="16" t="str">
        <f aca="false">IF(COUNTIF(لیست_سفید!$A$2:$A$21,B455)&gt;0,"بله","خیر")</f>
        <v>خیر</v>
      </c>
      <c r="AG455" s="24" t="n">
        <f aca="false">IF(H455="","",IF(AD455="فیش مفقودی",تنظیمات!$B$6,(INT(I455/1440)*تنظیمات!$B$5+IF(MOD(I455,1440)&lt;=تنظیمات!$B$2,0,MIN(تنظیمات!$B$5,تنظیمات!$B$3+MAX(0,ROUNDUP((MOD(I455,1440)-60)/60,0))*تنظیمات!$B$4)))*INDEX(تعرفه!$B$2:$B$7,MATCH(AD455,تعرفه!$A$2:$A$7,0))))</f>
        <v>48000</v>
      </c>
      <c r="AH455" s="24" t="n">
        <v>48000</v>
      </c>
      <c r="AI455" s="24" t="n">
        <f aca="false">IF(AG455="","",AH455-AG455)</f>
        <v>0</v>
      </c>
      <c r="AJ455" s="21" t="n">
        <v>0</v>
      </c>
      <c r="AK455" s="21" t="n">
        <v>0</v>
      </c>
      <c r="AL455" s="16" t="s">
        <v>335</v>
      </c>
      <c r="AM455" s="16"/>
      <c r="AN455" s="16" t="s">
        <v>340</v>
      </c>
      <c r="AO455" s="16" t="s">
        <v>340</v>
      </c>
      <c r="AP455" s="16" t="s">
        <v>335</v>
      </c>
      <c r="AQ455" s="16"/>
      <c r="AR455" s="21" t="n">
        <f aca="false">IF(AND(T455&lt;&gt;"",H455&lt;&gt;""),IF(AND((T455-H455)*86400&gt;=0,(T455-H455)*86400&lt;تنظیمات!$B$13),1,0),0)</f>
        <v>0</v>
      </c>
      <c r="AS455" s="21" t="n">
        <f aca="false">IF(Z455="پوز",IF(OR(AB455="",COUNTIF(پوزها!$A$2:$A$5,AA455)=0),1,0),0)</f>
        <v>0</v>
      </c>
      <c r="AT455" s="21" t="n">
        <f aca="false">IF(AI455="",0,IF(AI455&gt;0,1,0))</f>
        <v>0</v>
      </c>
      <c r="AU455" s="21" t="n">
        <f aca="false">IF(AI455="",0,IF(AI455&lt;0,1,0))</f>
        <v>0</v>
      </c>
      <c r="AV455" s="21" t="n">
        <f aca="false">IF(U455&gt;V455,1,0)</f>
        <v>0</v>
      </c>
      <c r="AW455" s="21" t="n">
        <f aca="false">IF(OR(W455&gt;تنظیمات!$B$8,X455="بله"),1,0)</f>
        <v>0</v>
      </c>
      <c r="AX455" s="21" t="n">
        <f aca="false">IF(AND(N455="بله",L455&gt;تنظیمات!$B$9),1,0)</f>
        <v>0</v>
      </c>
      <c r="AY455" s="21" t="n">
        <f aca="false">IF(Y455="معکوس",1,0)</f>
        <v>0</v>
      </c>
      <c r="AZ455" s="21" t="n">
        <f aca="false">IF(ABS(AJ455)&gt;تنظیمات!$B$10,1,0)</f>
        <v>0</v>
      </c>
      <c r="BA455" s="21" t="n">
        <f aca="false">IF(AND(OR(AD455="رایگان/VIP",AD455="جانباز"),AF455="خیر"),1,0)</f>
        <v>0</v>
      </c>
      <c r="BB455" s="21" t="n">
        <f aca="false">IF(AE455="",0,IF(COUNTIF($AE$2:$AE$1001,AE455)&gt;1,1,0))</f>
        <v>0</v>
      </c>
      <c r="BC455" s="21" t="n">
        <f aca="false">IF(AND(H455="",I455&gt;تنظیمات!$B$12*60,AM455="خالی"),1,0)</f>
        <v>0</v>
      </c>
      <c r="BD455" s="21" t="n">
        <f aca="false">IF(AND(AP455="بله",I455&lt;تنظیمات!$B$14,AO455="خیر"),1,0)</f>
        <v>0</v>
      </c>
      <c r="BE455" s="21" t="n">
        <f aca="false">IF(AN455="خیر",1,0)</f>
        <v>0</v>
      </c>
      <c r="BF455" s="21" t="n">
        <f aca="false">IF(AND(AD455="فیش مفقودی",AQ455="بله",I455&gt;تنظیمات!$B$12*60),1,0)</f>
        <v>0</v>
      </c>
      <c r="BG455" s="21" t="n">
        <f aca="false">IF(AND(AK455&gt;تنظیمات!$B$11,AL455="بله"),1,0)</f>
        <v>0</v>
      </c>
      <c r="BH455" s="21" t="n">
        <f aca="false">MIN(100,AR455*تنظیمات!$B$21+AS455*تنظیمات!$B$22+AT455*تنظیمات!$B$23+AU455*تنظیمات!$B$24+AV455*تنظیمات!$B$25+AW455*تنظیمات!$B$26+AX455*تنظیمات!$B$27+AY455*تنظیمات!$B$28+AZ455*تنظیمات!$B$29+BA455*تنظیمات!$B$30+BB455*تنظیمات!$B$31+BC455*تنظیمات!$B$32+BD455*تنظیمات!$B$33+BE455*تنظیمات!$B$34+BF455*تنظیمات!$B$35+BG455*تنظیمات!$B$36)</f>
        <v>0</v>
      </c>
      <c r="BI455" s="16" t="str">
        <f aca="false">IF(BH455&gt;=60,"بحرانی",IF(BH455&gt;=30,"مشکوک",IF(BH455&gt;0,"هشدار","عادی")))</f>
        <v>عادی</v>
      </c>
      <c r="BJ455" s="16" t="s">
        <v>338</v>
      </c>
    </row>
    <row r="456" customFormat="false" ht="15" hidden="false" customHeight="false" outlineLevel="0" collapsed="false">
      <c r="A456" s="16" t="s">
        <v>1820</v>
      </c>
      <c r="B456" s="16" t="s">
        <v>1821</v>
      </c>
      <c r="C456" s="16"/>
      <c r="D456" s="16" t="s">
        <v>418</v>
      </c>
      <c r="E456" s="16" t="s">
        <v>345</v>
      </c>
      <c r="F456" s="16" t="s">
        <v>333</v>
      </c>
      <c r="G456" s="17" t="n">
        <v>46287.3460648148</v>
      </c>
      <c r="H456" s="17" t="n">
        <v>46287.5168981482</v>
      </c>
      <c r="I456" s="18" t="n">
        <f aca="false">IF(H456="",ROUND((تنظیمات!$B$7-G456)*1440,0),ROUND((H456-G456)*1440,0))</f>
        <v>246</v>
      </c>
      <c r="J456" s="16" t="s">
        <v>346</v>
      </c>
      <c r="K456" s="16" t="s">
        <v>400</v>
      </c>
      <c r="L456" s="19" t="n">
        <v>0.995</v>
      </c>
      <c r="M456" s="19" t="n">
        <v>0.941</v>
      </c>
      <c r="N456" s="16" t="s">
        <v>335</v>
      </c>
      <c r="O456" s="16" t="s">
        <v>677</v>
      </c>
      <c r="P456" s="16" t="s">
        <v>402</v>
      </c>
      <c r="Q456" s="20" t="n">
        <v>46287</v>
      </c>
      <c r="R456" s="16" t="s">
        <v>1822</v>
      </c>
      <c r="S456" s="16" t="s">
        <v>404</v>
      </c>
      <c r="T456" s="17"/>
      <c r="U456" s="21" t="n">
        <v>1</v>
      </c>
      <c r="V456" s="21" t="n">
        <v>1</v>
      </c>
      <c r="W456" s="22" t="n">
        <v>5.9</v>
      </c>
      <c r="X456" s="16" t="s">
        <v>335</v>
      </c>
      <c r="Y456" s="16" t="s">
        <v>338</v>
      </c>
      <c r="Z456" s="16" t="s">
        <v>413</v>
      </c>
      <c r="AA456" s="16" t="s">
        <v>427</v>
      </c>
      <c r="AB456" s="23" t="s">
        <v>1823</v>
      </c>
      <c r="AC456" s="17" t="n">
        <v>46287.516412037</v>
      </c>
      <c r="AD456" s="16" t="s">
        <v>338</v>
      </c>
      <c r="AE456" s="16"/>
      <c r="AF456" s="16" t="str">
        <f aca="false">IF(COUNTIF(لیست_سفید!$A$2:$A$21,B456)&gt;0,"بله","خیر")</f>
        <v>خیر</v>
      </c>
      <c r="AG456" s="24" t="n">
        <f aca="false">IF(H456="","",IF(AD456="فیش مفقودی",تنظیمات!$B$6,(INT(I456/1440)*تنظیمات!$B$5+IF(MOD(I456,1440)&lt;=تنظیمات!$B$2,0,MIN(تنظیمات!$B$5,تنظیمات!$B$3+MAX(0,ROUNDUP((MOD(I456,1440)-60)/60,0))*تنظیمات!$B$4)))*INDEX(تعرفه!$B$2:$B$7,MATCH(AD456,تعرفه!$A$2:$A$7,0))))</f>
        <v>76000</v>
      </c>
      <c r="AH456" s="24" t="n">
        <v>76000</v>
      </c>
      <c r="AI456" s="24" t="n">
        <f aca="false">IF(AG456="","",AH456-AG456)</f>
        <v>0</v>
      </c>
      <c r="AJ456" s="21" t="n">
        <v>0</v>
      </c>
      <c r="AK456" s="21" t="n">
        <v>0</v>
      </c>
      <c r="AL456" s="16" t="s">
        <v>335</v>
      </c>
      <c r="AM456" s="16"/>
      <c r="AN456" s="16" t="s">
        <v>340</v>
      </c>
      <c r="AO456" s="16" t="s">
        <v>340</v>
      </c>
      <c r="AP456" s="16" t="s">
        <v>335</v>
      </c>
      <c r="AQ456" s="16"/>
      <c r="AR456" s="21" t="n">
        <f aca="false">IF(AND(T456&lt;&gt;"",H456&lt;&gt;""),IF(AND((T456-H456)*86400&gt;=0,(T456-H456)*86400&lt;تنظیمات!$B$13),1,0),0)</f>
        <v>0</v>
      </c>
      <c r="AS456" s="21" t="n">
        <f aca="false">IF(Z456="پوز",IF(OR(AB456="",COUNTIF(پوزها!$A$2:$A$5,AA456)=0),1,0),0)</f>
        <v>0</v>
      </c>
      <c r="AT456" s="21" t="n">
        <f aca="false">IF(AI456="",0,IF(AI456&gt;0,1,0))</f>
        <v>0</v>
      </c>
      <c r="AU456" s="21" t="n">
        <f aca="false">IF(AI456="",0,IF(AI456&lt;0,1,0))</f>
        <v>0</v>
      </c>
      <c r="AV456" s="21" t="n">
        <f aca="false">IF(U456&gt;V456,1,0)</f>
        <v>0</v>
      </c>
      <c r="AW456" s="21" t="n">
        <f aca="false">IF(OR(W456&gt;تنظیمات!$B$8,X456="بله"),1,0)</f>
        <v>0</v>
      </c>
      <c r="AX456" s="21" t="n">
        <f aca="false">IF(AND(N456="بله",L456&gt;تنظیمات!$B$9),1,0)</f>
        <v>0</v>
      </c>
      <c r="AY456" s="21" t="n">
        <f aca="false">IF(Y456="معکوس",1,0)</f>
        <v>0</v>
      </c>
      <c r="AZ456" s="21" t="n">
        <f aca="false">IF(ABS(AJ456)&gt;تنظیمات!$B$10,1,0)</f>
        <v>0</v>
      </c>
      <c r="BA456" s="21" t="n">
        <f aca="false">IF(AND(OR(AD456="رایگان/VIP",AD456="جانباز"),AF456="خیر"),1,0)</f>
        <v>0</v>
      </c>
      <c r="BB456" s="21" t="n">
        <f aca="false">IF(AE456="",0,IF(COUNTIF($AE$2:$AE$1001,AE456)&gt;1,1,0))</f>
        <v>0</v>
      </c>
      <c r="BC456" s="21" t="n">
        <f aca="false">IF(AND(H456="",I456&gt;تنظیمات!$B$12*60,AM456="خالی"),1,0)</f>
        <v>0</v>
      </c>
      <c r="BD456" s="21" t="n">
        <f aca="false">IF(AND(AP456="بله",I456&lt;تنظیمات!$B$14,AO456="خیر"),1,0)</f>
        <v>0</v>
      </c>
      <c r="BE456" s="21" t="n">
        <f aca="false">IF(AN456="خیر",1,0)</f>
        <v>0</v>
      </c>
      <c r="BF456" s="21" t="n">
        <f aca="false">IF(AND(AD456="فیش مفقودی",AQ456="بله",I456&gt;تنظیمات!$B$12*60),1,0)</f>
        <v>0</v>
      </c>
      <c r="BG456" s="21" t="n">
        <f aca="false">IF(AND(AK456&gt;تنظیمات!$B$11,AL456="بله"),1,0)</f>
        <v>0</v>
      </c>
      <c r="BH456" s="21" t="n">
        <f aca="false">MIN(100,AR456*تنظیمات!$B$21+AS456*تنظیمات!$B$22+AT456*تنظیمات!$B$23+AU456*تنظیمات!$B$24+AV456*تنظیمات!$B$25+AW456*تنظیمات!$B$26+AX456*تنظیمات!$B$27+AY456*تنظیمات!$B$28+AZ456*تنظیمات!$B$29+BA456*تنظیمات!$B$30+BB456*تنظیمات!$B$31+BC456*تنظیمات!$B$32+BD456*تنظیمات!$B$33+BE456*تنظیمات!$B$34+BF456*تنظیمات!$B$35+BG456*تنظیمات!$B$36)</f>
        <v>0</v>
      </c>
      <c r="BI456" s="16" t="str">
        <f aca="false">IF(BH456&gt;=60,"بحرانی",IF(BH456&gt;=30,"مشکوک",IF(BH456&gt;0,"هشدار","عادی")))</f>
        <v>عادی</v>
      </c>
      <c r="BJ456" s="16" t="s">
        <v>338</v>
      </c>
    </row>
    <row r="457" customFormat="false" ht="15" hidden="false" customHeight="false" outlineLevel="0" collapsed="false">
      <c r="A457" s="16" t="s">
        <v>1824</v>
      </c>
      <c r="B457" s="16" t="s">
        <v>409</v>
      </c>
      <c r="C457" s="16"/>
      <c r="D457" s="16" t="s">
        <v>382</v>
      </c>
      <c r="E457" s="16" t="s">
        <v>363</v>
      </c>
      <c r="F457" s="16" t="s">
        <v>333</v>
      </c>
      <c r="G457" s="17" t="n">
        <v>46287.3531018519</v>
      </c>
      <c r="H457" s="17" t="n">
        <v>46287.4287962963</v>
      </c>
      <c r="I457" s="18" t="n">
        <f aca="false">IF(H457="",ROUND((تنظیمات!$B$7-G457)*1440,0),ROUND((H457-G457)*1440,0))</f>
        <v>109</v>
      </c>
      <c r="J457" s="16" t="s">
        <v>334</v>
      </c>
      <c r="K457" s="16" t="s">
        <v>410</v>
      </c>
      <c r="L457" s="19" t="n">
        <v>0.942</v>
      </c>
      <c r="M457" s="19" t="n">
        <v>0.842</v>
      </c>
      <c r="N457" s="16" t="s">
        <v>335</v>
      </c>
      <c r="O457" s="16" t="s">
        <v>425</v>
      </c>
      <c r="P457" s="16" t="s">
        <v>402</v>
      </c>
      <c r="Q457" s="20" t="n">
        <v>46287</v>
      </c>
      <c r="R457" s="16" t="s">
        <v>1825</v>
      </c>
      <c r="S457" s="16" t="s">
        <v>404</v>
      </c>
      <c r="T457" s="17"/>
      <c r="U457" s="21" t="n">
        <v>1</v>
      </c>
      <c r="V457" s="21" t="n">
        <v>1</v>
      </c>
      <c r="W457" s="22" t="n">
        <v>7.6</v>
      </c>
      <c r="X457" s="16" t="s">
        <v>335</v>
      </c>
      <c r="Y457" s="16" t="s">
        <v>338</v>
      </c>
      <c r="Z457" s="16" t="s">
        <v>413</v>
      </c>
      <c r="AA457" s="16" t="s">
        <v>414</v>
      </c>
      <c r="AB457" s="23" t="s">
        <v>1826</v>
      </c>
      <c r="AC457" s="17" t="n">
        <v>46287.4280787037</v>
      </c>
      <c r="AD457" s="16" t="s">
        <v>338</v>
      </c>
      <c r="AE457" s="16"/>
      <c r="AF457" s="16" t="str">
        <f aca="false">IF(COUNTIF(لیست_سفید!$A$2:$A$21,B457)&gt;0,"بله","خیر")</f>
        <v>خیر</v>
      </c>
      <c r="AG457" s="24" t="n">
        <f aca="false">IF(H457="","",IF(AD457="فیش مفقودی",تنظیمات!$B$6,(INT(I457/1440)*تنظیمات!$B$5+IF(MOD(I457,1440)&lt;=تنظیمات!$B$2,0,MIN(تنظیمات!$B$5,تنظیمات!$B$3+MAX(0,ROUNDUP((MOD(I457,1440)-60)/60,0))*تنظیمات!$B$4)))*INDEX(تعرفه!$B$2:$B$7,MATCH(AD457,تعرفه!$A$2:$A$7,0))))</f>
        <v>34000</v>
      </c>
      <c r="AH457" s="24" t="n">
        <v>34000</v>
      </c>
      <c r="AI457" s="24" t="n">
        <f aca="false">IF(AG457="","",AH457-AG457)</f>
        <v>0</v>
      </c>
      <c r="AJ457" s="21" t="n">
        <v>2</v>
      </c>
      <c r="AK457" s="21" t="n">
        <v>0</v>
      </c>
      <c r="AL457" s="16" t="s">
        <v>335</v>
      </c>
      <c r="AM457" s="16"/>
      <c r="AN457" s="16" t="s">
        <v>340</v>
      </c>
      <c r="AO457" s="16" t="s">
        <v>340</v>
      </c>
      <c r="AP457" s="16" t="s">
        <v>335</v>
      </c>
      <c r="AQ457" s="16"/>
      <c r="AR457" s="21" t="n">
        <f aca="false">IF(AND(T457&lt;&gt;"",H457&lt;&gt;""),IF(AND((T457-H457)*86400&gt;=0,(T457-H457)*86400&lt;تنظیمات!$B$13),1,0),0)</f>
        <v>0</v>
      </c>
      <c r="AS457" s="21" t="n">
        <f aca="false">IF(Z457="پوز",IF(OR(AB457="",COUNTIF(پوزها!$A$2:$A$5,AA457)=0),1,0),0)</f>
        <v>0</v>
      </c>
      <c r="AT457" s="21" t="n">
        <f aca="false">IF(AI457="",0,IF(AI457&gt;0,1,0))</f>
        <v>0</v>
      </c>
      <c r="AU457" s="21" t="n">
        <f aca="false">IF(AI457="",0,IF(AI457&lt;0,1,0))</f>
        <v>0</v>
      </c>
      <c r="AV457" s="21" t="n">
        <f aca="false">IF(U457&gt;V457,1,0)</f>
        <v>0</v>
      </c>
      <c r="AW457" s="21" t="n">
        <f aca="false">IF(OR(W457&gt;تنظیمات!$B$8,X457="بله"),1,0)</f>
        <v>0</v>
      </c>
      <c r="AX457" s="21" t="n">
        <f aca="false">IF(AND(N457="بله",L457&gt;تنظیمات!$B$9),1,0)</f>
        <v>0</v>
      </c>
      <c r="AY457" s="21" t="n">
        <f aca="false">IF(Y457="معکوس",1,0)</f>
        <v>0</v>
      </c>
      <c r="AZ457" s="21" t="n">
        <f aca="false">IF(ABS(AJ457)&gt;تنظیمات!$B$10,1,0)</f>
        <v>0</v>
      </c>
      <c r="BA457" s="21" t="n">
        <f aca="false">IF(AND(OR(AD457="رایگان/VIP",AD457="جانباز"),AF457="خیر"),1,0)</f>
        <v>0</v>
      </c>
      <c r="BB457" s="21" t="n">
        <f aca="false">IF(AE457="",0,IF(COUNTIF($AE$2:$AE$1001,AE457)&gt;1,1,0))</f>
        <v>0</v>
      </c>
      <c r="BC457" s="21" t="n">
        <f aca="false">IF(AND(H457="",I457&gt;تنظیمات!$B$12*60,AM457="خالی"),1,0)</f>
        <v>0</v>
      </c>
      <c r="BD457" s="21" t="n">
        <f aca="false">IF(AND(AP457="بله",I457&lt;تنظیمات!$B$14,AO457="خیر"),1,0)</f>
        <v>0</v>
      </c>
      <c r="BE457" s="21" t="n">
        <f aca="false">IF(AN457="خیر",1,0)</f>
        <v>0</v>
      </c>
      <c r="BF457" s="21" t="n">
        <f aca="false">IF(AND(AD457="فیش مفقودی",AQ457="بله",I457&gt;تنظیمات!$B$12*60),1,0)</f>
        <v>0</v>
      </c>
      <c r="BG457" s="21" t="n">
        <f aca="false">IF(AND(AK457&gt;تنظیمات!$B$11,AL457="بله"),1,0)</f>
        <v>0</v>
      </c>
      <c r="BH457" s="21" t="n">
        <f aca="false">MIN(100,AR457*تنظیمات!$B$21+AS457*تنظیمات!$B$22+AT457*تنظیمات!$B$23+AU457*تنظیمات!$B$24+AV457*تنظیمات!$B$25+AW457*تنظیمات!$B$26+AX457*تنظیمات!$B$27+AY457*تنظیمات!$B$28+AZ457*تنظیمات!$B$29+BA457*تنظیمات!$B$30+BB457*تنظیمات!$B$31+BC457*تنظیمات!$B$32+BD457*تنظیمات!$B$33+BE457*تنظیمات!$B$34+BF457*تنظیمات!$B$35+BG457*تنظیمات!$B$36)</f>
        <v>0</v>
      </c>
      <c r="BI457" s="16" t="str">
        <f aca="false">IF(BH457&gt;=60,"بحرانی",IF(BH457&gt;=30,"مشکوک",IF(BH457&gt;0,"هشدار","عادی")))</f>
        <v>عادی</v>
      </c>
      <c r="BJ457" s="16" t="s">
        <v>338</v>
      </c>
    </row>
    <row r="458" customFormat="false" ht="15" hidden="false" customHeight="false" outlineLevel="0" collapsed="false">
      <c r="A458" s="16" t="s">
        <v>1827</v>
      </c>
      <c r="B458" s="16" t="s">
        <v>1828</v>
      </c>
      <c r="C458" s="16"/>
      <c r="D458" s="16" t="s">
        <v>523</v>
      </c>
      <c r="E458" s="16" t="s">
        <v>332</v>
      </c>
      <c r="F458" s="16" t="s">
        <v>333</v>
      </c>
      <c r="G458" s="17" t="n">
        <v>46287.3742013889</v>
      </c>
      <c r="H458" s="17" t="n">
        <v>46287.7123958333</v>
      </c>
      <c r="I458" s="18" t="n">
        <f aca="false">IF(H458="",ROUND((تنظیمات!$B$7-G458)*1440,0),ROUND((H458-G458)*1440,0))</f>
        <v>487</v>
      </c>
      <c r="J458" s="16" t="s">
        <v>334</v>
      </c>
      <c r="K458" s="16" t="s">
        <v>410</v>
      </c>
      <c r="L458" s="19" t="n">
        <v>0.905</v>
      </c>
      <c r="M458" s="19" t="n">
        <v>0.97</v>
      </c>
      <c r="N458" s="16" t="s">
        <v>335</v>
      </c>
      <c r="O458" s="16" t="s">
        <v>411</v>
      </c>
      <c r="P458" s="16" t="s">
        <v>420</v>
      </c>
      <c r="Q458" s="20" t="n">
        <v>46287</v>
      </c>
      <c r="R458" s="16" t="s">
        <v>1829</v>
      </c>
      <c r="S458" s="16" t="s">
        <v>404</v>
      </c>
      <c r="T458" s="17"/>
      <c r="U458" s="21" t="n">
        <v>1</v>
      </c>
      <c r="V458" s="21" t="n">
        <v>1</v>
      </c>
      <c r="W458" s="22" t="n">
        <v>6</v>
      </c>
      <c r="X458" s="16" t="s">
        <v>335</v>
      </c>
      <c r="Y458" s="16" t="s">
        <v>338</v>
      </c>
      <c r="Z458" s="16" t="s">
        <v>465</v>
      </c>
      <c r="AA458" s="16"/>
      <c r="AB458" s="23"/>
      <c r="AC458" s="17"/>
      <c r="AD458" s="16" t="s">
        <v>602</v>
      </c>
      <c r="AE458" s="16"/>
      <c r="AF458" s="16" t="str">
        <f aca="false">IF(COUNTIF(لیست_سفید!$A$2:$A$21,B458)&gt;0,"بله","خیر")</f>
        <v>بله</v>
      </c>
      <c r="AG458" s="24" t="n">
        <f aca="false">IF(H458="","",IF(AD458="فیش مفقودی",تنظیمات!$B$6,(INT(I458/1440)*تنظیمات!$B$5+IF(MOD(I458,1440)&lt;=تنظیمات!$B$2,0,MIN(تنظیمات!$B$5,تنظیمات!$B$3+MAX(0,ROUNDUP((MOD(I458,1440)-60)/60,0))*تنظیمات!$B$4)))*INDEX(تعرفه!$B$2:$B$7,MATCH(AD458,تعرفه!$A$2:$A$7,0))))</f>
        <v>0</v>
      </c>
      <c r="AH458" s="24" t="n">
        <v>0</v>
      </c>
      <c r="AI458" s="24" t="n">
        <f aca="false">IF(AG458="","",AH458-AG458)</f>
        <v>0</v>
      </c>
      <c r="AJ458" s="21" t="n">
        <v>1</v>
      </c>
      <c r="AK458" s="21" t="n">
        <v>0</v>
      </c>
      <c r="AL458" s="16" t="s">
        <v>335</v>
      </c>
      <c r="AM458" s="16"/>
      <c r="AN458" s="16" t="s">
        <v>340</v>
      </c>
      <c r="AO458" s="16" t="s">
        <v>340</v>
      </c>
      <c r="AP458" s="16" t="s">
        <v>335</v>
      </c>
      <c r="AQ458" s="16"/>
      <c r="AR458" s="21" t="n">
        <f aca="false">IF(AND(T458&lt;&gt;"",H458&lt;&gt;""),IF(AND((T458-H458)*86400&gt;=0,(T458-H458)*86400&lt;تنظیمات!$B$13),1,0),0)</f>
        <v>0</v>
      </c>
      <c r="AS458" s="21" t="n">
        <f aca="false">IF(Z458="پوز",IF(OR(AB458="",COUNTIF(پوزها!$A$2:$A$5,AA458)=0),1,0),0)</f>
        <v>0</v>
      </c>
      <c r="AT458" s="21" t="n">
        <f aca="false">IF(AI458="",0,IF(AI458&gt;0,1,0))</f>
        <v>0</v>
      </c>
      <c r="AU458" s="21" t="n">
        <f aca="false">IF(AI458="",0,IF(AI458&lt;0,1,0))</f>
        <v>0</v>
      </c>
      <c r="AV458" s="21" t="n">
        <f aca="false">IF(U458&gt;V458,1,0)</f>
        <v>0</v>
      </c>
      <c r="AW458" s="21" t="n">
        <f aca="false">IF(OR(W458&gt;تنظیمات!$B$8,X458="بله"),1,0)</f>
        <v>0</v>
      </c>
      <c r="AX458" s="21" t="n">
        <f aca="false">IF(AND(N458="بله",L458&gt;تنظیمات!$B$9),1,0)</f>
        <v>0</v>
      </c>
      <c r="AY458" s="21" t="n">
        <f aca="false">IF(Y458="معکوس",1,0)</f>
        <v>0</v>
      </c>
      <c r="AZ458" s="21" t="n">
        <f aca="false">IF(ABS(AJ458)&gt;تنظیمات!$B$10,1,0)</f>
        <v>0</v>
      </c>
      <c r="BA458" s="21" t="n">
        <f aca="false">IF(AND(OR(AD458="رایگان/VIP",AD458="جانباز"),AF458="خیر"),1,0)</f>
        <v>0</v>
      </c>
      <c r="BB458" s="21" t="n">
        <f aca="false">IF(AE458="",0,IF(COUNTIF($AE$2:$AE$1001,AE458)&gt;1,1,0))</f>
        <v>0</v>
      </c>
      <c r="BC458" s="21" t="n">
        <f aca="false">IF(AND(H458="",I458&gt;تنظیمات!$B$12*60,AM458="خالی"),1,0)</f>
        <v>0</v>
      </c>
      <c r="BD458" s="21" t="n">
        <f aca="false">IF(AND(AP458="بله",I458&lt;تنظیمات!$B$14,AO458="خیر"),1,0)</f>
        <v>0</v>
      </c>
      <c r="BE458" s="21" t="n">
        <f aca="false">IF(AN458="خیر",1,0)</f>
        <v>0</v>
      </c>
      <c r="BF458" s="21" t="n">
        <f aca="false">IF(AND(AD458="فیش مفقودی",AQ458="بله",I458&gt;تنظیمات!$B$12*60),1,0)</f>
        <v>0</v>
      </c>
      <c r="BG458" s="21" t="n">
        <f aca="false">IF(AND(AK458&gt;تنظیمات!$B$11,AL458="بله"),1,0)</f>
        <v>0</v>
      </c>
      <c r="BH458" s="21" t="n">
        <f aca="false">MIN(100,AR458*تنظیمات!$B$21+AS458*تنظیمات!$B$22+AT458*تنظیمات!$B$23+AU458*تنظیمات!$B$24+AV458*تنظیمات!$B$25+AW458*تنظیمات!$B$26+AX458*تنظیمات!$B$27+AY458*تنظیمات!$B$28+AZ458*تنظیمات!$B$29+BA458*تنظیمات!$B$30+BB458*تنظیمات!$B$31+BC458*تنظیمات!$B$32+BD458*تنظیمات!$B$33+BE458*تنظیمات!$B$34+BF458*تنظیمات!$B$35+BG458*تنظیمات!$B$36)</f>
        <v>0</v>
      </c>
      <c r="BI458" s="16" t="str">
        <f aca="false">IF(BH458&gt;=60,"بحرانی",IF(BH458&gt;=30,"مشکوک",IF(BH458&gt;0,"هشدار","عادی")))</f>
        <v>عادی</v>
      </c>
      <c r="BJ458" s="16" t="s">
        <v>338</v>
      </c>
    </row>
    <row r="459" customFormat="false" ht="15" hidden="false" customHeight="false" outlineLevel="0" collapsed="false">
      <c r="A459" s="16" t="s">
        <v>1830</v>
      </c>
      <c r="B459" s="16" t="s">
        <v>1156</v>
      </c>
      <c r="C459" s="16"/>
      <c r="D459" s="16" t="s">
        <v>469</v>
      </c>
      <c r="E459" s="16" t="s">
        <v>351</v>
      </c>
      <c r="F459" s="16" t="s">
        <v>359</v>
      </c>
      <c r="G459" s="17" t="n">
        <v>46287.3767361111</v>
      </c>
      <c r="H459" s="17" t="n">
        <v>46287.4378472222</v>
      </c>
      <c r="I459" s="18" t="n">
        <f aca="false">IF(H459="",ROUND((تنظیمات!$B$7-G459)*1440,0),ROUND((H459-G459)*1440,0))</f>
        <v>88</v>
      </c>
      <c r="J459" s="16" t="s">
        <v>334</v>
      </c>
      <c r="K459" s="16" t="s">
        <v>400</v>
      </c>
      <c r="L459" s="19" t="n">
        <v>0.96</v>
      </c>
      <c r="M459" s="19" t="n">
        <v>0.961</v>
      </c>
      <c r="N459" s="16" t="s">
        <v>335</v>
      </c>
      <c r="O459" s="16" t="s">
        <v>677</v>
      </c>
      <c r="P459" s="16" t="s">
        <v>402</v>
      </c>
      <c r="Q459" s="20" t="n">
        <v>46287</v>
      </c>
      <c r="R459" s="16" t="s">
        <v>1831</v>
      </c>
      <c r="S459" s="16" t="s">
        <v>404</v>
      </c>
      <c r="T459" s="17"/>
      <c r="U459" s="21" t="n">
        <v>1</v>
      </c>
      <c r="V459" s="21" t="n">
        <v>1</v>
      </c>
      <c r="W459" s="22" t="n">
        <v>4.1</v>
      </c>
      <c r="X459" s="16" t="s">
        <v>335</v>
      </c>
      <c r="Y459" s="16" t="s">
        <v>338</v>
      </c>
      <c r="Z459" s="16" t="s">
        <v>465</v>
      </c>
      <c r="AA459" s="16"/>
      <c r="AB459" s="23"/>
      <c r="AC459" s="17"/>
      <c r="AD459" s="16" t="s">
        <v>466</v>
      </c>
      <c r="AE459" s="16"/>
      <c r="AF459" s="16" t="str">
        <f aca="false">IF(COUNTIF(لیست_سفید!$A$2:$A$21,B459)&gt;0,"بله","خیر")</f>
        <v>بله</v>
      </c>
      <c r="AG459" s="24" t="n">
        <f aca="false">IF(H459="","",IF(AD459="فیش مفقودی",تنظیمات!$B$6,(INT(I459/1440)*تنظیمات!$B$5+IF(MOD(I459,1440)&lt;=تنظیمات!$B$2,0,MIN(تنظیمات!$B$5,تنظیمات!$B$3+MAX(0,ROUNDUP((MOD(I459,1440)-60)/60,0))*تنظیمات!$B$4)))*INDEX(تعرفه!$B$2:$B$7,MATCH(AD459,تعرفه!$A$2:$A$7,0))))</f>
        <v>0</v>
      </c>
      <c r="AH459" s="24" t="n">
        <v>0</v>
      </c>
      <c r="AI459" s="24" t="n">
        <f aca="false">IF(AG459="","",AH459-AG459)</f>
        <v>0</v>
      </c>
      <c r="AJ459" s="21" t="n">
        <v>-1</v>
      </c>
      <c r="AK459" s="21" t="n">
        <v>0</v>
      </c>
      <c r="AL459" s="16" t="s">
        <v>335</v>
      </c>
      <c r="AM459" s="16"/>
      <c r="AN459" s="16" t="s">
        <v>340</v>
      </c>
      <c r="AO459" s="16" t="s">
        <v>340</v>
      </c>
      <c r="AP459" s="16" t="s">
        <v>335</v>
      </c>
      <c r="AQ459" s="16"/>
      <c r="AR459" s="21" t="n">
        <f aca="false">IF(AND(T459&lt;&gt;"",H459&lt;&gt;""),IF(AND((T459-H459)*86400&gt;=0,(T459-H459)*86400&lt;تنظیمات!$B$13),1,0),0)</f>
        <v>0</v>
      </c>
      <c r="AS459" s="21" t="n">
        <f aca="false">IF(Z459="پوز",IF(OR(AB459="",COUNTIF(پوزها!$A$2:$A$5,AA459)=0),1,0),0)</f>
        <v>0</v>
      </c>
      <c r="AT459" s="21" t="n">
        <f aca="false">IF(AI459="",0,IF(AI459&gt;0,1,0))</f>
        <v>0</v>
      </c>
      <c r="AU459" s="21" t="n">
        <f aca="false">IF(AI459="",0,IF(AI459&lt;0,1,0))</f>
        <v>0</v>
      </c>
      <c r="AV459" s="21" t="n">
        <f aca="false">IF(U459&gt;V459,1,0)</f>
        <v>0</v>
      </c>
      <c r="AW459" s="21" t="n">
        <f aca="false">IF(OR(W459&gt;تنظیمات!$B$8,X459="بله"),1,0)</f>
        <v>0</v>
      </c>
      <c r="AX459" s="21" t="n">
        <f aca="false">IF(AND(N459="بله",L459&gt;تنظیمات!$B$9),1,0)</f>
        <v>0</v>
      </c>
      <c r="AY459" s="21" t="n">
        <f aca="false">IF(Y459="معکوس",1,0)</f>
        <v>0</v>
      </c>
      <c r="AZ459" s="21" t="n">
        <f aca="false">IF(ABS(AJ459)&gt;تنظیمات!$B$10,1,0)</f>
        <v>0</v>
      </c>
      <c r="BA459" s="21" t="n">
        <f aca="false">IF(AND(OR(AD459="رایگان/VIP",AD459="جانباز"),AF459="خیر"),1,0)</f>
        <v>0</v>
      </c>
      <c r="BB459" s="21" t="n">
        <f aca="false">IF(AE459="",0,IF(COUNTIF($AE$2:$AE$1001,AE459)&gt;1,1,0))</f>
        <v>0</v>
      </c>
      <c r="BC459" s="21" t="n">
        <f aca="false">IF(AND(H459="",I459&gt;تنظیمات!$B$12*60,AM459="خالی"),1,0)</f>
        <v>0</v>
      </c>
      <c r="BD459" s="21" t="n">
        <f aca="false">IF(AND(AP459="بله",I459&lt;تنظیمات!$B$14,AO459="خیر"),1,0)</f>
        <v>0</v>
      </c>
      <c r="BE459" s="21" t="n">
        <f aca="false">IF(AN459="خیر",1,0)</f>
        <v>0</v>
      </c>
      <c r="BF459" s="21" t="n">
        <f aca="false">IF(AND(AD459="فیش مفقودی",AQ459="بله",I459&gt;تنظیمات!$B$12*60),1,0)</f>
        <v>0</v>
      </c>
      <c r="BG459" s="21" t="n">
        <f aca="false">IF(AND(AK459&gt;تنظیمات!$B$11,AL459="بله"),1,0)</f>
        <v>0</v>
      </c>
      <c r="BH459" s="21" t="n">
        <f aca="false">MIN(100,AR459*تنظیمات!$B$21+AS459*تنظیمات!$B$22+AT459*تنظیمات!$B$23+AU459*تنظیمات!$B$24+AV459*تنظیمات!$B$25+AW459*تنظیمات!$B$26+AX459*تنظیمات!$B$27+AY459*تنظیمات!$B$28+AZ459*تنظیمات!$B$29+BA459*تنظیمات!$B$30+BB459*تنظیمات!$B$31+BC459*تنظیمات!$B$32+BD459*تنظیمات!$B$33+BE459*تنظیمات!$B$34+BF459*تنظیمات!$B$35+BG459*تنظیمات!$B$36)</f>
        <v>0</v>
      </c>
      <c r="BI459" s="16" t="str">
        <f aca="false">IF(BH459&gt;=60,"بحرانی",IF(BH459&gt;=30,"مشکوک",IF(BH459&gt;0,"هشدار","عادی")))</f>
        <v>عادی</v>
      </c>
      <c r="BJ459" s="16" t="s">
        <v>338</v>
      </c>
    </row>
    <row r="460" customFormat="false" ht="15" hidden="false" customHeight="false" outlineLevel="0" collapsed="false">
      <c r="A460" s="16" t="s">
        <v>1832</v>
      </c>
      <c r="B460" s="16" t="s">
        <v>1833</v>
      </c>
      <c r="C460" s="16" t="s">
        <v>1834</v>
      </c>
      <c r="D460" s="16" t="s">
        <v>531</v>
      </c>
      <c r="E460" s="16" t="s">
        <v>345</v>
      </c>
      <c r="F460" s="16" t="s">
        <v>333</v>
      </c>
      <c r="G460" s="17" t="n">
        <v>46287.386712963</v>
      </c>
      <c r="H460" s="17" t="n">
        <v>46287.3908796296</v>
      </c>
      <c r="I460" s="18" t="n">
        <f aca="false">IF(H460="",ROUND((تنظیمات!$B$7-G460)*1440,0),ROUND((H460-G460)*1440,0))</f>
        <v>6</v>
      </c>
      <c r="J460" s="16" t="s">
        <v>346</v>
      </c>
      <c r="K460" s="16" t="s">
        <v>400</v>
      </c>
      <c r="L460" s="19" t="n">
        <v>0.648</v>
      </c>
      <c r="M460" s="19" t="n">
        <v>0.995</v>
      </c>
      <c r="N460" s="16" t="s">
        <v>340</v>
      </c>
      <c r="O460" s="16" t="s">
        <v>677</v>
      </c>
      <c r="P460" s="16" t="s">
        <v>402</v>
      </c>
      <c r="Q460" s="20" t="n">
        <v>46287</v>
      </c>
      <c r="R460" s="16" t="s">
        <v>1835</v>
      </c>
      <c r="S460" s="16" t="s">
        <v>404</v>
      </c>
      <c r="T460" s="17"/>
      <c r="U460" s="21" t="n">
        <v>1</v>
      </c>
      <c r="V460" s="21" t="n">
        <v>1</v>
      </c>
      <c r="W460" s="22" t="n">
        <v>5.3</v>
      </c>
      <c r="X460" s="16" t="s">
        <v>335</v>
      </c>
      <c r="Y460" s="16" t="s">
        <v>338</v>
      </c>
      <c r="Z460" s="16" t="s">
        <v>628</v>
      </c>
      <c r="AA460" s="16"/>
      <c r="AB460" s="23"/>
      <c r="AC460" s="17"/>
      <c r="AD460" s="16" t="s">
        <v>338</v>
      </c>
      <c r="AE460" s="16"/>
      <c r="AF460" s="16" t="str">
        <f aca="false">IF(COUNTIF(لیست_سفید!$A$2:$A$21,B460)&gt;0,"بله","خیر")</f>
        <v>خیر</v>
      </c>
      <c r="AG460" s="24" t="n">
        <f aca="false">IF(H460="","",IF(AD460="فیش مفقودی",تنظیمات!$B$6,(INT(I460/1440)*تنظیمات!$B$5+IF(MOD(I460,1440)&lt;=تنظیمات!$B$2,0,MIN(تنظیمات!$B$5,تنظیمات!$B$3+MAX(0,ROUNDUP((MOD(I460,1440)-60)/60,0))*تنظیمات!$B$4)))*INDEX(تعرفه!$B$2:$B$7,MATCH(AD460,تعرفه!$A$2:$A$7,0))))</f>
        <v>0</v>
      </c>
      <c r="AH460" s="24" t="n">
        <v>0</v>
      </c>
      <c r="AI460" s="24" t="n">
        <f aca="false">IF(AG460="","",AH460-AG460)</f>
        <v>0</v>
      </c>
      <c r="AJ460" s="21" t="n">
        <v>-4</v>
      </c>
      <c r="AK460" s="21" t="n">
        <v>0</v>
      </c>
      <c r="AL460" s="16" t="s">
        <v>335</v>
      </c>
      <c r="AM460" s="16"/>
      <c r="AN460" s="16" t="s">
        <v>340</v>
      </c>
      <c r="AO460" s="16" t="s">
        <v>340</v>
      </c>
      <c r="AP460" s="16" t="s">
        <v>335</v>
      </c>
      <c r="AQ460" s="16"/>
      <c r="AR460" s="21" t="n">
        <f aca="false">IF(AND(T460&lt;&gt;"",H460&lt;&gt;""),IF(AND((T460-H460)*86400&gt;=0,(T460-H460)*86400&lt;تنظیمات!$B$13),1,0),0)</f>
        <v>0</v>
      </c>
      <c r="AS460" s="21" t="n">
        <f aca="false">IF(Z460="پوز",IF(OR(AB460="",COUNTIF(پوزها!$A$2:$A$5,AA460)=0),1,0),0)</f>
        <v>0</v>
      </c>
      <c r="AT460" s="21" t="n">
        <f aca="false">IF(AI460="",0,IF(AI460&gt;0,1,0))</f>
        <v>0</v>
      </c>
      <c r="AU460" s="21" t="n">
        <f aca="false">IF(AI460="",0,IF(AI460&lt;0,1,0))</f>
        <v>0</v>
      </c>
      <c r="AV460" s="21" t="n">
        <f aca="false">IF(U460&gt;V460,1,0)</f>
        <v>0</v>
      </c>
      <c r="AW460" s="21" t="n">
        <f aca="false">IF(OR(W460&gt;تنظیمات!$B$8,X460="بله"),1,0)</f>
        <v>0</v>
      </c>
      <c r="AX460" s="21" t="n">
        <f aca="false">IF(AND(N460="بله",L460&gt;تنظیمات!$B$9),1,0)</f>
        <v>0</v>
      </c>
      <c r="AY460" s="21" t="n">
        <f aca="false">IF(Y460="معکوس",1,0)</f>
        <v>0</v>
      </c>
      <c r="AZ460" s="21" t="n">
        <f aca="false">IF(ABS(AJ460)&gt;تنظیمات!$B$10,1,0)</f>
        <v>0</v>
      </c>
      <c r="BA460" s="21" t="n">
        <f aca="false">IF(AND(OR(AD460="رایگان/VIP",AD460="جانباز"),AF460="خیر"),1,0)</f>
        <v>0</v>
      </c>
      <c r="BB460" s="21" t="n">
        <f aca="false">IF(AE460="",0,IF(COUNTIF($AE$2:$AE$1001,AE460)&gt;1,1,0))</f>
        <v>0</v>
      </c>
      <c r="BC460" s="21" t="n">
        <f aca="false">IF(AND(H460="",I460&gt;تنظیمات!$B$12*60,AM460="خالی"),1,0)</f>
        <v>0</v>
      </c>
      <c r="BD460" s="21" t="n">
        <f aca="false">IF(AND(AP460="بله",I460&lt;تنظیمات!$B$14,AO460="خیر"),1,0)</f>
        <v>0</v>
      </c>
      <c r="BE460" s="21" t="n">
        <f aca="false">IF(AN460="خیر",1,0)</f>
        <v>0</v>
      </c>
      <c r="BF460" s="21" t="n">
        <f aca="false">IF(AND(AD460="فیش مفقودی",AQ460="بله",I460&gt;تنظیمات!$B$12*60),1,0)</f>
        <v>0</v>
      </c>
      <c r="BG460" s="21" t="n">
        <f aca="false">IF(AND(AK460&gt;تنظیمات!$B$11,AL460="بله"),1,0)</f>
        <v>0</v>
      </c>
      <c r="BH460" s="21" t="n">
        <f aca="false">MIN(100,AR460*تنظیمات!$B$21+AS460*تنظیمات!$B$22+AT460*تنظیمات!$B$23+AU460*تنظیمات!$B$24+AV460*تنظیمات!$B$25+AW460*تنظیمات!$B$26+AX460*تنظیمات!$B$27+AY460*تنظیمات!$B$28+AZ460*تنظیمات!$B$29+BA460*تنظیمات!$B$30+BB460*تنظیمات!$B$31+BC460*تنظیمات!$B$32+BD460*تنظیمات!$B$33+BE460*تنظیمات!$B$34+BF460*تنظیمات!$B$35+BG460*تنظیمات!$B$36)</f>
        <v>0</v>
      </c>
      <c r="BI460" s="16" t="str">
        <f aca="false">IF(BH460&gt;=60,"بحرانی",IF(BH460&gt;=30,"مشکوک",IF(BH460&gt;0,"هشدار","عادی")))</f>
        <v>عادی</v>
      </c>
      <c r="BJ460" s="16" t="s">
        <v>338</v>
      </c>
    </row>
    <row r="461" customFormat="false" ht="15" hidden="false" customHeight="false" outlineLevel="0" collapsed="false">
      <c r="A461" s="16" t="s">
        <v>1836</v>
      </c>
      <c r="B461" s="16" t="s">
        <v>389</v>
      </c>
      <c r="C461" s="16"/>
      <c r="D461" s="16" t="s">
        <v>382</v>
      </c>
      <c r="E461" s="16" t="s">
        <v>390</v>
      </c>
      <c r="F461" s="16" t="s">
        <v>333</v>
      </c>
      <c r="G461" s="17" t="n">
        <v>46287.3900231482</v>
      </c>
      <c r="H461" s="17" t="n">
        <v>46287.5643287037</v>
      </c>
      <c r="I461" s="18" t="n">
        <f aca="false">IF(H461="",ROUND((تنظیمات!$B$7-G461)*1440,0),ROUND((H461-G461)*1440,0))</f>
        <v>251</v>
      </c>
      <c r="J461" s="16" t="s">
        <v>334</v>
      </c>
      <c r="K461" s="16" t="s">
        <v>410</v>
      </c>
      <c r="L461" s="19" t="n">
        <v>0.924</v>
      </c>
      <c r="M461" s="19" t="n">
        <v>0.912</v>
      </c>
      <c r="N461" s="16" t="s">
        <v>335</v>
      </c>
      <c r="O461" s="16" t="s">
        <v>425</v>
      </c>
      <c r="P461" s="16" t="s">
        <v>402</v>
      </c>
      <c r="Q461" s="20" t="n">
        <v>46287</v>
      </c>
      <c r="R461" s="16" t="s">
        <v>1837</v>
      </c>
      <c r="S461" s="16" t="s">
        <v>404</v>
      </c>
      <c r="T461" s="17"/>
      <c r="U461" s="21" t="n">
        <v>1</v>
      </c>
      <c r="V461" s="21" t="n">
        <v>1</v>
      </c>
      <c r="W461" s="22" t="n">
        <v>6.8</v>
      </c>
      <c r="X461" s="16" t="s">
        <v>335</v>
      </c>
      <c r="Y461" s="16" t="s">
        <v>338</v>
      </c>
      <c r="Z461" s="16" t="s">
        <v>405</v>
      </c>
      <c r="AA461" s="16"/>
      <c r="AB461" s="23"/>
      <c r="AC461" s="17"/>
      <c r="AD461" s="16" t="s">
        <v>338</v>
      </c>
      <c r="AE461" s="16"/>
      <c r="AF461" s="16" t="str">
        <f aca="false">IF(COUNTIF(لیست_سفید!$A$2:$A$21,B461)&gt;0,"بله","خیر")</f>
        <v>خیر</v>
      </c>
      <c r="AG461" s="24" t="n">
        <f aca="false">IF(H461="","",IF(AD461="فیش مفقودی",تنظیمات!$B$6,(INT(I461/1440)*تنظیمات!$B$5+IF(MOD(I461,1440)&lt;=تنظیمات!$B$2,0,MIN(تنظیمات!$B$5,تنظیمات!$B$3+MAX(0,ROUNDUP((MOD(I461,1440)-60)/60,0))*تنظیمات!$B$4)))*INDEX(تعرفه!$B$2:$B$7,MATCH(AD461,تعرفه!$A$2:$A$7,0))))</f>
        <v>76000</v>
      </c>
      <c r="AH461" s="24" t="n">
        <v>76000</v>
      </c>
      <c r="AI461" s="24" t="n">
        <f aca="false">IF(AG461="","",AH461-AG461)</f>
        <v>0</v>
      </c>
      <c r="AJ461" s="21" t="n">
        <v>-5</v>
      </c>
      <c r="AK461" s="21" t="n">
        <v>0</v>
      </c>
      <c r="AL461" s="16" t="s">
        <v>335</v>
      </c>
      <c r="AM461" s="16"/>
      <c r="AN461" s="16" t="s">
        <v>340</v>
      </c>
      <c r="AO461" s="16" t="s">
        <v>340</v>
      </c>
      <c r="AP461" s="16" t="s">
        <v>335</v>
      </c>
      <c r="AQ461" s="16"/>
      <c r="AR461" s="21" t="n">
        <f aca="false">IF(AND(T461&lt;&gt;"",H461&lt;&gt;""),IF(AND((T461-H461)*86400&gt;=0,(T461-H461)*86400&lt;تنظیمات!$B$13),1,0),0)</f>
        <v>0</v>
      </c>
      <c r="AS461" s="21" t="n">
        <f aca="false">IF(Z461="پوز",IF(OR(AB461="",COUNTIF(پوزها!$A$2:$A$5,AA461)=0),1,0),0)</f>
        <v>0</v>
      </c>
      <c r="AT461" s="21" t="n">
        <f aca="false">IF(AI461="",0,IF(AI461&gt;0,1,0))</f>
        <v>0</v>
      </c>
      <c r="AU461" s="21" t="n">
        <f aca="false">IF(AI461="",0,IF(AI461&lt;0,1,0))</f>
        <v>0</v>
      </c>
      <c r="AV461" s="21" t="n">
        <f aca="false">IF(U461&gt;V461,1,0)</f>
        <v>0</v>
      </c>
      <c r="AW461" s="21" t="n">
        <f aca="false">IF(OR(W461&gt;تنظیمات!$B$8,X461="بله"),1,0)</f>
        <v>0</v>
      </c>
      <c r="AX461" s="21" t="n">
        <f aca="false">IF(AND(N461="بله",L461&gt;تنظیمات!$B$9),1,0)</f>
        <v>0</v>
      </c>
      <c r="AY461" s="21" t="n">
        <f aca="false">IF(Y461="معکوس",1,0)</f>
        <v>0</v>
      </c>
      <c r="AZ461" s="21" t="n">
        <f aca="false">IF(ABS(AJ461)&gt;تنظیمات!$B$10,1,0)</f>
        <v>0</v>
      </c>
      <c r="BA461" s="21" t="n">
        <f aca="false">IF(AND(OR(AD461="رایگان/VIP",AD461="جانباز"),AF461="خیر"),1,0)</f>
        <v>0</v>
      </c>
      <c r="BB461" s="21" t="n">
        <f aca="false">IF(AE461="",0,IF(COUNTIF($AE$2:$AE$1001,AE461)&gt;1,1,0))</f>
        <v>0</v>
      </c>
      <c r="BC461" s="21" t="n">
        <f aca="false">IF(AND(H461="",I461&gt;تنظیمات!$B$12*60,AM461="خالی"),1,0)</f>
        <v>0</v>
      </c>
      <c r="BD461" s="21" t="n">
        <f aca="false">IF(AND(AP461="بله",I461&lt;تنظیمات!$B$14,AO461="خیر"),1,0)</f>
        <v>0</v>
      </c>
      <c r="BE461" s="21" t="n">
        <f aca="false">IF(AN461="خیر",1,0)</f>
        <v>0</v>
      </c>
      <c r="BF461" s="21" t="n">
        <f aca="false">IF(AND(AD461="فیش مفقودی",AQ461="بله",I461&gt;تنظیمات!$B$12*60),1,0)</f>
        <v>0</v>
      </c>
      <c r="BG461" s="21" t="n">
        <f aca="false">IF(AND(AK461&gt;تنظیمات!$B$11,AL461="بله"),1,0)</f>
        <v>0</v>
      </c>
      <c r="BH461" s="21" t="n">
        <f aca="false">MIN(100,AR461*تنظیمات!$B$21+AS461*تنظیمات!$B$22+AT461*تنظیمات!$B$23+AU461*تنظیمات!$B$24+AV461*تنظیمات!$B$25+AW461*تنظیمات!$B$26+AX461*تنظیمات!$B$27+AY461*تنظیمات!$B$28+AZ461*تنظیمات!$B$29+BA461*تنظیمات!$B$30+BB461*تنظیمات!$B$31+BC461*تنظیمات!$B$32+BD461*تنظیمات!$B$33+BE461*تنظیمات!$B$34+BF461*تنظیمات!$B$35+BG461*تنظیمات!$B$36)</f>
        <v>0</v>
      </c>
      <c r="BI461" s="16" t="str">
        <f aca="false">IF(BH461&gt;=60,"بحرانی",IF(BH461&gt;=30,"مشکوک",IF(BH461&gt;0,"هشدار","عادی")))</f>
        <v>عادی</v>
      </c>
      <c r="BJ461" s="16" t="s">
        <v>338</v>
      </c>
    </row>
    <row r="462" customFormat="false" ht="15" hidden="false" customHeight="false" outlineLevel="0" collapsed="false">
      <c r="A462" s="16" t="s">
        <v>1838</v>
      </c>
      <c r="B462" s="16" t="s">
        <v>373</v>
      </c>
      <c r="C462" s="16"/>
      <c r="D462" s="16" t="s">
        <v>374</v>
      </c>
      <c r="E462" s="16" t="s">
        <v>375</v>
      </c>
      <c r="F462" s="16" t="s">
        <v>359</v>
      </c>
      <c r="G462" s="17" t="n">
        <v>46287.3987268519</v>
      </c>
      <c r="H462" s="17" t="n">
        <v>46287.7369212963</v>
      </c>
      <c r="I462" s="18" t="n">
        <f aca="false">IF(H462="",ROUND((تنظیمات!$B$7-G462)*1440,0),ROUND((H462-G462)*1440,0))</f>
        <v>487</v>
      </c>
      <c r="J462" s="16" t="s">
        <v>346</v>
      </c>
      <c r="K462" s="16" t="s">
        <v>400</v>
      </c>
      <c r="L462" s="19" t="n">
        <v>0.963</v>
      </c>
      <c r="M462" s="19" t="n">
        <v>0.912</v>
      </c>
      <c r="N462" s="16" t="s">
        <v>335</v>
      </c>
      <c r="O462" s="16" t="s">
        <v>441</v>
      </c>
      <c r="P462" s="16" t="s">
        <v>420</v>
      </c>
      <c r="Q462" s="20" t="n">
        <v>46287</v>
      </c>
      <c r="R462" s="16" t="s">
        <v>1839</v>
      </c>
      <c r="S462" s="16" t="s">
        <v>404</v>
      </c>
      <c r="T462" s="17"/>
      <c r="U462" s="21" t="n">
        <v>1</v>
      </c>
      <c r="V462" s="21" t="n">
        <v>1</v>
      </c>
      <c r="W462" s="22" t="n">
        <v>5.9</v>
      </c>
      <c r="X462" s="16" t="s">
        <v>335</v>
      </c>
      <c r="Y462" s="16" t="s">
        <v>338</v>
      </c>
      <c r="Z462" s="16" t="s">
        <v>405</v>
      </c>
      <c r="AA462" s="16"/>
      <c r="AB462" s="23"/>
      <c r="AC462" s="17"/>
      <c r="AD462" s="16" t="s">
        <v>338</v>
      </c>
      <c r="AE462" s="16"/>
      <c r="AF462" s="16" t="str">
        <f aca="false">IF(COUNTIF(لیست_سفید!$A$2:$A$21,B462)&gt;0,"بله","خیر")</f>
        <v>خیر</v>
      </c>
      <c r="AG462" s="24" t="n">
        <f aca="false">IF(H462="","",IF(AD462="فیش مفقودی",تنظیمات!$B$6,(INT(I462/1440)*تنظیمات!$B$5+IF(MOD(I462,1440)&lt;=تنظیمات!$B$2,0,MIN(تنظیمات!$B$5,تنظیمات!$B$3+MAX(0,ROUNDUP((MOD(I462,1440)-60)/60,0))*تنظیمات!$B$4)))*INDEX(تعرفه!$B$2:$B$7,MATCH(AD462,تعرفه!$A$2:$A$7,0))))</f>
        <v>132000</v>
      </c>
      <c r="AH462" s="24" t="n">
        <v>132000</v>
      </c>
      <c r="AI462" s="24" t="n">
        <f aca="false">IF(AG462="","",AH462-AG462)</f>
        <v>0</v>
      </c>
      <c r="AJ462" s="21" t="n">
        <v>3</v>
      </c>
      <c r="AK462" s="21" t="n">
        <v>0</v>
      </c>
      <c r="AL462" s="16" t="s">
        <v>335</v>
      </c>
      <c r="AM462" s="16"/>
      <c r="AN462" s="16" t="s">
        <v>340</v>
      </c>
      <c r="AO462" s="16" t="s">
        <v>340</v>
      </c>
      <c r="AP462" s="16" t="s">
        <v>335</v>
      </c>
      <c r="AQ462" s="16"/>
      <c r="AR462" s="21" t="n">
        <f aca="false">IF(AND(T462&lt;&gt;"",H462&lt;&gt;""),IF(AND((T462-H462)*86400&gt;=0,(T462-H462)*86400&lt;تنظیمات!$B$13),1,0),0)</f>
        <v>0</v>
      </c>
      <c r="AS462" s="21" t="n">
        <f aca="false">IF(Z462="پوز",IF(OR(AB462="",COUNTIF(پوزها!$A$2:$A$5,AA462)=0),1,0),0)</f>
        <v>0</v>
      </c>
      <c r="AT462" s="21" t="n">
        <f aca="false">IF(AI462="",0,IF(AI462&gt;0,1,0))</f>
        <v>0</v>
      </c>
      <c r="AU462" s="21" t="n">
        <f aca="false">IF(AI462="",0,IF(AI462&lt;0,1,0))</f>
        <v>0</v>
      </c>
      <c r="AV462" s="21" t="n">
        <f aca="false">IF(U462&gt;V462,1,0)</f>
        <v>0</v>
      </c>
      <c r="AW462" s="21" t="n">
        <f aca="false">IF(OR(W462&gt;تنظیمات!$B$8,X462="بله"),1,0)</f>
        <v>0</v>
      </c>
      <c r="AX462" s="21" t="n">
        <f aca="false">IF(AND(N462="بله",L462&gt;تنظیمات!$B$9),1,0)</f>
        <v>0</v>
      </c>
      <c r="AY462" s="21" t="n">
        <f aca="false">IF(Y462="معکوس",1,0)</f>
        <v>0</v>
      </c>
      <c r="AZ462" s="21" t="n">
        <f aca="false">IF(ABS(AJ462)&gt;تنظیمات!$B$10,1,0)</f>
        <v>0</v>
      </c>
      <c r="BA462" s="21" t="n">
        <f aca="false">IF(AND(OR(AD462="رایگان/VIP",AD462="جانباز"),AF462="خیر"),1,0)</f>
        <v>0</v>
      </c>
      <c r="BB462" s="21" t="n">
        <f aca="false">IF(AE462="",0,IF(COUNTIF($AE$2:$AE$1001,AE462)&gt;1,1,0))</f>
        <v>0</v>
      </c>
      <c r="BC462" s="21" t="n">
        <f aca="false">IF(AND(H462="",I462&gt;تنظیمات!$B$12*60,AM462="خالی"),1,0)</f>
        <v>0</v>
      </c>
      <c r="BD462" s="21" t="n">
        <f aca="false">IF(AND(AP462="بله",I462&lt;تنظیمات!$B$14,AO462="خیر"),1,0)</f>
        <v>0</v>
      </c>
      <c r="BE462" s="21" t="n">
        <f aca="false">IF(AN462="خیر",1,0)</f>
        <v>0</v>
      </c>
      <c r="BF462" s="21" t="n">
        <f aca="false">IF(AND(AD462="فیش مفقودی",AQ462="بله",I462&gt;تنظیمات!$B$12*60),1,0)</f>
        <v>0</v>
      </c>
      <c r="BG462" s="21" t="n">
        <f aca="false">IF(AND(AK462&gt;تنظیمات!$B$11,AL462="بله"),1,0)</f>
        <v>0</v>
      </c>
      <c r="BH462" s="21" t="n">
        <f aca="false">MIN(100,AR462*تنظیمات!$B$21+AS462*تنظیمات!$B$22+AT462*تنظیمات!$B$23+AU462*تنظیمات!$B$24+AV462*تنظیمات!$B$25+AW462*تنظیمات!$B$26+AX462*تنظیمات!$B$27+AY462*تنظیمات!$B$28+AZ462*تنظیمات!$B$29+BA462*تنظیمات!$B$30+BB462*تنظیمات!$B$31+BC462*تنظیمات!$B$32+BD462*تنظیمات!$B$33+BE462*تنظیمات!$B$34+BF462*تنظیمات!$B$35+BG462*تنظیمات!$B$36)</f>
        <v>0</v>
      </c>
      <c r="BI462" s="16" t="str">
        <f aca="false">IF(BH462&gt;=60,"بحرانی",IF(BH462&gt;=30,"مشکوک",IF(BH462&gt;0,"هشدار","عادی")))</f>
        <v>عادی</v>
      </c>
      <c r="BJ462" s="16" t="s">
        <v>338</v>
      </c>
    </row>
    <row r="463" customFormat="false" ht="15" hidden="false" customHeight="false" outlineLevel="0" collapsed="false">
      <c r="A463" s="16" t="s">
        <v>1840</v>
      </c>
      <c r="B463" s="16" t="s">
        <v>399</v>
      </c>
      <c r="C463" s="16"/>
      <c r="D463" s="16" t="s">
        <v>382</v>
      </c>
      <c r="E463" s="16" t="s">
        <v>351</v>
      </c>
      <c r="F463" s="16" t="s">
        <v>333</v>
      </c>
      <c r="G463" s="17" t="n">
        <v>46287.4004976852</v>
      </c>
      <c r="H463" s="17" t="n">
        <v>46287.622025463</v>
      </c>
      <c r="I463" s="18" t="n">
        <f aca="false">IF(H463="",ROUND((تنظیمات!$B$7-G463)*1440,0),ROUND((H463-G463)*1440,0))</f>
        <v>319</v>
      </c>
      <c r="J463" s="16" t="s">
        <v>334</v>
      </c>
      <c r="K463" s="16" t="s">
        <v>400</v>
      </c>
      <c r="L463" s="19" t="n">
        <v>0.869</v>
      </c>
      <c r="M463" s="19" t="n">
        <v>0.977</v>
      </c>
      <c r="N463" s="16" t="s">
        <v>335</v>
      </c>
      <c r="O463" s="16" t="s">
        <v>441</v>
      </c>
      <c r="P463" s="16" t="s">
        <v>420</v>
      </c>
      <c r="Q463" s="20" t="n">
        <v>46287</v>
      </c>
      <c r="R463" s="16" t="s">
        <v>1841</v>
      </c>
      <c r="S463" s="16" t="s">
        <v>404</v>
      </c>
      <c r="T463" s="17"/>
      <c r="U463" s="21" t="n">
        <v>1</v>
      </c>
      <c r="V463" s="21" t="n">
        <v>1</v>
      </c>
      <c r="W463" s="22" t="n">
        <v>7.2</v>
      </c>
      <c r="X463" s="16" t="s">
        <v>335</v>
      </c>
      <c r="Y463" s="16" t="s">
        <v>338</v>
      </c>
      <c r="Z463" s="16" t="s">
        <v>405</v>
      </c>
      <c r="AA463" s="16"/>
      <c r="AB463" s="23"/>
      <c r="AC463" s="17"/>
      <c r="AD463" s="16" t="s">
        <v>338</v>
      </c>
      <c r="AE463" s="16"/>
      <c r="AF463" s="16" t="str">
        <f aca="false">IF(COUNTIF(لیست_سفید!$A$2:$A$21,B463)&gt;0,"بله","خیر")</f>
        <v>خیر</v>
      </c>
      <c r="AG463" s="24" t="n">
        <f aca="false">IF(H463="","",IF(AD463="فیش مفقودی",تنظیمات!$B$6,(INT(I463/1440)*تنظیمات!$B$5+IF(MOD(I463,1440)&lt;=تنظیمات!$B$2,0,MIN(تنظیمات!$B$5,تنظیمات!$B$3+MAX(0,ROUNDUP((MOD(I463,1440)-60)/60,0))*تنظیمات!$B$4)))*INDEX(تعرفه!$B$2:$B$7,MATCH(AD463,تعرفه!$A$2:$A$7,0))))</f>
        <v>90000</v>
      </c>
      <c r="AH463" s="24" t="n">
        <v>90000</v>
      </c>
      <c r="AI463" s="24" t="n">
        <f aca="false">IF(AG463="","",AH463-AG463)</f>
        <v>0</v>
      </c>
      <c r="AJ463" s="21" t="n">
        <v>1</v>
      </c>
      <c r="AK463" s="21" t="n">
        <v>0</v>
      </c>
      <c r="AL463" s="16" t="s">
        <v>335</v>
      </c>
      <c r="AM463" s="16"/>
      <c r="AN463" s="16" t="s">
        <v>340</v>
      </c>
      <c r="AO463" s="16" t="s">
        <v>340</v>
      </c>
      <c r="AP463" s="16" t="s">
        <v>335</v>
      </c>
      <c r="AQ463" s="16"/>
      <c r="AR463" s="21" t="n">
        <f aca="false">IF(AND(T463&lt;&gt;"",H463&lt;&gt;""),IF(AND((T463-H463)*86400&gt;=0,(T463-H463)*86400&lt;تنظیمات!$B$13),1,0),0)</f>
        <v>0</v>
      </c>
      <c r="AS463" s="21" t="n">
        <f aca="false">IF(Z463="پوز",IF(OR(AB463="",COUNTIF(پوزها!$A$2:$A$5,AA463)=0),1,0),0)</f>
        <v>0</v>
      </c>
      <c r="AT463" s="21" t="n">
        <f aca="false">IF(AI463="",0,IF(AI463&gt;0,1,0))</f>
        <v>0</v>
      </c>
      <c r="AU463" s="21" t="n">
        <f aca="false">IF(AI463="",0,IF(AI463&lt;0,1,0))</f>
        <v>0</v>
      </c>
      <c r="AV463" s="21" t="n">
        <f aca="false">IF(U463&gt;V463,1,0)</f>
        <v>0</v>
      </c>
      <c r="AW463" s="21" t="n">
        <f aca="false">IF(OR(W463&gt;تنظیمات!$B$8,X463="بله"),1,0)</f>
        <v>0</v>
      </c>
      <c r="AX463" s="21" t="n">
        <f aca="false">IF(AND(N463="بله",L463&gt;تنظیمات!$B$9),1,0)</f>
        <v>0</v>
      </c>
      <c r="AY463" s="21" t="n">
        <f aca="false">IF(Y463="معکوس",1,0)</f>
        <v>0</v>
      </c>
      <c r="AZ463" s="21" t="n">
        <f aca="false">IF(ABS(AJ463)&gt;تنظیمات!$B$10,1,0)</f>
        <v>0</v>
      </c>
      <c r="BA463" s="21" t="n">
        <f aca="false">IF(AND(OR(AD463="رایگان/VIP",AD463="جانباز"),AF463="خیر"),1,0)</f>
        <v>0</v>
      </c>
      <c r="BB463" s="21" t="n">
        <f aca="false">IF(AE463="",0,IF(COUNTIF($AE$2:$AE$1001,AE463)&gt;1,1,0))</f>
        <v>0</v>
      </c>
      <c r="BC463" s="21" t="n">
        <f aca="false">IF(AND(H463="",I463&gt;تنظیمات!$B$12*60,AM463="خالی"),1,0)</f>
        <v>0</v>
      </c>
      <c r="BD463" s="21" t="n">
        <f aca="false">IF(AND(AP463="بله",I463&lt;تنظیمات!$B$14,AO463="خیر"),1,0)</f>
        <v>0</v>
      </c>
      <c r="BE463" s="21" t="n">
        <f aca="false">IF(AN463="خیر",1,0)</f>
        <v>0</v>
      </c>
      <c r="BF463" s="21" t="n">
        <f aca="false">IF(AND(AD463="فیش مفقودی",AQ463="بله",I463&gt;تنظیمات!$B$12*60),1,0)</f>
        <v>0</v>
      </c>
      <c r="BG463" s="21" t="n">
        <f aca="false">IF(AND(AK463&gt;تنظیمات!$B$11,AL463="بله"),1,0)</f>
        <v>0</v>
      </c>
      <c r="BH463" s="21" t="n">
        <f aca="false">MIN(100,AR463*تنظیمات!$B$21+AS463*تنظیمات!$B$22+AT463*تنظیمات!$B$23+AU463*تنظیمات!$B$24+AV463*تنظیمات!$B$25+AW463*تنظیمات!$B$26+AX463*تنظیمات!$B$27+AY463*تنظیمات!$B$28+AZ463*تنظیمات!$B$29+BA463*تنظیمات!$B$30+BB463*تنظیمات!$B$31+BC463*تنظیمات!$B$32+BD463*تنظیمات!$B$33+BE463*تنظیمات!$B$34+BF463*تنظیمات!$B$35+BG463*تنظیمات!$B$36)</f>
        <v>0</v>
      </c>
      <c r="BI463" s="16" t="str">
        <f aca="false">IF(BH463&gt;=60,"بحرانی",IF(BH463&gt;=30,"مشکوک",IF(BH463&gt;0,"هشدار","عادی")))</f>
        <v>عادی</v>
      </c>
      <c r="BJ463" s="16" t="s">
        <v>338</v>
      </c>
    </row>
    <row r="464" customFormat="false" ht="15" hidden="false" customHeight="false" outlineLevel="0" collapsed="false">
      <c r="A464" s="16" t="s">
        <v>1842</v>
      </c>
      <c r="B464" s="16" t="s">
        <v>349</v>
      </c>
      <c r="C464" s="16"/>
      <c r="D464" s="16" t="s">
        <v>350</v>
      </c>
      <c r="E464" s="16" t="s">
        <v>351</v>
      </c>
      <c r="F464" s="16" t="s">
        <v>333</v>
      </c>
      <c r="G464" s="17" t="n">
        <v>46287.404849537</v>
      </c>
      <c r="H464" s="17" t="n">
        <v>46287.4576273148</v>
      </c>
      <c r="I464" s="18" t="n">
        <f aca="false">IF(H464="",ROUND((تنظیمات!$B$7-G464)*1440,0),ROUND((H464-G464)*1440,0))</f>
        <v>76</v>
      </c>
      <c r="J464" s="16" t="s">
        <v>334</v>
      </c>
      <c r="K464" s="16" t="s">
        <v>400</v>
      </c>
      <c r="L464" s="19" t="n">
        <v>0.995</v>
      </c>
      <c r="M464" s="19" t="n">
        <v>0.91</v>
      </c>
      <c r="N464" s="16" t="s">
        <v>335</v>
      </c>
      <c r="O464" s="16" t="s">
        <v>677</v>
      </c>
      <c r="P464" s="16" t="s">
        <v>402</v>
      </c>
      <c r="Q464" s="20" t="n">
        <v>46287</v>
      </c>
      <c r="R464" s="16" t="s">
        <v>1843</v>
      </c>
      <c r="S464" s="16" t="s">
        <v>404</v>
      </c>
      <c r="T464" s="17"/>
      <c r="U464" s="21" t="n">
        <v>1</v>
      </c>
      <c r="V464" s="21" t="n">
        <v>1</v>
      </c>
      <c r="W464" s="22" t="n">
        <v>3.4</v>
      </c>
      <c r="X464" s="16" t="s">
        <v>335</v>
      </c>
      <c r="Y464" s="16" t="s">
        <v>338</v>
      </c>
      <c r="Z464" s="16" t="s">
        <v>413</v>
      </c>
      <c r="AA464" s="16" t="s">
        <v>427</v>
      </c>
      <c r="AB464" s="23" t="s">
        <v>1844</v>
      </c>
      <c r="AC464" s="17" t="n">
        <v>46287.4572685185</v>
      </c>
      <c r="AD464" s="16" t="s">
        <v>338</v>
      </c>
      <c r="AE464" s="16"/>
      <c r="AF464" s="16" t="str">
        <f aca="false">IF(COUNTIF(لیست_سفید!$A$2:$A$21,B464)&gt;0,"بله","خیر")</f>
        <v>خیر</v>
      </c>
      <c r="AG464" s="24" t="n">
        <f aca="false">IF(H464="","",IF(AD464="فیش مفقودی",تنظیمات!$B$6,(INT(I464/1440)*تنظیمات!$B$5+IF(MOD(I464,1440)&lt;=تنظیمات!$B$2,0,MIN(تنظیمات!$B$5,تنظیمات!$B$3+MAX(0,ROUNDUP((MOD(I464,1440)-60)/60,0))*تنظیمات!$B$4)))*INDEX(تعرفه!$B$2:$B$7,MATCH(AD464,تعرفه!$A$2:$A$7,0))))</f>
        <v>34000</v>
      </c>
      <c r="AH464" s="24" t="n">
        <v>34000</v>
      </c>
      <c r="AI464" s="24" t="n">
        <f aca="false">IF(AG464="","",AH464-AG464)</f>
        <v>0</v>
      </c>
      <c r="AJ464" s="21" t="n">
        <v>3</v>
      </c>
      <c r="AK464" s="21" t="n">
        <v>0</v>
      </c>
      <c r="AL464" s="16" t="s">
        <v>335</v>
      </c>
      <c r="AM464" s="16"/>
      <c r="AN464" s="16" t="s">
        <v>340</v>
      </c>
      <c r="AO464" s="16" t="s">
        <v>340</v>
      </c>
      <c r="AP464" s="16" t="s">
        <v>335</v>
      </c>
      <c r="AQ464" s="16"/>
      <c r="AR464" s="21" t="n">
        <f aca="false">IF(AND(T464&lt;&gt;"",H464&lt;&gt;""),IF(AND((T464-H464)*86400&gt;=0,(T464-H464)*86400&lt;تنظیمات!$B$13),1,0),0)</f>
        <v>0</v>
      </c>
      <c r="AS464" s="21" t="n">
        <f aca="false">IF(Z464="پوز",IF(OR(AB464="",COUNTIF(پوزها!$A$2:$A$5,AA464)=0),1,0),0)</f>
        <v>0</v>
      </c>
      <c r="AT464" s="21" t="n">
        <f aca="false">IF(AI464="",0,IF(AI464&gt;0,1,0))</f>
        <v>0</v>
      </c>
      <c r="AU464" s="21" t="n">
        <f aca="false">IF(AI464="",0,IF(AI464&lt;0,1,0))</f>
        <v>0</v>
      </c>
      <c r="AV464" s="21" t="n">
        <f aca="false">IF(U464&gt;V464,1,0)</f>
        <v>0</v>
      </c>
      <c r="AW464" s="21" t="n">
        <f aca="false">IF(OR(W464&gt;تنظیمات!$B$8,X464="بله"),1,0)</f>
        <v>0</v>
      </c>
      <c r="AX464" s="21" t="n">
        <f aca="false">IF(AND(N464="بله",L464&gt;تنظیمات!$B$9),1,0)</f>
        <v>0</v>
      </c>
      <c r="AY464" s="21" t="n">
        <f aca="false">IF(Y464="معکوس",1,0)</f>
        <v>0</v>
      </c>
      <c r="AZ464" s="21" t="n">
        <f aca="false">IF(ABS(AJ464)&gt;تنظیمات!$B$10,1,0)</f>
        <v>0</v>
      </c>
      <c r="BA464" s="21" t="n">
        <f aca="false">IF(AND(OR(AD464="رایگان/VIP",AD464="جانباز"),AF464="خیر"),1,0)</f>
        <v>0</v>
      </c>
      <c r="BB464" s="21" t="n">
        <f aca="false">IF(AE464="",0,IF(COUNTIF($AE$2:$AE$1001,AE464)&gt;1,1,0))</f>
        <v>0</v>
      </c>
      <c r="BC464" s="21" t="n">
        <f aca="false">IF(AND(H464="",I464&gt;تنظیمات!$B$12*60,AM464="خالی"),1,0)</f>
        <v>0</v>
      </c>
      <c r="BD464" s="21" t="n">
        <f aca="false">IF(AND(AP464="بله",I464&lt;تنظیمات!$B$14,AO464="خیر"),1,0)</f>
        <v>0</v>
      </c>
      <c r="BE464" s="21" t="n">
        <f aca="false">IF(AN464="خیر",1,0)</f>
        <v>0</v>
      </c>
      <c r="BF464" s="21" t="n">
        <f aca="false">IF(AND(AD464="فیش مفقودی",AQ464="بله",I464&gt;تنظیمات!$B$12*60),1,0)</f>
        <v>0</v>
      </c>
      <c r="BG464" s="21" t="n">
        <f aca="false">IF(AND(AK464&gt;تنظیمات!$B$11,AL464="بله"),1,0)</f>
        <v>0</v>
      </c>
      <c r="BH464" s="21" t="n">
        <f aca="false">MIN(100,AR464*تنظیمات!$B$21+AS464*تنظیمات!$B$22+AT464*تنظیمات!$B$23+AU464*تنظیمات!$B$24+AV464*تنظیمات!$B$25+AW464*تنظیمات!$B$26+AX464*تنظیمات!$B$27+AY464*تنظیمات!$B$28+AZ464*تنظیمات!$B$29+BA464*تنظیمات!$B$30+BB464*تنظیمات!$B$31+BC464*تنظیمات!$B$32+BD464*تنظیمات!$B$33+BE464*تنظیمات!$B$34+BF464*تنظیمات!$B$35+BG464*تنظیمات!$B$36)</f>
        <v>0</v>
      </c>
      <c r="BI464" s="16" t="str">
        <f aca="false">IF(BH464&gt;=60,"بحرانی",IF(BH464&gt;=30,"مشکوک",IF(BH464&gt;0,"هشدار","عادی")))</f>
        <v>عادی</v>
      </c>
      <c r="BJ464" s="16" t="s">
        <v>338</v>
      </c>
    </row>
    <row r="465" customFormat="false" ht="15" hidden="false" customHeight="false" outlineLevel="0" collapsed="false">
      <c r="A465" s="16" t="s">
        <v>1845</v>
      </c>
      <c r="B465" s="16" t="s">
        <v>1846</v>
      </c>
      <c r="C465" s="16"/>
      <c r="D465" s="16" t="s">
        <v>331</v>
      </c>
      <c r="E465" s="16" t="s">
        <v>351</v>
      </c>
      <c r="F465" s="16" t="s">
        <v>333</v>
      </c>
      <c r="G465" s="17" t="n">
        <v>46287.4088541667</v>
      </c>
      <c r="H465" s="17" t="n">
        <v>46287.7526041667</v>
      </c>
      <c r="I465" s="18" t="n">
        <f aca="false">IF(H465="",ROUND((تنظیمات!$B$7-G465)*1440,0),ROUND((H465-G465)*1440,0))</f>
        <v>495</v>
      </c>
      <c r="J465" s="16" t="s">
        <v>346</v>
      </c>
      <c r="K465" s="16" t="s">
        <v>410</v>
      </c>
      <c r="L465" s="19" t="n">
        <v>0.93</v>
      </c>
      <c r="M465" s="19" t="n">
        <v>0.917</v>
      </c>
      <c r="N465" s="16" t="s">
        <v>335</v>
      </c>
      <c r="O465" s="16" t="s">
        <v>411</v>
      </c>
      <c r="P465" s="16" t="s">
        <v>420</v>
      </c>
      <c r="Q465" s="20" t="n">
        <v>46287</v>
      </c>
      <c r="R465" s="16" t="s">
        <v>1847</v>
      </c>
      <c r="S465" s="16" t="s">
        <v>404</v>
      </c>
      <c r="T465" s="17"/>
      <c r="U465" s="21" t="n">
        <v>1</v>
      </c>
      <c r="V465" s="21" t="n">
        <v>1</v>
      </c>
      <c r="W465" s="22" t="n">
        <v>3.7</v>
      </c>
      <c r="X465" s="16" t="s">
        <v>335</v>
      </c>
      <c r="Y465" s="16" t="s">
        <v>338</v>
      </c>
      <c r="Z465" s="16" t="s">
        <v>465</v>
      </c>
      <c r="AA465" s="16"/>
      <c r="AB465" s="23"/>
      <c r="AC465" s="17"/>
      <c r="AD465" s="16" t="s">
        <v>466</v>
      </c>
      <c r="AE465" s="16"/>
      <c r="AF465" s="16" t="str">
        <f aca="false">IF(COUNTIF(لیست_سفید!$A$2:$A$21,B465)&gt;0,"بله","خیر")</f>
        <v>بله</v>
      </c>
      <c r="AG465" s="24" t="n">
        <f aca="false">IF(H465="","",IF(AD465="فیش مفقودی",تنظیمات!$B$6,(INT(I465/1440)*تنظیمات!$B$5+IF(MOD(I465,1440)&lt;=تنظیمات!$B$2,0,MIN(تنظیمات!$B$5,تنظیمات!$B$3+MAX(0,ROUNDUP((MOD(I465,1440)-60)/60,0))*تنظیمات!$B$4)))*INDEX(تعرفه!$B$2:$B$7,MATCH(AD465,تعرفه!$A$2:$A$7,0))))</f>
        <v>0</v>
      </c>
      <c r="AH465" s="24" t="n">
        <v>0</v>
      </c>
      <c r="AI465" s="24" t="n">
        <f aca="false">IF(AG465="","",AH465-AG465)</f>
        <v>0</v>
      </c>
      <c r="AJ465" s="21" t="n">
        <v>-2</v>
      </c>
      <c r="AK465" s="21" t="n">
        <v>0</v>
      </c>
      <c r="AL465" s="16" t="s">
        <v>335</v>
      </c>
      <c r="AM465" s="16"/>
      <c r="AN465" s="16" t="s">
        <v>340</v>
      </c>
      <c r="AO465" s="16" t="s">
        <v>340</v>
      </c>
      <c r="AP465" s="16" t="s">
        <v>335</v>
      </c>
      <c r="AQ465" s="16"/>
      <c r="AR465" s="21" t="n">
        <f aca="false">IF(AND(T465&lt;&gt;"",H465&lt;&gt;""),IF(AND((T465-H465)*86400&gt;=0,(T465-H465)*86400&lt;تنظیمات!$B$13),1,0),0)</f>
        <v>0</v>
      </c>
      <c r="AS465" s="21" t="n">
        <f aca="false">IF(Z465="پوز",IF(OR(AB465="",COUNTIF(پوزها!$A$2:$A$5,AA465)=0),1,0),0)</f>
        <v>0</v>
      </c>
      <c r="AT465" s="21" t="n">
        <f aca="false">IF(AI465="",0,IF(AI465&gt;0,1,0))</f>
        <v>0</v>
      </c>
      <c r="AU465" s="21" t="n">
        <f aca="false">IF(AI465="",0,IF(AI465&lt;0,1,0))</f>
        <v>0</v>
      </c>
      <c r="AV465" s="21" t="n">
        <f aca="false">IF(U465&gt;V465,1,0)</f>
        <v>0</v>
      </c>
      <c r="AW465" s="21" t="n">
        <f aca="false">IF(OR(W465&gt;تنظیمات!$B$8,X465="بله"),1,0)</f>
        <v>0</v>
      </c>
      <c r="AX465" s="21" t="n">
        <f aca="false">IF(AND(N465="بله",L465&gt;تنظیمات!$B$9),1,0)</f>
        <v>0</v>
      </c>
      <c r="AY465" s="21" t="n">
        <f aca="false">IF(Y465="معکوس",1,0)</f>
        <v>0</v>
      </c>
      <c r="AZ465" s="21" t="n">
        <f aca="false">IF(ABS(AJ465)&gt;تنظیمات!$B$10,1,0)</f>
        <v>0</v>
      </c>
      <c r="BA465" s="21" t="n">
        <f aca="false">IF(AND(OR(AD465="رایگان/VIP",AD465="جانباز"),AF465="خیر"),1,0)</f>
        <v>0</v>
      </c>
      <c r="BB465" s="21" t="n">
        <f aca="false">IF(AE465="",0,IF(COUNTIF($AE$2:$AE$1001,AE465)&gt;1,1,0))</f>
        <v>0</v>
      </c>
      <c r="BC465" s="21" t="n">
        <f aca="false">IF(AND(H465="",I465&gt;تنظیمات!$B$12*60,AM465="خالی"),1,0)</f>
        <v>0</v>
      </c>
      <c r="BD465" s="21" t="n">
        <f aca="false">IF(AND(AP465="بله",I465&lt;تنظیمات!$B$14,AO465="خیر"),1,0)</f>
        <v>0</v>
      </c>
      <c r="BE465" s="21" t="n">
        <f aca="false">IF(AN465="خیر",1,0)</f>
        <v>0</v>
      </c>
      <c r="BF465" s="21" t="n">
        <f aca="false">IF(AND(AD465="فیش مفقودی",AQ465="بله",I465&gt;تنظیمات!$B$12*60),1,0)</f>
        <v>0</v>
      </c>
      <c r="BG465" s="21" t="n">
        <f aca="false">IF(AND(AK465&gt;تنظیمات!$B$11,AL465="بله"),1,0)</f>
        <v>0</v>
      </c>
      <c r="BH465" s="21" t="n">
        <f aca="false">MIN(100,AR465*تنظیمات!$B$21+AS465*تنظیمات!$B$22+AT465*تنظیمات!$B$23+AU465*تنظیمات!$B$24+AV465*تنظیمات!$B$25+AW465*تنظیمات!$B$26+AX465*تنظیمات!$B$27+AY465*تنظیمات!$B$28+AZ465*تنظیمات!$B$29+BA465*تنظیمات!$B$30+BB465*تنظیمات!$B$31+BC465*تنظیمات!$B$32+BD465*تنظیمات!$B$33+BE465*تنظیمات!$B$34+BF465*تنظیمات!$B$35+BG465*تنظیمات!$B$36)</f>
        <v>0</v>
      </c>
      <c r="BI465" s="16" t="str">
        <f aca="false">IF(BH465&gt;=60,"بحرانی",IF(BH465&gt;=30,"مشکوک",IF(BH465&gt;0,"هشدار","عادی")))</f>
        <v>عادی</v>
      </c>
      <c r="BJ465" s="16" t="s">
        <v>338</v>
      </c>
    </row>
    <row r="466" customFormat="false" ht="15" hidden="false" customHeight="false" outlineLevel="0" collapsed="false">
      <c r="A466" s="16" t="s">
        <v>1848</v>
      </c>
      <c r="B466" s="16" t="s">
        <v>1849</v>
      </c>
      <c r="C466" s="16"/>
      <c r="D466" s="16" t="s">
        <v>382</v>
      </c>
      <c r="E466" s="16" t="s">
        <v>390</v>
      </c>
      <c r="F466" s="16" t="s">
        <v>333</v>
      </c>
      <c r="G466" s="17" t="n">
        <v>46287.4117939815</v>
      </c>
      <c r="H466" s="17" t="n">
        <v>46287.5708217593</v>
      </c>
      <c r="I466" s="18" t="n">
        <f aca="false">IF(H466="",ROUND((تنظیمات!$B$7-G466)*1440,0),ROUND((H466-G466)*1440,0))</f>
        <v>229</v>
      </c>
      <c r="J466" s="16" t="s">
        <v>346</v>
      </c>
      <c r="K466" s="16" t="s">
        <v>410</v>
      </c>
      <c r="L466" s="19" t="n">
        <v>0.947</v>
      </c>
      <c r="M466" s="19" t="n">
        <v>0.92</v>
      </c>
      <c r="N466" s="16" t="s">
        <v>335</v>
      </c>
      <c r="O466" s="16" t="s">
        <v>425</v>
      </c>
      <c r="P466" s="16" t="s">
        <v>402</v>
      </c>
      <c r="Q466" s="20" t="n">
        <v>46287</v>
      </c>
      <c r="R466" s="16" t="s">
        <v>1850</v>
      </c>
      <c r="S466" s="16" t="s">
        <v>404</v>
      </c>
      <c r="T466" s="17"/>
      <c r="U466" s="21" t="n">
        <v>1</v>
      </c>
      <c r="V466" s="21" t="n">
        <v>1</v>
      </c>
      <c r="W466" s="22" t="n">
        <v>4.2</v>
      </c>
      <c r="X466" s="16" t="s">
        <v>335</v>
      </c>
      <c r="Y466" s="16" t="s">
        <v>338</v>
      </c>
      <c r="Z466" s="16" t="s">
        <v>413</v>
      </c>
      <c r="AA466" s="16" t="s">
        <v>414</v>
      </c>
      <c r="AB466" s="23" t="s">
        <v>1851</v>
      </c>
      <c r="AC466" s="17" t="n">
        <v>46287.5702314815</v>
      </c>
      <c r="AD466" s="16" t="s">
        <v>338</v>
      </c>
      <c r="AE466" s="16"/>
      <c r="AF466" s="16" t="str">
        <f aca="false">IF(COUNTIF(لیست_سفید!$A$2:$A$21,B466)&gt;0,"بله","خیر")</f>
        <v>خیر</v>
      </c>
      <c r="AG466" s="24" t="n">
        <f aca="false">IF(H466="","",IF(AD466="فیش مفقودی",تنظیمات!$B$6,(INT(I466/1440)*تنظیمات!$B$5+IF(MOD(I466,1440)&lt;=تنظیمات!$B$2,0,MIN(تنظیمات!$B$5,تنظیمات!$B$3+MAX(0,ROUNDUP((MOD(I466,1440)-60)/60,0))*تنظیمات!$B$4)))*INDEX(تعرفه!$B$2:$B$7,MATCH(AD466,تعرفه!$A$2:$A$7,0))))</f>
        <v>62000</v>
      </c>
      <c r="AH466" s="24" t="n">
        <v>62000</v>
      </c>
      <c r="AI466" s="24" t="n">
        <f aca="false">IF(AG466="","",AH466-AG466)</f>
        <v>0</v>
      </c>
      <c r="AJ466" s="21" t="n">
        <v>-3</v>
      </c>
      <c r="AK466" s="21" t="n">
        <v>0</v>
      </c>
      <c r="AL466" s="16" t="s">
        <v>335</v>
      </c>
      <c r="AM466" s="16"/>
      <c r="AN466" s="16" t="s">
        <v>340</v>
      </c>
      <c r="AO466" s="16" t="s">
        <v>340</v>
      </c>
      <c r="AP466" s="16" t="s">
        <v>335</v>
      </c>
      <c r="AQ466" s="16"/>
      <c r="AR466" s="21" t="n">
        <f aca="false">IF(AND(T466&lt;&gt;"",H466&lt;&gt;""),IF(AND((T466-H466)*86400&gt;=0,(T466-H466)*86400&lt;تنظیمات!$B$13),1,0),0)</f>
        <v>0</v>
      </c>
      <c r="AS466" s="21" t="n">
        <f aca="false">IF(Z466="پوز",IF(OR(AB466="",COUNTIF(پوزها!$A$2:$A$5,AA466)=0),1,0),0)</f>
        <v>0</v>
      </c>
      <c r="AT466" s="21" t="n">
        <f aca="false">IF(AI466="",0,IF(AI466&gt;0,1,0))</f>
        <v>0</v>
      </c>
      <c r="AU466" s="21" t="n">
        <f aca="false">IF(AI466="",0,IF(AI466&lt;0,1,0))</f>
        <v>0</v>
      </c>
      <c r="AV466" s="21" t="n">
        <f aca="false">IF(U466&gt;V466,1,0)</f>
        <v>0</v>
      </c>
      <c r="AW466" s="21" t="n">
        <f aca="false">IF(OR(W466&gt;تنظیمات!$B$8,X466="بله"),1,0)</f>
        <v>0</v>
      </c>
      <c r="AX466" s="21" t="n">
        <f aca="false">IF(AND(N466="بله",L466&gt;تنظیمات!$B$9),1,0)</f>
        <v>0</v>
      </c>
      <c r="AY466" s="21" t="n">
        <f aca="false">IF(Y466="معکوس",1,0)</f>
        <v>0</v>
      </c>
      <c r="AZ466" s="21" t="n">
        <f aca="false">IF(ABS(AJ466)&gt;تنظیمات!$B$10,1,0)</f>
        <v>0</v>
      </c>
      <c r="BA466" s="21" t="n">
        <f aca="false">IF(AND(OR(AD466="رایگان/VIP",AD466="جانباز"),AF466="خیر"),1,0)</f>
        <v>0</v>
      </c>
      <c r="BB466" s="21" t="n">
        <f aca="false">IF(AE466="",0,IF(COUNTIF($AE$2:$AE$1001,AE466)&gt;1,1,0))</f>
        <v>0</v>
      </c>
      <c r="BC466" s="21" t="n">
        <f aca="false">IF(AND(H466="",I466&gt;تنظیمات!$B$12*60,AM466="خالی"),1,0)</f>
        <v>0</v>
      </c>
      <c r="BD466" s="21" t="n">
        <f aca="false">IF(AND(AP466="بله",I466&lt;تنظیمات!$B$14,AO466="خیر"),1,0)</f>
        <v>0</v>
      </c>
      <c r="BE466" s="21" t="n">
        <f aca="false">IF(AN466="خیر",1,0)</f>
        <v>0</v>
      </c>
      <c r="BF466" s="21" t="n">
        <f aca="false">IF(AND(AD466="فیش مفقودی",AQ466="بله",I466&gt;تنظیمات!$B$12*60),1,0)</f>
        <v>0</v>
      </c>
      <c r="BG466" s="21" t="n">
        <f aca="false">IF(AND(AK466&gt;تنظیمات!$B$11,AL466="بله"),1,0)</f>
        <v>0</v>
      </c>
      <c r="BH466" s="21" t="n">
        <f aca="false">MIN(100,AR466*تنظیمات!$B$21+AS466*تنظیمات!$B$22+AT466*تنظیمات!$B$23+AU466*تنظیمات!$B$24+AV466*تنظیمات!$B$25+AW466*تنظیمات!$B$26+AX466*تنظیمات!$B$27+AY466*تنظیمات!$B$28+AZ466*تنظیمات!$B$29+BA466*تنظیمات!$B$30+BB466*تنظیمات!$B$31+BC466*تنظیمات!$B$32+BD466*تنظیمات!$B$33+BE466*تنظیمات!$B$34+BF466*تنظیمات!$B$35+BG466*تنظیمات!$B$36)</f>
        <v>0</v>
      </c>
      <c r="BI466" s="16" t="str">
        <f aca="false">IF(BH466&gt;=60,"بحرانی",IF(BH466&gt;=30,"مشکوک",IF(BH466&gt;0,"هشدار","عادی")))</f>
        <v>عادی</v>
      </c>
      <c r="BJ466" s="16" t="s">
        <v>338</v>
      </c>
    </row>
    <row r="467" customFormat="false" ht="15" hidden="false" customHeight="false" outlineLevel="0" collapsed="false">
      <c r="A467" s="16" t="s">
        <v>1852</v>
      </c>
      <c r="B467" s="16" t="s">
        <v>1203</v>
      </c>
      <c r="C467" s="16"/>
      <c r="D467" s="16" t="s">
        <v>350</v>
      </c>
      <c r="E467" s="16" t="s">
        <v>332</v>
      </c>
      <c r="F467" s="16" t="s">
        <v>333</v>
      </c>
      <c r="G467" s="17" t="n">
        <v>46287.4158449074</v>
      </c>
      <c r="H467" s="17" t="n">
        <v>46287.4790393519</v>
      </c>
      <c r="I467" s="18" t="n">
        <f aca="false">IF(H467="",ROUND((تنظیمات!$B$7-G467)*1440,0),ROUND((H467-G467)*1440,0))</f>
        <v>91</v>
      </c>
      <c r="J467" s="16" t="s">
        <v>346</v>
      </c>
      <c r="K467" s="16" t="s">
        <v>410</v>
      </c>
      <c r="L467" s="19" t="n">
        <v>0.971</v>
      </c>
      <c r="M467" s="19" t="n">
        <v>0.966</v>
      </c>
      <c r="N467" s="16" t="s">
        <v>335</v>
      </c>
      <c r="O467" s="16" t="s">
        <v>425</v>
      </c>
      <c r="P467" s="16" t="s">
        <v>402</v>
      </c>
      <c r="Q467" s="20" t="n">
        <v>46287</v>
      </c>
      <c r="R467" s="16" t="s">
        <v>1853</v>
      </c>
      <c r="S467" s="16" t="s">
        <v>404</v>
      </c>
      <c r="T467" s="17"/>
      <c r="U467" s="21" t="n">
        <v>1</v>
      </c>
      <c r="V467" s="21" t="n">
        <v>1</v>
      </c>
      <c r="W467" s="22" t="n">
        <v>5.9</v>
      </c>
      <c r="X467" s="16" t="s">
        <v>335</v>
      </c>
      <c r="Y467" s="16" t="s">
        <v>338</v>
      </c>
      <c r="Z467" s="16" t="s">
        <v>405</v>
      </c>
      <c r="AA467" s="16"/>
      <c r="AB467" s="23"/>
      <c r="AC467" s="17"/>
      <c r="AD467" s="16" t="s">
        <v>338</v>
      </c>
      <c r="AE467" s="16"/>
      <c r="AF467" s="16" t="str">
        <f aca="false">IF(COUNTIF(لیست_سفید!$A$2:$A$21,B467)&gt;0,"بله","خیر")</f>
        <v>خیر</v>
      </c>
      <c r="AG467" s="24" t="n">
        <f aca="false">IF(H467="","",IF(AD467="فیش مفقودی",تنظیمات!$B$6,(INT(I467/1440)*تنظیمات!$B$5+IF(MOD(I467,1440)&lt;=تنظیمات!$B$2,0,MIN(تنظیمات!$B$5,تنظیمات!$B$3+MAX(0,ROUNDUP((MOD(I467,1440)-60)/60,0))*تنظیمات!$B$4)))*INDEX(تعرفه!$B$2:$B$7,MATCH(AD467,تعرفه!$A$2:$A$7,0))))</f>
        <v>34000</v>
      </c>
      <c r="AH467" s="24" t="n">
        <v>34000</v>
      </c>
      <c r="AI467" s="24" t="n">
        <f aca="false">IF(AG467="","",AH467-AG467)</f>
        <v>0</v>
      </c>
      <c r="AJ467" s="21" t="n">
        <v>2</v>
      </c>
      <c r="AK467" s="21" t="n">
        <v>0</v>
      </c>
      <c r="AL467" s="16" t="s">
        <v>335</v>
      </c>
      <c r="AM467" s="16"/>
      <c r="AN467" s="16" t="s">
        <v>340</v>
      </c>
      <c r="AO467" s="16" t="s">
        <v>340</v>
      </c>
      <c r="AP467" s="16" t="s">
        <v>335</v>
      </c>
      <c r="AQ467" s="16"/>
      <c r="AR467" s="21" t="n">
        <f aca="false">IF(AND(T467&lt;&gt;"",H467&lt;&gt;""),IF(AND((T467-H467)*86400&gt;=0,(T467-H467)*86400&lt;تنظیمات!$B$13),1,0),0)</f>
        <v>0</v>
      </c>
      <c r="AS467" s="21" t="n">
        <f aca="false">IF(Z467="پوز",IF(OR(AB467="",COUNTIF(پوزها!$A$2:$A$5,AA467)=0),1,0),0)</f>
        <v>0</v>
      </c>
      <c r="AT467" s="21" t="n">
        <f aca="false">IF(AI467="",0,IF(AI467&gt;0,1,0))</f>
        <v>0</v>
      </c>
      <c r="AU467" s="21" t="n">
        <f aca="false">IF(AI467="",0,IF(AI467&lt;0,1,0))</f>
        <v>0</v>
      </c>
      <c r="AV467" s="21" t="n">
        <f aca="false">IF(U467&gt;V467,1,0)</f>
        <v>0</v>
      </c>
      <c r="AW467" s="21" t="n">
        <f aca="false">IF(OR(W467&gt;تنظیمات!$B$8,X467="بله"),1,0)</f>
        <v>0</v>
      </c>
      <c r="AX467" s="21" t="n">
        <f aca="false">IF(AND(N467="بله",L467&gt;تنظیمات!$B$9),1,0)</f>
        <v>0</v>
      </c>
      <c r="AY467" s="21" t="n">
        <f aca="false">IF(Y467="معکوس",1,0)</f>
        <v>0</v>
      </c>
      <c r="AZ467" s="21" t="n">
        <f aca="false">IF(ABS(AJ467)&gt;تنظیمات!$B$10,1,0)</f>
        <v>0</v>
      </c>
      <c r="BA467" s="21" t="n">
        <f aca="false">IF(AND(OR(AD467="رایگان/VIP",AD467="جانباز"),AF467="خیر"),1,0)</f>
        <v>0</v>
      </c>
      <c r="BB467" s="21" t="n">
        <f aca="false">IF(AE467="",0,IF(COUNTIF($AE$2:$AE$1001,AE467)&gt;1,1,0))</f>
        <v>0</v>
      </c>
      <c r="BC467" s="21" t="n">
        <f aca="false">IF(AND(H467="",I467&gt;تنظیمات!$B$12*60,AM467="خالی"),1,0)</f>
        <v>0</v>
      </c>
      <c r="BD467" s="21" t="n">
        <f aca="false">IF(AND(AP467="بله",I467&lt;تنظیمات!$B$14,AO467="خیر"),1,0)</f>
        <v>0</v>
      </c>
      <c r="BE467" s="21" t="n">
        <f aca="false">IF(AN467="خیر",1,0)</f>
        <v>0</v>
      </c>
      <c r="BF467" s="21" t="n">
        <f aca="false">IF(AND(AD467="فیش مفقودی",AQ467="بله",I467&gt;تنظیمات!$B$12*60),1,0)</f>
        <v>0</v>
      </c>
      <c r="BG467" s="21" t="n">
        <f aca="false">IF(AND(AK467&gt;تنظیمات!$B$11,AL467="بله"),1,0)</f>
        <v>0</v>
      </c>
      <c r="BH467" s="21" t="n">
        <f aca="false">MIN(100,AR467*تنظیمات!$B$21+AS467*تنظیمات!$B$22+AT467*تنظیمات!$B$23+AU467*تنظیمات!$B$24+AV467*تنظیمات!$B$25+AW467*تنظیمات!$B$26+AX467*تنظیمات!$B$27+AY467*تنظیمات!$B$28+AZ467*تنظیمات!$B$29+BA467*تنظیمات!$B$30+BB467*تنظیمات!$B$31+BC467*تنظیمات!$B$32+BD467*تنظیمات!$B$33+BE467*تنظیمات!$B$34+BF467*تنظیمات!$B$35+BG467*تنظیمات!$B$36)</f>
        <v>0</v>
      </c>
      <c r="BI467" s="16" t="str">
        <f aca="false">IF(BH467&gt;=60,"بحرانی",IF(BH467&gt;=30,"مشکوک",IF(BH467&gt;0,"هشدار","عادی")))</f>
        <v>عادی</v>
      </c>
      <c r="BJ467" s="16" t="s">
        <v>338</v>
      </c>
    </row>
    <row r="468" customFormat="false" ht="15" hidden="false" customHeight="false" outlineLevel="0" collapsed="false">
      <c r="A468" s="16" t="s">
        <v>1854</v>
      </c>
      <c r="B468" s="16" t="s">
        <v>1855</v>
      </c>
      <c r="C468" s="16"/>
      <c r="D468" s="16" t="s">
        <v>431</v>
      </c>
      <c r="E468" s="16" t="s">
        <v>332</v>
      </c>
      <c r="F468" s="16" t="s">
        <v>333</v>
      </c>
      <c r="G468" s="17" t="n">
        <v>46287.4324074074</v>
      </c>
      <c r="H468" s="17" t="n">
        <v>46287.7469907407</v>
      </c>
      <c r="I468" s="18" t="n">
        <f aca="false">IF(H468="",ROUND((تنظیمات!$B$7-G468)*1440,0),ROUND((H468-G468)*1440,0))</f>
        <v>453</v>
      </c>
      <c r="J468" s="16" t="s">
        <v>334</v>
      </c>
      <c r="K468" s="16" t="s">
        <v>410</v>
      </c>
      <c r="L468" s="19" t="n">
        <v>0.988</v>
      </c>
      <c r="M468" s="19" t="n">
        <v>0.921</v>
      </c>
      <c r="N468" s="16" t="s">
        <v>335</v>
      </c>
      <c r="O468" s="16" t="s">
        <v>411</v>
      </c>
      <c r="P468" s="16" t="s">
        <v>420</v>
      </c>
      <c r="Q468" s="20" t="n">
        <v>46287</v>
      </c>
      <c r="R468" s="16" t="s">
        <v>1856</v>
      </c>
      <c r="S468" s="16" t="s">
        <v>404</v>
      </c>
      <c r="T468" s="17"/>
      <c r="U468" s="21" t="n">
        <v>1</v>
      </c>
      <c r="V468" s="21" t="n">
        <v>1</v>
      </c>
      <c r="W468" s="22" t="n">
        <v>5.6</v>
      </c>
      <c r="X468" s="16" t="s">
        <v>335</v>
      </c>
      <c r="Y468" s="16" t="s">
        <v>338</v>
      </c>
      <c r="Z468" s="16" t="s">
        <v>465</v>
      </c>
      <c r="AA468" s="16"/>
      <c r="AB468" s="23"/>
      <c r="AC468" s="17"/>
      <c r="AD468" s="16" t="s">
        <v>466</v>
      </c>
      <c r="AE468" s="16"/>
      <c r="AF468" s="16" t="str">
        <f aca="false">IF(COUNTIF(لیست_سفید!$A$2:$A$21,B468)&gt;0,"بله","خیر")</f>
        <v>بله</v>
      </c>
      <c r="AG468" s="24" t="n">
        <f aca="false">IF(H468="","",IF(AD468="فیش مفقودی",تنظیمات!$B$6,(INT(I468/1440)*تنظیمات!$B$5+IF(MOD(I468,1440)&lt;=تنظیمات!$B$2,0,MIN(تنظیمات!$B$5,تنظیمات!$B$3+MAX(0,ROUNDUP((MOD(I468,1440)-60)/60,0))*تنظیمات!$B$4)))*INDEX(تعرفه!$B$2:$B$7,MATCH(AD468,تعرفه!$A$2:$A$7,0))))</f>
        <v>0</v>
      </c>
      <c r="AH468" s="24" t="n">
        <v>0</v>
      </c>
      <c r="AI468" s="24" t="n">
        <f aca="false">IF(AG468="","",AH468-AG468)</f>
        <v>0</v>
      </c>
      <c r="AJ468" s="21" t="n">
        <v>-2</v>
      </c>
      <c r="AK468" s="21" t="n">
        <v>0</v>
      </c>
      <c r="AL468" s="16" t="s">
        <v>335</v>
      </c>
      <c r="AM468" s="16"/>
      <c r="AN468" s="16" t="s">
        <v>340</v>
      </c>
      <c r="AO468" s="16" t="s">
        <v>340</v>
      </c>
      <c r="AP468" s="16" t="s">
        <v>335</v>
      </c>
      <c r="AQ468" s="16"/>
      <c r="AR468" s="21" t="n">
        <f aca="false">IF(AND(T468&lt;&gt;"",H468&lt;&gt;""),IF(AND((T468-H468)*86400&gt;=0,(T468-H468)*86400&lt;تنظیمات!$B$13),1,0),0)</f>
        <v>0</v>
      </c>
      <c r="AS468" s="21" t="n">
        <f aca="false">IF(Z468="پوز",IF(OR(AB468="",COUNTIF(پوزها!$A$2:$A$5,AA468)=0),1,0),0)</f>
        <v>0</v>
      </c>
      <c r="AT468" s="21" t="n">
        <f aca="false">IF(AI468="",0,IF(AI468&gt;0,1,0))</f>
        <v>0</v>
      </c>
      <c r="AU468" s="21" t="n">
        <f aca="false">IF(AI468="",0,IF(AI468&lt;0,1,0))</f>
        <v>0</v>
      </c>
      <c r="AV468" s="21" t="n">
        <f aca="false">IF(U468&gt;V468,1,0)</f>
        <v>0</v>
      </c>
      <c r="AW468" s="21" t="n">
        <f aca="false">IF(OR(W468&gt;تنظیمات!$B$8,X468="بله"),1,0)</f>
        <v>0</v>
      </c>
      <c r="AX468" s="21" t="n">
        <f aca="false">IF(AND(N468="بله",L468&gt;تنظیمات!$B$9),1,0)</f>
        <v>0</v>
      </c>
      <c r="AY468" s="21" t="n">
        <f aca="false">IF(Y468="معکوس",1,0)</f>
        <v>0</v>
      </c>
      <c r="AZ468" s="21" t="n">
        <f aca="false">IF(ABS(AJ468)&gt;تنظیمات!$B$10,1,0)</f>
        <v>0</v>
      </c>
      <c r="BA468" s="21" t="n">
        <f aca="false">IF(AND(OR(AD468="رایگان/VIP",AD468="جانباز"),AF468="خیر"),1,0)</f>
        <v>0</v>
      </c>
      <c r="BB468" s="21" t="n">
        <f aca="false">IF(AE468="",0,IF(COUNTIF($AE$2:$AE$1001,AE468)&gt;1,1,0))</f>
        <v>0</v>
      </c>
      <c r="BC468" s="21" t="n">
        <f aca="false">IF(AND(H468="",I468&gt;تنظیمات!$B$12*60,AM468="خالی"),1,0)</f>
        <v>0</v>
      </c>
      <c r="BD468" s="21" t="n">
        <f aca="false">IF(AND(AP468="بله",I468&lt;تنظیمات!$B$14,AO468="خیر"),1,0)</f>
        <v>0</v>
      </c>
      <c r="BE468" s="21" t="n">
        <f aca="false">IF(AN468="خیر",1,0)</f>
        <v>0</v>
      </c>
      <c r="BF468" s="21" t="n">
        <f aca="false">IF(AND(AD468="فیش مفقودی",AQ468="بله",I468&gt;تنظیمات!$B$12*60),1,0)</f>
        <v>0</v>
      </c>
      <c r="BG468" s="21" t="n">
        <f aca="false">IF(AND(AK468&gt;تنظیمات!$B$11,AL468="بله"),1,0)</f>
        <v>0</v>
      </c>
      <c r="BH468" s="21" t="n">
        <f aca="false">MIN(100,AR468*تنظیمات!$B$21+AS468*تنظیمات!$B$22+AT468*تنظیمات!$B$23+AU468*تنظیمات!$B$24+AV468*تنظیمات!$B$25+AW468*تنظیمات!$B$26+AX468*تنظیمات!$B$27+AY468*تنظیمات!$B$28+AZ468*تنظیمات!$B$29+BA468*تنظیمات!$B$30+BB468*تنظیمات!$B$31+BC468*تنظیمات!$B$32+BD468*تنظیمات!$B$33+BE468*تنظیمات!$B$34+BF468*تنظیمات!$B$35+BG468*تنظیمات!$B$36)</f>
        <v>0</v>
      </c>
      <c r="BI468" s="16" t="str">
        <f aca="false">IF(BH468&gt;=60,"بحرانی",IF(BH468&gt;=30,"مشکوک",IF(BH468&gt;0,"هشدار","عادی")))</f>
        <v>عادی</v>
      </c>
      <c r="BJ468" s="16" t="s">
        <v>338</v>
      </c>
    </row>
    <row r="469" customFormat="false" ht="15" hidden="false" customHeight="false" outlineLevel="0" collapsed="false">
      <c r="A469" s="16" t="s">
        <v>1857</v>
      </c>
      <c r="B469" s="16" t="s">
        <v>362</v>
      </c>
      <c r="C469" s="16"/>
      <c r="D469" s="16" t="s">
        <v>331</v>
      </c>
      <c r="E469" s="16" t="s">
        <v>363</v>
      </c>
      <c r="F469" s="16" t="s">
        <v>333</v>
      </c>
      <c r="G469" s="17" t="n">
        <v>46287.445162037</v>
      </c>
      <c r="H469" s="17" t="n">
        <v>46287.4819675926</v>
      </c>
      <c r="I469" s="18" t="n">
        <f aca="false">IF(H469="",ROUND((تنظیمات!$B$7-G469)*1440,0),ROUND((H469-G469)*1440,0))</f>
        <v>53</v>
      </c>
      <c r="J469" s="16" t="s">
        <v>334</v>
      </c>
      <c r="K469" s="16" t="s">
        <v>346</v>
      </c>
      <c r="L469" s="19" t="n">
        <v>0.995</v>
      </c>
      <c r="M469" s="19" t="n">
        <v>0.923</v>
      </c>
      <c r="N469" s="16" t="s">
        <v>335</v>
      </c>
      <c r="O469" s="16" t="s">
        <v>425</v>
      </c>
      <c r="P469" s="16" t="s">
        <v>402</v>
      </c>
      <c r="Q469" s="20" t="n">
        <v>46287</v>
      </c>
      <c r="R469" s="16" t="s">
        <v>1858</v>
      </c>
      <c r="S469" s="16" t="s">
        <v>404</v>
      </c>
      <c r="T469" s="17"/>
      <c r="U469" s="21" t="n">
        <v>1</v>
      </c>
      <c r="V469" s="21" t="n">
        <v>1</v>
      </c>
      <c r="W469" s="22" t="n">
        <v>4.4</v>
      </c>
      <c r="X469" s="16" t="s">
        <v>335</v>
      </c>
      <c r="Y469" s="16" t="s">
        <v>1438</v>
      </c>
      <c r="Z469" s="16" t="s">
        <v>1439</v>
      </c>
      <c r="AA469" s="16"/>
      <c r="AB469" s="23"/>
      <c r="AC469" s="17"/>
      <c r="AD469" s="16" t="s">
        <v>338</v>
      </c>
      <c r="AE469" s="16"/>
      <c r="AF469" s="16" t="str">
        <f aca="false">IF(COUNTIF(لیست_سفید!$A$2:$A$21,B469)&gt;0,"بله","خیر")</f>
        <v>خیر</v>
      </c>
      <c r="AG469" s="24" t="n">
        <f aca="false">IF(H469="","",IF(AD469="فیش مفقودی",تنظیمات!$B$6,(INT(I469/1440)*تنظیمات!$B$5+IF(MOD(I469,1440)&lt;=تنظیمات!$B$2,0,MIN(تنظیمات!$B$5,تنظیمات!$B$3+MAX(0,ROUNDUP((MOD(I469,1440)-60)/60,0))*تنظیمات!$B$4)))*INDEX(تعرفه!$B$2:$B$7,MATCH(AD469,تعرفه!$A$2:$A$7,0))))</f>
        <v>20000</v>
      </c>
      <c r="AH469" s="24" t="n">
        <v>0</v>
      </c>
      <c r="AI469" s="24" t="n">
        <f aca="false">IF(AG469="","",AH469-AG469)</f>
        <v>-20000</v>
      </c>
      <c r="AJ469" s="21" t="n">
        <v>-2</v>
      </c>
      <c r="AK469" s="21" t="n">
        <v>0</v>
      </c>
      <c r="AL469" s="16" t="s">
        <v>335</v>
      </c>
      <c r="AM469" s="16"/>
      <c r="AN469" s="16" t="s">
        <v>340</v>
      </c>
      <c r="AO469" s="16" t="s">
        <v>340</v>
      </c>
      <c r="AP469" s="16" t="s">
        <v>335</v>
      </c>
      <c r="AQ469" s="16"/>
      <c r="AR469" s="21" t="n">
        <f aca="false">IF(AND(T469&lt;&gt;"",H469&lt;&gt;""),IF(AND((T469-H469)*86400&gt;=0,(T469-H469)*86400&lt;تنظیمات!$B$13),1,0),0)</f>
        <v>0</v>
      </c>
      <c r="AS469" s="21" t="n">
        <f aca="false">IF(Z469="پوز",IF(OR(AB469="",COUNTIF(پوزها!$A$2:$A$5,AA469)=0),1,0),0)</f>
        <v>0</v>
      </c>
      <c r="AT469" s="21" t="n">
        <f aca="false">IF(AI469="",0,IF(AI469&gt;0,1,0))</f>
        <v>0</v>
      </c>
      <c r="AU469" s="21" t="n">
        <f aca="false">IF(AI469="",0,IF(AI469&lt;0,1,0))</f>
        <v>1</v>
      </c>
      <c r="AV469" s="21" t="n">
        <f aca="false">IF(U469&gt;V469,1,0)</f>
        <v>0</v>
      </c>
      <c r="AW469" s="21" t="n">
        <f aca="false">IF(OR(W469&gt;تنظیمات!$B$8,X469="بله"),1,0)</f>
        <v>0</v>
      </c>
      <c r="AX469" s="21" t="n">
        <f aca="false">IF(AND(N469="بله",L469&gt;تنظیمات!$B$9),1,0)</f>
        <v>0</v>
      </c>
      <c r="AY469" s="21" t="n">
        <f aca="false">IF(Y469="معکوس",1,0)</f>
        <v>1</v>
      </c>
      <c r="AZ469" s="21" t="n">
        <f aca="false">IF(ABS(AJ469)&gt;تنظیمات!$B$10,1,0)</f>
        <v>0</v>
      </c>
      <c r="BA469" s="21" t="n">
        <f aca="false">IF(AND(OR(AD469="رایگان/VIP",AD469="جانباز"),AF469="خیر"),1,0)</f>
        <v>0</v>
      </c>
      <c r="BB469" s="21" t="n">
        <f aca="false">IF(AE469="",0,IF(COUNTIF($AE$2:$AE$1001,AE469)&gt;1,1,0))</f>
        <v>0</v>
      </c>
      <c r="BC469" s="21" t="n">
        <f aca="false">IF(AND(H469="",I469&gt;تنظیمات!$B$12*60,AM469="خالی"),1,0)</f>
        <v>0</v>
      </c>
      <c r="BD469" s="21" t="n">
        <f aca="false">IF(AND(AP469="بله",I469&lt;تنظیمات!$B$14,AO469="خیر"),1,0)</f>
        <v>0</v>
      </c>
      <c r="BE469" s="21" t="n">
        <f aca="false">IF(AN469="خیر",1,0)</f>
        <v>0</v>
      </c>
      <c r="BF469" s="21" t="n">
        <f aca="false">IF(AND(AD469="فیش مفقودی",AQ469="بله",I469&gt;تنظیمات!$B$12*60),1,0)</f>
        <v>0</v>
      </c>
      <c r="BG469" s="21" t="n">
        <f aca="false">IF(AND(AK469&gt;تنظیمات!$B$11,AL469="بله"),1,0)</f>
        <v>0</v>
      </c>
      <c r="BH469" s="21" t="n">
        <f aca="false">MIN(100,AR469*تنظیمات!$B$21+AS469*تنظیمات!$B$22+AT469*تنظیمات!$B$23+AU469*تنظیمات!$B$24+AV469*تنظیمات!$B$25+AW469*تنظیمات!$B$26+AX469*تنظیمات!$B$27+AY469*تنظیمات!$B$28+AZ469*تنظیمات!$B$29+BA469*تنظیمات!$B$30+BB469*تنظیمات!$B$31+BC469*تنظیمات!$B$32+BD469*تنظیمات!$B$33+BE469*تنظیمات!$B$34+BF469*تنظیمات!$B$35+BG469*تنظیمات!$B$36)</f>
        <v>55</v>
      </c>
      <c r="BI469" s="16" t="str">
        <f aca="false">IF(BH469&gt;=60,"بحرانی",IF(BH469&gt;=30,"مشکوک",IF(BH469&gt;0,"هشدار","عادی")))</f>
        <v>مشکوک</v>
      </c>
      <c r="BJ469" s="16" t="s">
        <v>1440</v>
      </c>
    </row>
    <row r="470" customFormat="false" ht="15" hidden="false" customHeight="false" outlineLevel="0" collapsed="false">
      <c r="A470" s="16" t="s">
        <v>1859</v>
      </c>
      <c r="B470" s="16" t="s">
        <v>924</v>
      </c>
      <c r="C470" s="16"/>
      <c r="D470" s="16" t="s">
        <v>523</v>
      </c>
      <c r="E470" s="16" t="s">
        <v>390</v>
      </c>
      <c r="F470" s="16" t="s">
        <v>333</v>
      </c>
      <c r="G470" s="17" t="n">
        <v>46287.4467013889</v>
      </c>
      <c r="H470" s="17" t="n">
        <v>46287.5071180556</v>
      </c>
      <c r="I470" s="18" t="n">
        <f aca="false">IF(H470="",ROUND((تنظیمات!$B$7-G470)*1440,0),ROUND((H470-G470)*1440,0))</f>
        <v>87</v>
      </c>
      <c r="J470" s="16" t="s">
        <v>334</v>
      </c>
      <c r="K470" s="16" t="s">
        <v>400</v>
      </c>
      <c r="L470" s="19" t="n">
        <v>0.937</v>
      </c>
      <c r="M470" s="19" t="n">
        <v>0.908</v>
      </c>
      <c r="N470" s="16" t="s">
        <v>335</v>
      </c>
      <c r="O470" s="16" t="s">
        <v>677</v>
      </c>
      <c r="P470" s="16" t="s">
        <v>402</v>
      </c>
      <c r="Q470" s="20" t="n">
        <v>46287</v>
      </c>
      <c r="R470" s="16" t="s">
        <v>1860</v>
      </c>
      <c r="S470" s="16" t="s">
        <v>404</v>
      </c>
      <c r="T470" s="17"/>
      <c r="U470" s="21" t="n">
        <v>1</v>
      </c>
      <c r="V470" s="21" t="n">
        <v>1</v>
      </c>
      <c r="W470" s="22" t="n">
        <v>4.5</v>
      </c>
      <c r="X470" s="16" t="s">
        <v>335</v>
      </c>
      <c r="Y470" s="16" t="s">
        <v>338</v>
      </c>
      <c r="Z470" s="16" t="s">
        <v>413</v>
      </c>
      <c r="AA470" s="16" t="s">
        <v>427</v>
      </c>
      <c r="AB470" s="23" t="s">
        <v>1861</v>
      </c>
      <c r="AC470" s="17" t="n">
        <v>46287.5066319444</v>
      </c>
      <c r="AD470" s="16" t="s">
        <v>338</v>
      </c>
      <c r="AE470" s="16"/>
      <c r="AF470" s="16" t="str">
        <f aca="false">IF(COUNTIF(لیست_سفید!$A$2:$A$21,B470)&gt;0,"بله","خیر")</f>
        <v>خیر</v>
      </c>
      <c r="AG470" s="24" t="n">
        <f aca="false">IF(H470="","",IF(AD470="فیش مفقودی",تنظیمات!$B$6,(INT(I470/1440)*تنظیمات!$B$5+IF(MOD(I470,1440)&lt;=تنظیمات!$B$2,0,MIN(تنظیمات!$B$5,تنظیمات!$B$3+MAX(0,ROUNDUP((MOD(I470,1440)-60)/60,0))*تنظیمات!$B$4)))*INDEX(تعرفه!$B$2:$B$7,MATCH(AD470,تعرفه!$A$2:$A$7,0))))</f>
        <v>34000</v>
      </c>
      <c r="AH470" s="24" t="n">
        <v>34000</v>
      </c>
      <c r="AI470" s="24" t="n">
        <f aca="false">IF(AG470="","",AH470-AG470)</f>
        <v>0</v>
      </c>
      <c r="AJ470" s="21" t="n">
        <v>-2</v>
      </c>
      <c r="AK470" s="21" t="n">
        <v>0</v>
      </c>
      <c r="AL470" s="16" t="s">
        <v>335</v>
      </c>
      <c r="AM470" s="16"/>
      <c r="AN470" s="16" t="s">
        <v>340</v>
      </c>
      <c r="AO470" s="16" t="s">
        <v>340</v>
      </c>
      <c r="AP470" s="16" t="s">
        <v>335</v>
      </c>
      <c r="AQ470" s="16"/>
      <c r="AR470" s="21" t="n">
        <f aca="false">IF(AND(T470&lt;&gt;"",H470&lt;&gt;""),IF(AND((T470-H470)*86400&gt;=0,(T470-H470)*86400&lt;تنظیمات!$B$13),1,0),0)</f>
        <v>0</v>
      </c>
      <c r="AS470" s="21" t="n">
        <f aca="false">IF(Z470="پوز",IF(OR(AB470="",COUNTIF(پوزها!$A$2:$A$5,AA470)=0),1,0),0)</f>
        <v>0</v>
      </c>
      <c r="AT470" s="21" t="n">
        <f aca="false">IF(AI470="",0,IF(AI470&gt;0,1,0))</f>
        <v>0</v>
      </c>
      <c r="AU470" s="21" t="n">
        <f aca="false">IF(AI470="",0,IF(AI470&lt;0,1,0))</f>
        <v>0</v>
      </c>
      <c r="AV470" s="21" t="n">
        <f aca="false">IF(U470&gt;V470,1,0)</f>
        <v>0</v>
      </c>
      <c r="AW470" s="21" t="n">
        <f aca="false">IF(OR(W470&gt;تنظیمات!$B$8,X470="بله"),1,0)</f>
        <v>0</v>
      </c>
      <c r="AX470" s="21" t="n">
        <f aca="false">IF(AND(N470="بله",L470&gt;تنظیمات!$B$9),1,0)</f>
        <v>0</v>
      </c>
      <c r="AY470" s="21" t="n">
        <f aca="false">IF(Y470="معکوس",1,0)</f>
        <v>0</v>
      </c>
      <c r="AZ470" s="21" t="n">
        <f aca="false">IF(ABS(AJ470)&gt;تنظیمات!$B$10,1,0)</f>
        <v>0</v>
      </c>
      <c r="BA470" s="21" t="n">
        <f aca="false">IF(AND(OR(AD470="رایگان/VIP",AD470="جانباز"),AF470="خیر"),1,0)</f>
        <v>0</v>
      </c>
      <c r="BB470" s="21" t="n">
        <f aca="false">IF(AE470="",0,IF(COUNTIF($AE$2:$AE$1001,AE470)&gt;1,1,0))</f>
        <v>0</v>
      </c>
      <c r="BC470" s="21" t="n">
        <f aca="false">IF(AND(H470="",I470&gt;تنظیمات!$B$12*60,AM470="خالی"),1,0)</f>
        <v>0</v>
      </c>
      <c r="BD470" s="21" t="n">
        <f aca="false">IF(AND(AP470="بله",I470&lt;تنظیمات!$B$14,AO470="خیر"),1,0)</f>
        <v>0</v>
      </c>
      <c r="BE470" s="21" t="n">
        <f aca="false">IF(AN470="خیر",1,0)</f>
        <v>0</v>
      </c>
      <c r="BF470" s="21" t="n">
        <f aca="false">IF(AND(AD470="فیش مفقودی",AQ470="بله",I470&gt;تنظیمات!$B$12*60),1,0)</f>
        <v>0</v>
      </c>
      <c r="BG470" s="21" t="n">
        <f aca="false">IF(AND(AK470&gt;تنظیمات!$B$11,AL470="بله"),1,0)</f>
        <v>0</v>
      </c>
      <c r="BH470" s="21" t="n">
        <f aca="false">MIN(100,AR470*تنظیمات!$B$21+AS470*تنظیمات!$B$22+AT470*تنظیمات!$B$23+AU470*تنظیمات!$B$24+AV470*تنظیمات!$B$25+AW470*تنظیمات!$B$26+AX470*تنظیمات!$B$27+AY470*تنظیمات!$B$28+AZ470*تنظیمات!$B$29+BA470*تنظیمات!$B$30+BB470*تنظیمات!$B$31+BC470*تنظیمات!$B$32+BD470*تنظیمات!$B$33+BE470*تنظیمات!$B$34+BF470*تنظیمات!$B$35+BG470*تنظیمات!$B$36)</f>
        <v>0</v>
      </c>
      <c r="BI470" s="16" t="str">
        <f aca="false">IF(BH470&gt;=60,"بحرانی",IF(BH470&gt;=30,"مشکوک",IF(BH470&gt;0,"هشدار","عادی")))</f>
        <v>عادی</v>
      </c>
      <c r="BJ470" s="16" t="s">
        <v>338</v>
      </c>
    </row>
    <row r="471" customFormat="false" ht="15" hidden="false" customHeight="false" outlineLevel="0" collapsed="false">
      <c r="A471" s="16" t="s">
        <v>1862</v>
      </c>
      <c r="B471" s="16" t="s">
        <v>491</v>
      </c>
      <c r="C471" s="16"/>
      <c r="D471" s="16" t="s">
        <v>386</v>
      </c>
      <c r="E471" s="16" t="s">
        <v>351</v>
      </c>
      <c r="F471" s="16" t="s">
        <v>333</v>
      </c>
      <c r="G471" s="17" t="n">
        <v>46287.4710648148</v>
      </c>
      <c r="H471" s="17" t="n">
        <v>46287.4724537037</v>
      </c>
      <c r="I471" s="18" t="n">
        <f aca="false">IF(H471="",ROUND((تنظیمات!$B$7-G471)*1440,0),ROUND((H471-G471)*1440,0))</f>
        <v>2</v>
      </c>
      <c r="J471" s="16" t="s">
        <v>346</v>
      </c>
      <c r="K471" s="16" t="s">
        <v>410</v>
      </c>
      <c r="L471" s="19" t="n">
        <v>0.995</v>
      </c>
      <c r="M471" s="19" t="n">
        <v>0.972</v>
      </c>
      <c r="N471" s="16" t="s">
        <v>335</v>
      </c>
      <c r="O471" s="16" t="s">
        <v>425</v>
      </c>
      <c r="P471" s="16" t="s">
        <v>402</v>
      </c>
      <c r="Q471" s="20" t="n">
        <v>46287</v>
      </c>
      <c r="R471" s="16" t="s">
        <v>1863</v>
      </c>
      <c r="S471" s="16" t="s">
        <v>404</v>
      </c>
      <c r="T471" s="17"/>
      <c r="U471" s="21" t="n">
        <v>1</v>
      </c>
      <c r="V471" s="21" t="n">
        <v>1</v>
      </c>
      <c r="W471" s="22" t="n">
        <v>5.4</v>
      </c>
      <c r="X471" s="16" t="s">
        <v>335</v>
      </c>
      <c r="Y471" s="16" t="s">
        <v>338</v>
      </c>
      <c r="Z471" s="16" t="s">
        <v>628</v>
      </c>
      <c r="AA471" s="16"/>
      <c r="AB471" s="23"/>
      <c r="AC471" s="17"/>
      <c r="AD471" s="16" t="s">
        <v>338</v>
      </c>
      <c r="AE471" s="16"/>
      <c r="AF471" s="16" t="str">
        <f aca="false">IF(COUNTIF(لیست_سفید!$A$2:$A$21,B471)&gt;0,"بله","خیر")</f>
        <v>خیر</v>
      </c>
      <c r="AG471" s="24" t="n">
        <f aca="false">IF(H471="","",IF(AD471="فیش مفقودی",تنظیمات!$B$6,(INT(I471/1440)*تنظیمات!$B$5+IF(MOD(I471,1440)&lt;=تنظیمات!$B$2,0,MIN(تنظیمات!$B$5,تنظیمات!$B$3+MAX(0,ROUNDUP((MOD(I471,1440)-60)/60,0))*تنظیمات!$B$4)))*INDEX(تعرفه!$B$2:$B$7,MATCH(AD471,تعرفه!$A$2:$A$7,0))))</f>
        <v>0</v>
      </c>
      <c r="AH471" s="24" t="n">
        <v>0</v>
      </c>
      <c r="AI471" s="24" t="n">
        <f aca="false">IF(AG471="","",AH471-AG471)</f>
        <v>0</v>
      </c>
      <c r="AJ471" s="21" t="n">
        <v>-2</v>
      </c>
      <c r="AK471" s="21" t="n">
        <v>0</v>
      </c>
      <c r="AL471" s="16" t="s">
        <v>335</v>
      </c>
      <c r="AM471" s="16"/>
      <c r="AN471" s="16" t="s">
        <v>335</v>
      </c>
      <c r="AO471" s="16" t="s">
        <v>335</v>
      </c>
      <c r="AP471" s="16" t="s">
        <v>335</v>
      </c>
      <c r="AQ471" s="16"/>
      <c r="AR471" s="21" t="n">
        <f aca="false">IF(AND(T471&lt;&gt;"",H471&lt;&gt;""),IF(AND((T471-H471)*86400&gt;=0,(T471-H471)*86400&lt;تنظیمات!$B$13),1,0),0)</f>
        <v>0</v>
      </c>
      <c r="AS471" s="21" t="n">
        <f aca="false">IF(Z471="پوز",IF(OR(AB471="",COUNTIF(پوزها!$A$2:$A$5,AA471)=0),1,0),0)</f>
        <v>0</v>
      </c>
      <c r="AT471" s="21" t="n">
        <f aca="false">IF(AI471="",0,IF(AI471&gt;0,1,0))</f>
        <v>0</v>
      </c>
      <c r="AU471" s="21" t="n">
        <f aca="false">IF(AI471="",0,IF(AI471&lt;0,1,0))</f>
        <v>0</v>
      </c>
      <c r="AV471" s="21" t="n">
        <f aca="false">IF(U471&gt;V471,1,0)</f>
        <v>0</v>
      </c>
      <c r="AW471" s="21" t="n">
        <f aca="false">IF(OR(W471&gt;تنظیمات!$B$8,X471="بله"),1,0)</f>
        <v>0</v>
      </c>
      <c r="AX471" s="21" t="n">
        <f aca="false">IF(AND(N471="بله",L471&gt;تنظیمات!$B$9),1,0)</f>
        <v>0</v>
      </c>
      <c r="AY471" s="21" t="n">
        <f aca="false">IF(Y471="معکوس",1,0)</f>
        <v>0</v>
      </c>
      <c r="AZ471" s="21" t="n">
        <f aca="false">IF(ABS(AJ471)&gt;تنظیمات!$B$10,1,0)</f>
        <v>0</v>
      </c>
      <c r="BA471" s="21" t="n">
        <f aca="false">IF(AND(OR(AD471="رایگان/VIP",AD471="جانباز"),AF471="خیر"),1,0)</f>
        <v>0</v>
      </c>
      <c r="BB471" s="21" t="n">
        <f aca="false">IF(AE471="",0,IF(COUNTIF($AE$2:$AE$1001,AE471)&gt;1,1,0))</f>
        <v>0</v>
      </c>
      <c r="BC471" s="21" t="n">
        <f aca="false">IF(AND(H471="",I471&gt;تنظیمات!$B$12*60,AM471="خالی"),1,0)</f>
        <v>0</v>
      </c>
      <c r="BD471" s="21" t="n">
        <f aca="false">IF(AND(AP471="بله",I471&lt;تنظیمات!$B$14,AO471="خیر"),1,0)</f>
        <v>0</v>
      </c>
      <c r="BE471" s="21" t="n">
        <f aca="false">IF(AN471="خیر",1,0)</f>
        <v>1</v>
      </c>
      <c r="BF471" s="21" t="n">
        <f aca="false">IF(AND(AD471="فیش مفقودی",AQ471="بله",I471&gt;تنظیمات!$B$12*60),1,0)</f>
        <v>0</v>
      </c>
      <c r="BG471" s="21" t="n">
        <f aca="false">IF(AND(AK471&gt;تنظیمات!$B$11,AL471="بله"),1,0)</f>
        <v>0</v>
      </c>
      <c r="BH471" s="21" t="n">
        <f aca="false">MIN(100,AR471*تنظیمات!$B$21+AS471*تنظیمات!$B$22+AT471*تنظیمات!$B$23+AU471*تنظیمات!$B$24+AV471*تنظیمات!$B$25+AW471*تنظیمات!$B$26+AX471*تنظیمات!$B$27+AY471*تنظیمات!$B$28+AZ471*تنظیمات!$B$29+BA471*تنظیمات!$B$30+BB471*تنظیمات!$B$31+BC471*تنظیمات!$B$32+BD471*تنظیمات!$B$33+BE471*تنظیمات!$B$34+BF471*تنظیمات!$B$35+BG471*تنظیمات!$B$36)</f>
        <v>30</v>
      </c>
      <c r="BI471" s="16" t="str">
        <f aca="false">IF(BH471&gt;=60,"بحرانی",IF(BH471&gt;=30,"مشکوک",IF(BH471&gt;0,"هشدار","عادی")))</f>
        <v>مشکوک</v>
      </c>
      <c r="BJ471" s="16" t="s">
        <v>648</v>
      </c>
    </row>
    <row r="472" customFormat="false" ht="15" hidden="false" customHeight="false" outlineLevel="0" collapsed="false">
      <c r="A472" s="16" t="s">
        <v>1864</v>
      </c>
      <c r="B472" s="16" t="s">
        <v>777</v>
      </c>
      <c r="C472" s="16"/>
      <c r="D472" s="16" t="s">
        <v>450</v>
      </c>
      <c r="E472" s="16" t="s">
        <v>345</v>
      </c>
      <c r="F472" s="16" t="s">
        <v>333</v>
      </c>
      <c r="G472" s="17" t="n">
        <v>46287.4780439815</v>
      </c>
      <c r="H472" s="17" t="n">
        <v>46287.5579050926</v>
      </c>
      <c r="I472" s="18" t="n">
        <f aca="false">IF(H472="",ROUND((تنظیمات!$B$7-G472)*1440,0),ROUND((H472-G472)*1440,0))</f>
        <v>115</v>
      </c>
      <c r="J472" s="16" t="s">
        <v>346</v>
      </c>
      <c r="K472" s="16" t="s">
        <v>400</v>
      </c>
      <c r="L472" s="19" t="n">
        <v>0.918</v>
      </c>
      <c r="M472" s="19" t="n">
        <v>0.906</v>
      </c>
      <c r="N472" s="16" t="s">
        <v>335</v>
      </c>
      <c r="O472" s="16" t="s">
        <v>677</v>
      </c>
      <c r="P472" s="16" t="s">
        <v>402</v>
      </c>
      <c r="Q472" s="20" t="n">
        <v>46287</v>
      </c>
      <c r="R472" s="16" t="s">
        <v>1865</v>
      </c>
      <c r="S472" s="16" t="s">
        <v>404</v>
      </c>
      <c r="T472" s="17"/>
      <c r="U472" s="21" t="n">
        <v>1</v>
      </c>
      <c r="V472" s="21" t="n">
        <v>1</v>
      </c>
      <c r="W472" s="22" t="n">
        <v>5.6</v>
      </c>
      <c r="X472" s="16" t="s">
        <v>335</v>
      </c>
      <c r="Y472" s="16" t="s">
        <v>338</v>
      </c>
      <c r="Z472" s="16" t="s">
        <v>413</v>
      </c>
      <c r="AA472" s="16" t="s">
        <v>427</v>
      </c>
      <c r="AB472" s="23" t="s">
        <v>1866</v>
      </c>
      <c r="AC472" s="17" t="n">
        <v>46287.5575578704</v>
      </c>
      <c r="AD472" s="16" t="s">
        <v>338</v>
      </c>
      <c r="AE472" s="16"/>
      <c r="AF472" s="16" t="str">
        <f aca="false">IF(COUNTIF(لیست_سفید!$A$2:$A$21,B472)&gt;0,"بله","خیر")</f>
        <v>خیر</v>
      </c>
      <c r="AG472" s="24" t="n">
        <f aca="false">IF(H472="","",IF(AD472="فیش مفقودی",تنظیمات!$B$6,(INT(I472/1440)*تنظیمات!$B$5+IF(MOD(I472,1440)&lt;=تنظیمات!$B$2,0,MIN(تنظیمات!$B$5,تنظیمات!$B$3+MAX(0,ROUNDUP((MOD(I472,1440)-60)/60,0))*تنظیمات!$B$4)))*INDEX(تعرفه!$B$2:$B$7,MATCH(AD472,تعرفه!$A$2:$A$7,0))))</f>
        <v>34000</v>
      </c>
      <c r="AH472" s="24" t="n">
        <v>34000</v>
      </c>
      <c r="AI472" s="24" t="n">
        <f aca="false">IF(AG472="","",AH472-AG472)</f>
        <v>0</v>
      </c>
      <c r="AJ472" s="21" t="n">
        <v>1</v>
      </c>
      <c r="AK472" s="21" t="n">
        <v>0</v>
      </c>
      <c r="AL472" s="16" t="s">
        <v>335</v>
      </c>
      <c r="AM472" s="16"/>
      <c r="AN472" s="16" t="s">
        <v>340</v>
      </c>
      <c r="AO472" s="16" t="s">
        <v>340</v>
      </c>
      <c r="AP472" s="16" t="s">
        <v>335</v>
      </c>
      <c r="AQ472" s="16"/>
      <c r="AR472" s="21" t="n">
        <f aca="false">IF(AND(T472&lt;&gt;"",H472&lt;&gt;""),IF(AND((T472-H472)*86400&gt;=0,(T472-H472)*86400&lt;تنظیمات!$B$13),1,0),0)</f>
        <v>0</v>
      </c>
      <c r="AS472" s="21" t="n">
        <f aca="false">IF(Z472="پوز",IF(OR(AB472="",COUNTIF(پوزها!$A$2:$A$5,AA472)=0),1,0),0)</f>
        <v>0</v>
      </c>
      <c r="AT472" s="21" t="n">
        <f aca="false">IF(AI472="",0,IF(AI472&gt;0,1,0))</f>
        <v>0</v>
      </c>
      <c r="AU472" s="21" t="n">
        <f aca="false">IF(AI472="",0,IF(AI472&lt;0,1,0))</f>
        <v>0</v>
      </c>
      <c r="AV472" s="21" t="n">
        <f aca="false">IF(U472&gt;V472,1,0)</f>
        <v>0</v>
      </c>
      <c r="AW472" s="21" t="n">
        <f aca="false">IF(OR(W472&gt;تنظیمات!$B$8,X472="بله"),1,0)</f>
        <v>0</v>
      </c>
      <c r="AX472" s="21" t="n">
        <f aca="false">IF(AND(N472="بله",L472&gt;تنظیمات!$B$9),1,0)</f>
        <v>0</v>
      </c>
      <c r="AY472" s="21" t="n">
        <f aca="false">IF(Y472="معکوس",1,0)</f>
        <v>0</v>
      </c>
      <c r="AZ472" s="21" t="n">
        <f aca="false">IF(ABS(AJ472)&gt;تنظیمات!$B$10,1,0)</f>
        <v>0</v>
      </c>
      <c r="BA472" s="21" t="n">
        <f aca="false">IF(AND(OR(AD472="رایگان/VIP",AD472="جانباز"),AF472="خیر"),1,0)</f>
        <v>0</v>
      </c>
      <c r="BB472" s="21" t="n">
        <f aca="false">IF(AE472="",0,IF(COUNTIF($AE$2:$AE$1001,AE472)&gt;1,1,0))</f>
        <v>0</v>
      </c>
      <c r="BC472" s="21" t="n">
        <f aca="false">IF(AND(H472="",I472&gt;تنظیمات!$B$12*60,AM472="خالی"),1,0)</f>
        <v>0</v>
      </c>
      <c r="BD472" s="21" t="n">
        <f aca="false">IF(AND(AP472="بله",I472&lt;تنظیمات!$B$14,AO472="خیر"),1,0)</f>
        <v>0</v>
      </c>
      <c r="BE472" s="21" t="n">
        <f aca="false">IF(AN472="خیر",1,0)</f>
        <v>0</v>
      </c>
      <c r="BF472" s="21" t="n">
        <f aca="false">IF(AND(AD472="فیش مفقودی",AQ472="بله",I472&gt;تنظیمات!$B$12*60),1,0)</f>
        <v>0</v>
      </c>
      <c r="BG472" s="21" t="n">
        <f aca="false">IF(AND(AK472&gt;تنظیمات!$B$11,AL472="بله"),1,0)</f>
        <v>0</v>
      </c>
      <c r="BH472" s="21" t="n">
        <f aca="false">MIN(100,AR472*تنظیمات!$B$21+AS472*تنظیمات!$B$22+AT472*تنظیمات!$B$23+AU472*تنظیمات!$B$24+AV472*تنظیمات!$B$25+AW472*تنظیمات!$B$26+AX472*تنظیمات!$B$27+AY472*تنظیمات!$B$28+AZ472*تنظیمات!$B$29+BA472*تنظیمات!$B$30+BB472*تنظیمات!$B$31+BC472*تنظیمات!$B$32+BD472*تنظیمات!$B$33+BE472*تنظیمات!$B$34+BF472*تنظیمات!$B$35+BG472*تنظیمات!$B$36)</f>
        <v>0</v>
      </c>
      <c r="BI472" s="16" t="str">
        <f aca="false">IF(BH472&gt;=60,"بحرانی",IF(BH472&gt;=30,"مشکوک",IF(BH472&gt;0,"هشدار","عادی")))</f>
        <v>عادی</v>
      </c>
      <c r="BJ472" s="16" t="s">
        <v>338</v>
      </c>
    </row>
    <row r="473" customFormat="false" ht="15" hidden="false" customHeight="false" outlineLevel="0" collapsed="false">
      <c r="A473" s="16" t="s">
        <v>1867</v>
      </c>
      <c r="B473" s="16" t="s">
        <v>1079</v>
      </c>
      <c r="C473" s="16"/>
      <c r="D473" s="16" t="s">
        <v>508</v>
      </c>
      <c r="E473" s="16" t="s">
        <v>332</v>
      </c>
      <c r="F473" s="16" t="s">
        <v>333</v>
      </c>
      <c r="G473" s="17" t="n">
        <v>46287.4787268519</v>
      </c>
      <c r="H473" s="17" t="n">
        <v>46287.4801157407</v>
      </c>
      <c r="I473" s="18" t="n">
        <f aca="false">IF(H473="",ROUND((تنظیمات!$B$7-G473)*1440,0),ROUND((H473-G473)*1440,0))</f>
        <v>2</v>
      </c>
      <c r="J473" s="16" t="s">
        <v>334</v>
      </c>
      <c r="K473" s="16" t="s">
        <v>400</v>
      </c>
      <c r="L473" s="19" t="n">
        <v>0.987</v>
      </c>
      <c r="M473" s="19" t="n">
        <v>0.922</v>
      </c>
      <c r="N473" s="16" t="s">
        <v>335</v>
      </c>
      <c r="O473" s="16" t="s">
        <v>677</v>
      </c>
      <c r="P473" s="16" t="s">
        <v>402</v>
      </c>
      <c r="Q473" s="20" t="n">
        <v>46287</v>
      </c>
      <c r="R473" s="16" t="s">
        <v>1868</v>
      </c>
      <c r="S473" s="16" t="s">
        <v>404</v>
      </c>
      <c r="T473" s="17"/>
      <c r="U473" s="21" t="n">
        <v>1</v>
      </c>
      <c r="V473" s="21" t="n">
        <v>1</v>
      </c>
      <c r="W473" s="22" t="n">
        <v>5.5</v>
      </c>
      <c r="X473" s="16" t="s">
        <v>335</v>
      </c>
      <c r="Y473" s="16" t="s">
        <v>338</v>
      </c>
      <c r="Z473" s="16" t="s">
        <v>628</v>
      </c>
      <c r="AA473" s="16"/>
      <c r="AB473" s="23"/>
      <c r="AC473" s="17"/>
      <c r="AD473" s="16" t="s">
        <v>338</v>
      </c>
      <c r="AE473" s="16"/>
      <c r="AF473" s="16" t="str">
        <f aca="false">IF(COUNTIF(لیست_سفید!$A$2:$A$21,B473)&gt;0,"بله","خیر")</f>
        <v>خیر</v>
      </c>
      <c r="AG473" s="24" t="n">
        <f aca="false">IF(H473="","",IF(AD473="فیش مفقودی",تنظیمات!$B$6,(INT(I473/1440)*تنظیمات!$B$5+IF(MOD(I473,1440)&lt;=تنظیمات!$B$2,0,MIN(تنظیمات!$B$5,تنظیمات!$B$3+MAX(0,ROUNDUP((MOD(I473,1440)-60)/60,0))*تنظیمات!$B$4)))*INDEX(تعرفه!$B$2:$B$7,MATCH(AD473,تعرفه!$A$2:$A$7,0))))</f>
        <v>0</v>
      </c>
      <c r="AH473" s="24" t="n">
        <v>0</v>
      </c>
      <c r="AI473" s="24" t="n">
        <f aca="false">IF(AG473="","",AH473-AG473)</f>
        <v>0</v>
      </c>
      <c r="AJ473" s="21" t="n">
        <v>3</v>
      </c>
      <c r="AK473" s="21" t="n">
        <v>0</v>
      </c>
      <c r="AL473" s="16" t="s">
        <v>335</v>
      </c>
      <c r="AM473" s="16"/>
      <c r="AN473" s="16" t="s">
        <v>335</v>
      </c>
      <c r="AO473" s="16" t="s">
        <v>335</v>
      </c>
      <c r="AP473" s="16" t="s">
        <v>335</v>
      </c>
      <c r="AQ473" s="16"/>
      <c r="AR473" s="21" t="n">
        <f aca="false">IF(AND(T473&lt;&gt;"",H473&lt;&gt;""),IF(AND((T473-H473)*86400&gt;=0,(T473-H473)*86400&lt;تنظیمات!$B$13),1,0),0)</f>
        <v>0</v>
      </c>
      <c r="AS473" s="21" t="n">
        <f aca="false">IF(Z473="پوز",IF(OR(AB473="",COUNTIF(پوزها!$A$2:$A$5,AA473)=0),1,0),0)</f>
        <v>0</v>
      </c>
      <c r="AT473" s="21" t="n">
        <f aca="false">IF(AI473="",0,IF(AI473&gt;0,1,0))</f>
        <v>0</v>
      </c>
      <c r="AU473" s="21" t="n">
        <f aca="false">IF(AI473="",0,IF(AI473&lt;0,1,0))</f>
        <v>0</v>
      </c>
      <c r="AV473" s="21" t="n">
        <f aca="false">IF(U473&gt;V473,1,0)</f>
        <v>0</v>
      </c>
      <c r="AW473" s="21" t="n">
        <f aca="false">IF(OR(W473&gt;تنظیمات!$B$8,X473="بله"),1,0)</f>
        <v>0</v>
      </c>
      <c r="AX473" s="21" t="n">
        <f aca="false">IF(AND(N473="بله",L473&gt;تنظیمات!$B$9),1,0)</f>
        <v>0</v>
      </c>
      <c r="AY473" s="21" t="n">
        <f aca="false">IF(Y473="معکوس",1,0)</f>
        <v>0</v>
      </c>
      <c r="AZ473" s="21" t="n">
        <f aca="false">IF(ABS(AJ473)&gt;تنظیمات!$B$10,1,0)</f>
        <v>0</v>
      </c>
      <c r="BA473" s="21" t="n">
        <f aca="false">IF(AND(OR(AD473="رایگان/VIP",AD473="جانباز"),AF473="خیر"),1,0)</f>
        <v>0</v>
      </c>
      <c r="BB473" s="21" t="n">
        <f aca="false">IF(AE473="",0,IF(COUNTIF($AE$2:$AE$1001,AE473)&gt;1,1,0))</f>
        <v>0</v>
      </c>
      <c r="BC473" s="21" t="n">
        <f aca="false">IF(AND(H473="",I473&gt;تنظیمات!$B$12*60,AM473="خالی"),1,0)</f>
        <v>0</v>
      </c>
      <c r="BD473" s="21" t="n">
        <f aca="false">IF(AND(AP473="بله",I473&lt;تنظیمات!$B$14,AO473="خیر"),1,0)</f>
        <v>0</v>
      </c>
      <c r="BE473" s="21" t="n">
        <f aca="false">IF(AN473="خیر",1,0)</f>
        <v>1</v>
      </c>
      <c r="BF473" s="21" t="n">
        <f aca="false">IF(AND(AD473="فیش مفقودی",AQ473="بله",I473&gt;تنظیمات!$B$12*60),1,0)</f>
        <v>0</v>
      </c>
      <c r="BG473" s="21" t="n">
        <f aca="false">IF(AND(AK473&gt;تنظیمات!$B$11,AL473="بله"),1,0)</f>
        <v>0</v>
      </c>
      <c r="BH473" s="21" t="n">
        <f aca="false">MIN(100,AR473*تنظیمات!$B$21+AS473*تنظیمات!$B$22+AT473*تنظیمات!$B$23+AU473*تنظیمات!$B$24+AV473*تنظیمات!$B$25+AW473*تنظیمات!$B$26+AX473*تنظیمات!$B$27+AY473*تنظیمات!$B$28+AZ473*تنظیمات!$B$29+BA473*تنظیمات!$B$30+BB473*تنظیمات!$B$31+BC473*تنظیمات!$B$32+BD473*تنظیمات!$B$33+BE473*تنظیمات!$B$34+BF473*تنظیمات!$B$35+BG473*تنظیمات!$B$36)</f>
        <v>30</v>
      </c>
      <c r="BI473" s="16" t="str">
        <f aca="false">IF(BH473&gt;=60,"بحرانی",IF(BH473&gt;=30,"مشکوک",IF(BH473&gt;0,"هشدار","عادی")))</f>
        <v>مشکوک</v>
      </c>
      <c r="BJ473" s="16" t="s">
        <v>648</v>
      </c>
    </row>
    <row r="474" customFormat="false" ht="15" hidden="false" customHeight="false" outlineLevel="0" collapsed="false">
      <c r="A474" s="16" t="s">
        <v>1869</v>
      </c>
      <c r="B474" s="16" t="s">
        <v>718</v>
      </c>
      <c r="C474" s="16"/>
      <c r="D474" s="16" t="s">
        <v>418</v>
      </c>
      <c r="E474" s="16" t="s">
        <v>390</v>
      </c>
      <c r="F474" s="16" t="s">
        <v>333</v>
      </c>
      <c r="G474" s="17" t="n">
        <v>46287.4895949074</v>
      </c>
      <c r="H474" s="17" t="n">
        <v>46287.5277893519</v>
      </c>
      <c r="I474" s="18" t="n">
        <f aca="false">IF(H474="",ROUND((تنظیمات!$B$7-G474)*1440,0),ROUND((H474-G474)*1440,0))</f>
        <v>55</v>
      </c>
      <c r="J474" s="16" t="s">
        <v>334</v>
      </c>
      <c r="K474" s="16" t="s">
        <v>400</v>
      </c>
      <c r="L474" s="19" t="n">
        <v>0.93</v>
      </c>
      <c r="M474" s="19" t="n">
        <v>0.923</v>
      </c>
      <c r="N474" s="16" t="s">
        <v>335</v>
      </c>
      <c r="O474" s="16" t="s">
        <v>677</v>
      </c>
      <c r="P474" s="16" t="s">
        <v>402</v>
      </c>
      <c r="Q474" s="20" t="n">
        <v>46287</v>
      </c>
      <c r="R474" s="16" t="s">
        <v>1870</v>
      </c>
      <c r="S474" s="16" t="s">
        <v>404</v>
      </c>
      <c r="T474" s="17"/>
      <c r="U474" s="21" t="n">
        <v>1</v>
      </c>
      <c r="V474" s="21" t="n">
        <v>1</v>
      </c>
      <c r="W474" s="22" t="n">
        <v>5.3</v>
      </c>
      <c r="X474" s="16" t="s">
        <v>335</v>
      </c>
      <c r="Y474" s="16" t="s">
        <v>338</v>
      </c>
      <c r="Z474" s="16" t="s">
        <v>413</v>
      </c>
      <c r="AA474" s="16" t="s">
        <v>427</v>
      </c>
      <c r="AB474" s="23" t="s">
        <v>1871</v>
      </c>
      <c r="AC474" s="17" t="n">
        <v>46287.5272222222</v>
      </c>
      <c r="AD474" s="16" t="s">
        <v>338</v>
      </c>
      <c r="AE474" s="16"/>
      <c r="AF474" s="16" t="str">
        <f aca="false">IF(COUNTIF(لیست_سفید!$A$2:$A$21,B474)&gt;0,"بله","خیر")</f>
        <v>خیر</v>
      </c>
      <c r="AG474" s="24" t="n">
        <f aca="false">IF(H474="","",IF(AD474="فیش مفقودی",تنظیمات!$B$6,(INT(I474/1440)*تنظیمات!$B$5+IF(MOD(I474,1440)&lt;=تنظیمات!$B$2,0,MIN(تنظیمات!$B$5,تنظیمات!$B$3+MAX(0,ROUNDUP((MOD(I474,1440)-60)/60,0))*تنظیمات!$B$4)))*INDEX(تعرفه!$B$2:$B$7,MATCH(AD474,تعرفه!$A$2:$A$7,0))))</f>
        <v>20000</v>
      </c>
      <c r="AH474" s="24" t="n">
        <v>20000</v>
      </c>
      <c r="AI474" s="24" t="n">
        <f aca="false">IF(AG474="","",AH474-AG474)</f>
        <v>0</v>
      </c>
      <c r="AJ474" s="21" t="n">
        <v>0</v>
      </c>
      <c r="AK474" s="21" t="n">
        <v>0</v>
      </c>
      <c r="AL474" s="16" t="s">
        <v>335</v>
      </c>
      <c r="AM474" s="16"/>
      <c r="AN474" s="16" t="s">
        <v>340</v>
      </c>
      <c r="AO474" s="16" t="s">
        <v>340</v>
      </c>
      <c r="AP474" s="16" t="s">
        <v>335</v>
      </c>
      <c r="AQ474" s="16"/>
      <c r="AR474" s="21" t="n">
        <f aca="false">IF(AND(T474&lt;&gt;"",H474&lt;&gt;""),IF(AND((T474-H474)*86400&gt;=0,(T474-H474)*86400&lt;تنظیمات!$B$13),1,0),0)</f>
        <v>0</v>
      </c>
      <c r="AS474" s="21" t="n">
        <f aca="false">IF(Z474="پوز",IF(OR(AB474="",COUNTIF(پوزها!$A$2:$A$5,AA474)=0),1,0),0)</f>
        <v>0</v>
      </c>
      <c r="AT474" s="21" t="n">
        <f aca="false">IF(AI474="",0,IF(AI474&gt;0,1,0))</f>
        <v>0</v>
      </c>
      <c r="AU474" s="21" t="n">
        <f aca="false">IF(AI474="",0,IF(AI474&lt;0,1,0))</f>
        <v>0</v>
      </c>
      <c r="AV474" s="21" t="n">
        <f aca="false">IF(U474&gt;V474,1,0)</f>
        <v>0</v>
      </c>
      <c r="AW474" s="21" t="n">
        <f aca="false">IF(OR(W474&gt;تنظیمات!$B$8,X474="بله"),1,0)</f>
        <v>0</v>
      </c>
      <c r="AX474" s="21" t="n">
        <f aca="false">IF(AND(N474="بله",L474&gt;تنظیمات!$B$9),1,0)</f>
        <v>0</v>
      </c>
      <c r="AY474" s="21" t="n">
        <f aca="false">IF(Y474="معکوس",1,0)</f>
        <v>0</v>
      </c>
      <c r="AZ474" s="21" t="n">
        <f aca="false">IF(ABS(AJ474)&gt;تنظیمات!$B$10,1,0)</f>
        <v>0</v>
      </c>
      <c r="BA474" s="21" t="n">
        <f aca="false">IF(AND(OR(AD474="رایگان/VIP",AD474="جانباز"),AF474="خیر"),1,0)</f>
        <v>0</v>
      </c>
      <c r="BB474" s="21" t="n">
        <f aca="false">IF(AE474="",0,IF(COUNTIF($AE$2:$AE$1001,AE474)&gt;1,1,0))</f>
        <v>0</v>
      </c>
      <c r="BC474" s="21" t="n">
        <f aca="false">IF(AND(H474="",I474&gt;تنظیمات!$B$12*60,AM474="خالی"),1,0)</f>
        <v>0</v>
      </c>
      <c r="BD474" s="21" t="n">
        <f aca="false">IF(AND(AP474="بله",I474&lt;تنظیمات!$B$14,AO474="خیر"),1,0)</f>
        <v>0</v>
      </c>
      <c r="BE474" s="21" t="n">
        <f aca="false">IF(AN474="خیر",1,0)</f>
        <v>0</v>
      </c>
      <c r="BF474" s="21" t="n">
        <f aca="false">IF(AND(AD474="فیش مفقودی",AQ474="بله",I474&gt;تنظیمات!$B$12*60),1,0)</f>
        <v>0</v>
      </c>
      <c r="BG474" s="21" t="n">
        <f aca="false">IF(AND(AK474&gt;تنظیمات!$B$11,AL474="بله"),1,0)</f>
        <v>0</v>
      </c>
      <c r="BH474" s="21" t="n">
        <f aca="false">MIN(100,AR474*تنظیمات!$B$21+AS474*تنظیمات!$B$22+AT474*تنظیمات!$B$23+AU474*تنظیمات!$B$24+AV474*تنظیمات!$B$25+AW474*تنظیمات!$B$26+AX474*تنظیمات!$B$27+AY474*تنظیمات!$B$28+AZ474*تنظیمات!$B$29+BA474*تنظیمات!$B$30+BB474*تنظیمات!$B$31+BC474*تنظیمات!$B$32+BD474*تنظیمات!$B$33+BE474*تنظیمات!$B$34+BF474*تنظیمات!$B$35+BG474*تنظیمات!$B$36)</f>
        <v>0</v>
      </c>
      <c r="BI474" s="16" t="str">
        <f aca="false">IF(BH474&gt;=60,"بحرانی",IF(BH474&gt;=30,"مشکوک",IF(BH474&gt;0,"هشدار","عادی")))</f>
        <v>عادی</v>
      </c>
      <c r="BJ474" s="16" t="s">
        <v>338</v>
      </c>
    </row>
    <row r="475" customFormat="false" ht="15" hidden="false" customHeight="false" outlineLevel="0" collapsed="false">
      <c r="A475" s="16" t="s">
        <v>1872</v>
      </c>
      <c r="B475" s="16" t="s">
        <v>330</v>
      </c>
      <c r="C475" s="16"/>
      <c r="D475" s="16" t="s">
        <v>331</v>
      </c>
      <c r="E475" s="16" t="s">
        <v>332</v>
      </c>
      <c r="F475" s="16" t="s">
        <v>333</v>
      </c>
      <c r="G475" s="17" t="n">
        <v>46287.4916203704</v>
      </c>
      <c r="H475" s="17" t="n">
        <v>46287.5131481482</v>
      </c>
      <c r="I475" s="18" t="n">
        <f aca="false">IF(H475="",ROUND((تنظیمات!$B$7-G475)*1440,0),ROUND((H475-G475)*1440,0))</f>
        <v>31</v>
      </c>
      <c r="J475" s="16" t="s">
        <v>334</v>
      </c>
      <c r="K475" s="16" t="s">
        <v>400</v>
      </c>
      <c r="L475" s="19" t="n">
        <v>0.955</v>
      </c>
      <c r="M475" s="19" t="n">
        <v>0.97</v>
      </c>
      <c r="N475" s="16" t="s">
        <v>335</v>
      </c>
      <c r="O475" s="16" t="s">
        <v>677</v>
      </c>
      <c r="P475" s="16" t="s">
        <v>402</v>
      </c>
      <c r="Q475" s="20" t="n">
        <v>46287</v>
      </c>
      <c r="R475" s="16" t="s">
        <v>1873</v>
      </c>
      <c r="S475" s="16" t="s">
        <v>404</v>
      </c>
      <c r="T475" s="17"/>
      <c r="U475" s="21" t="n">
        <v>1</v>
      </c>
      <c r="V475" s="21" t="n">
        <v>1</v>
      </c>
      <c r="W475" s="22" t="n">
        <v>5.5</v>
      </c>
      <c r="X475" s="16" t="s">
        <v>335</v>
      </c>
      <c r="Y475" s="16" t="s">
        <v>338</v>
      </c>
      <c r="Z475" s="16" t="s">
        <v>413</v>
      </c>
      <c r="AA475" s="16" t="s">
        <v>427</v>
      </c>
      <c r="AB475" s="23" t="s">
        <v>1874</v>
      </c>
      <c r="AC475" s="17" t="n">
        <v>46287.5121064815</v>
      </c>
      <c r="AD475" s="16" t="s">
        <v>338</v>
      </c>
      <c r="AE475" s="16"/>
      <c r="AF475" s="16" t="str">
        <f aca="false">IF(COUNTIF(لیست_سفید!$A$2:$A$21,B475)&gt;0,"بله","خیر")</f>
        <v>خیر</v>
      </c>
      <c r="AG475" s="24" t="n">
        <f aca="false">IF(H475="","",IF(AD475="فیش مفقودی",تنظیمات!$B$6,(INT(I475/1440)*تنظیمات!$B$5+IF(MOD(I475,1440)&lt;=تنظیمات!$B$2,0,MIN(تنظیمات!$B$5,تنظیمات!$B$3+MAX(0,ROUNDUP((MOD(I475,1440)-60)/60,0))*تنظیمات!$B$4)))*INDEX(تعرفه!$B$2:$B$7,MATCH(AD475,تعرفه!$A$2:$A$7,0))))</f>
        <v>20000</v>
      </c>
      <c r="AH475" s="24" t="n">
        <v>20000</v>
      </c>
      <c r="AI475" s="24" t="n">
        <f aca="false">IF(AG475="","",AH475-AG475)</f>
        <v>0</v>
      </c>
      <c r="AJ475" s="21" t="n">
        <v>-2</v>
      </c>
      <c r="AK475" s="21" t="n">
        <v>0</v>
      </c>
      <c r="AL475" s="16" t="s">
        <v>335</v>
      </c>
      <c r="AM475" s="16"/>
      <c r="AN475" s="16" t="s">
        <v>340</v>
      </c>
      <c r="AO475" s="16" t="s">
        <v>340</v>
      </c>
      <c r="AP475" s="16" t="s">
        <v>335</v>
      </c>
      <c r="AQ475" s="16"/>
      <c r="AR475" s="21" t="n">
        <f aca="false">IF(AND(T475&lt;&gt;"",H475&lt;&gt;""),IF(AND((T475-H475)*86400&gt;=0,(T475-H475)*86400&lt;تنظیمات!$B$13),1,0),0)</f>
        <v>0</v>
      </c>
      <c r="AS475" s="21" t="n">
        <f aca="false">IF(Z475="پوز",IF(OR(AB475="",COUNTIF(پوزها!$A$2:$A$5,AA475)=0),1,0),0)</f>
        <v>0</v>
      </c>
      <c r="AT475" s="21" t="n">
        <f aca="false">IF(AI475="",0,IF(AI475&gt;0,1,0))</f>
        <v>0</v>
      </c>
      <c r="AU475" s="21" t="n">
        <f aca="false">IF(AI475="",0,IF(AI475&lt;0,1,0))</f>
        <v>0</v>
      </c>
      <c r="AV475" s="21" t="n">
        <f aca="false">IF(U475&gt;V475,1,0)</f>
        <v>0</v>
      </c>
      <c r="AW475" s="21" t="n">
        <f aca="false">IF(OR(W475&gt;تنظیمات!$B$8,X475="بله"),1,0)</f>
        <v>0</v>
      </c>
      <c r="AX475" s="21" t="n">
        <f aca="false">IF(AND(N475="بله",L475&gt;تنظیمات!$B$9),1,0)</f>
        <v>0</v>
      </c>
      <c r="AY475" s="21" t="n">
        <f aca="false">IF(Y475="معکوس",1,0)</f>
        <v>0</v>
      </c>
      <c r="AZ475" s="21" t="n">
        <f aca="false">IF(ABS(AJ475)&gt;تنظیمات!$B$10,1,0)</f>
        <v>0</v>
      </c>
      <c r="BA475" s="21" t="n">
        <f aca="false">IF(AND(OR(AD475="رایگان/VIP",AD475="جانباز"),AF475="خیر"),1,0)</f>
        <v>0</v>
      </c>
      <c r="BB475" s="21" t="n">
        <f aca="false">IF(AE475="",0,IF(COUNTIF($AE$2:$AE$1001,AE475)&gt;1,1,0))</f>
        <v>0</v>
      </c>
      <c r="BC475" s="21" t="n">
        <f aca="false">IF(AND(H475="",I475&gt;تنظیمات!$B$12*60,AM475="خالی"),1,0)</f>
        <v>0</v>
      </c>
      <c r="BD475" s="21" t="n">
        <f aca="false">IF(AND(AP475="بله",I475&lt;تنظیمات!$B$14,AO475="خیر"),1,0)</f>
        <v>0</v>
      </c>
      <c r="BE475" s="21" t="n">
        <f aca="false">IF(AN475="خیر",1,0)</f>
        <v>0</v>
      </c>
      <c r="BF475" s="21" t="n">
        <f aca="false">IF(AND(AD475="فیش مفقودی",AQ475="بله",I475&gt;تنظیمات!$B$12*60),1,0)</f>
        <v>0</v>
      </c>
      <c r="BG475" s="21" t="n">
        <f aca="false">IF(AND(AK475&gt;تنظیمات!$B$11,AL475="بله"),1,0)</f>
        <v>0</v>
      </c>
      <c r="BH475" s="21" t="n">
        <f aca="false">MIN(100,AR475*تنظیمات!$B$21+AS475*تنظیمات!$B$22+AT475*تنظیمات!$B$23+AU475*تنظیمات!$B$24+AV475*تنظیمات!$B$25+AW475*تنظیمات!$B$26+AX475*تنظیمات!$B$27+AY475*تنظیمات!$B$28+AZ475*تنظیمات!$B$29+BA475*تنظیمات!$B$30+BB475*تنظیمات!$B$31+BC475*تنظیمات!$B$32+BD475*تنظیمات!$B$33+BE475*تنظیمات!$B$34+BF475*تنظیمات!$B$35+BG475*تنظیمات!$B$36)</f>
        <v>0</v>
      </c>
      <c r="BI475" s="16" t="str">
        <f aca="false">IF(BH475&gt;=60,"بحرانی",IF(BH475&gt;=30,"مشکوک",IF(BH475&gt;0,"هشدار","عادی")))</f>
        <v>عادی</v>
      </c>
      <c r="BJ475" s="16" t="s">
        <v>338</v>
      </c>
    </row>
    <row r="476" customFormat="false" ht="15" hidden="false" customHeight="false" outlineLevel="0" collapsed="false">
      <c r="A476" s="16" t="s">
        <v>1875</v>
      </c>
      <c r="B476" s="16" t="s">
        <v>843</v>
      </c>
      <c r="C476" s="16"/>
      <c r="D476" s="16" t="s">
        <v>540</v>
      </c>
      <c r="E476" s="16" t="s">
        <v>332</v>
      </c>
      <c r="F476" s="16" t="s">
        <v>359</v>
      </c>
      <c r="G476" s="17" t="n">
        <v>46287.5085648148</v>
      </c>
      <c r="H476" s="17" t="n">
        <v>46287.5752314815</v>
      </c>
      <c r="I476" s="18" t="n">
        <f aca="false">IF(H476="",ROUND((تنظیمات!$B$7-G476)*1440,0),ROUND((H476-G476)*1440,0))</f>
        <v>96</v>
      </c>
      <c r="J476" s="16" t="s">
        <v>346</v>
      </c>
      <c r="K476" s="16" t="s">
        <v>400</v>
      </c>
      <c r="L476" s="19" t="n">
        <v>0.976</v>
      </c>
      <c r="M476" s="19" t="n">
        <v>0.941</v>
      </c>
      <c r="N476" s="16" t="s">
        <v>335</v>
      </c>
      <c r="O476" s="16" t="s">
        <v>677</v>
      </c>
      <c r="P476" s="16" t="s">
        <v>402</v>
      </c>
      <c r="Q476" s="20" t="n">
        <v>46287</v>
      </c>
      <c r="R476" s="16" t="s">
        <v>1876</v>
      </c>
      <c r="S476" s="16" t="s">
        <v>404</v>
      </c>
      <c r="T476" s="17"/>
      <c r="U476" s="21" t="n">
        <v>1</v>
      </c>
      <c r="V476" s="21" t="n">
        <v>1</v>
      </c>
      <c r="W476" s="22" t="n">
        <v>4.6</v>
      </c>
      <c r="X476" s="16" t="s">
        <v>335</v>
      </c>
      <c r="Y476" s="16" t="s">
        <v>338</v>
      </c>
      <c r="Z476" s="16" t="s">
        <v>413</v>
      </c>
      <c r="AA476" s="16" t="s">
        <v>427</v>
      </c>
      <c r="AB476" s="23" t="s">
        <v>1877</v>
      </c>
      <c r="AC476" s="17" t="n">
        <v>46287.5744444444</v>
      </c>
      <c r="AD476" s="16" t="s">
        <v>481</v>
      </c>
      <c r="AE476" s="16" t="s">
        <v>1878</v>
      </c>
      <c r="AF476" s="16" t="str">
        <f aca="false">IF(COUNTIF(لیست_سفید!$A$2:$A$21,B476)&gt;0,"بله","خیر")</f>
        <v>خیر</v>
      </c>
      <c r="AG476" s="24" t="n">
        <f aca="false">IF(H476="","",IF(AD476="فیش مفقودی",تنظیمات!$B$6,(INT(I476/1440)*تنظیمات!$B$5+IF(MOD(I476,1440)&lt;=تنظیمات!$B$2,0,MIN(تنظیمات!$B$5,تنظیمات!$B$3+MAX(0,ROUNDUP((MOD(I476,1440)-60)/60,0))*تنظیمات!$B$4)))*INDEX(تعرفه!$B$2:$B$7,MATCH(AD476,تعرفه!$A$2:$A$7,0))))</f>
        <v>17000</v>
      </c>
      <c r="AH476" s="24" t="n">
        <v>17000</v>
      </c>
      <c r="AI476" s="24" t="n">
        <f aca="false">IF(AG476="","",AH476-AG476)</f>
        <v>0</v>
      </c>
      <c r="AJ476" s="21" t="n">
        <v>0</v>
      </c>
      <c r="AK476" s="21" t="n">
        <v>0</v>
      </c>
      <c r="AL476" s="16" t="s">
        <v>335</v>
      </c>
      <c r="AM476" s="16"/>
      <c r="AN476" s="16" t="s">
        <v>340</v>
      </c>
      <c r="AO476" s="16" t="s">
        <v>340</v>
      </c>
      <c r="AP476" s="16" t="s">
        <v>335</v>
      </c>
      <c r="AQ476" s="16"/>
      <c r="AR476" s="21" t="n">
        <f aca="false">IF(AND(T476&lt;&gt;"",H476&lt;&gt;""),IF(AND((T476-H476)*86400&gt;=0,(T476-H476)*86400&lt;تنظیمات!$B$13),1,0),0)</f>
        <v>0</v>
      </c>
      <c r="AS476" s="21" t="n">
        <f aca="false">IF(Z476="پوز",IF(OR(AB476="",COUNTIF(پوزها!$A$2:$A$5,AA476)=0),1,0),0)</f>
        <v>0</v>
      </c>
      <c r="AT476" s="21" t="n">
        <f aca="false">IF(AI476="",0,IF(AI476&gt;0,1,0))</f>
        <v>0</v>
      </c>
      <c r="AU476" s="21" t="n">
        <f aca="false">IF(AI476="",0,IF(AI476&lt;0,1,0))</f>
        <v>0</v>
      </c>
      <c r="AV476" s="21" t="n">
        <f aca="false">IF(U476&gt;V476,1,0)</f>
        <v>0</v>
      </c>
      <c r="AW476" s="21" t="n">
        <f aca="false">IF(OR(W476&gt;تنظیمات!$B$8,X476="بله"),1,0)</f>
        <v>0</v>
      </c>
      <c r="AX476" s="21" t="n">
        <f aca="false">IF(AND(N476="بله",L476&gt;تنظیمات!$B$9),1,0)</f>
        <v>0</v>
      </c>
      <c r="AY476" s="21" t="n">
        <f aca="false">IF(Y476="معکوس",1,0)</f>
        <v>0</v>
      </c>
      <c r="AZ476" s="21" t="n">
        <f aca="false">IF(ABS(AJ476)&gt;تنظیمات!$B$10,1,0)</f>
        <v>0</v>
      </c>
      <c r="BA476" s="21" t="n">
        <f aca="false">IF(AND(OR(AD476="رایگان/VIP",AD476="جانباز"),AF476="خیر"),1,0)</f>
        <v>0</v>
      </c>
      <c r="BB476" s="21" t="n">
        <f aca="false">IF(AE476="",0,IF(COUNTIF($AE$2:$AE$1001,AE476)&gt;1,1,0))</f>
        <v>0</v>
      </c>
      <c r="BC476" s="21" t="n">
        <f aca="false">IF(AND(H476="",I476&gt;تنظیمات!$B$12*60,AM476="خالی"),1,0)</f>
        <v>0</v>
      </c>
      <c r="BD476" s="21" t="n">
        <f aca="false">IF(AND(AP476="بله",I476&lt;تنظیمات!$B$14,AO476="خیر"),1,0)</f>
        <v>0</v>
      </c>
      <c r="BE476" s="21" t="n">
        <f aca="false">IF(AN476="خیر",1,0)</f>
        <v>0</v>
      </c>
      <c r="BF476" s="21" t="n">
        <f aca="false">IF(AND(AD476="فیش مفقودی",AQ476="بله",I476&gt;تنظیمات!$B$12*60),1,0)</f>
        <v>0</v>
      </c>
      <c r="BG476" s="21" t="n">
        <f aca="false">IF(AND(AK476&gt;تنظیمات!$B$11,AL476="بله"),1,0)</f>
        <v>0</v>
      </c>
      <c r="BH476" s="21" t="n">
        <f aca="false">MIN(100,AR476*تنظیمات!$B$21+AS476*تنظیمات!$B$22+AT476*تنظیمات!$B$23+AU476*تنظیمات!$B$24+AV476*تنظیمات!$B$25+AW476*تنظیمات!$B$26+AX476*تنظیمات!$B$27+AY476*تنظیمات!$B$28+AZ476*تنظیمات!$B$29+BA476*تنظیمات!$B$30+BB476*تنظیمات!$B$31+BC476*تنظیمات!$B$32+BD476*تنظیمات!$B$33+BE476*تنظیمات!$B$34+BF476*تنظیمات!$B$35+BG476*تنظیمات!$B$36)</f>
        <v>0</v>
      </c>
      <c r="BI476" s="16" t="str">
        <f aca="false">IF(BH476&gt;=60,"بحرانی",IF(BH476&gt;=30,"مشکوک",IF(BH476&gt;0,"هشدار","عادی")))</f>
        <v>عادی</v>
      </c>
      <c r="BJ476" s="16" t="s">
        <v>338</v>
      </c>
    </row>
    <row r="477" customFormat="false" ht="15" hidden="false" customHeight="false" outlineLevel="0" collapsed="false">
      <c r="A477" s="16" t="s">
        <v>1879</v>
      </c>
      <c r="B477" s="16" t="s">
        <v>747</v>
      </c>
      <c r="C477" s="16"/>
      <c r="D477" s="16" t="s">
        <v>350</v>
      </c>
      <c r="E477" s="16" t="s">
        <v>375</v>
      </c>
      <c r="F477" s="16" t="s">
        <v>333</v>
      </c>
      <c r="G477" s="17" t="n">
        <v>46287.5265856482</v>
      </c>
      <c r="H477" s="17" t="n">
        <v>46287.5432523148</v>
      </c>
      <c r="I477" s="18" t="n">
        <f aca="false">IF(H477="",ROUND((تنظیمات!$B$7-G477)*1440,0),ROUND((H477-G477)*1440,0))</f>
        <v>24</v>
      </c>
      <c r="J477" s="16" t="s">
        <v>334</v>
      </c>
      <c r="K477" s="16" t="s">
        <v>410</v>
      </c>
      <c r="L477" s="19" t="n">
        <v>0.911</v>
      </c>
      <c r="M477" s="19" t="n">
        <v>0.976</v>
      </c>
      <c r="N477" s="16" t="s">
        <v>335</v>
      </c>
      <c r="O477" s="16" t="s">
        <v>425</v>
      </c>
      <c r="P477" s="16" t="s">
        <v>402</v>
      </c>
      <c r="Q477" s="20" t="n">
        <v>46287</v>
      </c>
      <c r="R477" s="16" t="s">
        <v>1880</v>
      </c>
      <c r="S477" s="16" t="s">
        <v>404</v>
      </c>
      <c r="T477" s="17"/>
      <c r="U477" s="21" t="n">
        <v>1</v>
      </c>
      <c r="V477" s="21" t="n">
        <v>1</v>
      </c>
      <c r="W477" s="22" t="n">
        <v>5.1</v>
      </c>
      <c r="X477" s="16" t="s">
        <v>335</v>
      </c>
      <c r="Y477" s="16" t="s">
        <v>338</v>
      </c>
      <c r="Z477" s="16" t="s">
        <v>413</v>
      </c>
      <c r="AA477" s="16" t="s">
        <v>414</v>
      </c>
      <c r="AB477" s="23" t="s">
        <v>1881</v>
      </c>
      <c r="AC477" s="17" t="n">
        <v>46287.5429976852</v>
      </c>
      <c r="AD477" s="16" t="s">
        <v>338</v>
      </c>
      <c r="AE477" s="16"/>
      <c r="AF477" s="16" t="str">
        <f aca="false">IF(COUNTIF(لیست_سفید!$A$2:$A$21,B477)&gt;0,"بله","خیر")</f>
        <v>خیر</v>
      </c>
      <c r="AG477" s="24" t="n">
        <f aca="false">IF(H477="","",IF(AD477="فیش مفقودی",تنظیمات!$B$6,(INT(I477/1440)*تنظیمات!$B$5+IF(MOD(I477,1440)&lt;=تنظیمات!$B$2,0,MIN(تنظیمات!$B$5,تنظیمات!$B$3+MAX(0,ROUNDUP((MOD(I477,1440)-60)/60,0))*تنظیمات!$B$4)))*INDEX(تعرفه!$B$2:$B$7,MATCH(AD477,تعرفه!$A$2:$A$7,0))))</f>
        <v>20000</v>
      </c>
      <c r="AH477" s="24" t="n">
        <v>20000</v>
      </c>
      <c r="AI477" s="24" t="n">
        <f aca="false">IF(AG477="","",AH477-AG477)</f>
        <v>0</v>
      </c>
      <c r="AJ477" s="21" t="n">
        <v>2</v>
      </c>
      <c r="AK477" s="21" t="n">
        <v>0</v>
      </c>
      <c r="AL477" s="16" t="s">
        <v>335</v>
      </c>
      <c r="AM477" s="16"/>
      <c r="AN477" s="16" t="s">
        <v>340</v>
      </c>
      <c r="AO477" s="16" t="s">
        <v>340</v>
      </c>
      <c r="AP477" s="16" t="s">
        <v>335</v>
      </c>
      <c r="AQ477" s="16"/>
      <c r="AR477" s="21" t="n">
        <f aca="false">IF(AND(T477&lt;&gt;"",H477&lt;&gt;""),IF(AND((T477-H477)*86400&gt;=0,(T477-H477)*86400&lt;تنظیمات!$B$13),1,0),0)</f>
        <v>0</v>
      </c>
      <c r="AS477" s="21" t="n">
        <f aca="false">IF(Z477="پوز",IF(OR(AB477="",COUNTIF(پوزها!$A$2:$A$5,AA477)=0),1,0),0)</f>
        <v>0</v>
      </c>
      <c r="AT477" s="21" t="n">
        <f aca="false">IF(AI477="",0,IF(AI477&gt;0,1,0))</f>
        <v>0</v>
      </c>
      <c r="AU477" s="21" t="n">
        <f aca="false">IF(AI477="",0,IF(AI477&lt;0,1,0))</f>
        <v>0</v>
      </c>
      <c r="AV477" s="21" t="n">
        <f aca="false">IF(U477&gt;V477,1,0)</f>
        <v>0</v>
      </c>
      <c r="AW477" s="21" t="n">
        <f aca="false">IF(OR(W477&gt;تنظیمات!$B$8,X477="بله"),1,0)</f>
        <v>0</v>
      </c>
      <c r="AX477" s="21" t="n">
        <f aca="false">IF(AND(N477="بله",L477&gt;تنظیمات!$B$9),1,0)</f>
        <v>0</v>
      </c>
      <c r="AY477" s="21" t="n">
        <f aca="false">IF(Y477="معکوس",1,0)</f>
        <v>0</v>
      </c>
      <c r="AZ477" s="21" t="n">
        <f aca="false">IF(ABS(AJ477)&gt;تنظیمات!$B$10,1,0)</f>
        <v>0</v>
      </c>
      <c r="BA477" s="21" t="n">
        <f aca="false">IF(AND(OR(AD477="رایگان/VIP",AD477="جانباز"),AF477="خیر"),1,0)</f>
        <v>0</v>
      </c>
      <c r="BB477" s="21" t="n">
        <f aca="false">IF(AE477="",0,IF(COUNTIF($AE$2:$AE$1001,AE477)&gt;1,1,0))</f>
        <v>0</v>
      </c>
      <c r="BC477" s="21" t="n">
        <f aca="false">IF(AND(H477="",I477&gt;تنظیمات!$B$12*60,AM477="خالی"),1,0)</f>
        <v>0</v>
      </c>
      <c r="BD477" s="21" t="n">
        <f aca="false">IF(AND(AP477="بله",I477&lt;تنظیمات!$B$14,AO477="خیر"),1,0)</f>
        <v>0</v>
      </c>
      <c r="BE477" s="21" t="n">
        <f aca="false">IF(AN477="خیر",1,0)</f>
        <v>0</v>
      </c>
      <c r="BF477" s="21" t="n">
        <f aca="false">IF(AND(AD477="فیش مفقودی",AQ477="بله",I477&gt;تنظیمات!$B$12*60),1,0)</f>
        <v>0</v>
      </c>
      <c r="BG477" s="21" t="n">
        <f aca="false">IF(AND(AK477&gt;تنظیمات!$B$11,AL477="بله"),1,0)</f>
        <v>0</v>
      </c>
      <c r="BH477" s="21" t="n">
        <f aca="false">MIN(100,AR477*تنظیمات!$B$21+AS477*تنظیمات!$B$22+AT477*تنظیمات!$B$23+AU477*تنظیمات!$B$24+AV477*تنظیمات!$B$25+AW477*تنظیمات!$B$26+AX477*تنظیمات!$B$27+AY477*تنظیمات!$B$28+AZ477*تنظیمات!$B$29+BA477*تنظیمات!$B$30+BB477*تنظیمات!$B$31+BC477*تنظیمات!$B$32+BD477*تنظیمات!$B$33+BE477*تنظیمات!$B$34+BF477*تنظیمات!$B$35+BG477*تنظیمات!$B$36)</f>
        <v>0</v>
      </c>
      <c r="BI477" s="16" t="str">
        <f aca="false">IF(BH477&gt;=60,"بحرانی",IF(BH477&gt;=30,"مشکوک",IF(BH477&gt;0,"هشدار","عادی")))</f>
        <v>عادی</v>
      </c>
      <c r="BJ477" s="16" t="s">
        <v>338</v>
      </c>
    </row>
    <row r="478" customFormat="false" ht="15" hidden="false" customHeight="false" outlineLevel="0" collapsed="false">
      <c r="A478" s="16" t="s">
        <v>1882</v>
      </c>
      <c r="B478" s="16" t="s">
        <v>1532</v>
      </c>
      <c r="C478" s="16"/>
      <c r="D478" s="16" t="s">
        <v>350</v>
      </c>
      <c r="E478" s="16" t="s">
        <v>351</v>
      </c>
      <c r="F478" s="16" t="s">
        <v>333</v>
      </c>
      <c r="G478" s="17" t="n">
        <v>46287.5367824074</v>
      </c>
      <c r="H478" s="17" t="n">
        <v>46287.623587963</v>
      </c>
      <c r="I478" s="18" t="n">
        <f aca="false">IF(H478="",ROUND((تنظیمات!$B$7-G478)*1440,0),ROUND((H478-G478)*1440,0))</f>
        <v>125</v>
      </c>
      <c r="J478" s="16" t="s">
        <v>346</v>
      </c>
      <c r="K478" s="16" t="s">
        <v>410</v>
      </c>
      <c r="L478" s="19" t="n">
        <v>0.995</v>
      </c>
      <c r="M478" s="19" t="n">
        <v>0.924</v>
      </c>
      <c r="N478" s="16" t="s">
        <v>335</v>
      </c>
      <c r="O478" s="16" t="s">
        <v>411</v>
      </c>
      <c r="P478" s="16" t="s">
        <v>420</v>
      </c>
      <c r="Q478" s="20" t="n">
        <v>46287</v>
      </c>
      <c r="R478" s="16" t="s">
        <v>1883</v>
      </c>
      <c r="S478" s="16" t="s">
        <v>404</v>
      </c>
      <c r="T478" s="17"/>
      <c r="U478" s="21" t="n">
        <v>1</v>
      </c>
      <c r="V478" s="21" t="n">
        <v>1</v>
      </c>
      <c r="W478" s="22" t="n">
        <v>5.4</v>
      </c>
      <c r="X478" s="16" t="s">
        <v>335</v>
      </c>
      <c r="Y478" s="16" t="s">
        <v>338</v>
      </c>
      <c r="Z478" s="16" t="s">
        <v>413</v>
      </c>
      <c r="AA478" s="16" t="s">
        <v>414</v>
      </c>
      <c r="AB478" s="23" t="s">
        <v>1884</v>
      </c>
      <c r="AC478" s="17" t="n">
        <v>46287.6227893519</v>
      </c>
      <c r="AD478" s="16" t="s">
        <v>338</v>
      </c>
      <c r="AE478" s="16"/>
      <c r="AF478" s="16" t="str">
        <f aca="false">IF(COUNTIF(لیست_سفید!$A$2:$A$21,B478)&gt;0,"بله","خیر")</f>
        <v>خیر</v>
      </c>
      <c r="AG478" s="24" t="n">
        <f aca="false">IF(H478="","",IF(AD478="فیش مفقودی",تنظیمات!$B$6,(INT(I478/1440)*تنظیمات!$B$5+IF(MOD(I478,1440)&lt;=تنظیمات!$B$2,0,MIN(تنظیمات!$B$5,تنظیمات!$B$3+MAX(0,ROUNDUP((MOD(I478,1440)-60)/60,0))*تنظیمات!$B$4)))*INDEX(تعرفه!$B$2:$B$7,MATCH(AD478,تعرفه!$A$2:$A$7,0))))</f>
        <v>48000</v>
      </c>
      <c r="AH478" s="24" t="n">
        <v>48000</v>
      </c>
      <c r="AI478" s="24" t="n">
        <f aca="false">IF(AG478="","",AH478-AG478)</f>
        <v>0</v>
      </c>
      <c r="AJ478" s="21" t="n">
        <v>-1740</v>
      </c>
      <c r="AK478" s="21" t="n">
        <v>0</v>
      </c>
      <c r="AL478" s="16" t="s">
        <v>335</v>
      </c>
      <c r="AM478" s="16"/>
      <c r="AN478" s="16" t="s">
        <v>340</v>
      </c>
      <c r="AO478" s="16" t="s">
        <v>340</v>
      </c>
      <c r="AP478" s="16" t="s">
        <v>335</v>
      </c>
      <c r="AQ478" s="16"/>
      <c r="AR478" s="21" t="n">
        <f aca="false">IF(AND(T478&lt;&gt;"",H478&lt;&gt;""),IF(AND((T478-H478)*86400&gt;=0,(T478-H478)*86400&lt;تنظیمات!$B$13),1,0),0)</f>
        <v>0</v>
      </c>
      <c r="AS478" s="21" t="n">
        <f aca="false">IF(Z478="پوز",IF(OR(AB478="",COUNTIF(پوزها!$A$2:$A$5,AA478)=0),1,0),0)</f>
        <v>0</v>
      </c>
      <c r="AT478" s="21" t="n">
        <f aca="false">IF(AI478="",0,IF(AI478&gt;0,1,0))</f>
        <v>0</v>
      </c>
      <c r="AU478" s="21" t="n">
        <f aca="false">IF(AI478="",0,IF(AI478&lt;0,1,0))</f>
        <v>0</v>
      </c>
      <c r="AV478" s="21" t="n">
        <f aca="false">IF(U478&gt;V478,1,0)</f>
        <v>0</v>
      </c>
      <c r="AW478" s="21" t="n">
        <f aca="false">IF(OR(W478&gt;تنظیمات!$B$8,X478="بله"),1,0)</f>
        <v>0</v>
      </c>
      <c r="AX478" s="21" t="n">
        <f aca="false">IF(AND(N478="بله",L478&gt;تنظیمات!$B$9),1,0)</f>
        <v>0</v>
      </c>
      <c r="AY478" s="21" t="n">
        <f aca="false">IF(Y478="معکوس",1,0)</f>
        <v>0</v>
      </c>
      <c r="AZ478" s="21" t="n">
        <f aca="false">IF(ABS(AJ478)&gt;تنظیمات!$B$10,1,0)</f>
        <v>1</v>
      </c>
      <c r="BA478" s="21" t="n">
        <f aca="false">IF(AND(OR(AD478="رایگان/VIP",AD478="جانباز"),AF478="خیر"),1,0)</f>
        <v>0</v>
      </c>
      <c r="BB478" s="21" t="n">
        <f aca="false">IF(AE478="",0,IF(COUNTIF($AE$2:$AE$1001,AE478)&gt;1,1,0))</f>
        <v>0</v>
      </c>
      <c r="BC478" s="21" t="n">
        <f aca="false">IF(AND(H478="",I478&gt;تنظیمات!$B$12*60,AM478="خالی"),1,0)</f>
        <v>0</v>
      </c>
      <c r="BD478" s="21" t="n">
        <f aca="false">IF(AND(AP478="بله",I478&lt;تنظیمات!$B$14,AO478="خیر"),1,0)</f>
        <v>0</v>
      </c>
      <c r="BE478" s="21" t="n">
        <f aca="false">IF(AN478="خیر",1,0)</f>
        <v>0</v>
      </c>
      <c r="BF478" s="21" t="n">
        <f aca="false">IF(AND(AD478="فیش مفقودی",AQ478="بله",I478&gt;تنظیمات!$B$12*60),1,0)</f>
        <v>0</v>
      </c>
      <c r="BG478" s="21" t="n">
        <f aca="false">IF(AND(AK478&gt;تنظیمات!$B$11,AL478="بله"),1,0)</f>
        <v>0</v>
      </c>
      <c r="BH478" s="21" t="n">
        <f aca="false">MIN(100,AR478*تنظیمات!$B$21+AS478*تنظیمات!$B$22+AT478*تنظیمات!$B$23+AU478*تنظیمات!$B$24+AV478*تنظیمات!$B$25+AW478*تنظیمات!$B$26+AX478*تنظیمات!$B$27+AY478*تنظیمات!$B$28+AZ478*تنظیمات!$B$29+BA478*تنظیمات!$B$30+BB478*تنظیمات!$B$31+BC478*تنظیمات!$B$32+BD478*تنظیمات!$B$33+BE478*تنظیمات!$B$34+BF478*تنظیمات!$B$35+BG478*تنظیمات!$B$36)</f>
        <v>30</v>
      </c>
      <c r="BI478" s="16" t="str">
        <f aca="false">IF(BH478&gt;=60,"بحرانی",IF(BH478&gt;=30,"مشکوک",IF(BH478&gt;0,"هشدار","عادی")))</f>
        <v>مشکوک</v>
      </c>
      <c r="BJ478" s="16" t="s">
        <v>939</v>
      </c>
    </row>
    <row r="479" customFormat="false" ht="15" hidden="false" customHeight="false" outlineLevel="0" collapsed="false">
      <c r="A479" s="16" t="s">
        <v>1885</v>
      </c>
      <c r="B479" s="16" t="s">
        <v>1846</v>
      </c>
      <c r="C479" s="16"/>
      <c r="D479" s="16" t="s">
        <v>331</v>
      </c>
      <c r="E479" s="16" t="s">
        <v>351</v>
      </c>
      <c r="F479" s="16" t="s">
        <v>333</v>
      </c>
      <c r="G479" s="17" t="n">
        <v>46287.5495138889</v>
      </c>
      <c r="H479" s="17" t="n">
        <v>46287.6085416667</v>
      </c>
      <c r="I479" s="18" t="n">
        <f aca="false">IF(H479="",ROUND((تنظیمات!$B$7-G479)*1440,0),ROUND((H479-G479)*1440,0))</f>
        <v>85</v>
      </c>
      <c r="J479" s="16" t="s">
        <v>346</v>
      </c>
      <c r="K479" s="16" t="s">
        <v>410</v>
      </c>
      <c r="L479" s="19" t="n">
        <v>0.995</v>
      </c>
      <c r="M479" s="19" t="n">
        <v>0.976</v>
      </c>
      <c r="N479" s="16" t="s">
        <v>335</v>
      </c>
      <c r="O479" s="16" t="s">
        <v>411</v>
      </c>
      <c r="P479" s="16" t="s">
        <v>420</v>
      </c>
      <c r="Q479" s="20" t="n">
        <v>46287</v>
      </c>
      <c r="R479" s="16" t="s">
        <v>1886</v>
      </c>
      <c r="S479" s="16" t="s">
        <v>404</v>
      </c>
      <c r="T479" s="17"/>
      <c r="U479" s="21" t="n">
        <v>1</v>
      </c>
      <c r="V479" s="21" t="n">
        <v>1</v>
      </c>
      <c r="W479" s="22" t="n">
        <v>3.6</v>
      </c>
      <c r="X479" s="16" t="s">
        <v>335</v>
      </c>
      <c r="Y479" s="16" t="s">
        <v>338</v>
      </c>
      <c r="Z479" s="16" t="s">
        <v>465</v>
      </c>
      <c r="AA479" s="16"/>
      <c r="AB479" s="23"/>
      <c r="AC479" s="17"/>
      <c r="AD479" s="16" t="s">
        <v>466</v>
      </c>
      <c r="AE479" s="16"/>
      <c r="AF479" s="16" t="str">
        <f aca="false">IF(COUNTIF(لیست_سفید!$A$2:$A$21,B479)&gt;0,"بله","خیر")</f>
        <v>بله</v>
      </c>
      <c r="AG479" s="24" t="n">
        <f aca="false">IF(H479="","",IF(AD479="فیش مفقودی",تنظیمات!$B$6,(INT(I479/1440)*تنظیمات!$B$5+IF(MOD(I479,1440)&lt;=تنظیمات!$B$2,0,MIN(تنظیمات!$B$5,تنظیمات!$B$3+MAX(0,ROUNDUP((MOD(I479,1440)-60)/60,0))*تنظیمات!$B$4)))*INDEX(تعرفه!$B$2:$B$7,MATCH(AD479,تعرفه!$A$2:$A$7,0))))</f>
        <v>0</v>
      </c>
      <c r="AH479" s="24" t="n">
        <v>0</v>
      </c>
      <c r="AI479" s="24" t="n">
        <f aca="false">IF(AG479="","",AH479-AG479)</f>
        <v>0</v>
      </c>
      <c r="AJ479" s="21" t="n">
        <v>0</v>
      </c>
      <c r="AK479" s="21" t="n">
        <v>0</v>
      </c>
      <c r="AL479" s="16" t="s">
        <v>335</v>
      </c>
      <c r="AM479" s="16"/>
      <c r="AN479" s="16" t="s">
        <v>340</v>
      </c>
      <c r="AO479" s="16" t="s">
        <v>340</v>
      </c>
      <c r="AP479" s="16" t="s">
        <v>335</v>
      </c>
      <c r="AQ479" s="16"/>
      <c r="AR479" s="21" t="n">
        <f aca="false">IF(AND(T479&lt;&gt;"",H479&lt;&gt;""),IF(AND((T479-H479)*86400&gt;=0,(T479-H479)*86400&lt;تنظیمات!$B$13),1,0),0)</f>
        <v>0</v>
      </c>
      <c r="AS479" s="21" t="n">
        <f aca="false">IF(Z479="پوز",IF(OR(AB479="",COUNTIF(پوزها!$A$2:$A$5,AA479)=0),1,0),0)</f>
        <v>0</v>
      </c>
      <c r="AT479" s="21" t="n">
        <f aca="false">IF(AI479="",0,IF(AI479&gt;0,1,0))</f>
        <v>0</v>
      </c>
      <c r="AU479" s="21" t="n">
        <f aca="false">IF(AI479="",0,IF(AI479&lt;0,1,0))</f>
        <v>0</v>
      </c>
      <c r="AV479" s="21" t="n">
        <f aca="false">IF(U479&gt;V479,1,0)</f>
        <v>0</v>
      </c>
      <c r="AW479" s="21" t="n">
        <f aca="false">IF(OR(W479&gt;تنظیمات!$B$8,X479="بله"),1,0)</f>
        <v>0</v>
      </c>
      <c r="AX479" s="21" t="n">
        <f aca="false">IF(AND(N479="بله",L479&gt;تنظیمات!$B$9),1,0)</f>
        <v>0</v>
      </c>
      <c r="AY479" s="21" t="n">
        <f aca="false">IF(Y479="معکوس",1,0)</f>
        <v>0</v>
      </c>
      <c r="AZ479" s="21" t="n">
        <f aca="false">IF(ABS(AJ479)&gt;تنظیمات!$B$10,1,0)</f>
        <v>0</v>
      </c>
      <c r="BA479" s="21" t="n">
        <f aca="false">IF(AND(OR(AD479="رایگان/VIP",AD479="جانباز"),AF479="خیر"),1,0)</f>
        <v>0</v>
      </c>
      <c r="BB479" s="21" t="n">
        <f aca="false">IF(AE479="",0,IF(COUNTIF($AE$2:$AE$1001,AE479)&gt;1,1,0))</f>
        <v>0</v>
      </c>
      <c r="BC479" s="21" t="n">
        <f aca="false">IF(AND(H479="",I479&gt;تنظیمات!$B$12*60,AM479="خالی"),1,0)</f>
        <v>0</v>
      </c>
      <c r="BD479" s="21" t="n">
        <f aca="false">IF(AND(AP479="بله",I479&lt;تنظیمات!$B$14,AO479="خیر"),1,0)</f>
        <v>0</v>
      </c>
      <c r="BE479" s="21" t="n">
        <f aca="false">IF(AN479="خیر",1,0)</f>
        <v>0</v>
      </c>
      <c r="BF479" s="21" t="n">
        <f aca="false">IF(AND(AD479="فیش مفقودی",AQ479="بله",I479&gt;تنظیمات!$B$12*60),1,0)</f>
        <v>0</v>
      </c>
      <c r="BG479" s="21" t="n">
        <f aca="false">IF(AND(AK479&gt;تنظیمات!$B$11,AL479="بله"),1,0)</f>
        <v>0</v>
      </c>
      <c r="BH479" s="21" t="n">
        <f aca="false">MIN(100,AR479*تنظیمات!$B$21+AS479*تنظیمات!$B$22+AT479*تنظیمات!$B$23+AU479*تنظیمات!$B$24+AV479*تنظیمات!$B$25+AW479*تنظیمات!$B$26+AX479*تنظیمات!$B$27+AY479*تنظیمات!$B$28+AZ479*تنظیمات!$B$29+BA479*تنظیمات!$B$30+BB479*تنظیمات!$B$31+BC479*تنظیمات!$B$32+BD479*تنظیمات!$B$33+BE479*تنظیمات!$B$34+BF479*تنظیمات!$B$35+BG479*تنظیمات!$B$36)</f>
        <v>0</v>
      </c>
      <c r="BI479" s="16" t="str">
        <f aca="false">IF(BH479&gt;=60,"بحرانی",IF(BH479&gt;=30,"مشکوک",IF(BH479&gt;0,"هشدار","عادی")))</f>
        <v>عادی</v>
      </c>
      <c r="BJ479" s="16" t="s">
        <v>338</v>
      </c>
    </row>
    <row r="480" customFormat="false" ht="15" hidden="false" customHeight="false" outlineLevel="0" collapsed="false">
      <c r="A480" s="16" t="s">
        <v>1887</v>
      </c>
      <c r="B480" s="16" t="s">
        <v>1526</v>
      </c>
      <c r="C480" s="16"/>
      <c r="D480" s="16" t="s">
        <v>431</v>
      </c>
      <c r="E480" s="16" t="s">
        <v>351</v>
      </c>
      <c r="F480" s="16" t="s">
        <v>333</v>
      </c>
      <c r="G480" s="17" t="n">
        <v>46287.5527893519</v>
      </c>
      <c r="H480" s="17" t="n">
        <v>46287.5847337963</v>
      </c>
      <c r="I480" s="18" t="n">
        <f aca="false">IF(H480="",ROUND((تنظیمات!$B$7-G480)*1440,0),ROUND((H480-G480)*1440,0))</f>
        <v>46</v>
      </c>
      <c r="J480" s="16" t="s">
        <v>334</v>
      </c>
      <c r="K480" s="16" t="s">
        <v>410</v>
      </c>
      <c r="L480" s="19" t="n">
        <v>0.926</v>
      </c>
      <c r="M480" s="19" t="n">
        <v>0.955</v>
      </c>
      <c r="N480" s="16" t="s">
        <v>335</v>
      </c>
      <c r="O480" s="16" t="s">
        <v>411</v>
      </c>
      <c r="P480" s="16" t="s">
        <v>420</v>
      </c>
      <c r="Q480" s="20" t="n">
        <v>46287</v>
      </c>
      <c r="R480" s="16" t="s">
        <v>1888</v>
      </c>
      <c r="S480" s="16" t="s">
        <v>404</v>
      </c>
      <c r="T480" s="17"/>
      <c r="U480" s="21" t="n">
        <v>1</v>
      </c>
      <c r="V480" s="21" t="n">
        <v>1</v>
      </c>
      <c r="W480" s="22" t="n">
        <v>5.3</v>
      </c>
      <c r="X480" s="16" t="s">
        <v>335</v>
      </c>
      <c r="Y480" s="16" t="s">
        <v>338</v>
      </c>
      <c r="Z480" s="16" t="s">
        <v>413</v>
      </c>
      <c r="AA480" s="16" t="s">
        <v>414</v>
      </c>
      <c r="AB480" s="23" t="s">
        <v>1889</v>
      </c>
      <c r="AC480" s="17" t="n">
        <v>46287.5839699074</v>
      </c>
      <c r="AD480" s="16" t="s">
        <v>338</v>
      </c>
      <c r="AE480" s="16"/>
      <c r="AF480" s="16" t="str">
        <f aca="false">IF(COUNTIF(لیست_سفید!$A$2:$A$21,B480)&gt;0,"بله","خیر")</f>
        <v>خیر</v>
      </c>
      <c r="AG480" s="24" t="n">
        <f aca="false">IF(H480="","",IF(AD480="فیش مفقودی",تنظیمات!$B$6,(INT(I480/1440)*تنظیمات!$B$5+IF(MOD(I480,1440)&lt;=تنظیمات!$B$2,0,MIN(تنظیمات!$B$5,تنظیمات!$B$3+MAX(0,ROUNDUP((MOD(I480,1440)-60)/60,0))*تنظیمات!$B$4)))*INDEX(تعرفه!$B$2:$B$7,MATCH(AD480,تعرفه!$A$2:$A$7,0))))</f>
        <v>20000</v>
      </c>
      <c r="AH480" s="24" t="n">
        <v>20000</v>
      </c>
      <c r="AI480" s="24" t="n">
        <f aca="false">IF(AG480="","",AH480-AG480)</f>
        <v>0</v>
      </c>
      <c r="AJ480" s="21" t="n">
        <v>-1</v>
      </c>
      <c r="AK480" s="21" t="n">
        <v>0</v>
      </c>
      <c r="AL480" s="16" t="s">
        <v>335</v>
      </c>
      <c r="AM480" s="16"/>
      <c r="AN480" s="16" t="s">
        <v>340</v>
      </c>
      <c r="AO480" s="16" t="s">
        <v>340</v>
      </c>
      <c r="AP480" s="16" t="s">
        <v>335</v>
      </c>
      <c r="AQ480" s="16"/>
      <c r="AR480" s="21" t="n">
        <f aca="false">IF(AND(T480&lt;&gt;"",H480&lt;&gt;""),IF(AND((T480-H480)*86400&gt;=0,(T480-H480)*86400&lt;تنظیمات!$B$13),1,0),0)</f>
        <v>0</v>
      </c>
      <c r="AS480" s="21" t="n">
        <f aca="false">IF(Z480="پوز",IF(OR(AB480="",COUNTIF(پوزها!$A$2:$A$5,AA480)=0),1,0),0)</f>
        <v>0</v>
      </c>
      <c r="AT480" s="21" t="n">
        <f aca="false">IF(AI480="",0,IF(AI480&gt;0,1,0))</f>
        <v>0</v>
      </c>
      <c r="AU480" s="21" t="n">
        <f aca="false">IF(AI480="",0,IF(AI480&lt;0,1,0))</f>
        <v>0</v>
      </c>
      <c r="AV480" s="21" t="n">
        <f aca="false">IF(U480&gt;V480,1,0)</f>
        <v>0</v>
      </c>
      <c r="AW480" s="21" t="n">
        <f aca="false">IF(OR(W480&gt;تنظیمات!$B$8,X480="بله"),1,0)</f>
        <v>0</v>
      </c>
      <c r="AX480" s="21" t="n">
        <f aca="false">IF(AND(N480="بله",L480&gt;تنظیمات!$B$9),1,0)</f>
        <v>0</v>
      </c>
      <c r="AY480" s="21" t="n">
        <f aca="false">IF(Y480="معکوس",1,0)</f>
        <v>0</v>
      </c>
      <c r="AZ480" s="21" t="n">
        <f aca="false">IF(ABS(AJ480)&gt;تنظیمات!$B$10,1,0)</f>
        <v>0</v>
      </c>
      <c r="BA480" s="21" t="n">
        <f aca="false">IF(AND(OR(AD480="رایگان/VIP",AD480="جانباز"),AF480="خیر"),1,0)</f>
        <v>0</v>
      </c>
      <c r="BB480" s="21" t="n">
        <f aca="false">IF(AE480="",0,IF(COUNTIF($AE$2:$AE$1001,AE480)&gt;1,1,0))</f>
        <v>0</v>
      </c>
      <c r="BC480" s="21" t="n">
        <f aca="false">IF(AND(H480="",I480&gt;تنظیمات!$B$12*60,AM480="خالی"),1,0)</f>
        <v>0</v>
      </c>
      <c r="BD480" s="21" t="n">
        <f aca="false">IF(AND(AP480="بله",I480&lt;تنظیمات!$B$14,AO480="خیر"),1,0)</f>
        <v>0</v>
      </c>
      <c r="BE480" s="21" t="n">
        <f aca="false">IF(AN480="خیر",1,0)</f>
        <v>0</v>
      </c>
      <c r="BF480" s="21" t="n">
        <f aca="false">IF(AND(AD480="فیش مفقودی",AQ480="بله",I480&gt;تنظیمات!$B$12*60),1,0)</f>
        <v>0</v>
      </c>
      <c r="BG480" s="21" t="n">
        <f aca="false">IF(AND(AK480&gt;تنظیمات!$B$11,AL480="بله"),1,0)</f>
        <v>0</v>
      </c>
      <c r="BH480" s="21" t="n">
        <f aca="false">MIN(100,AR480*تنظیمات!$B$21+AS480*تنظیمات!$B$22+AT480*تنظیمات!$B$23+AU480*تنظیمات!$B$24+AV480*تنظیمات!$B$25+AW480*تنظیمات!$B$26+AX480*تنظیمات!$B$27+AY480*تنظیمات!$B$28+AZ480*تنظیمات!$B$29+BA480*تنظیمات!$B$30+BB480*تنظیمات!$B$31+BC480*تنظیمات!$B$32+BD480*تنظیمات!$B$33+BE480*تنظیمات!$B$34+BF480*تنظیمات!$B$35+BG480*تنظیمات!$B$36)</f>
        <v>0</v>
      </c>
      <c r="BI480" s="16" t="str">
        <f aca="false">IF(BH480&gt;=60,"بحرانی",IF(BH480&gt;=30,"مشکوک",IF(BH480&gt;0,"هشدار","عادی")))</f>
        <v>عادی</v>
      </c>
      <c r="BJ480" s="16" t="s">
        <v>338</v>
      </c>
    </row>
    <row r="481" customFormat="false" ht="15" hidden="false" customHeight="false" outlineLevel="0" collapsed="false">
      <c r="A481" s="16" t="s">
        <v>1890</v>
      </c>
      <c r="B481" s="16" t="s">
        <v>484</v>
      </c>
      <c r="C481" s="16"/>
      <c r="D481" s="16" t="s">
        <v>431</v>
      </c>
      <c r="E481" s="16" t="s">
        <v>332</v>
      </c>
      <c r="F481" s="16" t="s">
        <v>333</v>
      </c>
      <c r="G481" s="17" t="n">
        <v>46287.5557986111</v>
      </c>
      <c r="H481" s="17" t="n">
        <v>46287.7405208333</v>
      </c>
      <c r="I481" s="18" t="n">
        <f aca="false">IF(H481="",ROUND((تنظیمات!$B$7-G481)*1440,0),ROUND((H481-G481)*1440,0))</f>
        <v>266</v>
      </c>
      <c r="J481" s="16" t="s">
        <v>346</v>
      </c>
      <c r="K481" s="16" t="s">
        <v>410</v>
      </c>
      <c r="L481" s="19" t="n">
        <v>0.917</v>
      </c>
      <c r="M481" s="19" t="n">
        <v>0.925</v>
      </c>
      <c r="N481" s="16" t="s">
        <v>335</v>
      </c>
      <c r="O481" s="16" t="s">
        <v>411</v>
      </c>
      <c r="P481" s="16" t="s">
        <v>420</v>
      </c>
      <c r="Q481" s="20" t="n">
        <v>46287</v>
      </c>
      <c r="R481" s="16" t="s">
        <v>1891</v>
      </c>
      <c r="S481" s="16" t="s">
        <v>404</v>
      </c>
      <c r="T481" s="17"/>
      <c r="U481" s="21" t="n">
        <v>1</v>
      </c>
      <c r="V481" s="21" t="n">
        <v>1</v>
      </c>
      <c r="W481" s="22" t="n">
        <v>5.4</v>
      </c>
      <c r="X481" s="16" t="s">
        <v>335</v>
      </c>
      <c r="Y481" s="16" t="s">
        <v>338</v>
      </c>
      <c r="Z481" s="16" t="s">
        <v>413</v>
      </c>
      <c r="AA481" s="16" t="s">
        <v>414</v>
      </c>
      <c r="AB481" s="23" t="s">
        <v>1892</v>
      </c>
      <c r="AC481" s="17" t="n">
        <v>46287.7400578704</v>
      </c>
      <c r="AD481" s="16" t="s">
        <v>338</v>
      </c>
      <c r="AE481" s="16"/>
      <c r="AF481" s="16" t="str">
        <f aca="false">IF(COUNTIF(لیست_سفید!$A$2:$A$21,B481)&gt;0,"بله","خیر")</f>
        <v>خیر</v>
      </c>
      <c r="AG481" s="24" t="n">
        <f aca="false">IF(H481="","",IF(AD481="فیش مفقودی",تنظیمات!$B$6,(INT(I481/1440)*تنظیمات!$B$5+IF(MOD(I481,1440)&lt;=تنظیمات!$B$2,0,MIN(تنظیمات!$B$5,تنظیمات!$B$3+MAX(0,ROUNDUP((MOD(I481,1440)-60)/60,0))*تنظیمات!$B$4)))*INDEX(تعرفه!$B$2:$B$7,MATCH(AD481,تعرفه!$A$2:$A$7,0))))</f>
        <v>76000</v>
      </c>
      <c r="AH481" s="24" t="n">
        <v>76000</v>
      </c>
      <c r="AI481" s="24" t="n">
        <f aca="false">IF(AG481="","",AH481-AG481)</f>
        <v>0</v>
      </c>
      <c r="AJ481" s="21" t="n">
        <v>-2040</v>
      </c>
      <c r="AK481" s="21" t="n">
        <v>0</v>
      </c>
      <c r="AL481" s="16" t="s">
        <v>335</v>
      </c>
      <c r="AM481" s="16"/>
      <c r="AN481" s="16" t="s">
        <v>340</v>
      </c>
      <c r="AO481" s="16" t="s">
        <v>340</v>
      </c>
      <c r="AP481" s="16" t="s">
        <v>335</v>
      </c>
      <c r="AQ481" s="16"/>
      <c r="AR481" s="21" t="n">
        <f aca="false">IF(AND(T481&lt;&gt;"",H481&lt;&gt;""),IF(AND((T481-H481)*86400&gt;=0,(T481-H481)*86400&lt;تنظیمات!$B$13),1,0),0)</f>
        <v>0</v>
      </c>
      <c r="AS481" s="21" t="n">
        <f aca="false">IF(Z481="پوز",IF(OR(AB481="",COUNTIF(پوزها!$A$2:$A$5,AA481)=0),1,0),0)</f>
        <v>0</v>
      </c>
      <c r="AT481" s="21" t="n">
        <f aca="false">IF(AI481="",0,IF(AI481&gt;0,1,0))</f>
        <v>0</v>
      </c>
      <c r="AU481" s="21" t="n">
        <f aca="false">IF(AI481="",0,IF(AI481&lt;0,1,0))</f>
        <v>0</v>
      </c>
      <c r="AV481" s="21" t="n">
        <f aca="false">IF(U481&gt;V481,1,0)</f>
        <v>0</v>
      </c>
      <c r="AW481" s="21" t="n">
        <f aca="false">IF(OR(W481&gt;تنظیمات!$B$8,X481="بله"),1,0)</f>
        <v>0</v>
      </c>
      <c r="AX481" s="21" t="n">
        <f aca="false">IF(AND(N481="بله",L481&gt;تنظیمات!$B$9),1,0)</f>
        <v>0</v>
      </c>
      <c r="AY481" s="21" t="n">
        <f aca="false">IF(Y481="معکوس",1,0)</f>
        <v>0</v>
      </c>
      <c r="AZ481" s="21" t="n">
        <f aca="false">IF(ABS(AJ481)&gt;تنظیمات!$B$10,1,0)</f>
        <v>1</v>
      </c>
      <c r="BA481" s="21" t="n">
        <f aca="false">IF(AND(OR(AD481="رایگان/VIP",AD481="جانباز"),AF481="خیر"),1,0)</f>
        <v>0</v>
      </c>
      <c r="BB481" s="21" t="n">
        <f aca="false">IF(AE481="",0,IF(COUNTIF($AE$2:$AE$1001,AE481)&gt;1,1,0))</f>
        <v>0</v>
      </c>
      <c r="BC481" s="21" t="n">
        <f aca="false">IF(AND(H481="",I481&gt;تنظیمات!$B$12*60,AM481="خالی"),1,0)</f>
        <v>0</v>
      </c>
      <c r="BD481" s="21" t="n">
        <f aca="false">IF(AND(AP481="بله",I481&lt;تنظیمات!$B$14,AO481="خیر"),1,0)</f>
        <v>0</v>
      </c>
      <c r="BE481" s="21" t="n">
        <f aca="false">IF(AN481="خیر",1,0)</f>
        <v>0</v>
      </c>
      <c r="BF481" s="21" t="n">
        <f aca="false">IF(AND(AD481="فیش مفقودی",AQ481="بله",I481&gt;تنظیمات!$B$12*60),1,0)</f>
        <v>0</v>
      </c>
      <c r="BG481" s="21" t="n">
        <f aca="false">IF(AND(AK481&gt;تنظیمات!$B$11,AL481="بله"),1,0)</f>
        <v>0</v>
      </c>
      <c r="BH481" s="21" t="n">
        <f aca="false">MIN(100,AR481*تنظیمات!$B$21+AS481*تنظیمات!$B$22+AT481*تنظیمات!$B$23+AU481*تنظیمات!$B$24+AV481*تنظیمات!$B$25+AW481*تنظیمات!$B$26+AX481*تنظیمات!$B$27+AY481*تنظیمات!$B$28+AZ481*تنظیمات!$B$29+BA481*تنظیمات!$B$30+BB481*تنظیمات!$B$31+BC481*تنظیمات!$B$32+BD481*تنظیمات!$B$33+BE481*تنظیمات!$B$34+BF481*تنظیمات!$B$35+BG481*تنظیمات!$B$36)</f>
        <v>30</v>
      </c>
      <c r="BI481" s="16" t="str">
        <f aca="false">IF(BH481&gt;=60,"بحرانی",IF(BH481&gt;=30,"مشکوک",IF(BH481&gt;0,"هشدار","عادی")))</f>
        <v>مشکوک</v>
      </c>
      <c r="BJ481" s="16" t="s">
        <v>939</v>
      </c>
    </row>
    <row r="482" customFormat="false" ht="15" hidden="false" customHeight="false" outlineLevel="0" collapsed="false">
      <c r="A482" s="16" t="s">
        <v>1893</v>
      </c>
      <c r="B482" s="16" t="s">
        <v>1894</v>
      </c>
      <c r="C482" s="16"/>
      <c r="D482" s="16" t="s">
        <v>531</v>
      </c>
      <c r="E482" s="16" t="s">
        <v>351</v>
      </c>
      <c r="F482" s="16" t="s">
        <v>333</v>
      </c>
      <c r="G482" s="17" t="n">
        <v>46287.5807291667</v>
      </c>
      <c r="H482" s="17" t="n">
        <v>46287.7161458333</v>
      </c>
      <c r="I482" s="18" t="n">
        <f aca="false">IF(H482="",ROUND((تنظیمات!$B$7-G482)*1440,0),ROUND((H482-G482)*1440,0))</f>
        <v>195</v>
      </c>
      <c r="J482" s="16" t="s">
        <v>334</v>
      </c>
      <c r="K482" s="16" t="s">
        <v>410</v>
      </c>
      <c r="L482" s="19" t="n">
        <v>0.893</v>
      </c>
      <c r="M482" s="19" t="n">
        <v>0.995</v>
      </c>
      <c r="N482" s="16" t="s">
        <v>335</v>
      </c>
      <c r="O482" s="16" t="s">
        <v>411</v>
      </c>
      <c r="P482" s="16" t="s">
        <v>420</v>
      </c>
      <c r="Q482" s="20" t="n">
        <v>46287</v>
      </c>
      <c r="R482" s="16" t="s">
        <v>1895</v>
      </c>
      <c r="S482" s="16" t="s">
        <v>404</v>
      </c>
      <c r="T482" s="17"/>
      <c r="U482" s="21" t="n">
        <v>1</v>
      </c>
      <c r="V482" s="21" t="n">
        <v>1</v>
      </c>
      <c r="W482" s="22" t="n">
        <v>5.4</v>
      </c>
      <c r="X482" s="16" t="s">
        <v>335</v>
      </c>
      <c r="Y482" s="16" t="s">
        <v>338</v>
      </c>
      <c r="Z482" s="16" t="s">
        <v>405</v>
      </c>
      <c r="AA482" s="16"/>
      <c r="AB482" s="23"/>
      <c r="AC482" s="17"/>
      <c r="AD482" s="16" t="s">
        <v>338</v>
      </c>
      <c r="AE482" s="16"/>
      <c r="AF482" s="16" t="str">
        <f aca="false">IF(COUNTIF(لیست_سفید!$A$2:$A$21,B482)&gt;0,"بله","خیر")</f>
        <v>خیر</v>
      </c>
      <c r="AG482" s="24" t="n">
        <f aca="false">IF(H482="","",IF(AD482="فیش مفقودی",تنظیمات!$B$6,(INT(I482/1440)*تنظیمات!$B$5+IF(MOD(I482,1440)&lt;=تنظیمات!$B$2,0,MIN(تنظیمات!$B$5,تنظیمات!$B$3+MAX(0,ROUNDUP((MOD(I482,1440)-60)/60,0))*تنظیمات!$B$4)))*INDEX(تعرفه!$B$2:$B$7,MATCH(AD482,تعرفه!$A$2:$A$7,0))))</f>
        <v>62000</v>
      </c>
      <c r="AH482" s="24" t="n">
        <v>62000</v>
      </c>
      <c r="AI482" s="24" t="n">
        <f aca="false">IF(AG482="","",AH482-AG482)</f>
        <v>0</v>
      </c>
      <c r="AJ482" s="21" t="n">
        <v>-1</v>
      </c>
      <c r="AK482" s="21" t="n">
        <v>0</v>
      </c>
      <c r="AL482" s="16" t="s">
        <v>335</v>
      </c>
      <c r="AM482" s="16"/>
      <c r="AN482" s="16" t="s">
        <v>340</v>
      </c>
      <c r="AO482" s="16" t="s">
        <v>340</v>
      </c>
      <c r="AP482" s="16" t="s">
        <v>335</v>
      </c>
      <c r="AQ482" s="16"/>
      <c r="AR482" s="21" t="n">
        <f aca="false">IF(AND(T482&lt;&gt;"",H482&lt;&gt;""),IF(AND((T482-H482)*86400&gt;=0,(T482-H482)*86400&lt;تنظیمات!$B$13),1,0),0)</f>
        <v>0</v>
      </c>
      <c r="AS482" s="21" t="n">
        <f aca="false">IF(Z482="پوز",IF(OR(AB482="",COUNTIF(پوزها!$A$2:$A$5,AA482)=0),1,0),0)</f>
        <v>0</v>
      </c>
      <c r="AT482" s="21" t="n">
        <f aca="false">IF(AI482="",0,IF(AI482&gt;0,1,0))</f>
        <v>0</v>
      </c>
      <c r="AU482" s="21" t="n">
        <f aca="false">IF(AI482="",0,IF(AI482&lt;0,1,0))</f>
        <v>0</v>
      </c>
      <c r="AV482" s="21" t="n">
        <f aca="false">IF(U482&gt;V482,1,0)</f>
        <v>0</v>
      </c>
      <c r="AW482" s="21" t="n">
        <f aca="false">IF(OR(W482&gt;تنظیمات!$B$8,X482="بله"),1,0)</f>
        <v>0</v>
      </c>
      <c r="AX482" s="21" t="n">
        <f aca="false">IF(AND(N482="بله",L482&gt;تنظیمات!$B$9),1,0)</f>
        <v>0</v>
      </c>
      <c r="AY482" s="21" t="n">
        <f aca="false">IF(Y482="معکوس",1,0)</f>
        <v>0</v>
      </c>
      <c r="AZ482" s="21" t="n">
        <f aca="false">IF(ABS(AJ482)&gt;تنظیمات!$B$10,1,0)</f>
        <v>0</v>
      </c>
      <c r="BA482" s="21" t="n">
        <f aca="false">IF(AND(OR(AD482="رایگان/VIP",AD482="جانباز"),AF482="خیر"),1,0)</f>
        <v>0</v>
      </c>
      <c r="BB482" s="21" t="n">
        <f aca="false">IF(AE482="",0,IF(COUNTIF($AE$2:$AE$1001,AE482)&gt;1,1,0))</f>
        <v>0</v>
      </c>
      <c r="BC482" s="21" t="n">
        <f aca="false">IF(AND(H482="",I482&gt;تنظیمات!$B$12*60,AM482="خالی"),1,0)</f>
        <v>0</v>
      </c>
      <c r="BD482" s="21" t="n">
        <f aca="false">IF(AND(AP482="بله",I482&lt;تنظیمات!$B$14,AO482="خیر"),1,0)</f>
        <v>0</v>
      </c>
      <c r="BE482" s="21" t="n">
        <f aca="false">IF(AN482="خیر",1,0)</f>
        <v>0</v>
      </c>
      <c r="BF482" s="21" t="n">
        <f aca="false">IF(AND(AD482="فیش مفقودی",AQ482="بله",I482&gt;تنظیمات!$B$12*60),1,0)</f>
        <v>0</v>
      </c>
      <c r="BG482" s="21" t="n">
        <f aca="false">IF(AND(AK482&gt;تنظیمات!$B$11,AL482="بله"),1,0)</f>
        <v>0</v>
      </c>
      <c r="BH482" s="21" t="n">
        <f aca="false">MIN(100,AR482*تنظیمات!$B$21+AS482*تنظیمات!$B$22+AT482*تنظیمات!$B$23+AU482*تنظیمات!$B$24+AV482*تنظیمات!$B$25+AW482*تنظیمات!$B$26+AX482*تنظیمات!$B$27+AY482*تنظیمات!$B$28+AZ482*تنظیمات!$B$29+BA482*تنظیمات!$B$30+BB482*تنظیمات!$B$31+BC482*تنظیمات!$B$32+BD482*تنظیمات!$B$33+BE482*تنظیمات!$B$34+BF482*تنظیمات!$B$35+BG482*تنظیمات!$B$36)</f>
        <v>0</v>
      </c>
      <c r="BI482" s="16" t="str">
        <f aca="false">IF(BH482&gt;=60,"بحرانی",IF(BH482&gt;=30,"مشکوک",IF(BH482&gt;0,"هشدار","عادی")))</f>
        <v>عادی</v>
      </c>
      <c r="BJ482" s="16" t="s">
        <v>338</v>
      </c>
    </row>
    <row r="483" customFormat="false" ht="15" hidden="false" customHeight="false" outlineLevel="0" collapsed="false">
      <c r="A483" s="16" t="s">
        <v>1896</v>
      </c>
      <c r="B483" s="16" t="s">
        <v>1897</v>
      </c>
      <c r="C483" s="16"/>
      <c r="D483" s="16" t="s">
        <v>374</v>
      </c>
      <c r="E483" s="16" t="s">
        <v>332</v>
      </c>
      <c r="F483" s="16" t="s">
        <v>359</v>
      </c>
      <c r="G483" s="17" t="n">
        <v>46287.6099652778</v>
      </c>
      <c r="H483" s="17" t="n">
        <v>46287.6648263889</v>
      </c>
      <c r="I483" s="18" t="n">
        <f aca="false">IF(H483="",ROUND((تنظیمات!$B$7-G483)*1440,0),ROUND((H483-G483)*1440,0))</f>
        <v>79</v>
      </c>
      <c r="J483" s="16" t="s">
        <v>334</v>
      </c>
      <c r="K483" s="16" t="s">
        <v>410</v>
      </c>
      <c r="L483" s="19" t="n">
        <v>0.915</v>
      </c>
      <c r="M483" s="19" t="n">
        <v>0.936</v>
      </c>
      <c r="N483" s="16" t="s">
        <v>335</v>
      </c>
      <c r="O483" s="16" t="s">
        <v>411</v>
      </c>
      <c r="P483" s="16" t="s">
        <v>420</v>
      </c>
      <c r="Q483" s="20" t="n">
        <v>46287</v>
      </c>
      <c r="R483" s="16" t="s">
        <v>1898</v>
      </c>
      <c r="S483" s="16" t="s">
        <v>404</v>
      </c>
      <c r="T483" s="17"/>
      <c r="U483" s="21" t="n">
        <v>1</v>
      </c>
      <c r="V483" s="21" t="n">
        <v>1</v>
      </c>
      <c r="W483" s="22" t="n">
        <v>6.3</v>
      </c>
      <c r="X483" s="16" t="s">
        <v>335</v>
      </c>
      <c r="Y483" s="16" t="s">
        <v>338</v>
      </c>
      <c r="Z483" s="16" t="s">
        <v>405</v>
      </c>
      <c r="AA483" s="16"/>
      <c r="AB483" s="23"/>
      <c r="AC483" s="17"/>
      <c r="AD483" s="16" t="s">
        <v>338</v>
      </c>
      <c r="AE483" s="16"/>
      <c r="AF483" s="16" t="str">
        <f aca="false">IF(COUNTIF(لیست_سفید!$A$2:$A$21,B483)&gt;0,"بله","خیر")</f>
        <v>خیر</v>
      </c>
      <c r="AG483" s="24" t="n">
        <f aca="false">IF(H483="","",IF(AD483="فیش مفقودی",تنظیمات!$B$6,(INT(I483/1440)*تنظیمات!$B$5+IF(MOD(I483,1440)&lt;=تنظیمات!$B$2,0,MIN(تنظیمات!$B$5,تنظیمات!$B$3+MAX(0,ROUNDUP((MOD(I483,1440)-60)/60,0))*تنظیمات!$B$4)))*INDEX(تعرفه!$B$2:$B$7,MATCH(AD483,تعرفه!$A$2:$A$7,0))))</f>
        <v>34000</v>
      </c>
      <c r="AH483" s="24" t="n">
        <v>34000</v>
      </c>
      <c r="AI483" s="24" t="n">
        <f aca="false">IF(AG483="","",AH483-AG483)</f>
        <v>0</v>
      </c>
      <c r="AJ483" s="21" t="n">
        <v>1</v>
      </c>
      <c r="AK483" s="21" t="n">
        <v>0</v>
      </c>
      <c r="AL483" s="16" t="s">
        <v>335</v>
      </c>
      <c r="AM483" s="16"/>
      <c r="AN483" s="16" t="s">
        <v>340</v>
      </c>
      <c r="AO483" s="16" t="s">
        <v>340</v>
      </c>
      <c r="AP483" s="16" t="s">
        <v>335</v>
      </c>
      <c r="AQ483" s="16"/>
      <c r="AR483" s="21" t="n">
        <f aca="false">IF(AND(T483&lt;&gt;"",H483&lt;&gt;""),IF(AND((T483-H483)*86400&gt;=0,(T483-H483)*86400&lt;تنظیمات!$B$13),1,0),0)</f>
        <v>0</v>
      </c>
      <c r="AS483" s="21" t="n">
        <f aca="false">IF(Z483="پوز",IF(OR(AB483="",COUNTIF(پوزها!$A$2:$A$5,AA483)=0),1,0),0)</f>
        <v>0</v>
      </c>
      <c r="AT483" s="21" t="n">
        <f aca="false">IF(AI483="",0,IF(AI483&gt;0,1,0))</f>
        <v>0</v>
      </c>
      <c r="AU483" s="21" t="n">
        <f aca="false">IF(AI483="",0,IF(AI483&lt;0,1,0))</f>
        <v>0</v>
      </c>
      <c r="AV483" s="21" t="n">
        <f aca="false">IF(U483&gt;V483,1,0)</f>
        <v>0</v>
      </c>
      <c r="AW483" s="21" t="n">
        <f aca="false">IF(OR(W483&gt;تنظیمات!$B$8,X483="بله"),1,0)</f>
        <v>0</v>
      </c>
      <c r="AX483" s="21" t="n">
        <f aca="false">IF(AND(N483="بله",L483&gt;تنظیمات!$B$9),1,0)</f>
        <v>0</v>
      </c>
      <c r="AY483" s="21" t="n">
        <f aca="false">IF(Y483="معکوس",1,0)</f>
        <v>0</v>
      </c>
      <c r="AZ483" s="21" t="n">
        <f aca="false">IF(ABS(AJ483)&gt;تنظیمات!$B$10,1,0)</f>
        <v>0</v>
      </c>
      <c r="BA483" s="21" t="n">
        <f aca="false">IF(AND(OR(AD483="رایگان/VIP",AD483="جانباز"),AF483="خیر"),1,0)</f>
        <v>0</v>
      </c>
      <c r="BB483" s="21" t="n">
        <f aca="false">IF(AE483="",0,IF(COUNTIF($AE$2:$AE$1001,AE483)&gt;1,1,0))</f>
        <v>0</v>
      </c>
      <c r="BC483" s="21" t="n">
        <f aca="false">IF(AND(H483="",I483&gt;تنظیمات!$B$12*60,AM483="خالی"),1,0)</f>
        <v>0</v>
      </c>
      <c r="BD483" s="21" t="n">
        <f aca="false">IF(AND(AP483="بله",I483&lt;تنظیمات!$B$14,AO483="خیر"),1,0)</f>
        <v>0</v>
      </c>
      <c r="BE483" s="21" t="n">
        <f aca="false">IF(AN483="خیر",1,0)</f>
        <v>0</v>
      </c>
      <c r="BF483" s="21" t="n">
        <f aca="false">IF(AND(AD483="فیش مفقودی",AQ483="بله",I483&gt;تنظیمات!$B$12*60),1,0)</f>
        <v>0</v>
      </c>
      <c r="BG483" s="21" t="n">
        <f aca="false">IF(AND(AK483&gt;تنظیمات!$B$11,AL483="بله"),1,0)</f>
        <v>0</v>
      </c>
      <c r="BH483" s="21" t="n">
        <f aca="false">MIN(100,AR483*تنظیمات!$B$21+AS483*تنظیمات!$B$22+AT483*تنظیمات!$B$23+AU483*تنظیمات!$B$24+AV483*تنظیمات!$B$25+AW483*تنظیمات!$B$26+AX483*تنظیمات!$B$27+AY483*تنظیمات!$B$28+AZ483*تنظیمات!$B$29+BA483*تنظیمات!$B$30+BB483*تنظیمات!$B$31+BC483*تنظیمات!$B$32+BD483*تنظیمات!$B$33+BE483*تنظیمات!$B$34+BF483*تنظیمات!$B$35+BG483*تنظیمات!$B$36)</f>
        <v>0</v>
      </c>
      <c r="BI483" s="16" t="str">
        <f aca="false">IF(BH483&gt;=60,"بحرانی",IF(BH483&gt;=30,"مشکوک",IF(BH483&gt;0,"هشدار","عادی")))</f>
        <v>عادی</v>
      </c>
      <c r="BJ483" s="16" t="s">
        <v>338</v>
      </c>
    </row>
    <row r="484" customFormat="false" ht="15" hidden="false" customHeight="false" outlineLevel="0" collapsed="false">
      <c r="A484" s="16" t="s">
        <v>1899</v>
      </c>
      <c r="B484" s="16" t="s">
        <v>643</v>
      </c>
      <c r="C484" s="16"/>
      <c r="D484" s="16" t="s">
        <v>382</v>
      </c>
      <c r="E484" s="16" t="s">
        <v>345</v>
      </c>
      <c r="F484" s="16" t="s">
        <v>333</v>
      </c>
      <c r="G484" s="17" t="n">
        <v>46287.6166782407</v>
      </c>
      <c r="H484" s="17" t="n">
        <v>46287.7861226852</v>
      </c>
      <c r="I484" s="18" t="n">
        <f aca="false">IF(H484="",ROUND((تنظیمات!$B$7-G484)*1440,0),ROUND((H484-G484)*1440,0))</f>
        <v>244</v>
      </c>
      <c r="J484" s="16" t="s">
        <v>334</v>
      </c>
      <c r="K484" s="16" t="s">
        <v>410</v>
      </c>
      <c r="L484" s="19" t="n">
        <v>0.926</v>
      </c>
      <c r="M484" s="19" t="n">
        <v>0.929</v>
      </c>
      <c r="N484" s="16" t="s">
        <v>335</v>
      </c>
      <c r="O484" s="16" t="s">
        <v>411</v>
      </c>
      <c r="P484" s="16" t="s">
        <v>420</v>
      </c>
      <c r="Q484" s="20" t="n">
        <v>46287</v>
      </c>
      <c r="R484" s="16" t="s">
        <v>1900</v>
      </c>
      <c r="S484" s="16" t="s">
        <v>404</v>
      </c>
      <c r="T484" s="17"/>
      <c r="U484" s="21" t="n">
        <v>1</v>
      </c>
      <c r="V484" s="21" t="n">
        <v>1</v>
      </c>
      <c r="W484" s="22" t="n">
        <v>4.1</v>
      </c>
      <c r="X484" s="16" t="s">
        <v>335</v>
      </c>
      <c r="Y484" s="16" t="s">
        <v>338</v>
      </c>
      <c r="Z484" s="16" t="s">
        <v>413</v>
      </c>
      <c r="AA484" s="16" t="s">
        <v>414</v>
      </c>
      <c r="AB484" s="23" t="s">
        <v>1901</v>
      </c>
      <c r="AC484" s="17" t="n">
        <v>46287.7855902778</v>
      </c>
      <c r="AD484" s="16" t="s">
        <v>338</v>
      </c>
      <c r="AE484" s="16"/>
      <c r="AF484" s="16" t="str">
        <f aca="false">IF(COUNTIF(لیست_سفید!$A$2:$A$21,B484)&gt;0,"بله","خیر")</f>
        <v>خیر</v>
      </c>
      <c r="AG484" s="24" t="n">
        <f aca="false">IF(H484="","",IF(AD484="فیش مفقودی",تنظیمات!$B$6,(INT(I484/1440)*تنظیمات!$B$5+IF(MOD(I484,1440)&lt;=تنظیمات!$B$2,0,MIN(تنظیمات!$B$5,تنظیمات!$B$3+MAX(0,ROUNDUP((MOD(I484,1440)-60)/60,0))*تنظیمات!$B$4)))*INDEX(تعرفه!$B$2:$B$7,MATCH(AD484,تعرفه!$A$2:$A$7,0))))</f>
        <v>76000</v>
      </c>
      <c r="AH484" s="24" t="n">
        <v>76000</v>
      </c>
      <c r="AI484" s="24" t="n">
        <f aca="false">IF(AG484="","",AH484-AG484)</f>
        <v>0</v>
      </c>
      <c r="AJ484" s="21" t="n">
        <v>-2</v>
      </c>
      <c r="AK484" s="21" t="n">
        <v>0</v>
      </c>
      <c r="AL484" s="16" t="s">
        <v>335</v>
      </c>
      <c r="AM484" s="16"/>
      <c r="AN484" s="16" t="s">
        <v>340</v>
      </c>
      <c r="AO484" s="16" t="s">
        <v>340</v>
      </c>
      <c r="AP484" s="16" t="s">
        <v>335</v>
      </c>
      <c r="AQ484" s="16"/>
      <c r="AR484" s="21" t="n">
        <f aca="false">IF(AND(T484&lt;&gt;"",H484&lt;&gt;""),IF(AND((T484-H484)*86400&gt;=0,(T484-H484)*86400&lt;تنظیمات!$B$13),1,0),0)</f>
        <v>0</v>
      </c>
      <c r="AS484" s="21" t="n">
        <f aca="false">IF(Z484="پوز",IF(OR(AB484="",COUNTIF(پوزها!$A$2:$A$5,AA484)=0),1,0),0)</f>
        <v>0</v>
      </c>
      <c r="AT484" s="21" t="n">
        <f aca="false">IF(AI484="",0,IF(AI484&gt;0,1,0))</f>
        <v>0</v>
      </c>
      <c r="AU484" s="21" t="n">
        <f aca="false">IF(AI484="",0,IF(AI484&lt;0,1,0))</f>
        <v>0</v>
      </c>
      <c r="AV484" s="21" t="n">
        <f aca="false">IF(U484&gt;V484,1,0)</f>
        <v>0</v>
      </c>
      <c r="AW484" s="21" t="n">
        <f aca="false">IF(OR(W484&gt;تنظیمات!$B$8,X484="بله"),1,0)</f>
        <v>0</v>
      </c>
      <c r="AX484" s="21" t="n">
        <f aca="false">IF(AND(N484="بله",L484&gt;تنظیمات!$B$9),1,0)</f>
        <v>0</v>
      </c>
      <c r="AY484" s="21" t="n">
        <f aca="false">IF(Y484="معکوس",1,0)</f>
        <v>0</v>
      </c>
      <c r="AZ484" s="21" t="n">
        <f aca="false">IF(ABS(AJ484)&gt;تنظیمات!$B$10,1,0)</f>
        <v>0</v>
      </c>
      <c r="BA484" s="21" t="n">
        <f aca="false">IF(AND(OR(AD484="رایگان/VIP",AD484="جانباز"),AF484="خیر"),1,0)</f>
        <v>0</v>
      </c>
      <c r="BB484" s="21" t="n">
        <f aca="false">IF(AE484="",0,IF(COUNTIF($AE$2:$AE$1001,AE484)&gt;1,1,0))</f>
        <v>0</v>
      </c>
      <c r="BC484" s="21" t="n">
        <f aca="false">IF(AND(H484="",I484&gt;تنظیمات!$B$12*60,AM484="خالی"),1,0)</f>
        <v>0</v>
      </c>
      <c r="BD484" s="21" t="n">
        <f aca="false">IF(AND(AP484="بله",I484&lt;تنظیمات!$B$14,AO484="خیر"),1,0)</f>
        <v>0</v>
      </c>
      <c r="BE484" s="21" t="n">
        <f aca="false">IF(AN484="خیر",1,0)</f>
        <v>0</v>
      </c>
      <c r="BF484" s="21" t="n">
        <f aca="false">IF(AND(AD484="فیش مفقودی",AQ484="بله",I484&gt;تنظیمات!$B$12*60),1,0)</f>
        <v>0</v>
      </c>
      <c r="BG484" s="21" t="n">
        <f aca="false">IF(AND(AK484&gt;تنظیمات!$B$11,AL484="بله"),1,0)</f>
        <v>0</v>
      </c>
      <c r="BH484" s="21" t="n">
        <f aca="false">MIN(100,AR484*تنظیمات!$B$21+AS484*تنظیمات!$B$22+AT484*تنظیمات!$B$23+AU484*تنظیمات!$B$24+AV484*تنظیمات!$B$25+AW484*تنظیمات!$B$26+AX484*تنظیمات!$B$27+AY484*تنظیمات!$B$28+AZ484*تنظیمات!$B$29+BA484*تنظیمات!$B$30+BB484*تنظیمات!$B$31+BC484*تنظیمات!$B$32+BD484*تنظیمات!$B$33+BE484*تنظیمات!$B$34+BF484*تنظیمات!$B$35+BG484*تنظیمات!$B$36)</f>
        <v>0</v>
      </c>
      <c r="BI484" s="16" t="str">
        <f aca="false">IF(BH484&gt;=60,"بحرانی",IF(BH484&gt;=30,"مشکوک",IF(BH484&gt;0,"هشدار","عادی")))</f>
        <v>عادی</v>
      </c>
      <c r="BJ484" s="16" t="s">
        <v>338</v>
      </c>
    </row>
    <row r="485" customFormat="false" ht="15" hidden="false" customHeight="false" outlineLevel="0" collapsed="false">
      <c r="A485" s="16" t="s">
        <v>1902</v>
      </c>
      <c r="B485" s="16" t="s">
        <v>1069</v>
      </c>
      <c r="C485" s="16"/>
      <c r="D485" s="16" t="s">
        <v>344</v>
      </c>
      <c r="E485" s="16" t="s">
        <v>390</v>
      </c>
      <c r="F485" s="16" t="s">
        <v>333</v>
      </c>
      <c r="G485" s="17" t="n">
        <v>46287.6290046296</v>
      </c>
      <c r="H485" s="17" t="n">
        <v>46287.631087963</v>
      </c>
      <c r="I485" s="18" t="n">
        <f aca="false">IF(H485="",ROUND((تنظیمات!$B$7-G485)*1440,0),ROUND((H485-G485)*1440,0))</f>
        <v>3</v>
      </c>
      <c r="J485" s="16" t="s">
        <v>346</v>
      </c>
      <c r="K485" s="16" t="s">
        <v>410</v>
      </c>
      <c r="L485" s="19" t="n">
        <v>0.971</v>
      </c>
      <c r="M485" s="19" t="n">
        <v>0.936</v>
      </c>
      <c r="N485" s="16" t="s">
        <v>335</v>
      </c>
      <c r="O485" s="16" t="s">
        <v>411</v>
      </c>
      <c r="P485" s="16" t="s">
        <v>420</v>
      </c>
      <c r="Q485" s="20" t="n">
        <v>46287</v>
      </c>
      <c r="R485" s="16" t="s">
        <v>1903</v>
      </c>
      <c r="S485" s="16" t="s">
        <v>404</v>
      </c>
      <c r="T485" s="17"/>
      <c r="U485" s="21" t="n">
        <v>1</v>
      </c>
      <c r="V485" s="21" t="n">
        <v>1</v>
      </c>
      <c r="W485" s="22" t="n">
        <v>4.2</v>
      </c>
      <c r="X485" s="16" t="s">
        <v>335</v>
      </c>
      <c r="Y485" s="16" t="s">
        <v>338</v>
      </c>
      <c r="Z485" s="16" t="s">
        <v>628</v>
      </c>
      <c r="AA485" s="16"/>
      <c r="AB485" s="23"/>
      <c r="AC485" s="17"/>
      <c r="AD485" s="16" t="s">
        <v>338</v>
      </c>
      <c r="AE485" s="16"/>
      <c r="AF485" s="16" t="str">
        <f aca="false">IF(COUNTIF(لیست_سفید!$A$2:$A$21,B485)&gt;0,"بله","خیر")</f>
        <v>خیر</v>
      </c>
      <c r="AG485" s="24" t="n">
        <f aca="false">IF(H485="","",IF(AD485="فیش مفقودی",تنظیمات!$B$6,(INT(I485/1440)*تنظیمات!$B$5+IF(MOD(I485,1440)&lt;=تنظیمات!$B$2,0,MIN(تنظیمات!$B$5,تنظیمات!$B$3+MAX(0,ROUNDUP((MOD(I485,1440)-60)/60,0))*تنظیمات!$B$4)))*INDEX(تعرفه!$B$2:$B$7,MATCH(AD485,تعرفه!$A$2:$A$7,0))))</f>
        <v>0</v>
      </c>
      <c r="AH485" s="24" t="n">
        <v>0</v>
      </c>
      <c r="AI485" s="24" t="n">
        <f aca="false">IF(AG485="","",AH485-AG485)</f>
        <v>0</v>
      </c>
      <c r="AJ485" s="21" t="n">
        <v>-6</v>
      </c>
      <c r="AK485" s="21" t="n">
        <v>0</v>
      </c>
      <c r="AL485" s="16" t="s">
        <v>335</v>
      </c>
      <c r="AM485" s="16"/>
      <c r="AN485" s="16" t="s">
        <v>340</v>
      </c>
      <c r="AO485" s="16" t="s">
        <v>340</v>
      </c>
      <c r="AP485" s="16" t="s">
        <v>335</v>
      </c>
      <c r="AQ485" s="16"/>
      <c r="AR485" s="21" t="n">
        <f aca="false">IF(AND(T485&lt;&gt;"",H485&lt;&gt;""),IF(AND((T485-H485)*86400&gt;=0,(T485-H485)*86400&lt;تنظیمات!$B$13),1,0),0)</f>
        <v>0</v>
      </c>
      <c r="AS485" s="21" t="n">
        <f aca="false">IF(Z485="پوز",IF(OR(AB485="",COUNTIF(پوزها!$A$2:$A$5,AA485)=0),1,0),0)</f>
        <v>0</v>
      </c>
      <c r="AT485" s="21" t="n">
        <f aca="false">IF(AI485="",0,IF(AI485&gt;0,1,0))</f>
        <v>0</v>
      </c>
      <c r="AU485" s="21" t="n">
        <f aca="false">IF(AI485="",0,IF(AI485&lt;0,1,0))</f>
        <v>0</v>
      </c>
      <c r="AV485" s="21" t="n">
        <f aca="false">IF(U485&gt;V485,1,0)</f>
        <v>0</v>
      </c>
      <c r="AW485" s="21" t="n">
        <f aca="false">IF(OR(W485&gt;تنظیمات!$B$8,X485="بله"),1,0)</f>
        <v>0</v>
      </c>
      <c r="AX485" s="21" t="n">
        <f aca="false">IF(AND(N485="بله",L485&gt;تنظیمات!$B$9),1,0)</f>
        <v>0</v>
      </c>
      <c r="AY485" s="21" t="n">
        <f aca="false">IF(Y485="معکوس",1,0)</f>
        <v>0</v>
      </c>
      <c r="AZ485" s="21" t="n">
        <f aca="false">IF(ABS(AJ485)&gt;تنظیمات!$B$10,1,0)</f>
        <v>0</v>
      </c>
      <c r="BA485" s="21" t="n">
        <f aca="false">IF(AND(OR(AD485="رایگان/VIP",AD485="جانباز"),AF485="خیر"),1,0)</f>
        <v>0</v>
      </c>
      <c r="BB485" s="21" t="n">
        <f aca="false">IF(AE485="",0,IF(COUNTIF($AE$2:$AE$1001,AE485)&gt;1,1,0))</f>
        <v>0</v>
      </c>
      <c r="BC485" s="21" t="n">
        <f aca="false">IF(AND(H485="",I485&gt;تنظیمات!$B$12*60,AM485="خالی"),1,0)</f>
        <v>0</v>
      </c>
      <c r="BD485" s="21" t="n">
        <f aca="false">IF(AND(AP485="بله",I485&lt;تنظیمات!$B$14,AO485="خیر"),1,0)</f>
        <v>0</v>
      </c>
      <c r="BE485" s="21" t="n">
        <f aca="false">IF(AN485="خیر",1,0)</f>
        <v>0</v>
      </c>
      <c r="BF485" s="21" t="n">
        <f aca="false">IF(AND(AD485="فیش مفقودی",AQ485="بله",I485&gt;تنظیمات!$B$12*60),1,0)</f>
        <v>0</v>
      </c>
      <c r="BG485" s="21" t="n">
        <f aca="false">IF(AND(AK485&gt;تنظیمات!$B$11,AL485="بله"),1,0)</f>
        <v>0</v>
      </c>
      <c r="BH485" s="21" t="n">
        <f aca="false">MIN(100,AR485*تنظیمات!$B$21+AS485*تنظیمات!$B$22+AT485*تنظیمات!$B$23+AU485*تنظیمات!$B$24+AV485*تنظیمات!$B$25+AW485*تنظیمات!$B$26+AX485*تنظیمات!$B$27+AY485*تنظیمات!$B$28+AZ485*تنظیمات!$B$29+BA485*تنظیمات!$B$30+BB485*تنظیمات!$B$31+BC485*تنظیمات!$B$32+BD485*تنظیمات!$B$33+BE485*تنظیمات!$B$34+BF485*تنظیمات!$B$35+BG485*تنظیمات!$B$36)</f>
        <v>0</v>
      </c>
      <c r="BI485" s="16" t="str">
        <f aca="false">IF(BH485&gt;=60,"بحرانی",IF(BH485&gt;=30,"مشکوک",IF(BH485&gt;0,"هشدار","عادی")))</f>
        <v>عادی</v>
      </c>
      <c r="BJ485" s="16" t="s">
        <v>338</v>
      </c>
    </row>
    <row r="486" customFormat="false" ht="15" hidden="false" customHeight="false" outlineLevel="0" collapsed="false">
      <c r="A486" s="16" t="s">
        <v>1904</v>
      </c>
      <c r="B486" s="16" t="s">
        <v>373</v>
      </c>
      <c r="C486" s="16"/>
      <c r="D486" s="16" t="s">
        <v>374</v>
      </c>
      <c r="E486" s="16" t="s">
        <v>375</v>
      </c>
      <c r="F486" s="16" t="s">
        <v>359</v>
      </c>
      <c r="G486" s="17" t="n">
        <v>46287.6439930556</v>
      </c>
      <c r="H486" s="17" t="n">
        <v>46287.7745486111</v>
      </c>
      <c r="I486" s="18" t="n">
        <f aca="false">IF(H486="",ROUND((تنظیمات!$B$7-G486)*1440,0),ROUND((H486-G486)*1440,0))</f>
        <v>188</v>
      </c>
      <c r="J486" s="16" t="s">
        <v>346</v>
      </c>
      <c r="K486" s="16" t="s">
        <v>400</v>
      </c>
      <c r="L486" s="19" t="n">
        <v>0.918</v>
      </c>
      <c r="M486" s="19" t="n">
        <v>0.927</v>
      </c>
      <c r="N486" s="16" t="s">
        <v>335</v>
      </c>
      <c r="O486" s="16" t="s">
        <v>441</v>
      </c>
      <c r="P486" s="16" t="s">
        <v>420</v>
      </c>
      <c r="Q486" s="20" t="n">
        <v>46287</v>
      </c>
      <c r="R486" s="16" t="s">
        <v>1905</v>
      </c>
      <c r="S486" s="16" t="s">
        <v>404</v>
      </c>
      <c r="T486" s="17"/>
      <c r="U486" s="21" t="n">
        <v>1</v>
      </c>
      <c r="V486" s="21" t="n">
        <v>1</v>
      </c>
      <c r="W486" s="22" t="n">
        <v>3.1</v>
      </c>
      <c r="X486" s="16" t="s">
        <v>335</v>
      </c>
      <c r="Y486" s="16" t="s">
        <v>338</v>
      </c>
      <c r="Z486" s="16" t="s">
        <v>413</v>
      </c>
      <c r="AA486" s="16" t="s">
        <v>427</v>
      </c>
      <c r="AB486" s="23" t="s">
        <v>1906</v>
      </c>
      <c r="AC486" s="17" t="n">
        <v>46287.7735069445</v>
      </c>
      <c r="AD486" s="16" t="s">
        <v>338</v>
      </c>
      <c r="AE486" s="16"/>
      <c r="AF486" s="16" t="str">
        <f aca="false">IF(COUNTIF(لیست_سفید!$A$2:$A$21,B486)&gt;0,"بله","خیر")</f>
        <v>خیر</v>
      </c>
      <c r="AG486" s="24" t="n">
        <f aca="false">IF(H486="","",IF(AD486="فیش مفقودی",تنظیمات!$B$6,(INT(I486/1440)*تنظیمات!$B$5+IF(MOD(I486,1440)&lt;=تنظیمات!$B$2,0,MIN(تنظیمات!$B$5,تنظیمات!$B$3+MAX(0,ROUNDUP((MOD(I486,1440)-60)/60,0))*تنظیمات!$B$4)))*INDEX(تعرفه!$B$2:$B$7,MATCH(AD486,تعرفه!$A$2:$A$7,0))))</f>
        <v>62000</v>
      </c>
      <c r="AH486" s="24" t="n">
        <v>62000</v>
      </c>
      <c r="AI486" s="24" t="n">
        <f aca="false">IF(AG486="","",AH486-AG486)</f>
        <v>0</v>
      </c>
      <c r="AJ486" s="21" t="n">
        <v>-3</v>
      </c>
      <c r="AK486" s="21" t="n">
        <v>0</v>
      </c>
      <c r="AL486" s="16" t="s">
        <v>335</v>
      </c>
      <c r="AM486" s="16"/>
      <c r="AN486" s="16" t="s">
        <v>340</v>
      </c>
      <c r="AO486" s="16" t="s">
        <v>340</v>
      </c>
      <c r="AP486" s="16" t="s">
        <v>335</v>
      </c>
      <c r="AQ486" s="16"/>
      <c r="AR486" s="21" t="n">
        <f aca="false">IF(AND(T486&lt;&gt;"",H486&lt;&gt;""),IF(AND((T486-H486)*86400&gt;=0,(T486-H486)*86400&lt;تنظیمات!$B$13),1,0),0)</f>
        <v>0</v>
      </c>
      <c r="AS486" s="21" t="n">
        <f aca="false">IF(Z486="پوز",IF(OR(AB486="",COUNTIF(پوزها!$A$2:$A$5,AA486)=0),1,0),0)</f>
        <v>0</v>
      </c>
      <c r="AT486" s="21" t="n">
        <f aca="false">IF(AI486="",0,IF(AI486&gt;0,1,0))</f>
        <v>0</v>
      </c>
      <c r="AU486" s="21" t="n">
        <f aca="false">IF(AI486="",0,IF(AI486&lt;0,1,0))</f>
        <v>0</v>
      </c>
      <c r="AV486" s="21" t="n">
        <f aca="false">IF(U486&gt;V486,1,0)</f>
        <v>0</v>
      </c>
      <c r="AW486" s="21" t="n">
        <f aca="false">IF(OR(W486&gt;تنظیمات!$B$8,X486="بله"),1,0)</f>
        <v>0</v>
      </c>
      <c r="AX486" s="21" t="n">
        <f aca="false">IF(AND(N486="بله",L486&gt;تنظیمات!$B$9),1,0)</f>
        <v>0</v>
      </c>
      <c r="AY486" s="21" t="n">
        <f aca="false">IF(Y486="معکوس",1,0)</f>
        <v>0</v>
      </c>
      <c r="AZ486" s="21" t="n">
        <f aca="false">IF(ABS(AJ486)&gt;تنظیمات!$B$10,1,0)</f>
        <v>0</v>
      </c>
      <c r="BA486" s="21" t="n">
        <f aca="false">IF(AND(OR(AD486="رایگان/VIP",AD486="جانباز"),AF486="خیر"),1,0)</f>
        <v>0</v>
      </c>
      <c r="BB486" s="21" t="n">
        <f aca="false">IF(AE486="",0,IF(COUNTIF($AE$2:$AE$1001,AE486)&gt;1,1,0))</f>
        <v>0</v>
      </c>
      <c r="BC486" s="21" t="n">
        <f aca="false">IF(AND(H486="",I486&gt;تنظیمات!$B$12*60,AM486="خالی"),1,0)</f>
        <v>0</v>
      </c>
      <c r="BD486" s="21" t="n">
        <f aca="false">IF(AND(AP486="بله",I486&lt;تنظیمات!$B$14,AO486="خیر"),1,0)</f>
        <v>0</v>
      </c>
      <c r="BE486" s="21" t="n">
        <f aca="false">IF(AN486="خیر",1,0)</f>
        <v>0</v>
      </c>
      <c r="BF486" s="21" t="n">
        <f aca="false">IF(AND(AD486="فیش مفقودی",AQ486="بله",I486&gt;تنظیمات!$B$12*60),1,0)</f>
        <v>0</v>
      </c>
      <c r="BG486" s="21" t="n">
        <f aca="false">IF(AND(AK486&gt;تنظیمات!$B$11,AL486="بله"),1,0)</f>
        <v>0</v>
      </c>
      <c r="BH486" s="21" t="n">
        <f aca="false">MIN(100,AR486*تنظیمات!$B$21+AS486*تنظیمات!$B$22+AT486*تنظیمات!$B$23+AU486*تنظیمات!$B$24+AV486*تنظیمات!$B$25+AW486*تنظیمات!$B$26+AX486*تنظیمات!$B$27+AY486*تنظیمات!$B$28+AZ486*تنظیمات!$B$29+BA486*تنظیمات!$B$30+BB486*تنظیمات!$B$31+BC486*تنظیمات!$B$32+BD486*تنظیمات!$B$33+BE486*تنظیمات!$B$34+BF486*تنظیمات!$B$35+BG486*تنظیمات!$B$36)</f>
        <v>0</v>
      </c>
      <c r="BI486" s="16" t="str">
        <f aca="false">IF(BH486&gt;=60,"بحرانی",IF(BH486&gt;=30,"مشکوک",IF(BH486&gt;0,"هشدار","عادی")))</f>
        <v>عادی</v>
      </c>
      <c r="BJ486" s="16" t="s">
        <v>338</v>
      </c>
    </row>
    <row r="487" customFormat="false" ht="15" hidden="false" customHeight="false" outlineLevel="0" collapsed="false">
      <c r="A487" s="16" t="s">
        <v>1907</v>
      </c>
      <c r="B487" s="16" t="s">
        <v>1667</v>
      </c>
      <c r="C487" s="16"/>
      <c r="D487" s="16" t="s">
        <v>382</v>
      </c>
      <c r="E487" s="16" t="s">
        <v>345</v>
      </c>
      <c r="F487" s="16" t="s">
        <v>333</v>
      </c>
      <c r="G487" s="17" t="n">
        <v>46287.6545949074</v>
      </c>
      <c r="H487" s="17" t="n">
        <v>46287.6587615741</v>
      </c>
      <c r="I487" s="18" t="n">
        <f aca="false">IF(H487="",ROUND((تنظیمات!$B$7-G487)*1440,0),ROUND((H487-G487)*1440,0))</f>
        <v>6</v>
      </c>
      <c r="J487" s="16" t="s">
        <v>334</v>
      </c>
      <c r="K487" s="16" t="s">
        <v>410</v>
      </c>
      <c r="L487" s="19" t="n">
        <v>0.932</v>
      </c>
      <c r="M487" s="19" t="n">
        <v>0.965</v>
      </c>
      <c r="N487" s="16" t="s">
        <v>335</v>
      </c>
      <c r="O487" s="16" t="s">
        <v>411</v>
      </c>
      <c r="P487" s="16" t="s">
        <v>420</v>
      </c>
      <c r="Q487" s="20" t="n">
        <v>46287</v>
      </c>
      <c r="R487" s="16" t="s">
        <v>1908</v>
      </c>
      <c r="S487" s="16" t="s">
        <v>404</v>
      </c>
      <c r="T487" s="17"/>
      <c r="U487" s="21" t="n">
        <v>1</v>
      </c>
      <c r="V487" s="21" t="n">
        <v>1</v>
      </c>
      <c r="W487" s="22" t="n">
        <v>6.2</v>
      </c>
      <c r="X487" s="16" t="s">
        <v>335</v>
      </c>
      <c r="Y487" s="16" t="s">
        <v>338</v>
      </c>
      <c r="Z487" s="16" t="s">
        <v>628</v>
      </c>
      <c r="AA487" s="16"/>
      <c r="AB487" s="23"/>
      <c r="AC487" s="17"/>
      <c r="AD487" s="16" t="s">
        <v>338</v>
      </c>
      <c r="AE487" s="16"/>
      <c r="AF487" s="16" t="str">
        <f aca="false">IF(COUNTIF(لیست_سفید!$A$2:$A$21,B487)&gt;0,"بله","خیر")</f>
        <v>خیر</v>
      </c>
      <c r="AG487" s="24" t="n">
        <f aca="false">IF(H487="","",IF(AD487="فیش مفقودی",تنظیمات!$B$6,(INT(I487/1440)*تنظیمات!$B$5+IF(MOD(I487,1440)&lt;=تنظیمات!$B$2,0,MIN(تنظیمات!$B$5,تنظیمات!$B$3+MAX(0,ROUNDUP((MOD(I487,1440)-60)/60,0))*تنظیمات!$B$4)))*INDEX(تعرفه!$B$2:$B$7,MATCH(AD487,تعرفه!$A$2:$A$7,0))))</f>
        <v>0</v>
      </c>
      <c r="AH487" s="24" t="n">
        <v>0</v>
      </c>
      <c r="AI487" s="24" t="n">
        <f aca="false">IF(AG487="","",AH487-AG487)</f>
        <v>0</v>
      </c>
      <c r="AJ487" s="21" t="n">
        <v>-3</v>
      </c>
      <c r="AK487" s="21" t="n">
        <v>0</v>
      </c>
      <c r="AL487" s="16" t="s">
        <v>335</v>
      </c>
      <c r="AM487" s="16"/>
      <c r="AN487" s="16" t="s">
        <v>340</v>
      </c>
      <c r="AO487" s="16" t="s">
        <v>340</v>
      </c>
      <c r="AP487" s="16" t="s">
        <v>335</v>
      </c>
      <c r="AQ487" s="16"/>
      <c r="AR487" s="21" t="n">
        <f aca="false">IF(AND(T487&lt;&gt;"",H487&lt;&gt;""),IF(AND((T487-H487)*86400&gt;=0,(T487-H487)*86400&lt;تنظیمات!$B$13),1,0),0)</f>
        <v>0</v>
      </c>
      <c r="AS487" s="21" t="n">
        <f aca="false">IF(Z487="پوز",IF(OR(AB487="",COUNTIF(پوزها!$A$2:$A$5,AA487)=0),1,0),0)</f>
        <v>0</v>
      </c>
      <c r="AT487" s="21" t="n">
        <f aca="false">IF(AI487="",0,IF(AI487&gt;0,1,0))</f>
        <v>0</v>
      </c>
      <c r="AU487" s="21" t="n">
        <f aca="false">IF(AI487="",0,IF(AI487&lt;0,1,0))</f>
        <v>0</v>
      </c>
      <c r="AV487" s="21" t="n">
        <f aca="false">IF(U487&gt;V487,1,0)</f>
        <v>0</v>
      </c>
      <c r="AW487" s="21" t="n">
        <f aca="false">IF(OR(W487&gt;تنظیمات!$B$8,X487="بله"),1,0)</f>
        <v>0</v>
      </c>
      <c r="AX487" s="21" t="n">
        <f aca="false">IF(AND(N487="بله",L487&gt;تنظیمات!$B$9),1,0)</f>
        <v>0</v>
      </c>
      <c r="AY487" s="21" t="n">
        <f aca="false">IF(Y487="معکوس",1,0)</f>
        <v>0</v>
      </c>
      <c r="AZ487" s="21" t="n">
        <f aca="false">IF(ABS(AJ487)&gt;تنظیمات!$B$10,1,0)</f>
        <v>0</v>
      </c>
      <c r="BA487" s="21" t="n">
        <f aca="false">IF(AND(OR(AD487="رایگان/VIP",AD487="جانباز"),AF487="خیر"),1,0)</f>
        <v>0</v>
      </c>
      <c r="BB487" s="21" t="n">
        <f aca="false">IF(AE487="",0,IF(COUNTIF($AE$2:$AE$1001,AE487)&gt;1,1,0))</f>
        <v>0</v>
      </c>
      <c r="BC487" s="21" t="n">
        <f aca="false">IF(AND(H487="",I487&gt;تنظیمات!$B$12*60,AM487="خالی"),1,0)</f>
        <v>0</v>
      </c>
      <c r="BD487" s="21" t="n">
        <f aca="false">IF(AND(AP487="بله",I487&lt;تنظیمات!$B$14,AO487="خیر"),1,0)</f>
        <v>0</v>
      </c>
      <c r="BE487" s="21" t="n">
        <f aca="false">IF(AN487="خیر",1,0)</f>
        <v>0</v>
      </c>
      <c r="BF487" s="21" t="n">
        <f aca="false">IF(AND(AD487="فیش مفقودی",AQ487="بله",I487&gt;تنظیمات!$B$12*60),1,0)</f>
        <v>0</v>
      </c>
      <c r="BG487" s="21" t="n">
        <f aca="false">IF(AND(AK487&gt;تنظیمات!$B$11,AL487="بله"),1,0)</f>
        <v>0</v>
      </c>
      <c r="BH487" s="21" t="n">
        <f aca="false">MIN(100,AR487*تنظیمات!$B$21+AS487*تنظیمات!$B$22+AT487*تنظیمات!$B$23+AU487*تنظیمات!$B$24+AV487*تنظیمات!$B$25+AW487*تنظیمات!$B$26+AX487*تنظیمات!$B$27+AY487*تنظیمات!$B$28+AZ487*تنظیمات!$B$29+BA487*تنظیمات!$B$30+BB487*تنظیمات!$B$31+BC487*تنظیمات!$B$32+BD487*تنظیمات!$B$33+BE487*تنظیمات!$B$34+BF487*تنظیمات!$B$35+BG487*تنظیمات!$B$36)</f>
        <v>0</v>
      </c>
      <c r="BI487" s="16" t="str">
        <f aca="false">IF(BH487&gt;=60,"بحرانی",IF(BH487&gt;=30,"مشکوک",IF(BH487&gt;0,"هشدار","عادی")))</f>
        <v>عادی</v>
      </c>
      <c r="BJ487" s="16" t="s">
        <v>338</v>
      </c>
    </row>
    <row r="488" customFormat="false" ht="15" hidden="false" customHeight="false" outlineLevel="0" collapsed="false">
      <c r="A488" s="16" t="s">
        <v>1909</v>
      </c>
      <c r="B488" s="16" t="s">
        <v>547</v>
      </c>
      <c r="C488" s="16"/>
      <c r="D488" s="16" t="s">
        <v>508</v>
      </c>
      <c r="E488" s="16" t="s">
        <v>375</v>
      </c>
      <c r="F488" s="16" t="s">
        <v>333</v>
      </c>
      <c r="G488" s="17" t="n">
        <v>46287.6694791667</v>
      </c>
      <c r="H488" s="17" t="n">
        <v>46287.7312847222</v>
      </c>
      <c r="I488" s="18" t="n">
        <f aca="false">IF(H488="",ROUND((تنظیمات!$B$7-G488)*1440,0),ROUND((H488-G488)*1440,0))</f>
        <v>89</v>
      </c>
      <c r="J488" s="16" t="s">
        <v>334</v>
      </c>
      <c r="K488" s="16" t="s">
        <v>410</v>
      </c>
      <c r="L488" s="19" t="n">
        <v>0.867</v>
      </c>
      <c r="M488" s="19" t="n">
        <v>0.901</v>
      </c>
      <c r="N488" s="16" t="s">
        <v>335</v>
      </c>
      <c r="O488" s="16" t="s">
        <v>411</v>
      </c>
      <c r="P488" s="16" t="s">
        <v>420</v>
      </c>
      <c r="Q488" s="20" t="n">
        <v>46287</v>
      </c>
      <c r="R488" s="16" t="s">
        <v>1910</v>
      </c>
      <c r="S488" s="16" t="s">
        <v>404</v>
      </c>
      <c r="T488" s="17"/>
      <c r="U488" s="21" t="n">
        <v>1</v>
      </c>
      <c r="V488" s="21" t="n">
        <v>1</v>
      </c>
      <c r="W488" s="22" t="n">
        <v>4.7</v>
      </c>
      <c r="X488" s="16" t="s">
        <v>335</v>
      </c>
      <c r="Y488" s="16" t="s">
        <v>338</v>
      </c>
      <c r="Z488" s="16" t="s">
        <v>413</v>
      </c>
      <c r="AA488" s="16" t="s">
        <v>414</v>
      </c>
      <c r="AB488" s="23" t="s">
        <v>1911</v>
      </c>
      <c r="AC488" s="17" t="n">
        <v>46287.7305555556</v>
      </c>
      <c r="AD488" s="16" t="s">
        <v>338</v>
      </c>
      <c r="AE488" s="16"/>
      <c r="AF488" s="16" t="str">
        <f aca="false">IF(COUNTIF(لیست_سفید!$A$2:$A$21,B488)&gt;0,"بله","خیر")</f>
        <v>خیر</v>
      </c>
      <c r="AG488" s="24" t="n">
        <f aca="false">IF(H488="","",IF(AD488="فیش مفقودی",تنظیمات!$B$6,(INT(I488/1440)*تنظیمات!$B$5+IF(MOD(I488,1440)&lt;=تنظیمات!$B$2,0,MIN(تنظیمات!$B$5,تنظیمات!$B$3+MAX(0,ROUNDUP((MOD(I488,1440)-60)/60,0))*تنظیمات!$B$4)))*INDEX(تعرفه!$B$2:$B$7,MATCH(AD488,تعرفه!$A$2:$A$7,0))))</f>
        <v>34000</v>
      </c>
      <c r="AH488" s="24" t="n">
        <v>34000</v>
      </c>
      <c r="AI488" s="24" t="n">
        <f aca="false">IF(AG488="","",AH488-AG488)</f>
        <v>0</v>
      </c>
      <c r="AJ488" s="21" t="n">
        <v>0</v>
      </c>
      <c r="AK488" s="21" t="n">
        <v>0</v>
      </c>
      <c r="AL488" s="16" t="s">
        <v>335</v>
      </c>
      <c r="AM488" s="16"/>
      <c r="AN488" s="16" t="s">
        <v>340</v>
      </c>
      <c r="AO488" s="16" t="s">
        <v>340</v>
      </c>
      <c r="AP488" s="16" t="s">
        <v>335</v>
      </c>
      <c r="AQ488" s="16"/>
      <c r="AR488" s="21" t="n">
        <f aca="false">IF(AND(T488&lt;&gt;"",H488&lt;&gt;""),IF(AND((T488-H488)*86400&gt;=0,(T488-H488)*86400&lt;تنظیمات!$B$13),1,0),0)</f>
        <v>0</v>
      </c>
      <c r="AS488" s="21" t="n">
        <f aca="false">IF(Z488="پوز",IF(OR(AB488="",COUNTIF(پوزها!$A$2:$A$5,AA488)=0),1,0),0)</f>
        <v>0</v>
      </c>
      <c r="AT488" s="21" t="n">
        <f aca="false">IF(AI488="",0,IF(AI488&gt;0,1,0))</f>
        <v>0</v>
      </c>
      <c r="AU488" s="21" t="n">
        <f aca="false">IF(AI488="",0,IF(AI488&lt;0,1,0))</f>
        <v>0</v>
      </c>
      <c r="AV488" s="21" t="n">
        <f aca="false">IF(U488&gt;V488,1,0)</f>
        <v>0</v>
      </c>
      <c r="AW488" s="21" t="n">
        <f aca="false">IF(OR(W488&gt;تنظیمات!$B$8,X488="بله"),1,0)</f>
        <v>0</v>
      </c>
      <c r="AX488" s="21" t="n">
        <f aca="false">IF(AND(N488="بله",L488&gt;تنظیمات!$B$9),1,0)</f>
        <v>0</v>
      </c>
      <c r="AY488" s="21" t="n">
        <f aca="false">IF(Y488="معکوس",1,0)</f>
        <v>0</v>
      </c>
      <c r="AZ488" s="21" t="n">
        <f aca="false">IF(ABS(AJ488)&gt;تنظیمات!$B$10,1,0)</f>
        <v>0</v>
      </c>
      <c r="BA488" s="21" t="n">
        <f aca="false">IF(AND(OR(AD488="رایگان/VIP",AD488="جانباز"),AF488="خیر"),1,0)</f>
        <v>0</v>
      </c>
      <c r="BB488" s="21" t="n">
        <f aca="false">IF(AE488="",0,IF(COUNTIF($AE$2:$AE$1001,AE488)&gt;1,1,0))</f>
        <v>0</v>
      </c>
      <c r="BC488" s="21" t="n">
        <f aca="false">IF(AND(H488="",I488&gt;تنظیمات!$B$12*60,AM488="خالی"),1,0)</f>
        <v>0</v>
      </c>
      <c r="BD488" s="21" t="n">
        <f aca="false">IF(AND(AP488="بله",I488&lt;تنظیمات!$B$14,AO488="خیر"),1,0)</f>
        <v>0</v>
      </c>
      <c r="BE488" s="21" t="n">
        <f aca="false">IF(AN488="خیر",1,0)</f>
        <v>0</v>
      </c>
      <c r="BF488" s="21" t="n">
        <f aca="false">IF(AND(AD488="فیش مفقودی",AQ488="بله",I488&gt;تنظیمات!$B$12*60),1,0)</f>
        <v>0</v>
      </c>
      <c r="BG488" s="21" t="n">
        <f aca="false">IF(AND(AK488&gt;تنظیمات!$B$11,AL488="بله"),1,0)</f>
        <v>0</v>
      </c>
      <c r="BH488" s="21" t="n">
        <f aca="false">MIN(100,AR488*تنظیمات!$B$21+AS488*تنظیمات!$B$22+AT488*تنظیمات!$B$23+AU488*تنظیمات!$B$24+AV488*تنظیمات!$B$25+AW488*تنظیمات!$B$26+AX488*تنظیمات!$B$27+AY488*تنظیمات!$B$28+AZ488*تنظیمات!$B$29+BA488*تنظیمات!$B$30+BB488*تنظیمات!$B$31+BC488*تنظیمات!$B$32+BD488*تنظیمات!$B$33+BE488*تنظیمات!$B$34+BF488*تنظیمات!$B$35+BG488*تنظیمات!$B$36)</f>
        <v>0</v>
      </c>
      <c r="BI488" s="16" t="str">
        <f aca="false">IF(BH488&gt;=60,"بحرانی",IF(BH488&gt;=30,"مشکوک",IF(BH488&gt;0,"هشدار","عادی")))</f>
        <v>عادی</v>
      </c>
      <c r="BJ488" s="16" t="s">
        <v>338</v>
      </c>
    </row>
    <row r="489" customFormat="false" ht="15" hidden="false" customHeight="false" outlineLevel="0" collapsed="false">
      <c r="A489" s="16" t="s">
        <v>1912</v>
      </c>
      <c r="B489" s="16" t="s">
        <v>1248</v>
      </c>
      <c r="C489" s="16"/>
      <c r="D489" s="16" t="s">
        <v>350</v>
      </c>
      <c r="E489" s="16" t="s">
        <v>363</v>
      </c>
      <c r="F489" s="16" t="s">
        <v>333</v>
      </c>
      <c r="G489" s="17" t="n">
        <v>46287.677037037</v>
      </c>
      <c r="H489" s="17" t="n">
        <v>46287.7485648148</v>
      </c>
      <c r="I489" s="18" t="n">
        <f aca="false">IF(H489="",ROUND((تنظیمات!$B$7-G489)*1440,0),ROUND((H489-G489)*1440,0))</f>
        <v>103</v>
      </c>
      <c r="J489" s="16" t="s">
        <v>346</v>
      </c>
      <c r="K489" s="16" t="s">
        <v>410</v>
      </c>
      <c r="L489" s="19" t="n">
        <v>0.938</v>
      </c>
      <c r="M489" s="19" t="n">
        <v>0.93</v>
      </c>
      <c r="N489" s="16" t="s">
        <v>335</v>
      </c>
      <c r="O489" s="16" t="s">
        <v>411</v>
      </c>
      <c r="P489" s="16" t="s">
        <v>420</v>
      </c>
      <c r="Q489" s="20" t="n">
        <v>46287</v>
      </c>
      <c r="R489" s="16" t="s">
        <v>1913</v>
      </c>
      <c r="S489" s="16" t="s">
        <v>452</v>
      </c>
      <c r="T489" s="17" t="n">
        <v>46287.7427546296</v>
      </c>
      <c r="U489" s="21" t="n">
        <v>1</v>
      </c>
      <c r="V489" s="21" t="n">
        <v>1</v>
      </c>
      <c r="W489" s="22" t="n">
        <v>5.4</v>
      </c>
      <c r="X489" s="16" t="s">
        <v>335</v>
      </c>
      <c r="Y489" s="16" t="s">
        <v>338</v>
      </c>
      <c r="Z489" s="16" t="s">
        <v>413</v>
      </c>
      <c r="AA489" s="16" t="s">
        <v>414</v>
      </c>
      <c r="AB489" s="23" t="s">
        <v>1914</v>
      </c>
      <c r="AC489" s="17" t="n">
        <v>46287.7478819444</v>
      </c>
      <c r="AD489" s="16" t="s">
        <v>338</v>
      </c>
      <c r="AE489" s="16"/>
      <c r="AF489" s="16" t="str">
        <f aca="false">IF(COUNTIF(لیست_سفید!$A$2:$A$21,B489)&gt;0,"بله","خیر")</f>
        <v>خیر</v>
      </c>
      <c r="AG489" s="24" t="n">
        <f aca="false">IF(H489="","",IF(AD489="فیش مفقودی",تنظیمات!$B$6,(INT(I489/1440)*تنظیمات!$B$5+IF(MOD(I489,1440)&lt;=تنظیمات!$B$2,0,MIN(تنظیمات!$B$5,تنظیمات!$B$3+MAX(0,ROUNDUP((MOD(I489,1440)-60)/60,0))*تنظیمات!$B$4)))*INDEX(تعرفه!$B$2:$B$7,MATCH(AD489,تعرفه!$A$2:$A$7,0))))</f>
        <v>34000</v>
      </c>
      <c r="AH489" s="24" t="n">
        <v>34000</v>
      </c>
      <c r="AI489" s="24" t="n">
        <f aca="false">IF(AG489="","",AH489-AG489)</f>
        <v>0</v>
      </c>
      <c r="AJ489" s="21" t="n">
        <v>0</v>
      </c>
      <c r="AK489" s="21" t="n">
        <v>0</v>
      </c>
      <c r="AL489" s="16" t="s">
        <v>335</v>
      </c>
      <c r="AM489" s="16"/>
      <c r="AN489" s="16" t="s">
        <v>340</v>
      </c>
      <c r="AO489" s="16" t="s">
        <v>340</v>
      </c>
      <c r="AP489" s="16" t="s">
        <v>335</v>
      </c>
      <c r="AQ489" s="16"/>
      <c r="AR489" s="21" t="n">
        <f aca="false">IF(AND(T489&lt;&gt;"",H489&lt;&gt;""),IF(AND((T489-H489)*86400&gt;=0,(T489-H489)*86400&lt;تنظیمات!$B$13),1,0),0)</f>
        <v>0</v>
      </c>
      <c r="AS489" s="21" t="n">
        <f aca="false">IF(Z489="پوز",IF(OR(AB489="",COUNTIF(پوزها!$A$2:$A$5,AA489)=0),1,0),0)</f>
        <v>0</v>
      </c>
      <c r="AT489" s="21" t="n">
        <f aca="false">IF(AI489="",0,IF(AI489&gt;0,1,0))</f>
        <v>0</v>
      </c>
      <c r="AU489" s="21" t="n">
        <f aca="false">IF(AI489="",0,IF(AI489&lt;0,1,0))</f>
        <v>0</v>
      </c>
      <c r="AV489" s="21" t="n">
        <f aca="false">IF(U489&gt;V489,1,0)</f>
        <v>0</v>
      </c>
      <c r="AW489" s="21" t="n">
        <f aca="false">IF(OR(W489&gt;تنظیمات!$B$8,X489="بله"),1,0)</f>
        <v>0</v>
      </c>
      <c r="AX489" s="21" t="n">
        <f aca="false">IF(AND(N489="بله",L489&gt;تنظیمات!$B$9),1,0)</f>
        <v>0</v>
      </c>
      <c r="AY489" s="21" t="n">
        <f aca="false">IF(Y489="معکوس",1,0)</f>
        <v>0</v>
      </c>
      <c r="AZ489" s="21" t="n">
        <f aca="false">IF(ABS(AJ489)&gt;تنظیمات!$B$10,1,0)</f>
        <v>0</v>
      </c>
      <c r="BA489" s="21" t="n">
        <f aca="false">IF(AND(OR(AD489="رایگان/VIP",AD489="جانباز"),AF489="خیر"),1,0)</f>
        <v>0</v>
      </c>
      <c r="BB489" s="21" t="n">
        <f aca="false">IF(AE489="",0,IF(COUNTIF($AE$2:$AE$1001,AE489)&gt;1,1,0))</f>
        <v>0</v>
      </c>
      <c r="BC489" s="21" t="n">
        <f aca="false">IF(AND(H489="",I489&gt;تنظیمات!$B$12*60,AM489="خالی"),1,0)</f>
        <v>0</v>
      </c>
      <c r="BD489" s="21" t="n">
        <f aca="false">IF(AND(AP489="بله",I489&lt;تنظیمات!$B$14,AO489="خیر"),1,0)</f>
        <v>0</v>
      </c>
      <c r="BE489" s="21" t="n">
        <f aca="false">IF(AN489="خیر",1,0)</f>
        <v>0</v>
      </c>
      <c r="BF489" s="21" t="n">
        <f aca="false">IF(AND(AD489="فیش مفقودی",AQ489="بله",I489&gt;تنظیمات!$B$12*60),1,0)</f>
        <v>0</v>
      </c>
      <c r="BG489" s="21" t="n">
        <f aca="false">IF(AND(AK489&gt;تنظیمات!$B$11,AL489="بله"),1,0)</f>
        <v>0</v>
      </c>
      <c r="BH489" s="21" t="n">
        <f aca="false">MIN(100,AR489*تنظیمات!$B$21+AS489*تنظیمات!$B$22+AT489*تنظیمات!$B$23+AU489*تنظیمات!$B$24+AV489*تنظیمات!$B$25+AW489*تنظیمات!$B$26+AX489*تنظیمات!$B$27+AY489*تنظیمات!$B$28+AZ489*تنظیمات!$B$29+BA489*تنظیمات!$B$30+BB489*تنظیمات!$B$31+BC489*تنظیمات!$B$32+BD489*تنظیمات!$B$33+BE489*تنظیمات!$B$34+BF489*تنظیمات!$B$35+BG489*تنظیمات!$B$36)</f>
        <v>0</v>
      </c>
      <c r="BI489" s="16" t="str">
        <f aca="false">IF(BH489&gt;=60,"بحرانی",IF(BH489&gt;=30,"مشکوک",IF(BH489&gt;0,"هشدار","عادی")))</f>
        <v>عادی</v>
      </c>
      <c r="BJ489" s="16" t="s">
        <v>338</v>
      </c>
    </row>
    <row r="490" customFormat="false" ht="15" hidden="false" customHeight="false" outlineLevel="0" collapsed="false">
      <c r="A490" s="16" t="s">
        <v>1915</v>
      </c>
      <c r="B490" s="16" t="s">
        <v>1916</v>
      </c>
      <c r="C490" s="16"/>
      <c r="D490" s="16" t="s">
        <v>344</v>
      </c>
      <c r="E490" s="16" t="s">
        <v>345</v>
      </c>
      <c r="F490" s="16" t="s">
        <v>333</v>
      </c>
      <c r="G490" s="17" t="n">
        <v>46287.6802083333</v>
      </c>
      <c r="H490" s="17" t="n">
        <v>46287.9420138889</v>
      </c>
      <c r="I490" s="18" t="n">
        <f aca="false">IF(H490="",ROUND((تنظیمات!$B$7-G490)*1440,0),ROUND((H490-G490)*1440,0))</f>
        <v>377</v>
      </c>
      <c r="J490" s="16" t="s">
        <v>346</v>
      </c>
      <c r="K490" s="16" t="s">
        <v>400</v>
      </c>
      <c r="L490" s="19" t="n">
        <v>0.905</v>
      </c>
      <c r="M490" s="19" t="n">
        <v>0.993</v>
      </c>
      <c r="N490" s="16" t="s">
        <v>335</v>
      </c>
      <c r="O490" s="16" t="s">
        <v>401</v>
      </c>
      <c r="P490" s="16" t="s">
        <v>651</v>
      </c>
      <c r="Q490" s="20" t="n">
        <v>46287</v>
      </c>
      <c r="R490" s="16" t="s">
        <v>1917</v>
      </c>
      <c r="S490" s="16" t="s">
        <v>404</v>
      </c>
      <c r="T490" s="17"/>
      <c r="U490" s="21" t="n">
        <v>1</v>
      </c>
      <c r="V490" s="21" t="n">
        <v>1</v>
      </c>
      <c r="W490" s="22" t="n">
        <v>6.1</v>
      </c>
      <c r="X490" s="16" t="s">
        <v>335</v>
      </c>
      <c r="Y490" s="16" t="s">
        <v>338</v>
      </c>
      <c r="Z490" s="16" t="s">
        <v>443</v>
      </c>
      <c r="AA490" s="16"/>
      <c r="AB490" s="23"/>
      <c r="AC490" s="17"/>
      <c r="AD490" s="16" t="s">
        <v>444</v>
      </c>
      <c r="AE490" s="16"/>
      <c r="AF490" s="16" t="str">
        <f aca="false">IF(COUNTIF(لیست_سفید!$A$2:$A$21,B490)&gt;0,"بله","خیر")</f>
        <v>خیر</v>
      </c>
      <c r="AG490" s="24" t="n">
        <f aca="false">IF(H490="","",IF(AD490="فیش مفقودی",تنظیمات!$B$6,(INT(I490/1440)*تنظیمات!$B$5+IF(MOD(I490,1440)&lt;=تنظیمات!$B$2,0,MIN(تنظیمات!$B$5,تنظیمات!$B$3+MAX(0,ROUNDUP((MOD(I490,1440)-60)/60,0))*تنظیمات!$B$4)))*INDEX(تعرفه!$B$2:$B$7,MATCH(AD490,تعرفه!$A$2:$A$7,0))))</f>
        <v>0</v>
      </c>
      <c r="AH490" s="24" t="n">
        <v>0</v>
      </c>
      <c r="AI490" s="24" t="n">
        <f aca="false">IF(AG490="","",AH490-AG490)</f>
        <v>0</v>
      </c>
      <c r="AJ490" s="21" t="n">
        <v>0</v>
      </c>
      <c r="AK490" s="21" t="n">
        <v>0</v>
      </c>
      <c r="AL490" s="16" t="s">
        <v>335</v>
      </c>
      <c r="AM490" s="16"/>
      <c r="AN490" s="16" t="s">
        <v>340</v>
      </c>
      <c r="AO490" s="16" t="s">
        <v>340</v>
      </c>
      <c r="AP490" s="16" t="s">
        <v>335</v>
      </c>
      <c r="AQ490" s="16"/>
      <c r="AR490" s="21" t="n">
        <f aca="false">IF(AND(T490&lt;&gt;"",H490&lt;&gt;""),IF(AND((T490-H490)*86400&gt;=0,(T490-H490)*86400&lt;تنظیمات!$B$13),1,0),0)</f>
        <v>0</v>
      </c>
      <c r="AS490" s="21" t="n">
        <f aca="false">IF(Z490="پوز",IF(OR(AB490="",COUNTIF(پوزها!$A$2:$A$5,AA490)=0),1,0),0)</f>
        <v>0</v>
      </c>
      <c r="AT490" s="21" t="n">
        <f aca="false">IF(AI490="",0,IF(AI490&gt;0,1,0))</f>
        <v>0</v>
      </c>
      <c r="AU490" s="21" t="n">
        <f aca="false">IF(AI490="",0,IF(AI490&lt;0,1,0))</f>
        <v>0</v>
      </c>
      <c r="AV490" s="21" t="n">
        <f aca="false">IF(U490&gt;V490,1,0)</f>
        <v>0</v>
      </c>
      <c r="AW490" s="21" t="n">
        <f aca="false">IF(OR(W490&gt;تنظیمات!$B$8,X490="بله"),1,0)</f>
        <v>0</v>
      </c>
      <c r="AX490" s="21" t="n">
        <f aca="false">IF(AND(N490="بله",L490&gt;تنظیمات!$B$9),1,0)</f>
        <v>0</v>
      </c>
      <c r="AY490" s="21" t="n">
        <f aca="false">IF(Y490="معکوس",1,0)</f>
        <v>0</v>
      </c>
      <c r="AZ490" s="21" t="n">
        <f aca="false">IF(ABS(AJ490)&gt;تنظیمات!$B$10,1,0)</f>
        <v>0</v>
      </c>
      <c r="BA490" s="21" t="n">
        <f aca="false">IF(AND(OR(AD490="رایگان/VIP",AD490="جانباز"),AF490="خیر"),1,0)</f>
        <v>0</v>
      </c>
      <c r="BB490" s="21" t="n">
        <f aca="false">IF(AE490="",0,IF(COUNTIF($AE$2:$AE$1001,AE490)&gt;1,1,0))</f>
        <v>0</v>
      </c>
      <c r="BC490" s="21" t="n">
        <f aca="false">IF(AND(H490="",I490&gt;تنظیمات!$B$12*60,AM490="خالی"),1,0)</f>
        <v>0</v>
      </c>
      <c r="BD490" s="21" t="n">
        <f aca="false">IF(AND(AP490="بله",I490&lt;تنظیمات!$B$14,AO490="خیر"),1,0)</f>
        <v>0</v>
      </c>
      <c r="BE490" s="21" t="n">
        <f aca="false">IF(AN490="خیر",1,0)</f>
        <v>0</v>
      </c>
      <c r="BF490" s="21" t="n">
        <f aca="false">IF(AND(AD490="فیش مفقودی",AQ490="بله",I490&gt;تنظیمات!$B$12*60),1,0)</f>
        <v>0</v>
      </c>
      <c r="BG490" s="21" t="n">
        <f aca="false">IF(AND(AK490&gt;تنظیمات!$B$11,AL490="بله"),1,0)</f>
        <v>0</v>
      </c>
      <c r="BH490" s="21" t="n">
        <f aca="false">MIN(100,AR490*تنظیمات!$B$21+AS490*تنظیمات!$B$22+AT490*تنظیمات!$B$23+AU490*تنظیمات!$B$24+AV490*تنظیمات!$B$25+AW490*تنظیمات!$B$26+AX490*تنظیمات!$B$27+AY490*تنظیمات!$B$28+AZ490*تنظیمات!$B$29+BA490*تنظیمات!$B$30+BB490*تنظیمات!$B$31+BC490*تنظیمات!$B$32+BD490*تنظیمات!$B$33+BE490*تنظیمات!$B$34+BF490*تنظیمات!$B$35+BG490*تنظیمات!$B$36)</f>
        <v>0</v>
      </c>
      <c r="BI490" s="16" t="str">
        <f aca="false">IF(BH490&gt;=60,"بحرانی",IF(BH490&gt;=30,"مشکوک",IF(BH490&gt;0,"هشدار","عادی")))</f>
        <v>عادی</v>
      </c>
      <c r="BJ490" s="16" t="s">
        <v>338</v>
      </c>
    </row>
    <row r="491" customFormat="false" ht="15" hidden="false" customHeight="false" outlineLevel="0" collapsed="false">
      <c r="A491" s="16" t="s">
        <v>1918</v>
      </c>
      <c r="B491" s="16" t="s">
        <v>1345</v>
      </c>
      <c r="C491" s="16"/>
      <c r="D491" s="16" t="s">
        <v>431</v>
      </c>
      <c r="E491" s="16" t="s">
        <v>375</v>
      </c>
      <c r="F491" s="16" t="s">
        <v>333</v>
      </c>
      <c r="G491" s="17" t="n">
        <v>46287.7074768519</v>
      </c>
      <c r="H491" s="17" t="n">
        <v>46287.7276157407</v>
      </c>
      <c r="I491" s="18" t="n">
        <f aca="false">IF(H491="",ROUND((تنظیمات!$B$7-G491)*1440,0),ROUND((H491-G491)*1440,0))</f>
        <v>29</v>
      </c>
      <c r="J491" s="16" t="s">
        <v>334</v>
      </c>
      <c r="K491" s="16" t="s">
        <v>400</v>
      </c>
      <c r="L491" s="19" t="n">
        <v>0.925</v>
      </c>
      <c r="M491" s="19" t="n">
        <v>0.91</v>
      </c>
      <c r="N491" s="16" t="s">
        <v>335</v>
      </c>
      <c r="O491" s="16" t="s">
        <v>441</v>
      </c>
      <c r="P491" s="16" t="s">
        <v>420</v>
      </c>
      <c r="Q491" s="20" t="n">
        <v>46287</v>
      </c>
      <c r="R491" s="16" t="s">
        <v>1919</v>
      </c>
      <c r="S491" s="16" t="s">
        <v>404</v>
      </c>
      <c r="T491" s="17"/>
      <c r="U491" s="21" t="n">
        <v>1</v>
      </c>
      <c r="V491" s="21" t="n">
        <v>1</v>
      </c>
      <c r="W491" s="22" t="n">
        <v>5.9</v>
      </c>
      <c r="X491" s="16" t="s">
        <v>335</v>
      </c>
      <c r="Y491" s="16" t="s">
        <v>338</v>
      </c>
      <c r="Z491" s="16" t="s">
        <v>413</v>
      </c>
      <c r="AA491" s="16" t="s">
        <v>427</v>
      </c>
      <c r="AB491" s="23" t="s">
        <v>1920</v>
      </c>
      <c r="AC491" s="17" t="n">
        <v>46287.7270486111</v>
      </c>
      <c r="AD491" s="16" t="s">
        <v>338</v>
      </c>
      <c r="AE491" s="16"/>
      <c r="AF491" s="16" t="str">
        <f aca="false">IF(COUNTIF(لیست_سفید!$A$2:$A$21,B491)&gt;0,"بله","خیر")</f>
        <v>خیر</v>
      </c>
      <c r="AG491" s="24" t="n">
        <f aca="false">IF(H491="","",IF(AD491="فیش مفقودی",تنظیمات!$B$6,(INT(I491/1440)*تنظیمات!$B$5+IF(MOD(I491,1440)&lt;=تنظیمات!$B$2,0,MIN(تنظیمات!$B$5,تنظیمات!$B$3+MAX(0,ROUNDUP((MOD(I491,1440)-60)/60,0))*تنظیمات!$B$4)))*INDEX(تعرفه!$B$2:$B$7,MATCH(AD491,تعرفه!$A$2:$A$7,0))))</f>
        <v>20000</v>
      </c>
      <c r="AH491" s="24" t="n">
        <v>20000</v>
      </c>
      <c r="AI491" s="24" t="n">
        <f aca="false">IF(AG491="","",AH491-AG491)</f>
        <v>0</v>
      </c>
      <c r="AJ491" s="21" t="n">
        <v>2</v>
      </c>
      <c r="AK491" s="21" t="n">
        <v>0</v>
      </c>
      <c r="AL491" s="16" t="s">
        <v>335</v>
      </c>
      <c r="AM491" s="16"/>
      <c r="AN491" s="16" t="s">
        <v>340</v>
      </c>
      <c r="AO491" s="16" t="s">
        <v>340</v>
      </c>
      <c r="AP491" s="16" t="s">
        <v>335</v>
      </c>
      <c r="AQ491" s="16"/>
      <c r="AR491" s="21" t="n">
        <f aca="false">IF(AND(T491&lt;&gt;"",H491&lt;&gt;""),IF(AND((T491-H491)*86400&gt;=0,(T491-H491)*86400&lt;تنظیمات!$B$13),1,0),0)</f>
        <v>0</v>
      </c>
      <c r="AS491" s="21" t="n">
        <f aca="false">IF(Z491="پوز",IF(OR(AB491="",COUNTIF(پوزها!$A$2:$A$5,AA491)=0),1,0),0)</f>
        <v>0</v>
      </c>
      <c r="AT491" s="21" t="n">
        <f aca="false">IF(AI491="",0,IF(AI491&gt;0,1,0))</f>
        <v>0</v>
      </c>
      <c r="AU491" s="21" t="n">
        <f aca="false">IF(AI491="",0,IF(AI491&lt;0,1,0))</f>
        <v>0</v>
      </c>
      <c r="AV491" s="21" t="n">
        <f aca="false">IF(U491&gt;V491,1,0)</f>
        <v>0</v>
      </c>
      <c r="AW491" s="21" t="n">
        <f aca="false">IF(OR(W491&gt;تنظیمات!$B$8,X491="بله"),1,0)</f>
        <v>0</v>
      </c>
      <c r="AX491" s="21" t="n">
        <f aca="false">IF(AND(N491="بله",L491&gt;تنظیمات!$B$9),1,0)</f>
        <v>0</v>
      </c>
      <c r="AY491" s="21" t="n">
        <f aca="false">IF(Y491="معکوس",1,0)</f>
        <v>0</v>
      </c>
      <c r="AZ491" s="21" t="n">
        <f aca="false">IF(ABS(AJ491)&gt;تنظیمات!$B$10,1,0)</f>
        <v>0</v>
      </c>
      <c r="BA491" s="21" t="n">
        <f aca="false">IF(AND(OR(AD491="رایگان/VIP",AD491="جانباز"),AF491="خیر"),1,0)</f>
        <v>0</v>
      </c>
      <c r="BB491" s="21" t="n">
        <f aca="false">IF(AE491="",0,IF(COUNTIF($AE$2:$AE$1001,AE491)&gt;1,1,0))</f>
        <v>0</v>
      </c>
      <c r="BC491" s="21" t="n">
        <f aca="false">IF(AND(H491="",I491&gt;تنظیمات!$B$12*60,AM491="خالی"),1,0)</f>
        <v>0</v>
      </c>
      <c r="BD491" s="21" t="n">
        <f aca="false">IF(AND(AP491="بله",I491&lt;تنظیمات!$B$14,AO491="خیر"),1,0)</f>
        <v>0</v>
      </c>
      <c r="BE491" s="21" t="n">
        <f aca="false">IF(AN491="خیر",1,0)</f>
        <v>0</v>
      </c>
      <c r="BF491" s="21" t="n">
        <f aca="false">IF(AND(AD491="فیش مفقودی",AQ491="بله",I491&gt;تنظیمات!$B$12*60),1,0)</f>
        <v>0</v>
      </c>
      <c r="BG491" s="21" t="n">
        <f aca="false">IF(AND(AK491&gt;تنظیمات!$B$11,AL491="بله"),1,0)</f>
        <v>0</v>
      </c>
      <c r="BH491" s="21" t="n">
        <f aca="false">MIN(100,AR491*تنظیمات!$B$21+AS491*تنظیمات!$B$22+AT491*تنظیمات!$B$23+AU491*تنظیمات!$B$24+AV491*تنظیمات!$B$25+AW491*تنظیمات!$B$26+AX491*تنظیمات!$B$27+AY491*تنظیمات!$B$28+AZ491*تنظیمات!$B$29+BA491*تنظیمات!$B$30+BB491*تنظیمات!$B$31+BC491*تنظیمات!$B$32+BD491*تنظیمات!$B$33+BE491*تنظیمات!$B$34+BF491*تنظیمات!$B$35+BG491*تنظیمات!$B$36)</f>
        <v>0</v>
      </c>
      <c r="BI491" s="16" t="str">
        <f aca="false">IF(BH491&gt;=60,"بحرانی",IF(BH491&gt;=30,"مشکوک",IF(BH491&gt;0,"هشدار","عادی")))</f>
        <v>عادی</v>
      </c>
      <c r="BJ491" s="16" t="s">
        <v>338</v>
      </c>
    </row>
    <row r="492" customFormat="false" ht="15" hidden="false" customHeight="false" outlineLevel="0" collapsed="false">
      <c r="A492" s="16" t="s">
        <v>1921</v>
      </c>
      <c r="B492" s="16" t="s">
        <v>792</v>
      </c>
      <c r="C492" s="16"/>
      <c r="D492" s="16" t="s">
        <v>370</v>
      </c>
      <c r="E492" s="16" t="s">
        <v>390</v>
      </c>
      <c r="F492" s="16" t="s">
        <v>333</v>
      </c>
      <c r="G492" s="17" t="n">
        <v>46287.7415972222</v>
      </c>
      <c r="H492" s="17" t="n">
        <v>46287.7790972222</v>
      </c>
      <c r="I492" s="18" t="n">
        <f aca="false">IF(H492="",ROUND((تنظیمات!$B$7-G492)*1440,0),ROUND((H492-G492)*1440,0))</f>
        <v>54</v>
      </c>
      <c r="J492" s="16" t="s">
        <v>334</v>
      </c>
      <c r="K492" s="16" t="s">
        <v>410</v>
      </c>
      <c r="L492" s="19" t="n">
        <v>0.916</v>
      </c>
      <c r="M492" s="19"/>
      <c r="N492" s="16" t="s">
        <v>335</v>
      </c>
      <c r="O492" s="16" t="s">
        <v>411</v>
      </c>
      <c r="P492" s="16" t="s">
        <v>420</v>
      </c>
      <c r="Q492" s="20" t="n">
        <v>46287</v>
      </c>
      <c r="R492" s="16" t="s">
        <v>1922</v>
      </c>
      <c r="S492" s="16" t="s">
        <v>404</v>
      </c>
      <c r="T492" s="17"/>
      <c r="U492" s="21" t="n">
        <v>1</v>
      </c>
      <c r="V492" s="21" t="n">
        <v>1</v>
      </c>
      <c r="W492" s="22" t="n">
        <v>4.4</v>
      </c>
      <c r="X492" s="16" t="s">
        <v>335</v>
      </c>
      <c r="Y492" s="16" t="s">
        <v>338</v>
      </c>
      <c r="Z492" s="16" t="s">
        <v>413</v>
      </c>
      <c r="AA492" s="16" t="s">
        <v>414</v>
      </c>
      <c r="AB492" s="23" t="s">
        <v>1923</v>
      </c>
      <c r="AC492" s="17" t="n">
        <v>46287.7784837963</v>
      </c>
      <c r="AD492" s="16" t="s">
        <v>338</v>
      </c>
      <c r="AE492" s="16"/>
      <c r="AF492" s="16" t="str">
        <f aca="false">IF(COUNTIF(لیست_سفید!$A$2:$A$21,B492)&gt;0,"بله","خیر")</f>
        <v>خیر</v>
      </c>
      <c r="AG492" s="24" t="n">
        <f aca="false">IF(H492="","",IF(AD492="فیش مفقودی",تنظیمات!$B$6,(INT(I492/1440)*تنظیمات!$B$5+IF(MOD(I492,1440)&lt;=تنظیمات!$B$2,0,MIN(تنظیمات!$B$5,تنظیمات!$B$3+MAX(0,ROUNDUP((MOD(I492,1440)-60)/60,0))*تنظیمات!$B$4)))*INDEX(تعرفه!$B$2:$B$7,MATCH(AD492,تعرفه!$A$2:$A$7,0))))</f>
        <v>20000</v>
      </c>
      <c r="AH492" s="24" t="n">
        <v>20000</v>
      </c>
      <c r="AI492" s="24" t="n">
        <f aca="false">IF(AG492="","",AH492-AG492)</f>
        <v>0</v>
      </c>
      <c r="AJ492" s="21" t="n">
        <v>1</v>
      </c>
      <c r="AK492" s="21" t="n">
        <v>316</v>
      </c>
      <c r="AL492" s="16" t="s">
        <v>340</v>
      </c>
      <c r="AM492" s="16"/>
      <c r="AN492" s="16" t="s">
        <v>340</v>
      </c>
      <c r="AO492" s="16" t="s">
        <v>340</v>
      </c>
      <c r="AP492" s="16" t="s">
        <v>335</v>
      </c>
      <c r="AQ492" s="16"/>
      <c r="AR492" s="21" t="n">
        <f aca="false">IF(AND(T492&lt;&gt;"",H492&lt;&gt;""),IF(AND((T492-H492)*86400&gt;=0,(T492-H492)*86400&lt;تنظیمات!$B$13),1,0),0)</f>
        <v>0</v>
      </c>
      <c r="AS492" s="21" t="n">
        <f aca="false">IF(Z492="پوز",IF(OR(AB492="",COUNTIF(پوزها!$A$2:$A$5,AA492)=0),1,0),0)</f>
        <v>0</v>
      </c>
      <c r="AT492" s="21" t="n">
        <f aca="false">IF(AI492="",0,IF(AI492&gt;0,1,0))</f>
        <v>0</v>
      </c>
      <c r="AU492" s="21" t="n">
        <f aca="false">IF(AI492="",0,IF(AI492&lt;0,1,0))</f>
        <v>0</v>
      </c>
      <c r="AV492" s="21" t="n">
        <f aca="false">IF(U492&gt;V492,1,0)</f>
        <v>0</v>
      </c>
      <c r="AW492" s="21" t="n">
        <f aca="false">IF(OR(W492&gt;تنظیمات!$B$8,X492="بله"),1,0)</f>
        <v>0</v>
      </c>
      <c r="AX492" s="21" t="n">
        <f aca="false">IF(AND(N492="بله",L492&gt;تنظیمات!$B$9),1,0)</f>
        <v>0</v>
      </c>
      <c r="AY492" s="21" t="n">
        <f aca="false">IF(Y492="معکوس",1,0)</f>
        <v>0</v>
      </c>
      <c r="AZ492" s="21" t="n">
        <f aca="false">IF(ABS(AJ492)&gt;تنظیمات!$B$10,1,0)</f>
        <v>0</v>
      </c>
      <c r="BA492" s="21" t="n">
        <f aca="false">IF(AND(OR(AD492="رایگان/VIP",AD492="جانباز"),AF492="خیر"),1,0)</f>
        <v>0</v>
      </c>
      <c r="BB492" s="21" t="n">
        <f aca="false">IF(AE492="",0,IF(COUNTIF($AE$2:$AE$1001,AE492)&gt;1,1,0))</f>
        <v>0</v>
      </c>
      <c r="BC492" s="21" t="n">
        <f aca="false">IF(AND(H492="",I492&gt;تنظیمات!$B$12*60,AM492="خالی"),1,0)</f>
        <v>0</v>
      </c>
      <c r="BD492" s="21" t="n">
        <f aca="false">IF(AND(AP492="بله",I492&lt;تنظیمات!$B$14,AO492="خیر"),1,0)</f>
        <v>0</v>
      </c>
      <c r="BE492" s="21" t="n">
        <f aca="false">IF(AN492="خیر",1,0)</f>
        <v>0</v>
      </c>
      <c r="BF492" s="21" t="n">
        <f aca="false">IF(AND(AD492="فیش مفقودی",AQ492="بله",I492&gt;تنظیمات!$B$12*60),1,0)</f>
        <v>0</v>
      </c>
      <c r="BG492" s="21" t="n">
        <f aca="false">IF(AND(AK492&gt;تنظیمات!$B$11,AL492="بله"),1,0)</f>
        <v>1</v>
      </c>
      <c r="BH492" s="21" t="n">
        <f aca="false">MIN(100,AR492*تنظیمات!$B$21+AS492*تنظیمات!$B$22+AT492*تنظیمات!$B$23+AU492*تنظیمات!$B$24+AV492*تنظیمات!$B$25+AW492*تنظیمات!$B$26+AX492*تنظیمات!$B$27+AY492*تنظیمات!$B$28+AZ492*تنظیمات!$B$29+BA492*تنظیمات!$B$30+BB492*تنظیمات!$B$31+BC492*تنظیمات!$B$32+BD492*تنظیمات!$B$33+BE492*تنظیمات!$B$34+BF492*تنظیمات!$B$35+BG492*تنظیمات!$B$36)</f>
        <v>15</v>
      </c>
      <c r="BI492" s="16" t="str">
        <f aca="false">IF(BH492&gt;=60,"بحرانی",IF(BH492&gt;=30,"مشکوک",IF(BH492&gt;0,"هشدار","عادی")))</f>
        <v>هشدار</v>
      </c>
      <c r="BJ492" s="16" t="s">
        <v>918</v>
      </c>
    </row>
    <row r="493" customFormat="false" ht="15" hidden="false" customHeight="false" outlineLevel="0" collapsed="false">
      <c r="A493" s="16" t="s">
        <v>1924</v>
      </c>
      <c r="B493" s="16" t="s">
        <v>1436</v>
      </c>
      <c r="C493" s="16"/>
      <c r="D493" s="16" t="s">
        <v>382</v>
      </c>
      <c r="E493" s="16" t="s">
        <v>390</v>
      </c>
      <c r="F493" s="16" t="s">
        <v>333</v>
      </c>
      <c r="G493" s="17" t="n">
        <v>46287.7553240741</v>
      </c>
      <c r="H493" s="17" t="n">
        <v>46287.7990740741</v>
      </c>
      <c r="I493" s="18" t="n">
        <f aca="false">IF(H493="",ROUND((تنظیمات!$B$7-G493)*1440,0),ROUND((H493-G493)*1440,0))</f>
        <v>63</v>
      </c>
      <c r="J493" s="16" t="s">
        <v>346</v>
      </c>
      <c r="K493" s="16" t="s">
        <v>400</v>
      </c>
      <c r="L493" s="19" t="n">
        <v>0.995</v>
      </c>
      <c r="M493" s="19" t="n">
        <v>0.965</v>
      </c>
      <c r="N493" s="16" t="s">
        <v>335</v>
      </c>
      <c r="O493" s="16" t="s">
        <v>441</v>
      </c>
      <c r="P493" s="16" t="s">
        <v>420</v>
      </c>
      <c r="Q493" s="20" t="n">
        <v>46287</v>
      </c>
      <c r="R493" s="16" t="s">
        <v>1925</v>
      </c>
      <c r="S493" s="16" t="s">
        <v>404</v>
      </c>
      <c r="T493" s="17"/>
      <c r="U493" s="21" t="n">
        <v>1</v>
      </c>
      <c r="V493" s="21" t="n">
        <v>1</v>
      </c>
      <c r="W493" s="22" t="n">
        <v>5.5</v>
      </c>
      <c r="X493" s="16" t="s">
        <v>335</v>
      </c>
      <c r="Y493" s="16" t="s">
        <v>338</v>
      </c>
      <c r="Z493" s="16" t="s">
        <v>405</v>
      </c>
      <c r="AA493" s="16"/>
      <c r="AB493" s="23"/>
      <c r="AC493" s="17"/>
      <c r="AD493" s="16" t="s">
        <v>338</v>
      </c>
      <c r="AE493" s="16"/>
      <c r="AF493" s="16" t="str">
        <f aca="false">IF(COUNTIF(لیست_سفید!$A$2:$A$21,B493)&gt;0,"بله","خیر")</f>
        <v>خیر</v>
      </c>
      <c r="AG493" s="24" t="n">
        <f aca="false">IF(H493="","",IF(AD493="فیش مفقودی",تنظیمات!$B$6,(INT(I493/1440)*تنظیمات!$B$5+IF(MOD(I493,1440)&lt;=تنظیمات!$B$2,0,MIN(تنظیمات!$B$5,تنظیمات!$B$3+MAX(0,ROUNDUP((MOD(I493,1440)-60)/60,0))*تنظیمات!$B$4)))*INDEX(تعرفه!$B$2:$B$7,MATCH(AD493,تعرفه!$A$2:$A$7,0))))</f>
        <v>34000</v>
      </c>
      <c r="AH493" s="24" t="n">
        <v>34000</v>
      </c>
      <c r="AI493" s="24" t="n">
        <f aca="false">IF(AG493="","",AH493-AG493)</f>
        <v>0</v>
      </c>
      <c r="AJ493" s="21" t="n">
        <v>-1</v>
      </c>
      <c r="AK493" s="21" t="n">
        <v>0</v>
      </c>
      <c r="AL493" s="16" t="s">
        <v>335</v>
      </c>
      <c r="AM493" s="16"/>
      <c r="AN493" s="16" t="s">
        <v>340</v>
      </c>
      <c r="AO493" s="16" t="s">
        <v>340</v>
      </c>
      <c r="AP493" s="16" t="s">
        <v>335</v>
      </c>
      <c r="AQ493" s="16"/>
      <c r="AR493" s="21" t="n">
        <f aca="false">IF(AND(T493&lt;&gt;"",H493&lt;&gt;""),IF(AND((T493-H493)*86400&gt;=0,(T493-H493)*86400&lt;تنظیمات!$B$13),1,0),0)</f>
        <v>0</v>
      </c>
      <c r="AS493" s="21" t="n">
        <f aca="false">IF(Z493="پوز",IF(OR(AB493="",COUNTIF(پوزها!$A$2:$A$5,AA493)=0),1,0),0)</f>
        <v>0</v>
      </c>
      <c r="AT493" s="21" t="n">
        <f aca="false">IF(AI493="",0,IF(AI493&gt;0,1,0))</f>
        <v>0</v>
      </c>
      <c r="AU493" s="21" t="n">
        <f aca="false">IF(AI493="",0,IF(AI493&lt;0,1,0))</f>
        <v>0</v>
      </c>
      <c r="AV493" s="21" t="n">
        <f aca="false">IF(U493&gt;V493,1,0)</f>
        <v>0</v>
      </c>
      <c r="AW493" s="21" t="n">
        <f aca="false">IF(OR(W493&gt;تنظیمات!$B$8,X493="بله"),1,0)</f>
        <v>0</v>
      </c>
      <c r="AX493" s="21" t="n">
        <f aca="false">IF(AND(N493="بله",L493&gt;تنظیمات!$B$9),1,0)</f>
        <v>0</v>
      </c>
      <c r="AY493" s="21" t="n">
        <f aca="false">IF(Y493="معکوس",1,0)</f>
        <v>0</v>
      </c>
      <c r="AZ493" s="21" t="n">
        <f aca="false">IF(ABS(AJ493)&gt;تنظیمات!$B$10,1,0)</f>
        <v>0</v>
      </c>
      <c r="BA493" s="21" t="n">
        <f aca="false">IF(AND(OR(AD493="رایگان/VIP",AD493="جانباز"),AF493="خیر"),1,0)</f>
        <v>0</v>
      </c>
      <c r="BB493" s="21" t="n">
        <f aca="false">IF(AE493="",0,IF(COUNTIF($AE$2:$AE$1001,AE493)&gt;1,1,0))</f>
        <v>0</v>
      </c>
      <c r="BC493" s="21" t="n">
        <f aca="false">IF(AND(H493="",I493&gt;تنظیمات!$B$12*60,AM493="خالی"),1,0)</f>
        <v>0</v>
      </c>
      <c r="BD493" s="21" t="n">
        <f aca="false">IF(AND(AP493="بله",I493&lt;تنظیمات!$B$14,AO493="خیر"),1,0)</f>
        <v>0</v>
      </c>
      <c r="BE493" s="21" t="n">
        <f aca="false">IF(AN493="خیر",1,0)</f>
        <v>0</v>
      </c>
      <c r="BF493" s="21" t="n">
        <f aca="false">IF(AND(AD493="فیش مفقودی",AQ493="بله",I493&gt;تنظیمات!$B$12*60),1,0)</f>
        <v>0</v>
      </c>
      <c r="BG493" s="21" t="n">
        <f aca="false">IF(AND(AK493&gt;تنظیمات!$B$11,AL493="بله"),1,0)</f>
        <v>0</v>
      </c>
      <c r="BH493" s="21" t="n">
        <f aca="false">MIN(100,AR493*تنظیمات!$B$21+AS493*تنظیمات!$B$22+AT493*تنظیمات!$B$23+AU493*تنظیمات!$B$24+AV493*تنظیمات!$B$25+AW493*تنظیمات!$B$26+AX493*تنظیمات!$B$27+AY493*تنظیمات!$B$28+AZ493*تنظیمات!$B$29+BA493*تنظیمات!$B$30+BB493*تنظیمات!$B$31+BC493*تنظیمات!$B$32+BD493*تنظیمات!$B$33+BE493*تنظیمات!$B$34+BF493*تنظیمات!$B$35+BG493*تنظیمات!$B$36)</f>
        <v>0</v>
      </c>
      <c r="BI493" s="16" t="str">
        <f aca="false">IF(BH493&gt;=60,"بحرانی",IF(BH493&gt;=30,"مشکوک",IF(BH493&gt;0,"هشدار","عادی")))</f>
        <v>عادی</v>
      </c>
      <c r="BJ493" s="16" t="s">
        <v>338</v>
      </c>
    </row>
    <row r="494" customFormat="false" ht="15" hidden="false" customHeight="false" outlineLevel="0" collapsed="false">
      <c r="A494" s="16" t="s">
        <v>1926</v>
      </c>
      <c r="B494" s="16" t="s">
        <v>343</v>
      </c>
      <c r="C494" s="16"/>
      <c r="D494" s="16" t="s">
        <v>344</v>
      </c>
      <c r="E494" s="16" t="s">
        <v>345</v>
      </c>
      <c r="F494" s="16" t="s">
        <v>333</v>
      </c>
      <c r="G494" s="17" t="n">
        <v>46287.7840162037</v>
      </c>
      <c r="H494" s="17" t="n">
        <v>46287.8534606482</v>
      </c>
      <c r="I494" s="18" t="n">
        <f aca="false">IF(H494="",ROUND((تنظیمات!$B$7-G494)*1440,0),ROUND((H494-G494)*1440,0))</f>
        <v>100</v>
      </c>
      <c r="J494" s="16" t="s">
        <v>334</v>
      </c>
      <c r="K494" s="16" t="s">
        <v>400</v>
      </c>
      <c r="L494" s="19" t="n">
        <v>0.987</v>
      </c>
      <c r="M494" s="19" t="n">
        <v>0.961</v>
      </c>
      <c r="N494" s="16" t="s">
        <v>335</v>
      </c>
      <c r="O494" s="16" t="s">
        <v>441</v>
      </c>
      <c r="P494" s="16" t="s">
        <v>420</v>
      </c>
      <c r="Q494" s="20" t="n">
        <v>46287</v>
      </c>
      <c r="R494" s="16" t="s">
        <v>1927</v>
      </c>
      <c r="S494" s="16" t="s">
        <v>404</v>
      </c>
      <c r="T494" s="17"/>
      <c r="U494" s="21" t="n">
        <v>1</v>
      </c>
      <c r="V494" s="21" t="n">
        <v>1</v>
      </c>
      <c r="W494" s="22" t="n">
        <v>6.9</v>
      </c>
      <c r="X494" s="16" t="s">
        <v>335</v>
      </c>
      <c r="Y494" s="16" t="s">
        <v>338</v>
      </c>
      <c r="Z494" s="16" t="s">
        <v>413</v>
      </c>
      <c r="AA494" s="16" t="s">
        <v>427</v>
      </c>
      <c r="AB494" s="23" t="s">
        <v>1928</v>
      </c>
      <c r="AC494" s="17" t="n">
        <v>46287.8530439815</v>
      </c>
      <c r="AD494" s="16" t="s">
        <v>338</v>
      </c>
      <c r="AE494" s="16"/>
      <c r="AF494" s="16" t="str">
        <f aca="false">IF(COUNTIF(لیست_سفید!$A$2:$A$21,B494)&gt;0,"بله","خیر")</f>
        <v>خیر</v>
      </c>
      <c r="AG494" s="24" t="n">
        <f aca="false">IF(H494="","",IF(AD494="فیش مفقودی",تنظیمات!$B$6,(INT(I494/1440)*تنظیمات!$B$5+IF(MOD(I494,1440)&lt;=تنظیمات!$B$2,0,MIN(تنظیمات!$B$5,تنظیمات!$B$3+MAX(0,ROUNDUP((MOD(I494,1440)-60)/60,0))*تنظیمات!$B$4)))*INDEX(تعرفه!$B$2:$B$7,MATCH(AD494,تعرفه!$A$2:$A$7,0))))</f>
        <v>34000</v>
      </c>
      <c r="AH494" s="24" t="n">
        <v>34000</v>
      </c>
      <c r="AI494" s="24" t="n">
        <f aca="false">IF(AG494="","",AH494-AG494)</f>
        <v>0</v>
      </c>
      <c r="AJ494" s="21" t="n">
        <v>2</v>
      </c>
      <c r="AK494" s="21" t="n">
        <v>0</v>
      </c>
      <c r="AL494" s="16" t="s">
        <v>335</v>
      </c>
      <c r="AM494" s="16"/>
      <c r="AN494" s="16" t="s">
        <v>340</v>
      </c>
      <c r="AO494" s="16" t="s">
        <v>340</v>
      </c>
      <c r="AP494" s="16" t="s">
        <v>335</v>
      </c>
      <c r="AQ494" s="16"/>
      <c r="AR494" s="21" t="n">
        <f aca="false">IF(AND(T494&lt;&gt;"",H494&lt;&gt;""),IF(AND((T494-H494)*86400&gt;=0,(T494-H494)*86400&lt;تنظیمات!$B$13),1,0),0)</f>
        <v>0</v>
      </c>
      <c r="AS494" s="21" t="n">
        <f aca="false">IF(Z494="پوز",IF(OR(AB494="",COUNTIF(پوزها!$A$2:$A$5,AA494)=0),1,0),0)</f>
        <v>0</v>
      </c>
      <c r="AT494" s="21" t="n">
        <f aca="false">IF(AI494="",0,IF(AI494&gt;0,1,0))</f>
        <v>0</v>
      </c>
      <c r="AU494" s="21" t="n">
        <f aca="false">IF(AI494="",0,IF(AI494&lt;0,1,0))</f>
        <v>0</v>
      </c>
      <c r="AV494" s="21" t="n">
        <f aca="false">IF(U494&gt;V494,1,0)</f>
        <v>0</v>
      </c>
      <c r="AW494" s="21" t="n">
        <f aca="false">IF(OR(W494&gt;تنظیمات!$B$8,X494="بله"),1,0)</f>
        <v>0</v>
      </c>
      <c r="AX494" s="21" t="n">
        <f aca="false">IF(AND(N494="بله",L494&gt;تنظیمات!$B$9),1,0)</f>
        <v>0</v>
      </c>
      <c r="AY494" s="21" t="n">
        <f aca="false">IF(Y494="معکوس",1,0)</f>
        <v>0</v>
      </c>
      <c r="AZ494" s="21" t="n">
        <f aca="false">IF(ABS(AJ494)&gt;تنظیمات!$B$10,1,0)</f>
        <v>0</v>
      </c>
      <c r="BA494" s="21" t="n">
        <f aca="false">IF(AND(OR(AD494="رایگان/VIP",AD494="جانباز"),AF494="خیر"),1,0)</f>
        <v>0</v>
      </c>
      <c r="BB494" s="21" t="n">
        <f aca="false">IF(AE494="",0,IF(COUNTIF($AE$2:$AE$1001,AE494)&gt;1,1,0))</f>
        <v>0</v>
      </c>
      <c r="BC494" s="21" t="n">
        <f aca="false">IF(AND(H494="",I494&gt;تنظیمات!$B$12*60,AM494="خالی"),1,0)</f>
        <v>0</v>
      </c>
      <c r="BD494" s="21" t="n">
        <f aca="false">IF(AND(AP494="بله",I494&lt;تنظیمات!$B$14,AO494="خیر"),1,0)</f>
        <v>0</v>
      </c>
      <c r="BE494" s="21" t="n">
        <f aca="false">IF(AN494="خیر",1,0)</f>
        <v>0</v>
      </c>
      <c r="BF494" s="21" t="n">
        <f aca="false">IF(AND(AD494="فیش مفقودی",AQ494="بله",I494&gt;تنظیمات!$B$12*60),1,0)</f>
        <v>0</v>
      </c>
      <c r="BG494" s="21" t="n">
        <f aca="false">IF(AND(AK494&gt;تنظیمات!$B$11,AL494="بله"),1,0)</f>
        <v>0</v>
      </c>
      <c r="BH494" s="21" t="n">
        <f aca="false">MIN(100,AR494*تنظیمات!$B$21+AS494*تنظیمات!$B$22+AT494*تنظیمات!$B$23+AU494*تنظیمات!$B$24+AV494*تنظیمات!$B$25+AW494*تنظیمات!$B$26+AX494*تنظیمات!$B$27+AY494*تنظیمات!$B$28+AZ494*تنظیمات!$B$29+BA494*تنظیمات!$B$30+BB494*تنظیمات!$B$31+BC494*تنظیمات!$B$32+BD494*تنظیمات!$B$33+BE494*تنظیمات!$B$34+BF494*تنظیمات!$B$35+BG494*تنظیمات!$B$36)</f>
        <v>0</v>
      </c>
      <c r="BI494" s="16" t="str">
        <f aca="false">IF(BH494&gt;=60,"بحرانی",IF(BH494&gt;=30,"مشکوک",IF(BH494&gt;0,"هشدار","عادی")))</f>
        <v>عادی</v>
      </c>
      <c r="BJ494" s="16" t="s">
        <v>338</v>
      </c>
    </row>
    <row r="495" customFormat="false" ht="15" hidden="false" customHeight="false" outlineLevel="0" collapsed="false">
      <c r="A495" s="16" t="s">
        <v>1929</v>
      </c>
      <c r="B495" s="16" t="s">
        <v>498</v>
      </c>
      <c r="C495" s="16"/>
      <c r="D495" s="16" t="s">
        <v>344</v>
      </c>
      <c r="E495" s="16" t="s">
        <v>390</v>
      </c>
      <c r="F495" s="16" t="s">
        <v>333</v>
      </c>
      <c r="G495" s="17" t="n">
        <v>46287.7933796296</v>
      </c>
      <c r="H495" s="17" t="n">
        <v>46287.8253240741</v>
      </c>
      <c r="I495" s="18" t="n">
        <f aca="false">IF(H495="",ROUND((تنظیمات!$B$7-G495)*1440,0),ROUND((H495-G495)*1440,0))</f>
        <v>46</v>
      </c>
      <c r="J495" s="16" t="s">
        <v>334</v>
      </c>
      <c r="K495" s="16" t="s">
        <v>400</v>
      </c>
      <c r="L495" s="19" t="n">
        <v>0.939</v>
      </c>
      <c r="M495" s="19" t="n">
        <v>0.952</v>
      </c>
      <c r="N495" s="16" t="s">
        <v>335</v>
      </c>
      <c r="O495" s="16" t="s">
        <v>441</v>
      </c>
      <c r="P495" s="16" t="s">
        <v>420</v>
      </c>
      <c r="Q495" s="20" t="n">
        <v>46287</v>
      </c>
      <c r="R495" s="16" t="s">
        <v>1930</v>
      </c>
      <c r="S495" s="16" t="s">
        <v>404</v>
      </c>
      <c r="T495" s="17"/>
      <c r="U495" s="21" t="n">
        <v>1</v>
      </c>
      <c r="V495" s="21" t="n">
        <v>1</v>
      </c>
      <c r="W495" s="22" t="n">
        <v>5</v>
      </c>
      <c r="X495" s="16" t="s">
        <v>335</v>
      </c>
      <c r="Y495" s="16" t="s">
        <v>338</v>
      </c>
      <c r="Z495" s="16" t="s">
        <v>413</v>
      </c>
      <c r="AA495" s="16" t="s">
        <v>427</v>
      </c>
      <c r="AB495" s="23" t="s">
        <v>1931</v>
      </c>
      <c r="AC495" s="17" t="n">
        <v>46287.8243287037</v>
      </c>
      <c r="AD495" s="16" t="s">
        <v>338</v>
      </c>
      <c r="AE495" s="16"/>
      <c r="AF495" s="16" t="str">
        <f aca="false">IF(COUNTIF(لیست_سفید!$A$2:$A$21,B495)&gt;0,"بله","خیر")</f>
        <v>خیر</v>
      </c>
      <c r="AG495" s="24" t="n">
        <f aca="false">IF(H495="","",IF(AD495="فیش مفقودی",تنظیمات!$B$6,(INT(I495/1440)*تنظیمات!$B$5+IF(MOD(I495,1440)&lt;=تنظیمات!$B$2,0,MIN(تنظیمات!$B$5,تنظیمات!$B$3+MAX(0,ROUNDUP((MOD(I495,1440)-60)/60,0))*تنظیمات!$B$4)))*INDEX(تعرفه!$B$2:$B$7,MATCH(AD495,تعرفه!$A$2:$A$7,0))))</f>
        <v>20000</v>
      </c>
      <c r="AH495" s="24" t="n">
        <v>20000</v>
      </c>
      <c r="AI495" s="24" t="n">
        <f aca="false">IF(AG495="","",AH495-AG495)</f>
        <v>0</v>
      </c>
      <c r="AJ495" s="21" t="n">
        <v>0</v>
      </c>
      <c r="AK495" s="21" t="n">
        <v>0</v>
      </c>
      <c r="AL495" s="16" t="s">
        <v>335</v>
      </c>
      <c r="AM495" s="16"/>
      <c r="AN495" s="16" t="s">
        <v>340</v>
      </c>
      <c r="AO495" s="16" t="s">
        <v>340</v>
      </c>
      <c r="AP495" s="16" t="s">
        <v>335</v>
      </c>
      <c r="AQ495" s="16"/>
      <c r="AR495" s="21" t="n">
        <f aca="false">IF(AND(T495&lt;&gt;"",H495&lt;&gt;""),IF(AND((T495-H495)*86400&gt;=0,(T495-H495)*86400&lt;تنظیمات!$B$13),1,0),0)</f>
        <v>0</v>
      </c>
      <c r="AS495" s="21" t="n">
        <f aca="false">IF(Z495="پوز",IF(OR(AB495="",COUNTIF(پوزها!$A$2:$A$5,AA495)=0),1,0),0)</f>
        <v>0</v>
      </c>
      <c r="AT495" s="21" t="n">
        <f aca="false">IF(AI495="",0,IF(AI495&gt;0,1,0))</f>
        <v>0</v>
      </c>
      <c r="AU495" s="21" t="n">
        <f aca="false">IF(AI495="",0,IF(AI495&lt;0,1,0))</f>
        <v>0</v>
      </c>
      <c r="AV495" s="21" t="n">
        <f aca="false">IF(U495&gt;V495,1,0)</f>
        <v>0</v>
      </c>
      <c r="AW495" s="21" t="n">
        <f aca="false">IF(OR(W495&gt;تنظیمات!$B$8,X495="بله"),1,0)</f>
        <v>0</v>
      </c>
      <c r="AX495" s="21" t="n">
        <f aca="false">IF(AND(N495="بله",L495&gt;تنظیمات!$B$9),1,0)</f>
        <v>0</v>
      </c>
      <c r="AY495" s="21" t="n">
        <f aca="false">IF(Y495="معکوس",1,0)</f>
        <v>0</v>
      </c>
      <c r="AZ495" s="21" t="n">
        <f aca="false">IF(ABS(AJ495)&gt;تنظیمات!$B$10,1,0)</f>
        <v>0</v>
      </c>
      <c r="BA495" s="21" t="n">
        <f aca="false">IF(AND(OR(AD495="رایگان/VIP",AD495="جانباز"),AF495="خیر"),1,0)</f>
        <v>0</v>
      </c>
      <c r="BB495" s="21" t="n">
        <f aca="false">IF(AE495="",0,IF(COUNTIF($AE$2:$AE$1001,AE495)&gt;1,1,0))</f>
        <v>0</v>
      </c>
      <c r="BC495" s="21" t="n">
        <f aca="false">IF(AND(H495="",I495&gt;تنظیمات!$B$12*60,AM495="خالی"),1,0)</f>
        <v>0</v>
      </c>
      <c r="BD495" s="21" t="n">
        <f aca="false">IF(AND(AP495="بله",I495&lt;تنظیمات!$B$14,AO495="خیر"),1,0)</f>
        <v>0</v>
      </c>
      <c r="BE495" s="21" t="n">
        <f aca="false">IF(AN495="خیر",1,0)</f>
        <v>0</v>
      </c>
      <c r="BF495" s="21" t="n">
        <f aca="false">IF(AND(AD495="فیش مفقودی",AQ495="بله",I495&gt;تنظیمات!$B$12*60),1,0)</f>
        <v>0</v>
      </c>
      <c r="BG495" s="21" t="n">
        <f aca="false">IF(AND(AK495&gt;تنظیمات!$B$11,AL495="بله"),1,0)</f>
        <v>0</v>
      </c>
      <c r="BH495" s="21" t="n">
        <f aca="false">MIN(100,AR495*تنظیمات!$B$21+AS495*تنظیمات!$B$22+AT495*تنظیمات!$B$23+AU495*تنظیمات!$B$24+AV495*تنظیمات!$B$25+AW495*تنظیمات!$B$26+AX495*تنظیمات!$B$27+AY495*تنظیمات!$B$28+AZ495*تنظیمات!$B$29+BA495*تنظیمات!$B$30+BB495*تنظیمات!$B$31+BC495*تنظیمات!$B$32+BD495*تنظیمات!$B$33+BE495*تنظیمات!$B$34+BF495*تنظیمات!$B$35+BG495*تنظیمات!$B$36)</f>
        <v>0</v>
      </c>
      <c r="BI495" s="16" t="str">
        <f aca="false">IF(BH495&gt;=60,"بحرانی",IF(BH495&gt;=30,"مشکوک",IF(BH495&gt;0,"هشدار","عادی")))</f>
        <v>عادی</v>
      </c>
      <c r="BJ495" s="16" t="s">
        <v>338</v>
      </c>
    </row>
    <row r="496" customFormat="false" ht="15" hidden="false" customHeight="false" outlineLevel="0" collapsed="false">
      <c r="A496" s="16" t="s">
        <v>1932</v>
      </c>
      <c r="B496" s="16" t="s">
        <v>1933</v>
      </c>
      <c r="C496" s="16"/>
      <c r="D496" s="16" t="s">
        <v>531</v>
      </c>
      <c r="E496" s="16" t="s">
        <v>363</v>
      </c>
      <c r="F496" s="16" t="s">
        <v>333</v>
      </c>
      <c r="G496" s="17" t="n">
        <v>46287.819837963</v>
      </c>
      <c r="H496" s="17" t="n">
        <v>46287.8663657407</v>
      </c>
      <c r="I496" s="18" t="n">
        <f aca="false">IF(H496="",ROUND((تنظیمات!$B$7-G496)*1440,0),ROUND((H496-G496)*1440,0))</f>
        <v>67</v>
      </c>
      <c r="J496" s="16" t="s">
        <v>346</v>
      </c>
      <c r="K496" s="16" t="s">
        <v>400</v>
      </c>
      <c r="L496" s="19" t="n">
        <v>0.982</v>
      </c>
      <c r="M496" s="19" t="n">
        <v>0.929</v>
      </c>
      <c r="N496" s="16" t="s">
        <v>335</v>
      </c>
      <c r="O496" s="16" t="s">
        <v>441</v>
      </c>
      <c r="P496" s="16" t="s">
        <v>420</v>
      </c>
      <c r="Q496" s="20" t="n">
        <v>46287</v>
      </c>
      <c r="R496" s="16" t="s">
        <v>1934</v>
      </c>
      <c r="S496" s="16" t="s">
        <v>404</v>
      </c>
      <c r="T496" s="17"/>
      <c r="U496" s="21" t="n">
        <v>1</v>
      </c>
      <c r="V496" s="21" t="n">
        <v>1</v>
      </c>
      <c r="W496" s="22" t="n">
        <v>4</v>
      </c>
      <c r="X496" s="16" t="s">
        <v>335</v>
      </c>
      <c r="Y496" s="16" t="s">
        <v>338</v>
      </c>
      <c r="Z496" s="16" t="s">
        <v>413</v>
      </c>
      <c r="AA496" s="16" t="s">
        <v>427</v>
      </c>
      <c r="AB496" s="23" t="s">
        <v>1935</v>
      </c>
      <c r="AC496" s="17" t="n">
        <v>46287.8658101852</v>
      </c>
      <c r="AD496" s="16" t="s">
        <v>338</v>
      </c>
      <c r="AE496" s="16"/>
      <c r="AF496" s="16" t="str">
        <f aca="false">IF(COUNTIF(لیست_سفید!$A$2:$A$21,B496)&gt;0,"بله","خیر")</f>
        <v>خیر</v>
      </c>
      <c r="AG496" s="24" t="n">
        <f aca="false">IF(H496="","",IF(AD496="فیش مفقودی",تنظیمات!$B$6,(INT(I496/1440)*تنظیمات!$B$5+IF(MOD(I496,1440)&lt;=تنظیمات!$B$2,0,MIN(تنظیمات!$B$5,تنظیمات!$B$3+MAX(0,ROUNDUP((MOD(I496,1440)-60)/60,0))*تنظیمات!$B$4)))*INDEX(تعرفه!$B$2:$B$7,MATCH(AD496,تعرفه!$A$2:$A$7,0))))</f>
        <v>34000</v>
      </c>
      <c r="AH496" s="24" t="n">
        <v>34000</v>
      </c>
      <c r="AI496" s="24" t="n">
        <f aca="false">IF(AG496="","",AH496-AG496)</f>
        <v>0</v>
      </c>
      <c r="AJ496" s="21" t="n">
        <v>-1</v>
      </c>
      <c r="AK496" s="21" t="n">
        <v>0</v>
      </c>
      <c r="AL496" s="16" t="s">
        <v>335</v>
      </c>
      <c r="AM496" s="16"/>
      <c r="AN496" s="16" t="s">
        <v>340</v>
      </c>
      <c r="AO496" s="16" t="s">
        <v>340</v>
      </c>
      <c r="AP496" s="16" t="s">
        <v>335</v>
      </c>
      <c r="AQ496" s="16"/>
      <c r="AR496" s="21" t="n">
        <f aca="false">IF(AND(T496&lt;&gt;"",H496&lt;&gt;""),IF(AND((T496-H496)*86400&gt;=0,(T496-H496)*86400&lt;تنظیمات!$B$13),1,0),0)</f>
        <v>0</v>
      </c>
      <c r="AS496" s="21" t="n">
        <f aca="false">IF(Z496="پوز",IF(OR(AB496="",COUNTIF(پوزها!$A$2:$A$5,AA496)=0),1,0),0)</f>
        <v>0</v>
      </c>
      <c r="AT496" s="21" t="n">
        <f aca="false">IF(AI496="",0,IF(AI496&gt;0,1,0))</f>
        <v>0</v>
      </c>
      <c r="AU496" s="21" t="n">
        <f aca="false">IF(AI496="",0,IF(AI496&lt;0,1,0))</f>
        <v>0</v>
      </c>
      <c r="AV496" s="21" t="n">
        <f aca="false">IF(U496&gt;V496,1,0)</f>
        <v>0</v>
      </c>
      <c r="AW496" s="21" t="n">
        <f aca="false">IF(OR(W496&gt;تنظیمات!$B$8,X496="بله"),1,0)</f>
        <v>0</v>
      </c>
      <c r="AX496" s="21" t="n">
        <f aca="false">IF(AND(N496="بله",L496&gt;تنظیمات!$B$9),1,0)</f>
        <v>0</v>
      </c>
      <c r="AY496" s="21" t="n">
        <f aca="false">IF(Y496="معکوس",1,0)</f>
        <v>0</v>
      </c>
      <c r="AZ496" s="21" t="n">
        <f aca="false">IF(ABS(AJ496)&gt;تنظیمات!$B$10,1,0)</f>
        <v>0</v>
      </c>
      <c r="BA496" s="21" t="n">
        <f aca="false">IF(AND(OR(AD496="رایگان/VIP",AD496="جانباز"),AF496="خیر"),1,0)</f>
        <v>0</v>
      </c>
      <c r="BB496" s="21" t="n">
        <f aca="false">IF(AE496="",0,IF(COUNTIF($AE$2:$AE$1001,AE496)&gt;1,1,0))</f>
        <v>0</v>
      </c>
      <c r="BC496" s="21" t="n">
        <f aca="false">IF(AND(H496="",I496&gt;تنظیمات!$B$12*60,AM496="خالی"),1,0)</f>
        <v>0</v>
      </c>
      <c r="BD496" s="21" t="n">
        <f aca="false">IF(AND(AP496="بله",I496&lt;تنظیمات!$B$14,AO496="خیر"),1,0)</f>
        <v>0</v>
      </c>
      <c r="BE496" s="21" t="n">
        <f aca="false">IF(AN496="خیر",1,0)</f>
        <v>0</v>
      </c>
      <c r="BF496" s="21" t="n">
        <f aca="false">IF(AND(AD496="فیش مفقودی",AQ496="بله",I496&gt;تنظیمات!$B$12*60),1,0)</f>
        <v>0</v>
      </c>
      <c r="BG496" s="21" t="n">
        <f aca="false">IF(AND(AK496&gt;تنظیمات!$B$11,AL496="بله"),1,0)</f>
        <v>0</v>
      </c>
      <c r="BH496" s="21" t="n">
        <f aca="false">MIN(100,AR496*تنظیمات!$B$21+AS496*تنظیمات!$B$22+AT496*تنظیمات!$B$23+AU496*تنظیمات!$B$24+AV496*تنظیمات!$B$25+AW496*تنظیمات!$B$26+AX496*تنظیمات!$B$27+AY496*تنظیمات!$B$28+AZ496*تنظیمات!$B$29+BA496*تنظیمات!$B$30+BB496*تنظیمات!$B$31+BC496*تنظیمات!$B$32+BD496*تنظیمات!$B$33+BE496*تنظیمات!$B$34+BF496*تنظیمات!$B$35+BG496*تنظیمات!$B$36)</f>
        <v>0</v>
      </c>
      <c r="BI496" s="16" t="str">
        <f aca="false">IF(BH496&gt;=60,"بحرانی",IF(BH496&gt;=30,"مشکوک",IF(BH496&gt;0,"هشدار","عادی")))</f>
        <v>عادی</v>
      </c>
      <c r="BJ496" s="16" t="s">
        <v>338</v>
      </c>
    </row>
    <row r="497" customFormat="false" ht="15" hidden="false" customHeight="false" outlineLevel="0" collapsed="false">
      <c r="A497" s="16" t="s">
        <v>1936</v>
      </c>
      <c r="B497" s="16" t="s">
        <v>1000</v>
      </c>
      <c r="C497" s="16"/>
      <c r="D497" s="16" t="s">
        <v>440</v>
      </c>
      <c r="E497" s="16" t="s">
        <v>390</v>
      </c>
      <c r="F497" s="16" t="s">
        <v>359</v>
      </c>
      <c r="G497" s="17" t="n">
        <v>46287.8219907407</v>
      </c>
      <c r="H497" s="17" t="n">
        <v>46287.9164351852</v>
      </c>
      <c r="I497" s="18" t="n">
        <f aca="false">IF(H497="",ROUND((تنظیمات!$B$7-G497)*1440,0),ROUND((H497-G497)*1440,0))</f>
        <v>136</v>
      </c>
      <c r="J497" s="16" t="s">
        <v>334</v>
      </c>
      <c r="K497" s="16" t="s">
        <v>400</v>
      </c>
      <c r="L497" s="19" t="n">
        <v>0.935</v>
      </c>
      <c r="M497" s="19" t="n">
        <v>0.988</v>
      </c>
      <c r="N497" s="16" t="s">
        <v>335</v>
      </c>
      <c r="O497" s="16" t="s">
        <v>441</v>
      </c>
      <c r="P497" s="16" t="s">
        <v>420</v>
      </c>
      <c r="Q497" s="20" t="n">
        <v>46287</v>
      </c>
      <c r="R497" s="16" t="s">
        <v>1937</v>
      </c>
      <c r="S497" s="16" t="s">
        <v>404</v>
      </c>
      <c r="T497" s="17"/>
      <c r="U497" s="21" t="n">
        <v>1</v>
      </c>
      <c r="V497" s="21" t="n">
        <v>1</v>
      </c>
      <c r="W497" s="22" t="n">
        <v>6</v>
      </c>
      <c r="X497" s="16" t="s">
        <v>335</v>
      </c>
      <c r="Y497" s="16" t="s">
        <v>338</v>
      </c>
      <c r="Z497" s="16" t="s">
        <v>405</v>
      </c>
      <c r="AA497" s="16"/>
      <c r="AB497" s="23"/>
      <c r="AC497" s="17"/>
      <c r="AD497" s="16" t="s">
        <v>338</v>
      </c>
      <c r="AE497" s="16"/>
      <c r="AF497" s="16" t="str">
        <f aca="false">IF(COUNTIF(لیست_سفید!$A$2:$A$21,B497)&gt;0,"بله","خیر")</f>
        <v>خیر</v>
      </c>
      <c r="AG497" s="24" t="n">
        <f aca="false">IF(H497="","",IF(AD497="فیش مفقودی",تنظیمات!$B$6,(INT(I497/1440)*تنظیمات!$B$5+IF(MOD(I497,1440)&lt;=تنظیمات!$B$2,0,MIN(تنظیمات!$B$5,تنظیمات!$B$3+MAX(0,ROUNDUP((MOD(I497,1440)-60)/60,0))*تنظیمات!$B$4)))*INDEX(تعرفه!$B$2:$B$7,MATCH(AD497,تعرفه!$A$2:$A$7,0))))</f>
        <v>48000</v>
      </c>
      <c r="AH497" s="24" t="n">
        <v>48000</v>
      </c>
      <c r="AI497" s="24" t="n">
        <f aca="false">IF(AG497="","",AH497-AG497)</f>
        <v>0</v>
      </c>
      <c r="AJ497" s="21" t="n">
        <v>-2</v>
      </c>
      <c r="AK497" s="21" t="n">
        <v>0</v>
      </c>
      <c r="AL497" s="16" t="s">
        <v>335</v>
      </c>
      <c r="AM497" s="16"/>
      <c r="AN497" s="16" t="s">
        <v>340</v>
      </c>
      <c r="AO497" s="16" t="s">
        <v>340</v>
      </c>
      <c r="AP497" s="16" t="s">
        <v>335</v>
      </c>
      <c r="AQ497" s="16"/>
      <c r="AR497" s="21" t="n">
        <f aca="false">IF(AND(T497&lt;&gt;"",H497&lt;&gt;""),IF(AND((T497-H497)*86400&gt;=0,(T497-H497)*86400&lt;تنظیمات!$B$13),1,0),0)</f>
        <v>0</v>
      </c>
      <c r="AS497" s="21" t="n">
        <f aca="false">IF(Z497="پوز",IF(OR(AB497="",COUNTIF(پوزها!$A$2:$A$5,AA497)=0),1,0),0)</f>
        <v>0</v>
      </c>
      <c r="AT497" s="21" t="n">
        <f aca="false">IF(AI497="",0,IF(AI497&gt;0,1,0))</f>
        <v>0</v>
      </c>
      <c r="AU497" s="21" t="n">
        <f aca="false">IF(AI497="",0,IF(AI497&lt;0,1,0))</f>
        <v>0</v>
      </c>
      <c r="AV497" s="21" t="n">
        <f aca="false">IF(U497&gt;V497,1,0)</f>
        <v>0</v>
      </c>
      <c r="AW497" s="21" t="n">
        <f aca="false">IF(OR(W497&gt;تنظیمات!$B$8,X497="بله"),1,0)</f>
        <v>0</v>
      </c>
      <c r="AX497" s="21" t="n">
        <f aca="false">IF(AND(N497="بله",L497&gt;تنظیمات!$B$9),1,0)</f>
        <v>0</v>
      </c>
      <c r="AY497" s="21" t="n">
        <f aca="false">IF(Y497="معکوس",1,0)</f>
        <v>0</v>
      </c>
      <c r="AZ497" s="21" t="n">
        <f aca="false">IF(ABS(AJ497)&gt;تنظیمات!$B$10,1,0)</f>
        <v>0</v>
      </c>
      <c r="BA497" s="21" t="n">
        <f aca="false">IF(AND(OR(AD497="رایگان/VIP",AD497="جانباز"),AF497="خیر"),1,0)</f>
        <v>0</v>
      </c>
      <c r="BB497" s="21" t="n">
        <f aca="false">IF(AE497="",0,IF(COUNTIF($AE$2:$AE$1001,AE497)&gt;1,1,0))</f>
        <v>0</v>
      </c>
      <c r="BC497" s="21" t="n">
        <f aca="false">IF(AND(H497="",I497&gt;تنظیمات!$B$12*60,AM497="خالی"),1,0)</f>
        <v>0</v>
      </c>
      <c r="BD497" s="21" t="n">
        <f aca="false">IF(AND(AP497="بله",I497&lt;تنظیمات!$B$14,AO497="خیر"),1,0)</f>
        <v>0</v>
      </c>
      <c r="BE497" s="21" t="n">
        <f aca="false">IF(AN497="خیر",1,0)</f>
        <v>0</v>
      </c>
      <c r="BF497" s="21" t="n">
        <f aca="false">IF(AND(AD497="فیش مفقودی",AQ497="بله",I497&gt;تنظیمات!$B$12*60),1,0)</f>
        <v>0</v>
      </c>
      <c r="BG497" s="21" t="n">
        <f aca="false">IF(AND(AK497&gt;تنظیمات!$B$11,AL497="بله"),1,0)</f>
        <v>0</v>
      </c>
      <c r="BH497" s="21" t="n">
        <f aca="false">MIN(100,AR497*تنظیمات!$B$21+AS497*تنظیمات!$B$22+AT497*تنظیمات!$B$23+AU497*تنظیمات!$B$24+AV497*تنظیمات!$B$25+AW497*تنظیمات!$B$26+AX497*تنظیمات!$B$27+AY497*تنظیمات!$B$28+AZ497*تنظیمات!$B$29+BA497*تنظیمات!$B$30+BB497*تنظیمات!$B$31+BC497*تنظیمات!$B$32+BD497*تنظیمات!$B$33+BE497*تنظیمات!$B$34+BF497*تنظیمات!$B$35+BG497*تنظیمات!$B$36)</f>
        <v>0</v>
      </c>
      <c r="BI497" s="16" t="str">
        <f aca="false">IF(BH497&gt;=60,"بحرانی",IF(BH497&gt;=30,"مشکوک",IF(BH497&gt;0,"هشدار","عادی")))</f>
        <v>عادی</v>
      </c>
      <c r="BJ497" s="16" t="s">
        <v>338</v>
      </c>
    </row>
    <row r="498" customFormat="false" ht="15" hidden="false" customHeight="false" outlineLevel="0" collapsed="false">
      <c r="A498" s="16" t="s">
        <v>1938</v>
      </c>
      <c r="B498" s="16" t="s">
        <v>1939</v>
      </c>
      <c r="C498" s="16"/>
      <c r="D498" s="16" t="s">
        <v>350</v>
      </c>
      <c r="E498" s="16" t="s">
        <v>345</v>
      </c>
      <c r="F498" s="16" t="s">
        <v>333</v>
      </c>
      <c r="G498" s="17" t="n">
        <v>46288.0621412037</v>
      </c>
      <c r="H498" s="17" t="n">
        <v>46288.4024189815</v>
      </c>
      <c r="I498" s="18" t="n">
        <f aca="false">IF(H498="",ROUND((تنظیمات!$B$7-G498)*1440,0),ROUND((H498-G498)*1440,0))</f>
        <v>490</v>
      </c>
      <c r="J498" s="16" t="s">
        <v>334</v>
      </c>
      <c r="K498" s="16" t="s">
        <v>410</v>
      </c>
      <c r="L498" s="19" t="n">
        <v>0.964</v>
      </c>
      <c r="M498" s="19" t="n">
        <v>0.97</v>
      </c>
      <c r="N498" s="16" t="s">
        <v>335</v>
      </c>
      <c r="O498" s="16" t="s">
        <v>650</v>
      </c>
      <c r="P498" s="16" t="s">
        <v>402</v>
      </c>
      <c r="Q498" s="20" t="n">
        <v>46288</v>
      </c>
      <c r="R498" s="16" t="s">
        <v>1940</v>
      </c>
      <c r="S498" s="16" t="s">
        <v>404</v>
      </c>
      <c r="T498" s="17"/>
      <c r="U498" s="21" t="n">
        <v>1</v>
      </c>
      <c r="V498" s="21" t="n">
        <v>1</v>
      </c>
      <c r="W498" s="22" t="n">
        <v>5.5</v>
      </c>
      <c r="X498" s="16" t="s">
        <v>335</v>
      </c>
      <c r="Y498" s="16" t="s">
        <v>338</v>
      </c>
      <c r="Z498" s="16" t="s">
        <v>443</v>
      </c>
      <c r="AA498" s="16"/>
      <c r="AB498" s="23"/>
      <c r="AC498" s="17"/>
      <c r="AD498" s="16" t="s">
        <v>444</v>
      </c>
      <c r="AE498" s="16"/>
      <c r="AF498" s="16" t="str">
        <f aca="false">IF(COUNTIF(لیست_سفید!$A$2:$A$21,B498)&gt;0,"بله","خیر")</f>
        <v>خیر</v>
      </c>
      <c r="AG498" s="24" t="n">
        <f aca="false">IF(H498="","",IF(AD498="فیش مفقودی",تنظیمات!$B$6,(INT(I498/1440)*تنظیمات!$B$5+IF(MOD(I498,1440)&lt;=تنظیمات!$B$2,0,MIN(تنظیمات!$B$5,تنظیمات!$B$3+MAX(0,ROUNDUP((MOD(I498,1440)-60)/60,0))*تنظیمات!$B$4)))*INDEX(تعرفه!$B$2:$B$7,MATCH(AD498,تعرفه!$A$2:$A$7,0))))</f>
        <v>0</v>
      </c>
      <c r="AH498" s="24" t="n">
        <v>0</v>
      </c>
      <c r="AI498" s="24" t="n">
        <f aca="false">IF(AG498="","",AH498-AG498)</f>
        <v>0</v>
      </c>
      <c r="AJ498" s="21" t="n">
        <v>1</v>
      </c>
      <c r="AK498" s="21" t="n">
        <v>0</v>
      </c>
      <c r="AL498" s="16" t="s">
        <v>335</v>
      </c>
      <c r="AM498" s="16"/>
      <c r="AN498" s="16" t="s">
        <v>340</v>
      </c>
      <c r="AO498" s="16" t="s">
        <v>340</v>
      </c>
      <c r="AP498" s="16" t="s">
        <v>335</v>
      </c>
      <c r="AQ498" s="16"/>
      <c r="AR498" s="21" t="n">
        <f aca="false">IF(AND(T498&lt;&gt;"",H498&lt;&gt;""),IF(AND((T498-H498)*86400&gt;=0,(T498-H498)*86400&lt;تنظیمات!$B$13),1,0),0)</f>
        <v>0</v>
      </c>
      <c r="AS498" s="21" t="n">
        <f aca="false">IF(Z498="پوز",IF(OR(AB498="",COUNTIF(پوزها!$A$2:$A$5,AA498)=0),1,0),0)</f>
        <v>0</v>
      </c>
      <c r="AT498" s="21" t="n">
        <f aca="false">IF(AI498="",0,IF(AI498&gt;0,1,0))</f>
        <v>0</v>
      </c>
      <c r="AU498" s="21" t="n">
        <f aca="false">IF(AI498="",0,IF(AI498&lt;0,1,0))</f>
        <v>0</v>
      </c>
      <c r="AV498" s="21" t="n">
        <f aca="false">IF(U498&gt;V498,1,0)</f>
        <v>0</v>
      </c>
      <c r="AW498" s="21" t="n">
        <f aca="false">IF(OR(W498&gt;تنظیمات!$B$8,X498="بله"),1,0)</f>
        <v>0</v>
      </c>
      <c r="AX498" s="21" t="n">
        <f aca="false">IF(AND(N498="بله",L498&gt;تنظیمات!$B$9),1,0)</f>
        <v>0</v>
      </c>
      <c r="AY498" s="21" t="n">
        <f aca="false">IF(Y498="معکوس",1,0)</f>
        <v>0</v>
      </c>
      <c r="AZ498" s="21" t="n">
        <f aca="false">IF(ABS(AJ498)&gt;تنظیمات!$B$10,1,0)</f>
        <v>0</v>
      </c>
      <c r="BA498" s="21" t="n">
        <f aca="false">IF(AND(OR(AD498="رایگان/VIP",AD498="جانباز"),AF498="خیر"),1,0)</f>
        <v>0</v>
      </c>
      <c r="BB498" s="21" t="n">
        <f aca="false">IF(AE498="",0,IF(COUNTIF($AE$2:$AE$1001,AE498)&gt;1,1,0))</f>
        <v>0</v>
      </c>
      <c r="BC498" s="21" t="n">
        <f aca="false">IF(AND(H498="",I498&gt;تنظیمات!$B$12*60,AM498="خالی"),1,0)</f>
        <v>0</v>
      </c>
      <c r="BD498" s="21" t="n">
        <f aca="false">IF(AND(AP498="بله",I498&lt;تنظیمات!$B$14,AO498="خیر"),1,0)</f>
        <v>0</v>
      </c>
      <c r="BE498" s="21" t="n">
        <f aca="false">IF(AN498="خیر",1,0)</f>
        <v>0</v>
      </c>
      <c r="BF498" s="21" t="n">
        <f aca="false">IF(AND(AD498="فیش مفقودی",AQ498="بله",I498&gt;تنظیمات!$B$12*60),1,0)</f>
        <v>0</v>
      </c>
      <c r="BG498" s="21" t="n">
        <f aca="false">IF(AND(AK498&gt;تنظیمات!$B$11,AL498="بله"),1,0)</f>
        <v>0</v>
      </c>
      <c r="BH498" s="21" t="n">
        <f aca="false">MIN(100,AR498*تنظیمات!$B$21+AS498*تنظیمات!$B$22+AT498*تنظیمات!$B$23+AU498*تنظیمات!$B$24+AV498*تنظیمات!$B$25+AW498*تنظیمات!$B$26+AX498*تنظیمات!$B$27+AY498*تنظیمات!$B$28+AZ498*تنظیمات!$B$29+BA498*تنظیمات!$B$30+BB498*تنظیمات!$B$31+BC498*تنظیمات!$B$32+BD498*تنظیمات!$B$33+BE498*تنظیمات!$B$34+BF498*تنظیمات!$B$35+BG498*تنظیمات!$B$36)</f>
        <v>0</v>
      </c>
      <c r="BI498" s="16" t="str">
        <f aca="false">IF(BH498&gt;=60,"بحرانی",IF(BH498&gt;=30,"مشکوک",IF(BH498&gt;0,"هشدار","عادی")))</f>
        <v>عادی</v>
      </c>
      <c r="BJ498" s="16" t="s">
        <v>338</v>
      </c>
    </row>
    <row r="499" customFormat="false" ht="15" hidden="false" customHeight="false" outlineLevel="0" collapsed="false">
      <c r="A499" s="16" t="s">
        <v>1941</v>
      </c>
      <c r="B499" s="16" t="s">
        <v>1916</v>
      </c>
      <c r="C499" s="16"/>
      <c r="D499" s="16" t="s">
        <v>344</v>
      </c>
      <c r="E499" s="16" t="s">
        <v>345</v>
      </c>
      <c r="F499" s="16" t="s">
        <v>333</v>
      </c>
      <c r="G499" s="17" t="n">
        <v>46288.0807407407</v>
      </c>
      <c r="H499" s="17" t="n">
        <v>46288.4001851852</v>
      </c>
      <c r="I499" s="18" t="n">
        <f aca="false">IF(H499="",ROUND((تنظیمات!$B$7-G499)*1440,0),ROUND((H499-G499)*1440,0))</f>
        <v>460</v>
      </c>
      <c r="J499" s="16" t="s">
        <v>334</v>
      </c>
      <c r="K499" s="16" t="s">
        <v>410</v>
      </c>
      <c r="L499" s="19" t="n">
        <v>0.995</v>
      </c>
      <c r="M499" s="19" t="n">
        <v>0.889</v>
      </c>
      <c r="N499" s="16" t="s">
        <v>335</v>
      </c>
      <c r="O499" s="16" t="s">
        <v>650</v>
      </c>
      <c r="P499" s="16" t="s">
        <v>402</v>
      </c>
      <c r="Q499" s="20" t="n">
        <v>46288</v>
      </c>
      <c r="R499" s="16" t="s">
        <v>1942</v>
      </c>
      <c r="S499" s="16" t="s">
        <v>404</v>
      </c>
      <c r="T499" s="17"/>
      <c r="U499" s="21" t="n">
        <v>1</v>
      </c>
      <c r="V499" s="21" t="n">
        <v>1</v>
      </c>
      <c r="W499" s="22" t="n">
        <v>6.6</v>
      </c>
      <c r="X499" s="16" t="s">
        <v>335</v>
      </c>
      <c r="Y499" s="16" t="s">
        <v>338</v>
      </c>
      <c r="Z499" s="16" t="s">
        <v>443</v>
      </c>
      <c r="AA499" s="16"/>
      <c r="AB499" s="23"/>
      <c r="AC499" s="17"/>
      <c r="AD499" s="16" t="s">
        <v>444</v>
      </c>
      <c r="AE499" s="16"/>
      <c r="AF499" s="16" t="str">
        <f aca="false">IF(COUNTIF(لیست_سفید!$A$2:$A$21,B499)&gt;0,"بله","خیر")</f>
        <v>خیر</v>
      </c>
      <c r="AG499" s="24" t="n">
        <f aca="false">IF(H499="","",IF(AD499="فیش مفقودی",تنظیمات!$B$6,(INT(I499/1440)*تنظیمات!$B$5+IF(MOD(I499,1440)&lt;=تنظیمات!$B$2,0,MIN(تنظیمات!$B$5,تنظیمات!$B$3+MAX(0,ROUNDUP((MOD(I499,1440)-60)/60,0))*تنظیمات!$B$4)))*INDEX(تعرفه!$B$2:$B$7,MATCH(AD499,تعرفه!$A$2:$A$7,0))))</f>
        <v>0</v>
      </c>
      <c r="AH499" s="24" t="n">
        <v>0</v>
      </c>
      <c r="AI499" s="24" t="n">
        <f aca="false">IF(AG499="","",AH499-AG499)</f>
        <v>0</v>
      </c>
      <c r="AJ499" s="21" t="n">
        <v>0</v>
      </c>
      <c r="AK499" s="21" t="n">
        <v>63</v>
      </c>
      <c r="AL499" s="16" t="s">
        <v>335</v>
      </c>
      <c r="AM499" s="16"/>
      <c r="AN499" s="16" t="s">
        <v>340</v>
      </c>
      <c r="AO499" s="16" t="s">
        <v>340</v>
      </c>
      <c r="AP499" s="16" t="s">
        <v>335</v>
      </c>
      <c r="AQ499" s="16"/>
      <c r="AR499" s="21" t="n">
        <f aca="false">IF(AND(T499&lt;&gt;"",H499&lt;&gt;""),IF(AND((T499-H499)*86400&gt;=0,(T499-H499)*86400&lt;تنظیمات!$B$13),1,0),0)</f>
        <v>0</v>
      </c>
      <c r="AS499" s="21" t="n">
        <f aca="false">IF(Z499="پوز",IF(OR(AB499="",COUNTIF(پوزها!$A$2:$A$5,AA499)=0),1,0),0)</f>
        <v>0</v>
      </c>
      <c r="AT499" s="21" t="n">
        <f aca="false">IF(AI499="",0,IF(AI499&gt;0,1,0))</f>
        <v>0</v>
      </c>
      <c r="AU499" s="21" t="n">
        <f aca="false">IF(AI499="",0,IF(AI499&lt;0,1,0))</f>
        <v>0</v>
      </c>
      <c r="AV499" s="21" t="n">
        <f aca="false">IF(U499&gt;V499,1,0)</f>
        <v>0</v>
      </c>
      <c r="AW499" s="21" t="n">
        <f aca="false">IF(OR(W499&gt;تنظیمات!$B$8,X499="بله"),1,0)</f>
        <v>0</v>
      </c>
      <c r="AX499" s="21" t="n">
        <f aca="false">IF(AND(N499="بله",L499&gt;تنظیمات!$B$9),1,0)</f>
        <v>0</v>
      </c>
      <c r="AY499" s="21" t="n">
        <f aca="false">IF(Y499="معکوس",1,0)</f>
        <v>0</v>
      </c>
      <c r="AZ499" s="21" t="n">
        <f aca="false">IF(ABS(AJ499)&gt;تنظیمات!$B$10,1,0)</f>
        <v>0</v>
      </c>
      <c r="BA499" s="21" t="n">
        <f aca="false">IF(AND(OR(AD499="رایگان/VIP",AD499="جانباز"),AF499="خیر"),1,0)</f>
        <v>0</v>
      </c>
      <c r="BB499" s="21" t="n">
        <f aca="false">IF(AE499="",0,IF(COUNTIF($AE$2:$AE$1001,AE499)&gt;1,1,0))</f>
        <v>0</v>
      </c>
      <c r="BC499" s="21" t="n">
        <f aca="false">IF(AND(H499="",I499&gt;تنظیمات!$B$12*60,AM499="خالی"),1,0)</f>
        <v>0</v>
      </c>
      <c r="BD499" s="21" t="n">
        <f aca="false">IF(AND(AP499="بله",I499&lt;تنظیمات!$B$14,AO499="خیر"),1,0)</f>
        <v>0</v>
      </c>
      <c r="BE499" s="21" t="n">
        <f aca="false">IF(AN499="خیر",1,0)</f>
        <v>0</v>
      </c>
      <c r="BF499" s="21" t="n">
        <f aca="false">IF(AND(AD499="فیش مفقودی",AQ499="بله",I499&gt;تنظیمات!$B$12*60),1,0)</f>
        <v>0</v>
      </c>
      <c r="BG499" s="21" t="n">
        <f aca="false">IF(AND(AK499&gt;تنظیمات!$B$11,AL499="بله"),1,0)</f>
        <v>0</v>
      </c>
      <c r="BH499" s="21" t="n">
        <f aca="false">MIN(100,AR499*تنظیمات!$B$21+AS499*تنظیمات!$B$22+AT499*تنظیمات!$B$23+AU499*تنظیمات!$B$24+AV499*تنظیمات!$B$25+AW499*تنظیمات!$B$26+AX499*تنظیمات!$B$27+AY499*تنظیمات!$B$28+AZ499*تنظیمات!$B$29+BA499*تنظیمات!$B$30+BB499*تنظیمات!$B$31+BC499*تنظیمات!$B$32+BD499*تنظیمات!$B$33+BE499*تنظیمات!$B$34+BF499*تنظیمات!$B$35+BG499*تنظیمات!$B$36)</f>
        <v>0</v>
      </c>
      <c r="BI499" s="16" t="str">
        <f aca="false">IF(BH499&gt;=60,"بحرانی",IF(BH499&gt;=30,"مشکوک",IF(BH499&gt;0,"هشدار","عادی")))</f>
        <v>عادی</v>
      </c>
      <c r="BJ499" s="16" t="s">
        <v>338</v>
      </c>
    </row>
    <row r="500" customFormat="false" ht="15" hidden="false" customHeight="false" outlineLevel="0" collapsed="false">
      <c r="A500" s="16" t="s">
        <v>1943</v>
      </c>
      <c r="B500" s="16" t="s">
        <v>1944</v>
      </c>
      <c r="C500" s="16"/>
      <c r="D500" s="16" t="s">
        <v>358</v>
      </c>
      <c r="E500" s="16" t="s">
        <v>375</v>
      </c>
      <c r="F500" s="16" t="s">
        <v>359</v>
      </c>
      <c r="G500" s="17" t="n">
        <v>46288.0910763889</v>
      </c>
      <c r="H500" s="17" t="n">
        <v>46288.5549652778</v>
      </c>
      <c r="I500" s="18" t="n">
        <f aca="false">IF(H500="",ROUND((تنظیمات!$B$7-G500)*1440,0),ROUND((H500-G500)*1440,0))</f>
        <v>668</v>
      </c>
      <c r="J500" s="16" t="s">
        <v>346</v>
      </c>
      <c r="K500" s="16" t="s">
        <v>410</v>
      </c>
      <c r="L500" s="19" t="n">
        <v>0.927</v>
      </c>
      <c r="M500" s="19" t="n">
        <v>0.925</v>
      </c>
      <c r="N500" s="16" t="s">
        <v>335</v>
      </c>
      <c r="O500" s="16" t="s">
        <v>650</v>
      </c>
      <c r="P500" s="16" t="s">
        <v>402</v>
      </c>
      <c r="Q500" s="20" t="n">
        <v>46288</v>
      </c>
      <c r="R500" s="16" t="s">
        <v>1945</v>
      </c>
      <c r="S500" s="16" t="s">
        <v>404</v>
      </c>
      <c r="T500" s="17"/>
      <c r="U500" s="21" t="n">
        <v>1</v>
      </c>
      <c r="V500" s="21" t="n">
        <v>1</v>
      </c>
      <c r="W500" s="22" t="n">
        <v>5.5</v>
      </c>
      <c r="X500" s="16" t="s">
        <v>335</v>
      </c>
      <c r="Y500" s="16" t="s">
        <v>338</v>
      </c>
      <c r="Z500" s="16" t="s">
        <v>413</v>
      </c>
      <c r="AA500" s="16" t="s">
        <v>414</v>
      </c>
      <c r="AB500" s="23" t="s">
        <v>1946</v>
      </c>
      <c r="AC500" s="17" t="n">
        <v>46288.5546759259</v>
      </c>
      <c r="AD500" s="16" t="s">
        <v>338</v>
      </c>
      <c r="AE500" s="16"/>
      <c r="AF500" s="16" t="str">
        <f aca="false">IF(COUNTIF(لیست_سفید!$A$2:$A$21,B500)&gt;0,"بله","خیر")</f>
        <v>خیر</v>
      </c>
      <c r="AG500" s="24" t="n">
        <f aca="false">IF(H500="","",IF(AD500="فیش مفقودی",تنظیمات!$B$6,(INT(I500/1440)*تنظیمات!$B$5+IF(MOD(I500,1440)&lt;=تنظیمات!$B$2,0,MIN(تنظیمات!$B$5,تنظیمات!$B$3+MAX(0,ROUNDUP((MOD(I500,1440)-60)/60,0))*تنظیمات!$B$4)))*INDEX(تعرفه!$B$2:$B$7,MATCH(AD500,تعرفه!$A$2:$A$7,0))))</f>
        <v>174000</v>
      </c>
      <c r="AH500" s="24" t="n">
        <v>174000</v>
      </c>
      <c r="AI500" s="24" t="n">
        <f aca="false">IF(AG500="","",AH500-AG500)</f>
        <v>0</v>
      </c>
      <c r="AJ500" s="21" t="n">
        <v>1</v>
      </c>
      <c r="AK500" s="21" t="n">
        <v>0</v>
      </c>
      <c r="AL500" s="16" t="s">
        <v>335</v>
      </c>
      <c r="AM500" s="16"/>
      <c r="AN500" s="16" t="s">
        <v>340</v>
      </c>
      <c r="AO500" s="16" t="s">
        <v>340</v>
      </c>
      <c r="AP500" s="16" t="s">
        <v>335</v>
      </c>
      <c r="AQ500" s="16"/>
      <c r="AR500" s="21" t="n">
        <f aca="false">IF(AND(T500&lt;&gt;"",H500&lt;&gt;""),IF(AND((T500-H500)*86400&gt;=0,(T500-H500)*86400&lt;تنظیمات!$B$13),1,0),0)</f>
        <v>0</v>
      </c>
      <c r="AS500" s="21" t="n">
        <f aca="false">IF(Z500="پوز",IF(OR(AB500="",COUNTIF(پوزها!$A$2:$A$5,AA500)=0),1,0),0)</f>
        <v>0</v>
      </c>
      <c r="AT500" s="21" t="n">
        <f aca="false">IF(AI500="",0,IF(AI500&gt;0,1,0))</f>
        <v>0</v>
      </c>
      <c r="AU500" s="21" t="n">
        <f aca="false">IF(AI500="",0,IF(AI500&lt;0,1,0))</f>
        <v>0</v>
      </c>
      <c r="AV500" s="21" t="n">
        <f aca="false">IF(U500&gt;V500,1,0)</f>
        <v>0</v>
      </c>
      <c r="AW500" s="21" t="n">
        <f aca="false">IF(OR(W500&gt;تنظیمات!$B$8,X500="بله"),1,0)</f>
        <v>0</v>
      </c>
      <c r="AX500" s="21" t="n">
        <f aca="false">IF(AND(N500="بله",L500&gt;تنظیمات!$B$9),1,0)</f>
        <v>0</v>
      </c>
      <c r="AY500" s="21" t="n">
        <f aca="false">IF(Y500="معکوس",1,0)</f>
        <v>0</v>
      </c>
      <c r="AZ500" s="21" t="n">
        <f aca="false">IF(ABS(AJ500)&gt;تنظیمات!$B$10,1,0)</f>
        <v>0</v>
      </c>
      <c r="BA500" s="21" t="n">
        <f aca="false">IF(AND(OR(AD500="رایگان/VIP",AD500="جانباز"),AF500="خیر"),1,0)</f>
        <v>0</v>
      </c>
      <c r="BB500" s="21" t="n">
        <f aca="false">IF(AE500="",0,IF(COUNTIF($AE$2:$AE$1001,AE500)&gt;1,1,0))</f>
        <v>0</v>
      </c>
      <c r="BC500" s="21" t="n">
        <f aca="false">IF(AND(H500="",I500&gt;تنظیمات!$B$12*60,AM500="خالی"),1,0)</f>
        <v>0</v>
      </c>
      <c r="BD500" s="21" t="n">
        <f aca="false">IF(AND(AP500="بله",I500&lt;تنظیمات!$B$14,AO500="خیر"),1,0)</f>
        <v>0</v>
      </c>
      <c r="BE500" s="21" t="n">
        <f aca="false">IF(AN500="خیر",1,0)</f>
        <v>0</v>
      </c>
      <c r="BF500" s="21" t="n">
        <f aca="false">IF(AND(AD500="فیش مفقودی",AQ500="بله",I500&gt;تنظیمات!$B$12*60),1,0)</f>
        <v>0</v>
      </c>
      <c r="BG500" s="21" t="n">
        <f aca="false">IF(AND(AK500&gt;تنظیمات!$B$11,AL500="بله"),1,0)</f>
        <v>0</v>
      </c>
      <c r="BH500" s="21" t="n">
        <f aca="false">MIN(100,AR500*تنظیمات!$B$21+AS500*تنظیمات!$B$22+AT500*تنظیمات!$B$23+AU500*تنظیمات!$B$24+AV500*تنظیمات!$B$25+AW500*تنظیمات!$B$26+AX500*تنظیمات!$B$27+AY500*تنظیمات!$B$28+AZ500*تنظیمات!$B$29+BA500*تنظیمات!$B$30+BB500*تنظیمات!$B$31+BC500*تنظیمات!$B$32+BD500*تنظیمات!$B$33+BE500*تنظیمات!$B$34+BF500*تنظیمات!$B$35+BG500*تنظیمات!$B$36)</f>
        <v>0</v>
      </c>
      <c r="BI500" s="16" t="str">
        <f aca="false">IF(BH500&gt;=60,"بحرانی",IF(BH500&gt;=30,"مشکوک",IF(BH500&gt;0,"هشدار","عادی")))</f>
        <v>عادی</v>
      </c>
      <c r="BJ500" s="16" t="s">
        <v>338</v>
      </c>
    </row>
    <row r="501" customFormat="false" ht="15" hidden="false" customHeight="false" outlineLevel="0" collapsed="false">
      <c r="A501" s="16" t="s">
        <v>1947</v>
      </c>
      <c r="B501" s="16" t="s">
        <v>643</v>
      </c>
      <c r="C501" s="16"/>
      <c r="D501" s="16" t="s">
        <v>382</v>
      </c>
      <c r="E501" s="16" t="s">
        <v>345</v>
      </c>
      <c r="F501" s="16" t="s">
        <v>333</v>
      </c>
      <c r="G501" s="17" t="n">
        <v>46288.0926388889</v>
      </c>
      <c r="H501" s="17" t="n">
        <v>46288.1204166667</v>
      </c>
      <c r="I501" s="18" t="n">
        <f aca="false">IF(H501="",ROUND((تنظیمات!$B$7-G501)*1440,0),ROUND((H501-G501)*1440,0))</f>
        <v>40</v>
      </c>
      <c r="J501" s="16" t="s">
        <v>334</v>
      </c>
      <c r="K501" s="16" t="s">
        <v>400</v>
      </c>
      <c r="L501" s="19" t="n">
        <v>0.915</v>
      </c>
      <c r="M501" s="19" t="n">
        <v>0.925</v>
      </c>
      <c r="N501" s="16" t="s">
        <v>335</v>
      </c>
      <c r="O501" s="16" t="s">
        <v>401</v>
      </c>
      <c r="P501" s="16" t="s">
        <v>651</v>
      </c>
      <c r="Q501" s="20" t="n">
        <v>46287</v>
      </c>
      <c r="R501" s="16" t="s">
        <v>1948</v>
      </c>
      <c r="S501" s="16" t="s">
        <v>404</v>
      </c>
      <c r="T501" s="17"/>
      <c r="U501" s="21" t="n">
        <v>1</v>
      </c>
      <c r="V501" s="21" t="n">
        <v>1</v>
      </c>
      <c r="W501" s="22" t="n">
        <v>5.6</v>
      </c>
      <c r="X501" s="16" t="s">
        <v>335</v>
      </c>
      <c r="Y501" s="16" t="s">
        <v>338</v>
      </c>
      <c r="Z501" s="16" t="s">
        <v>413</v>
      </c>
      <c r="AA501" s="16" t="s">
        <v>427</v>
      </c>
      <c r="AB501" s="23" t="s">
        <v>1949</v>
      </c>
      <c r="AC501" s="17" t="n">
        <v>46288.1197916667</v>
      </c>
      <c r="AD501" s="16" t="s">
        <v>338</v>
      </c>
      <c r="AE501" s="16"/>
      <c r="AF501" s="16" t="str">
        <f aca="false">IF(COUNTIF(لیست_سفید!$A$2:$A$21,B501)&gt;0,"بله","خیر")</f>
        <v>خیر</v>
      </c>
      <c r="AG501" s="24" t="n">
        <f aca="false">IF(H501="","",IF(AD501="فیش مفقودی",تنظیمات!$B$6,(INT(I501/1440)*تنظیمات!$B$5+IF(MOD(I501,1440)&lt;=تنظیمات!$B$2,0,MIN(تنظیمات!$B$5,تنظیمات!$B$3+MAX(0,ROUNDUP((MOD(I501,1440)-60)/60,0))*تنظیمات!$B$4)))*INDEX(تعرفه!$B$2:$B$7,MATCH(AD501,تعرفه!$A$2:$A$7,0))))</f>
        <v>20000</v>
      </c>
      <c r="AH501" s="24" t="n">
        <v>20000</v>
      </c>
      <c r="AI501" s="24" t="n">
        <f aca="false">IF(AG501="","",AH501-AG501)</f>
        <v>0</v>
      </c>
      <c r="AJ501" s="21" t="n">
        <v>1</v>
      </c>
      <c r="AK501" s="21" t="n">
        <v>0</v>
      </c>
      <c r="AL501" s="16" t="s">
        <v>335</v>
      </c>
      <c r="AM501" s="16"/>
      <c r="AN501" s="16" t="s">
        <v>340</v>
      </c>
      <c r="AO501" s="16" t="s">
        <v>340</v>
      </c>
      <c r="AP501" s="16" t="s">
        <v>335</v>
      </c>
      <c r="AQ501" s="16"/>
      <c r="AR501" s="21" t="n">
        <f aca="false">IF(AND(T501&lt;&gt;"",H501&lt;&gt;""),IF(AND((T501-H501)*86400&gt;=0,(T501-H501)*86400&lt;تنظیمات!$B$13),1,0),0)</f>
        <v>0</v>
      </c>
      <c r="AS501" s="21" t="n">
        <f aca="false">IF(Z501="پوز",IF(OR(AB501="",COUNTIF(پوزها!$A$2:$A$5,AA501)=0),1,0),0)</f>
        <v>0</v>
      </c>
      <c r="AT501" s="21" t="n">
        <f aca="false">IF(AI501="",0,IF(AI501&gt;0,1,0))</f>
        <v>0</v>
      </c>
      <c r="AU501" s="21" t="n">
        <f aca="false">IF(AI501="",0,IF(AI501&lt;0,1,0))</f>
        <v>0</v>
      </c>
      <c r="AV501" s="21" t="n">
        <f aca="false">IF(U501&gt;V501,1,0)</f>
        <v>0</v>
      </c>
      <c r="AW501" s="21" t="n">
        <f aca="false">IF(OR(W501&gt;تنظیمات!$B$8,X501="بله"),1,0)</f>
        <v>0</v>
      </c>
      <c r="AX501" s="21" t="n">
        <f aca="false">IF(AND(N501="بله",L501&gt;تنظیمات!$B$9),1,0)</f>
        <v>0</v>
      </c>
      <c r="AY501" s="21" t="n">
        <f aca="false">IF(Y501="معکوس",1,0)</f>
        <v>0</v>
      </c>
      <c r="AZ501" s="21" t="n">
        <f aca="false">IF(ABS(AJ501)&gt;تنظیمات!$B$10,1,0)</f>
        <v>0</v>
      </c>
      <c r="BA501" s="21" t="n">
        <f aca="false">IF(AND(OR(AD501="رایگان/VIP",AD501="جانباز"),AF501="خیر"),1,0)</f>
        <v>0</v>
      </c>
      <c r="BB501" s="21" t="n">
        <f aca="false">IF(AE501="",0,IF(COUNTIF($AE$2:$AE$1001,AE501)&gt;1,1,0))</f>
        <v>0</v>
      </c>
      <c r="BC501" s="21" t="n">
        <f aca="false">IF(AND(H501="",I501&gt;تنظیمات!$B$12*60,AM501="خالی"),1,0)</f>
        <v>0</v>
      </c>
      <c r="BD501" s="21" t="n">
        <f aca="false">IF(AND(AP501="بله",I501&lt;تنظیمات!$B$14,AO501="خیر"),1,0)</f>
        <v>0</v>
      </c>
      <c r="BE501" s="21" t="n">
        <f aca="false">IF(AN501="خیر",1,0)</f>
        <v>0</v>
      </c>
      <c r="BF501" s="21" t="n">
        <f aca="false">IF(AND(AD501="فیش مفقودی",AQ501="بله",I501&gt;تنظیمات!$B$12*60),1,0)</f>
        <v>0</v>
      </c>
      <c r="BG501" s="21" t="n">
        <f aca="false">IF(AND(AK501&gt;تنظیمات!$B$11,AL501="بله"),1,0)</f>
        <v>0</v>
      </c>
      <c r="BH501" s="21" t="n">
        <f aca="false">MIN(100,AR501*تنظیمات!$B$21+AS501*تنظیمات!$B$22+AT501*تنظیمات!$B$23+AU501*تنظیمات!$B$24+AV501*تنظیمات!$B$25+AW501*تنظیمات!$B$26+AX501*تنظیمات!$B$27+AY501*تنظیمات!$B$28+AZ501*تنظیمات!$B$29+BA501*تنظیمات!$B$30+BB501*تنظیمات!$B$31+BC501*تنظیمات!$B$32+BD501*تنظیمات!$B$33+BE501*تنظیمات!$B$34+BF501*تنظیمات!$B$35+BG501*تنظیمات!$B$36)</f>
        <v>0</v>
      </c>
      <c r="BI501" s="16" t="str">
        <f aca="false">IF(BH501&gt;=60,"بحرانی",IF(BH501&gt;=30,"مشکوک",IF(BH501&gt;0,"هشدار","عادی")))</f>
        <v>عادی</v>
      </c>
      <c r="BJ501" s="16" t="s">
        <v>338</v>
      </c>
    </row>
    <row r="502" customFormat="false" ht="15" hidden="false" customHeight="false" outlineLevel="0" collapsed="false">
      <c r="A502" s="16" t="s">
        <v>1950</v>
      </c>
      <c r="B502" s="16" t="s">
        <v>973</v>
      </c>
      <c r="C502" s="16"/>
      <c r="D502" s="16" t="s">
        <v>431</v>
      </c>
      <c r="E502" s="16" t="s">
        <v>332</v>
      </c>
      <c r="F502" s="16" t="s">
        <v>333</v>
      </c>
      <c r="G502" s="17" t="n">
        <v>46288.1187152778</v>
      </c>
      <c r="H502" s="17" t="n">
        <v>46288.4937152778</v>
      </c>
      <c r="I502" s="18" t="n">
        <f aca="false">IF(H502="",ROUND((تنظیمات!$B$7-G502)*1440,0),ROUND((H502-G502)*1440,0))</f>
        <v>540</v>
      </c>
      <c r="J502" s="16" t="s">
        <v>334</v>
      </c>
      <c r="K502" s="16" t="s">
        <v>410</v>
      </c>
      <c r="L502" s="19" t="n">
        <v>0.988</v>
      </c>
      <c r="M502" s="19" t="n">
        <v>0.995</v>
      </c>
      <c r="N502" s="16" t="s">
        <v>335</v>
      </c>
      <c r="O502" s="16" t="s">
        <v>650</v>
      </c>
      <c r="P502" s="16" t="s">
        <v>402</v>
      </c>
      <c r="Q502" s="20" t="n">
        <v>46288</v>
      </c>
      <c r="R502" s="16" t="s">
        <v>1951</v>
      </c>
      <c r="S502" s="16" t="s">
        <v>404</v>
      </c>
      <c r="T502" s="17"/>
      <c r="U502" s="21" t="n">
        <v>1</v>
      </c>
      <c r="V502" s="21" t="n">
        <v>1</v>
      </c>
      <c r="W502" s="22" t="n">
        <v>7.1</v>
      </c>
      <c r="X502" s="16" t="s">
        <v>335</v>
      </c>
      <c r="Y502" s="16" t="s">
        <v>338</v>
      </c>
      <c r="Z502" s="16" t="s">
        <v>443</v>
      </c>
      <c r="AA502" s="16"/>
      <c r="AB502" s="23"/>
      <c r="AC502" s="17"/>
      <c r="AD502" s="16" t="s">
        <v>444</v>
      </c>
      <c r="AE502" s="16"/>
      <c r="AF502" s="16" t="str">
        <f aca="false">IF(COUNTIF(لیست_سفید!$A$2:$A$21,B502)&gt;0,"بله","خیر")</f>
        <v>خیر</v>
      </c>
      <c r="AG502" s="24" t="n">
        <f aca="false">IF(H502="","",IF(AD502="فیش مفقودی",تنظیمات!$B$6,(INT(I502/1440)*تنظیمات!$B$5+IF(MOD(I502,1440)&lt;=تنظیمات!$B$2,0,MIN(تنظیمات!$B$5,تنظیمات!$B$3+MAX(0,ROUNDUP((MOD(I502,1440)-60)/60,0))*تنظیمات!$B$4)))*INDEX(تعرفه!$B$2:$B$7,MATCH(AD502,تعرفه!$A$2:$A$7,0))))</f>
        <v>0</v>
      </c>
      <c r="AH502" s="24" t="n">
        <v>0</v>
      </c>
      <c r="AI502" s="24" t="n">
        <f aca="false">IF(AG502="","",AH502-AG502)</f>
        <v>0</v>
      </c>
      <c r="AJ502" s="21" t="n">
        <v>1</v>
      </c>
      <c r="AK502" s="21" t="n">
        <v>0</v>
      </c>
      <c r="AL502" s="16" t="s">
        <v>335</v>
      </c>
      <c r="AM502" s="16"/>
      <c r="AN502" s="16" t="s">
        <v>340</v>
      </c>
      <c r="AO502" s="16" t="s">
        <v>340</v>
      </c>
      <c r="AP502" s="16" t="s">
        <v>335</v>
      </c>
      <c r="AQ502" s="16"/>
      <c r="AR502" s="21" t="n">
        <f aca="false">IF(AND(T502&lt;&gt;"",H502&lt;&gt;""),IF(AND((T502-H502)*86400&gt;=0,(T502-H502)*86400&lt;تنظیمات!$B$13),1,0),0)</f>
        <v>0</v>
      </c>
      <c r="AS502" s="21" t="n">
        <f aca="false">IF(Z502="پوز",IF(OR(AB502="",COUNTIF(پوزها!$A$2:$A$5,AA502)=0),1,0),0)</f>
        <v>0</v>
      </c>
      <c r="AT502" s="21" t="n">
        <f aca="false">IF(AI502="",0,IF(AI502&gt;0,1,0))</f>
        <v>0</v>
      </c>
      <c r="AU502" s="21" t="n">
        <f aca="false">IF(AI502="",0,IF(AI502&lt;0,1,0))</f>
        <v>0</v>
      </c>
      <c r="AV502" s="21" t="n">
        <f aca="false">IF(U502&gt;V502,1,0)</f>
        <v>0</v>
      </c>
      <c r="AW502" s="21" t="n">
        <f aca="false">IF(OR(W502&gt;تنظیمات!$B$8,X502="بله"),1,0)</f>
        <v>0</v>
      </c>
      <c r="AX502" s="21" t="n">
        <f aca="false">IF(AND(N502="بله",L502&gt;تنظیمات!$B$9),1,0)</f>
        <v>0</v>
      </c>
      <c r="AY502" s="21" t="n">
        <f aca="false">IF(Y502="معکوس",1,0)</f>
        <v>0</v>
      </c>
      <c r="AZ502" s="21" t="n">
        <f aca="false">IF(ABS(AJ502)&gt;تنظیمات!$B$10,1,0)</f>
        <v>0</v>
      </c>
      <c r="BA502" s="21" t="n">
        <f aca="false">IF(AND(OR(AD502="رایگان/VIP",AD502="جانباز"),AF502="خیر"),1,0)</f>
        <v>0</v>
      </c>
      <c r="BB502" s="21" t="n">
        <f aca="false">IF(AE502="",0,IF(COUNTIF($AE$2:$AE$1001,AE502)&gt;1,1,0))</f>
        <v>0</v>
      </c>
      <c r="BC502" s="21" t="n">
        <f aca="false">IF(AND(H502="",I502&gt;تنظیمات!$B$12*60,AM502="خالی"),1,0)</f>
        <v>0</v>
      </c>
      <c r="BD502" s="21" t="n">
        <f aca="false">IF(AND(AP502="بله",I502&lt;تنظیمات!$B$14,AO502="خیر"),1,0)</f>
        <v>0</v>
      </c>
      <c r="BE502" s="21" t="n">
        <f aca="false">IF(AN502="خیر",1,0)</f>
        <v>0</v>
      </c>
      <c r="BF502" s="21" t="n">
        <f aca="false">IF(AND(AD502="فیش مفقودی",AQ502="بله",I502&gt;تنظیمات!$B$12*60),1,0)</f>
        <v>0</v>
      </c>
      <c r="BG502" s="21" t="n">
        <f aca="false">IF(AND(AK502&gt;تنظیمات!$B$11,AL502="بله"),1,0)</f>
        <v>0</v>
      </c>
      <c r="BH502" s="21" t="n">
        <f aca="false">MIN(100,AR502*تنظیمات!$B$21+AS502*تنظیمات!$B$22+AT502*تنظیمات!$B$23+AU502*تنظیمات!$B$24+AV502*تنظیمات!$B$25+AW502*تنظیمات!$B$26+AX502*تنظیمات!$B$27+AY502*تنظیمات!$B$28+AZ502*تنظیمات!$B$29+BA502*تنظیمات!$B$30+BB502*تنظیمات!$B$31+BC502*تنظیمات!$B$32+BD502*تنظیمات!$B$33+BE502*تنظیمات!$B$34+BF502*تنظیمات!$B$35+BG502*تنظیمات!$B$36)</f>
        <v>0</v>
      </c>
      <c r="BI502" s="16" t="str">
        <f aca="false">IF(BH502&gt;=60,"بحرانی",IF(BH502&gt;=30,"مشکوک",IF(BH502&gt;0,"هشدار","عادی")))</f>
        <v>عادی</v>
      </c>
      <c r="BJ502" s="16" t="s">
        <v>338</v>
      </c>
    </row>
    <row r="503" customFormat="false" ht="15" hidden="false" customHeight="false" outlineLevel="0" collapsed="false">
      <c r="A503" s="16" t="s">
        <v>1952</v>
      </c>
      <c r="B503" s="16" t="s">
        <v>1056</v>
      </c>
      <c r="C503" s="16"/>
      <c r="D503" s="16" t="s">
        <v>531</v>
      </c>
      <c r="E503" s="16" t="s">
        <v>390</v>
      </c>
      <c r="F503" s="16" t="s">
        <v>333</v>
      </c>
      <c r="G503" s="17" t="n">
        <v>46288.1488773148</v>
      </c>
      <c r="H503" s="17" t="n">
        <v>46288.3558217593</v>
      </c>
      <c r="I503" s="18" t="n">
        <f aca="false">IF(H503="",ROUND((تنظیمات!$B$7-G503)*1440,0),ROUND((H503-G503)*1440,0))</f>
        <v>298</v>
      </c>
      <c r="J503" s="16" t="s">
        <v>334</v>
      </c>
      <c r="K503" s="16" t="s">
        <v>410</v>
      </c>
      <c r="L503" s="19" t="n">
        <v>0.944</v>
      </c>
      <c r="M503" s="19" t="n">
        <v>0.911</v>
      </c>
      <c r="N503" s="16" t="s">
        <v>335</v>
      </c>
      <c r="O503" s="16" t="s">
        <v>650</v>
      </c>
      <c r="P503" s="16" t="s">
        <v>402</v>
      </c>
      <c r="Q503" s="20" t="n">
        <v>46288</v>
      </c>
      <c r="R503" s="16" t="s">
        <v>1953</v>
      </c>
      <c r="S503" s="16" t="s">
        <v>404</v>
      </c>
      <c r="T503" s="17"/>
      <c r="U503" s="21" t="n">
        <v>1</v>
      </c>
      <c r="V503" s="21" t="n">
        <v>1</v>
      </c>
      <c r="W503" s="22" t="n">
        <v>4.2</v>
      </c>
      <c r="X503" s="16" t="s">
        <v>335</v>
      </c>
      <c r="Y503" s="16" t="s">
        <v>338</v>
      </c>
      <c r="Z503" s="16" t="s">
        <v>413</v>
      </c>
      <c r="AA503" s="16" t="s">
        <v>414</v>
      </c>
      <c r="AB503" s="23" t="s">
        <v>1954</v>
      </c>
      <c r="AC503" s="17" t="n">
        <v>46288.3552662037</v>
      </c>
      <c r="AD503" s="16" t="s">
        <v>338</v>
      </c>
      <c r="AE503" s="16"/>
      <c r="AF503" s="16" t="str">
        <f aca="false">IF(COUNTIF(لیست_سفید!$A$2:$A$21,B503)&gt;0,"بله","خیر")</f>
        <v>خیر</v>
      </c>
      <c r="AG503" s="24" t="n">
        <f aca="false">IF(H503="","",IF(AD503="فیش مفقودی",تنظیمات!$B$6,(INT(I503/1440)*تنظیمات!$B$5+IF(MOD(I503,1440)&lt;=تنظیمات!$B$2,0,MIN(تنظیمات!$B$5,تنظیمات!$B$3+MAX(0,ROUNDUP((MOD(I503,1440)-60)/60,0))*تنظیمات!$B$4)))*INDEX(تعرفه!$B$2:$B$7,MATCH(AD503,تعرفه!$A$2:$A$7,0))))</f>
        <v>76000</v>
      </c>
      <c r="AH503" s="24" t="n">
        <v>76000</v>
      </c>
      <c r="AI503" s="24" t="n">
        <f aca="false">IF(AG503="","",AH503-AG503)</f>
        <v>0</v>
      </c>
      <c r="AJ503" s="21" t="n">
        <v>-1</v>
      </c>
      <c r="AK503" s="21" t="n">
        <v>0</v>
      </c>
      <c r="AL503" s="16" t="s">
        <v>335</v>
      </c>
      <c r="AM503" s="16"/>
      <c r="AN503" s="16" t="s">
        <v>340</v>
      </c>
      <c r="AO503" s="16" t="s">
        <v>340</v>
      </c>
      <c r="AP503" s="16" t="s">
        <v>335</v>
      </c>
      <c r="AQ503" s="16"/>
      <c r="AR503" s="21" t="n">
        <f aca="false">IF(AND(T503&lt;&gt;"",H503&lt;&gt;""),IF(AND((T503-H503)*86400&gt;=0,(T503-H503)*86400&lt;تنظیمات!$B$13),1,0),0)</f>
        <v>0</v>
      </c>
      <c r="AS503" s="21" t="n">
        <f aca="false">IF(Z503="پوز",IF(OR(AB503="",COUNTIF(پوزها!$A$2:$A$5,AA503)=0),1,0),0)</f>
        <v>0</v>
      </c>
      <c r="AT503" s="21" t="n">
        <f aca="false">IF(AI503="",0,IF(AI503&gt;0,1,0))</f>
        <v>0</v>
      </c>
      <c r="AU503" s="21" t="n">
        <f aca="false">IF(AI503="",0,IF(AI503&lt;0,1,0))</f>
        <v>0</v>
      </c>
      <c r="AV503" s="21" t="n">
        <f aca="false">IF(U503&gt;V503,1,0)</f>
        <v>0</v>
      </c>
      <c r="AW503" s="21" t="n">
        <f aca="false">IF(OR(W503&gt;تنظیمات!$B$8,X503="بله"),1,0)</f>
        <v>0</v>
      </c>
      <c r="AX503" s="21" t="n">
        <f aca="false">IF(AND(N503="بله",L503&gt;تنظیمات!$B$9),1,0)</f>
        <v>0</v>
      </c>
      <c r="AY503" s="21" t="n">
        <f aca="false">IF(Y503="معکوس",1,0)</f>
        <v>0</v>
      </c>
      <c r="AZ503" s="21" t="n">
        <f aca="false">IF(ABS(AJ503)&gt;تنظیمات!$B$10,1,0)</f>
        <v>0</v>
      </c>
      <c r="BA503" s="21" t="n">
        <f aca="false">IF(AND(OR(AD503="رایگان/VIP",AD503="جانباز"),AF503="خیر"),1,0)</f>
        <v>0</v>
      </c>
      <c r="BB503" s="21" t="n">
        <f aca="false">IF(AE503="",0,IF(COUNTIF($AE$2:$AE$1001,AE503)&gt;1,1,0))</f>
        <v>0</v>
      </c>
      <c r="BC503" s="21" t="n">
        <f aca="false">IF(AND(H503="",I503&gt;تنظیمات!$B$12*60,AM503="خالی"),1,0)</f>
        <v>0</v>
      </c>
      <c r="BD503" s="21" t="n">
        <f aca="false">IF(AND(AP503="بله",I503&lt;تنظیمات!$B$14,AO503="خیر"),1,0)</f>
        <v>0</v>
      </c>
      <c r="BE503" s="21" t="n">
        <f aca="false">IF(AN503="خیر",1,0)</f>
        <v>0</v>
      </c>
      <c r="BF503" s="21" t="n">
        <f aca="false">IF(AND(AD503="فیش مفقودی",AQ503="بله",I503&gt;تنظیمات!$B$12*60),1,0)</f>
        <v>0</v>
      </c>
      <c r="BG503" s="21" t="n">
        <f aca="false">IF(AND(AK503&gt;تنظیمات!$B$11,AL503="بله"),1,0)</f>
        <v>0</v>
      </c>
      <c r="BH503" s="21" t="n">
        <f aca="false">MIN(100,AR503*تنظیمات!$B$21+AS503*تنظیمات!$B$22+AT503*تنظیمات!$B$23+AU503*تنظیمات!$B$24+AV503*تنظیمات!$B$25+AW503*تنظیمات!$B$26+AX503*تنظیمات!$B$27+AY503*تنظیمات!$B$28+AZ503*تنظیمات!$B$29+BA503*تنظیمات!$B$30+BB503*تنظیمات!$B$31+BC503*تنظیمات!$B$32+BD503*تنظیمات!$B$33+BE503*تنظیمات!$B$34+BF503*تنظیمات!$B$35+BG503*تنظیمات!$B$36)</f>
        <v>0</v>
      </c>
      <c r="BI503" s="16" t="str">
        <f aca="false">IF(BH503&gt;=60,"بحرانی",IF(BH503&gt;=30,"مشکوک",IF(BH503&gt;0,"هشدار","عادی")))</f>
        <v>عادی</v>
      </c>
      <c r="BJ503" s="16" t="s">
        <v>338</v>
      </c>
    </row>
    <row r="504" customFormat="false" ht="15" hidden="false" customHeight="false" outlineLevel="0" collapsed="false">
      <c r="A504" s="16" t="s">
        <v>1955</v>
      </c>
      <c r="B504" s="16" t="s">
        <v>1846</v>
      </c>
      <c r="C504" s="16"/>
      <c r="D504" s="16" t="s">
        <v>331</v>
      </c>
      <c r="E504" s="16" t="s">
        <v>351</v>
      </c>
      <c r="F504" s="16" t="s">
        <v>333</v>
      </c>
      <c r="G504" s="17" t="n">
        <v>46288.1806481482</v>
      </c>
      <c r="H504" s="17" t="n">
        <v>46288.413287037</v>
      </c>
      <c r="I504" s="18" t="n">
        <f aca="false">IF(H504="",ROUND((تنظیمات!$B$7-G504)*1440,0),ROUND((H504-G504)*1440,0))</f>
        <v>335</v>
      </c>
      <c r="J504" s="16" t="s">
        <v>334</v>
      </c>
      <c r="K504" s="16" t="s">
        <v>410</v>
      </c>
      <c r="L504" s="19" t="n">
        <v>0.995</v>
      </c>
      <c r="M504" s="19" t="n">
        <v>0.908</v>
      </c>
      <c r="N504" s="16" t="s">
        <v>335</v>
      </c>
      <c r="O504" s="16" t="s">
        <v>650</v>
      </c>
      <c r="P504" s="16" t="s">
        <v>402</v>
      </c>
      <c r="Q504" s="20" t="n">
        <v>46288</v>
      </c>
      <c r="R504" s="16" t="s">
        <v>1956</v>
      </c>
      <c r="S504" s="16" t="s">
        <v>404</v>
      </c>
      <c r="T504" s="17"/>
      <c r="U504" s="21" t="n">
        <v>1</v>
      </c>
      <c r="V504" s="21" t="n">
        <v>1</v>
      </c>
      <c r="W504" s="22" t="n">
        <v>5.7</v>
      </c>
      <c r="X504" s="16" t="s">
        <v>335</v>
      </c>
      <c r="Y504" s="16" t="s">
        <v>338</v>
      </c>
      <c r="Z504" s="16" t="s">
        <v>465</v>
      </c>
      <c r="AA504" s="16"/>
      <c r="AB504" s="23"/>
      <c r="AC504" s="17"/>
      <c r="AD504" s="16" t="s">
        <v>466</v>
      </c>
      <c r="AE504" s="16"/>
      <c r="AF504" s="16" t="str">
        <f aca="false">IF(COUNTIF(لیست_سفید!$A$2:$A$21,B504)&gt;0,"بله","خیر")</f>
        <v>بله</v>
      </c>
      <c r="AG504" s="24" t="n">
        <f aca="false">IF(H504="","",IF(AD504="فیش مفقودی",تنظیمات!$B$6,(INT(I504/1440)*تنظیمات!$B$5+IF(MOD(I504,1440)&lt;=تنظیمات!$B$2,0,MIN(تنظیمات!$B$5,تنظیمات!$B$3+MAX(0,ROUNDUP((MOD(I504,1440)-60)/60,0))*تنظیمات!$B$4)))*INDEX(تعرفه!$B$2:$B$7,MATCH(AD504,تعرفه!$A$2:$A$7,0))))</f>
        <v>0</v>
      </c>
      <c r="AH504" s="24" t="n">
        <v>0</v>
      </c>
      <c r="AI504" s="24" t="n">
        <f aca="false">IF(AG504="","",AH504-AG504)</f>
        <v>0</v>
      </c>
      <c r="AJ504" s="21" t="n">
        <v>0</v>
      </c>
      <c r="AK504" s="21" t="n">
        <v>0</v>
      </c>
      <c r="AL504" s="16" t="s">
        <v>335</v>
      </c>
      <c r="AM504" s="16"/>
      <c r="AN504" s="16" t="s">
        <v>340</v>
      </c>
      <c r="AO504" s="16" t="s">
        <v>340</v>
      </c>
      <c r="AP504" s="16" t="s">
        <v>335</v>
      </c>
      <c r="AQ504" s="16"/>
      <c r="AR504" s="21" t="n">
        <f aca="false">IF(AND(T504&lt;&gt;"",H504&lt;&gt;""),IF(AND((T504-H504)*86400&gt;=0,(T504-H504)*86400&lt;تنظیمات!$B$13),1,0),0)</f>
        <v>0</v>
      </c>
      <c r="AS504" s="21" t="n">
        <f aca="false">IF(Z504="پوز",IF(OR(AB504="",COUNTIF(پوزها!$A$2:$A$5,AA504)=0),1,0),0)</f>
        <v>0</v>
      </c>
      <c r="AT504" s="21" t="n">
        <f aca="false">IF(AI504="",0,IF(AI504&gt;0,1,0))</f>
        <v>0</v>
      </c>
      <c r="AU504" s="21" t="n">
        <f aca="false">IF(AI504="",0,IF(AI504&lt;0,1,0))</f>
        <v>0</v>
      </c>
      <c r="AV504" s="21" t="n">
        <f aca="false">IF(U504&gt;V504,1,0)</f>
        <v>0</v>
      </c>
      <c r="AW504" s="21" t="n">
        <f aca="false">IF(OR(W504&gt;تنظیمات!$B$8,X504="بله"),1,0)</f>
        <v>0</v>
      </c>
      <c r="AX504" s="21" t="n">
        <f aca="false">IF(AND(N504="بله",L504&gt;تنظیمات!$B$9),1,0)</f>
        <v>0</v>
      </c>
      <c r="AY504" s="21" t="n">
        <f aca="false">IF(Y504="معکوس",1,0)</f>
        <v>0</v>
      </c>
      <c r="AZ504" s="21" t="n">
        <f aca="false">IF(ABS(AJ504)&gt;تنظیمات!$B$10,1,0)</f>
        <v>0</v>
      </c>
      <c r="BA504" s="21" t="n">
        <f aca="false">IF(AND(OR(AD504="رایگان/VIP",AD504="جانباز"),AF504="خیر"),1,0)</f>
        <v>0</v>
      </c>
      <c r="BB504" s="21" t="n">
        <f aca="false">IF(AE504="",0,IF(COUNTIF($AE$2:$AE$1001,AE504)&gt;1,1,0))</f>
        <v>0</v>
      </c>
      <c r="BC504" s="21" t="n">
        <f aca="false">IF(AND(H504="",I504&gt;تنظیمات!$B$12*60,AM504="خالی"),1,0)</f>
        <v>0</v>
      </c>
      <c r="BD504" s="21" t="n">
        <f aca="false">IF(AND(AP504="بله",I504&lt;تنظیمات!$B$14,AO504="خیر"),1,0)</f>
        <v>0</v>
      </c>
      <c r="BE504" s="21" t="n">
        <f aca="false">IF(AN504="خیر",1,0)</f>
        <v>0</v>
      </c>
      <c r="BF504" s="21" t="n">
        <f aca="false">IF(AND(AD504="فیش مفقودی",AQ504="بله",I504&gt;تنظیمات!$B$12*60),1,0)</f>
        <v>0</v>
      </c>
      <c r="BG504" s="21" t="n">
        <f aca="false">IF(AND(AK504&gt;تنظیمات!$B$11,AL504="بله"),1,0)</f>
        <v>0</v>
      </c>
      <c r="BH504" s="21" t="n">
        <f aca="false">MIN(100,AR504*تنظیمات!$B$21+AS504*تنظیمات!$B$22+AT504*تنظیمات!$B$23+AU504*تنظیمات!$B$24+AV504*تنظیمات!$B$25+AW504*تنظیمات!$B$26+AX504*تنظیمات!$B$27+AY504*تنظیمات!$B$28+AZ504*تنظیمات!$B$29+BA504*تنظیمات!$B$30+BB504*تنظیمات!$B$31+BC504*تنظیمات!$B$32+BD504*تنظیمات!$B$33+BE504*تنظیمات!$B$34+BF504*تنظیمات!$B$35+BG504*تنظیمات!$B$36)</f>
        <v>0</v>
      </c>
      <c r="BI504" s="16" t="str">
        <f aca="false">IF(BH504&gt;=60,"بحرانی",IF(BH504&gt;=30,"مشکوک",IF(BH504&gt;0,"هشدار","عادی")))</f>
        <v>عادی</v>
      </c>
      <c r="BJ504" s="16" t="s">
        <v>338</v>
      </c>
    </row>
    <row r="505" customFormat="false" ht="15" hidden="false" customHeight="false" outlineLevel="0" collapsed="false">
      <c r="A505" s="16" t="s">
        <v>1957</v>
      </c>
      <c r="B505" s="16" t="s">
        <v>586</v>
      </c>
      <c r="C505" s="16"/>
      <c r="D505" s="16" t="s">
        <v>382</v>
      </c>
      <c r="E505" s="16" t="s">
        <v>345</v>
      </c>
      <c r="F505" s="16" t="s">
        <v>333</v>
      </c>
      <c r="G505" s="17" t="n">
        <v>46288.2079398148</v>
      </c>
      <c r="H505" s="17" t="n">
        <v>46288.4621064815</v>
      </c>
      <c r="I505" s="18" t="n">
        <f aca="false">IF(H505="",ROUND((تنظیمات!$B$7-G505)*1440,0),ROUND((H505-G505)*1440,0))</f>
        <v>366</v>
      </c>
      <c r="J505" s="16" t="s">
        <v>346</v>
      </c>
      <c r="K505" s="16" t="s">
        <v>400</v>
      </c>
      <c r="L505" s="19" t="n">
        <v>0.92</v>
      </c>
      <c r="M505" s="19" t="n">
        <v>0.977</v>
      </c>
      <c r="N505" s="16" t="s">
        <v>335</v>
      </c>
      <c r="O505" s="16" t="s">
        <v>419</v>
      </c>
      <c r="P505" s="16" t="s">
        <v>402</v>
      </c>
      <c r="Q505" s="20" t="n">
        <v>46288</v>
      </c>
      <c r="R505" s="16" t="s">
        <v>1958</v>
      </c>
      <c r="S505" s="16" t="s">
        <v>404</v>
      </c>
      <c r="T505" s="17"/>
      <c r="U505" s="21" t="n">
        <v>1</v>
      </c>
      <c r="V505" s="21" t="n">
        <v>1</v>
      </c>
      <c r="W505" s="22" t="n">
        <v>6.3</v>
      </c>
      <c r="X505" s="16" t="s">
        <v>335</v>
      </c>
      <c r="Y505" s="16" t="s">
        <v>338</v>
      </c>
      <c r="Z505" s="16" t="s">
        <v>413</v>
      </c>
      <c r="AA505" s="16" t="s">
        <v>427</v>
      </c>
      <c r="AB505" s="23" t="s">
        <v>1959</v>
      </c>
      <c r="AC505" s="17" t="n">
        <v>46288.461412037</v>
      </c>
      <c r="AD505" s="16" t="s">
        <v>338</v>
      </c>
      <c r="AE505" s="16"/>
      <c r="AF505" s="16" t="str">
        <f aca="false">IF(COUNTIF(لیست_سفید!$A$2:$A$21,B505)&gt;0,"بله","خیر")</f>
        <v>خیر</v>
      </c>
      <c r="AG505" s="24" t="n">
        <f aca="false">IF(H505="","",IF(AD505="فیش مفقودی",تنظیمات!$B$6,(INT(I505/1440)*تنظیمات!$B$5+IF(MOD(I505,1440)&lt;=تنظیمات!$B$2,0,MIN(تنظیمات!$B$5,تنظیمات!$B$3+MAX(0,ROUNDUP((MOD(I505,1440)-60)/60,0))*تنظیمات!$B$4)))*INDEX(تعرفه!$B$2:$B$7,MATCH(AD505,تعرفه!$A$2:$A$7,0))))</f>
        <v>104000</v>
      </c>
      <c r="AH505" s="24" t="n">
        <v>104000</v>
      </c>
      <c r="AI505" s="24" t="n">
        <f aca="false">IF(AG505="","",AH505-AG505)</f>
        <v>0</v>
      </c>
      <c r="AJ505" s="21" t="n">
        <v>0</v>
      </c>
      <c r="AK505" s="21" t="n">
        <v>0</v>
      </c>
      <c r="AL505" s="16" t="s">
        <v>335</v>
      </c>
      <c r="AM505" s="16"/>
      <c r="AN505" s="16" t="s">
        <v>340</v>
      </c>
      <c r="AO505" s="16" t="s">
        <v>340</v>
      </c>
      <c r="AP505" s="16" t="s">
        <v>335</v>
      </c>
      <c r="AQ505" s="16"/>
      <c r="AR505" s="21" t="n">
        <f aca="false">IF(AND(T505&lt;&gt;"",H505&lt;&gt;""),IF(AND((T505-H505)*86400&gt;=0,(T505-H505)*86400&lt;تنظیمات!$B$13),1,0),0)</f>
        <v>0</v>
      </c>
      <c r="AS505" s="21" t="n">
        <f aca="false">IF(Z505="پوز",IF(OR(AB505="",COUNTIF(پوزها!$A$2:$A$5,AA505)=0),1,0),0)</f>
        <v>0</v>
      </c>
      <c r="AT505" s="21" t="n">
        <f aca="false">IF(AI505="",0,IF(AI505&gt;0,1,0))</f>
        <v>0</v>
      </c>
      <c r="AU505" s="21" t="n">
        <f aca="false">IF(AI505="",0,IF(AI505&lt;0,1,0))</f>
        <v>0</v>
      </c>
      <c r="AV505" s="21" t="n">
        <f aca="false">IF(U505&gt;V505,1,0)</f>
        <v>0</v>
      </c>
      <c r="AW505" s="21" t="n">
        <f aca="false">IF(OR(W505&gt;تنظیمات!$B$8,X505="بله"),1,0)</f>
        <v>0</v>
      </c>
      <c r="AX505" s="21" t="n">
        <f aca="false">IF(AND(N505="بله",L505&gt;تنظیمات!$B$9),1,0)</f>
        <v>0</v>
      </c>
      <c r="AY505" s="21" t="n">
        <f aca="false">IF(Y505="معکوس",1,0)</f>
        <v>0</v>
      </c>
      <c r="AZ505" s="21" t="n">
        <f aca="false">IF(ABS(AJ505)&gt;تنظیمات!$B$10,1,0)</f>
        <v>0</v>
      </c>
      <c r="BA505" s="21" t="n">
        <f aca="false">IF(AND(OR(AD505="رایگان/VIP",AD505="جانباز"),AF505="خیر"),1,0)</f>
        <v>0</v>
      </c>
      <c r="BB505" s="21" t="n">
        <f aca="false">IF(AE505="",0,IF(COUNTIF($AE$2:$AE$1001,AE505)&gt;1,1,0))</f>
        <v>0</v>
      </c>
      <c r="BC505" s="21" t="n">
        <f aca="false">IF(AND(H505="",I505&gt;تنظیمات!$B$12*60,AM505="خالی"),1,0)</f>
        <v>0</v>
      </c>
      <c r="BD505" s="21" t="n">
        <f aca="false">IF(AND(AP505="بله",I505&lt;تنظیمات!$B$14,AO505="خیر"),1,0)</f>
        <v>0</v>
      </c>
      <c r="BE505" s="21" t="n">
        <f aca="false">IF(AN505="خیر",1,0)</f>
        <v>0</v>
      </c>
      <c r="BF505" s="21" t="n">
        <f aca="false">IF(AND(AD505="فیش مفقودی",AQ505="بله",I505&gt;تنظیمات!$B$12*60),1,0)</f>
        <v>0</v>
      </c>
      <c r="BG505" s="21" t="n">
        <f aca="false">IF(AND(AK505&gt;تنظیمات!$B$11,AL505="بله"),1,0)</f>
        <v>0</v>
      </c>
      <c r="BH505" s="21" t="n">
        <f aca="false">MIN(100,AR505*تنظیمات!$B$21+AS505*تنظیمات!$B$22+AT505*تنظیمات!$B$23+AU505*تنظیمات!$B$24+AV505*تنظیمات!$B$25+AW505*تنظیمات!$B$26+AX505*تنظیمات!$B$27+AY505*تنظیمات!$B$28+AZ505*تنظیمات!$B$29+BA505*تنظیمات!$B$30+BB505*تنظیمات!$B$31+BC505*تنظیمات!$B$32+BD505*تنظیمات!$B$33+BE505*تنظیمات!$B$34+BF505*تنظیمات!$B$35+BG505*تنظیمات!$B$36)</f>
        <v>0</v>
      </c>
      <c r="BI505" s="16" t="str">
        <f aca="false">IF(BH505&gt;=60,"بحرانی",IF(BH505&gt;=30,"مشکوک",IF(BH505&gt;0,"هشدار","عادی")))</f>
        <v>عادی</v>
      </c>
      <c r="BJ505" s="16" t="s">
        <v>338</v>
      </c>
    </row>
    <row r="506" customFormat="false" ht="15" hidden="false" customHeight="false" outlineLevel="0" collapsed="false">
      <c r="A506" s="16" t="s">
        <v>1960</v>
      </c>
      <c r="B506" s="16" t="s">
        <v>669</v>
      </c>
      <c r="C506" s="16"/>
      <c r="D506" s="16" t="s">
        <v>508</v>
      </c>
      <c r="E506" s="16" t="s">
        <v>390</v>
      </c>
      <c r="F506" s="16" t="s">
        <v>333</v>
      </c>
      <c r="G506" s="17" t="n">
        <v>46288.2118287037</v>
      </c>
      <c r="H506" s="17" t="n">
        <v>46288.4382175926</v>
      </c>
      <c r="I506" s="18" t="n">
        <f aca="false">IF(H506="",ROUND((تنظیمات!$B$7-G506)*1440,0),ROUND((H506-G506)*1440,0))</f>
        <v>326</v>
      </c>
      <c r="J506" s="16" t="s">
        <v>346</v>
      </c>
      <c r="K506" s="16" t="s">
        <v>410</v>
      </c>
      <c r="L506" s="19" t="n">
        <v>0.92</v>
      </c>
      <c r="M506" s="19" t="n">
        <v>0.962</v>
      </c>
      <c r="N506" s="16" t="s">
        <v>335</v>
      </c>
      <c r="O506" s="16" t="s">
        <v>650</v>
      </c>
      <c r="P506" s="16" t="s">
        <v>402</v>
      </c>
      <c r="Q506" s="20" t="n">
        <v>46288</v>
      </c>
      <c r="R506" s="16" t="s">
        <v>1961</v>
      </c>
      <c r="S506" s="16" t="s">
        <v>404</v>
      </c>
      <c r="T506" s="17"/>
      <c r="U506" s="21" t="n">
        <v>1</v>
      </c>
      <c r="V506" s="21" t="n">
        <v>1</v>
      </c>
      <c r="W506" s="22" t="n">
        <v>7</v>
      </c>
      <c r="X506" s="16" t="s">
        <v>335</v>
      </c>
      <c r="Y506" s="16" t="s">
        <v>338</v>
      </c>
      <c r="Z506" s="16" t="s">
        <v>413</v>
      </c>
      <c r="AA506" s="16" t="s">
        <v>414</v>
      </c>
      <c r="AB506" s="23" t="s">
        <v>1962</v>
      </c>
      <c r="AC506" s="17" t="n">
        <v>46288.4377199074</v>
      </c>
      <c r="AD506" s="16" t="s">
        <v>338</v>
      </c>
      <c r="AE506" s="16"/>
      <c r="AF506" s="16" t="str">
        <f aca="false">IF(COUNTIF(لیست_سفید!$A$2:$A$21,B506)&gt;0,"بله","خیر")</f>
        <v>خیر</v>
      </c>
      <c r="AG506" s="24" t="n">
        <f aca="false">IF(H506="","",IF(AD506="فیش مفقودی",تنظیمات!$B$6,(INT(I506/1440)*تنظیمات!$B$5+IF(MOD(I506,1440)&lt;=تنظیمات!$B$2,0,MIN(تنظیمات!$B$5,تنظیمات!$B$3+MAX(0,ROUNDUP((MOD(I506,1440)-60)/60,0))*تنظیمات!$B$4)))*INDEX(تعرفه!$B$2:$B$7,MATCH(AD506,تعرفه!$A$2:$A$7,0))))</f>
        <v>90000</v>
      </c>
      <c r="AH506" s="24" t="n">
        <v>90000</v>
      </c>
      <c r="AI506" s="24" t="n">
        <f aca="false">IF(AG506="","",AH506-AG506)</f>
        <v>0</v>
      </c>
      <c r="AJ506" s="21" t="n">
        <v>2</v>
      </c>
      <c r="AK506" s="21" t="n">
        <v>0</v>
      </c>
      <c r="AL506" s="16" t="s">
        <v>335</v>
      </c>
      <c r="AM506" s="16"/>
      <c r="AN506" s="16" t="s">
        <v>340</v>
      </c>
      <c r="AO506" s="16" t="s">
        <v>340</v>
      </c>
      <c r="AP506" s="16" t="s">
        <v>335</v>
      </c>
      <c r="AQ506" s="16"/>
      <c r="AR506" s="21" t="n">
        <f aca="false">IF(AND(T506&lt;&gt;"",H506&lt;&gt;""),IF(AND((T506-H506)*86400&gt;=0,(T506-H506)*86400&lt;تنظیمات!$B$13),1,0),0)</f>
        <v>0</v>
      </c>
      <c r="AS506" s="21" t="n">
        <f aca="false">IF(Z506="پوز",IF(OR(AB506="",COUNTIF(پوزها!$A$2:$A$5,AA506)=0),1,0),0)</f>
        <v>0</v>
      </c>
      <c r="AT506" s="21" t="n">
        <f aca="false">IF(AI506="",0,IF(AI506&gt;0,1,0))</f>
        <v>0</v>
      </c>
      <c r="AU506" s="21" t="n">
        <f aca="false">IF(AI506="",0,IF(AI506&lt;0,1,0))</f>
        <v>0</v>
      </c>
      <c r="AV506" s="21" t="n">
        <f aca="false">IF(U506&gt;V506,1,0)</f>
        <v>0</v>
      </c>
      <c r="AW506" s="21" t="n">
        <f aca="false">IF(OR(W506&gt;تنظیمات!$B$8,X506="بله"),1,0)</f>
        <v>0</v>
      </c>
      <c r="AX506" s="21" t="n">
        <f aca="false">IF(AND(N506="بله",L506&gt;تنظیمات!$B$9),1,0)</f>
        <v>0</v>
      </c>
      <c r="AY506" s="21" t="n">
        <f aca="false">IF(Y506="معکوس",1,0)</f>
        <v>0</v>
      </c>
      <c r="AZ506" s="21" t="n">
        <f aca="false">IF(ABS(AJ506)&gt;تنظیمات!$B$10,1,0)</f>
        <v>0</v>
      </c>
      <c r="BA506" s="21" t="n">
        <f aca="false">IF(AND(OR(AD506="رایگان/VIP",AD506="جانباز"),AF506="خیر"),1,0)</f>
        <v>0</v>
      </c>
      <c r="BB506" s="21" t="n">
        <f aca="false">IF(AE506="",0,IF(COUNTIF($AE$2:$AE$1001,AE506)&gt;1,1,0))</f>
        <v>0</v>
      </c>
      <c r="BC506" s="21" t="n">
        <f aca="false">IF(AND(H506="",I506&gt;تنظیمات!$B$12*60,AM506="خالی"),1,0)</f>
        <v>0</v>
      </c>
      <c r="BD506" s="21" t="n">
        <f aca="false">IF(AND(AP506="بله",I506&lt;تنظیمات!$B$14,AO506="خیر"),1,0)</f>
        <v>0</v>
      </c>
      <c r="BE506" s="21" t="n">
        <f aca="false">IF(AN506="خیر",1,0)</f>
        <v>0</v>
      </c>
      <c r="BF506" s="21" t="n">
        <f aca="false">IF(AND(AD506="فیش مفقودی",AQ506="بله",I506&gt;تنظیمات!$B$12*60),1,0)</f>
        <v>0</v>
      </c>
      <c r="BG506" s="21" t="n">
        <f aca="false">IF(AND(AK506&gt;تنظیمات!$B$11,AL506="بله"),1,0)</f>
        <v>0</v>
      </c>
      <c r="BH506" s="21" t="n">
        <f aca="false">MIN(100,AR506*تنظیمات!$B$21+AS506*تنظیمات!$B$22+AT506*تنظیمات!$B$23+AU506*تنظیمات!$B$24+AV506*تنظیمات!$B$25+AW506*تنظیمات!$B$26+AX506*تنظیمات!$B$27+AY506*تنظیمات!$B$28+AZ506*تنظیمات!$B$29+BA506*تنظیمات!$B$30+BB506*تنظیمات!$B$31+BC506*تنظیمات!$B$32+BD506*تنظیمات!$B$33+BE506*تنظیمات!$B$34+BF506*تنظیمات!$B$35+BG506*تنظیمات!$B$36)</f>
        <v>0</v>
      </c>
      <c r="BI506" s="16" t="str">
        <f aca="false">IF(BH506&gt;=60,"بحرانی",IF(BH506&gt;=30,"مشکوک",IF(BH506&gt;0,"هشدار","عادی")))</f>
        <v>عادی</v>
      </c>
      <c r="BJ506" s="16" t="s">
        <v>338</v>
      </c>
    </row>
    <row r="507" customFormat="false" ht="15" hidden="false" customHeight="false" outlineLevel="0" collapsed="false">
      <c r="A507" s="16" t="s">
        <v>1963</v>
      </c>
      <c r="B507" s="16" t="s">
        <v>1337</v>
      </c>
      <c r="C507" s="16"/>
      <c r="D507" s="16" t="s">
        <v>350</v>
      </c>
      <c r="E507" s="16" t="s">
        <v>363</v>
      </c>
      <c r="F507" s="16" t="s">
        <v>333</v>
      </c>
      <c r="G507" s="17" t="n">
        <v>46288.2210532407</v>
      </c>
      <c r="H507" s="17" t="n">
        <v>46290.8224421296</v>
      </c>
      <c r="I507" s="18" t="n">
        <f aca="false">IF(H507="",ROUND((تنظیمات!$B$7-G507)*1440,0),ROUND((H507-G507)*1440,0))</f>
        <v>3746</v>
      </c>
      <c r="J507" s="16" t="s">
        <v>346</v>
      </c>
      <c r="K507" s="16" t="s">
        <v>410</v>
      </c>
      <c r="L507" s="19" t="n">
        <v>0.995</v>
      </c>
      <c r="M507" s="19" t="n">
        <v>0.979</v>
      </c>
      <c r="N507" s="16" t="s">
        <v>335</v>
      </c>
      <c r="O507" s="16" t="s">
        <v>441</v>
      </c>
      <c r="P507" s="16" t="s">
        <v>420</v>
      </c>
      <c r="Q507" s="20" t="n">
        <v>46290</v>
      </c>
      <c r="R507" s="16" t="s">
        <v>1964</v>
      </c>
      <c r="S507" s="16" t="s">
        <v>404</v>
      </c>
      <c r="T507" s="17"/>
      <c r="U507" s="21" t="n">
        <v>1</v>
      </c>
      <c r="V507" s="21" t="n">
        <v>1</v>
      </c>
      <c r="W507" s="22" t="n">
        <v>4.9</v>
      </c>
      <c r="X507" s="16" t="s">
        <v>335</v>
      </c>
      <c r="Y507" s="16" t="s">
        <v>338</v>
      </c>
      <c r="Z507" s="16" t="s">
        <v>413</v>
      </c>
      <c r="AA507" s="16" t="s">
        <v>414</v>
      </c>
      <c r="AB507" s="23" t="s">
        <v>1965</v>
      </c>
      <c r="AC507" s="17" t="n">
        <v>46290.8220601852</v>
      </c>
      <c r="AD507" s="16" t="s">
        <v>338</v>
      </c>
      <c r="AE507" s="16"/>
      <c r="AF507" s="16" t="str">
        <f aca="false">IF(COUNTIF(لیست_سفید!$A$2:$A$21,B507)&gt;0,"بله","خیر")</f>
        <v>خیر</v>
      </c>
      <c r="AG507" s="24" t="n">
        <f aca="false">IF(H507="","",IF(AD507="فیش مفقودی",تنظیمات!$B$6,(INT(I507/1440)*تنظیمات!$B$5+IF(MOD(I507,1440)&lt;=تنظیمات!$B$2,0,MIN(تنظیمات!$B$5,تنظیمات!$B$3+MAX(0,ROUNDUP((MOD(I507,1440)-60)/60,0))*تنظیمات!$B$4)))*INDEX(تعرفه!$B$2:$B$7,MATCH(AD507,تعرفه!$A$2:$A$7,0))))</f>
        <v>540000</v>
      </c>
      <c r="AH507" s="24" t="n">
        <v>540000</v>
      </c>
      <c r="AI507" s="24" t="n">
        <f aca="false">IF(AG507="","",AH507-AG507)</f>
        <v>0</v>
      </c>
      <c r="AJ507" s="21" t="n">
        <v>3</v>
      </c>
      <c r="AK507" s="21" t="n">
        <v>0</v>
      </c>
      <c r="AL507" s="16" t="s">
        <v>335</v>
      </c>
      <c r="AM507" s="16"/>
      <c r="AN507" s="16" t="s">
        <v>340</v>
      </c>
      <c r="AO507" s="16" t="s">
        <v>340</v>
      </c>
      <c r="AP507" s="16" t="s">
        <v>335</v>
      </c>
      <c r="AQ507" s="16"/>
      <c r="AR507" s="21" t="n">
        <f aca="false">IF(AND(T507&lt;&gt;"",H507&lt;&gt;""),IF(AND((T507-H507)*86400&gt;=0,(T507-H507)*86400&lt;تنظیمات!$B$13),1,0),0)</f>
        <v>0</v>
      </c>
      <c r="AS507" s="21" t="n">
        <f aca="false">IF(Z507="پوز",IF(OR(AB507="",COUNTIF(پوزها!$A$2:$A$5,AA507)=0),1,0),0)</f>
        <v>0</v>
      </c>
      <c r="AT507" s="21" t="n">
        <f aca="false">IF(AI507="",0,IF(AI507&gt;0,1,0))</f>
        <v>0</v>
      </c>
      <c r="AU507" s="21" t="n">
        <f aca="false">IF(AI507="",0,IF(AI507&lt;0,1,0))</f>
        <v>0</v>
      </c>
      <c r="AV507" s="21" t="n">
        <f aca="false">IF(U507&gt;V507,1,0)</f>
        <v>0</v>
      </c>
      <c r="AW507" s="21" t="n">
        <f aca="false">IF(OR(W507&gt;تنظیمات!$B$8,X507="بله"),1,0)</f>
        <v>0</v>
      </c>
      <c r="AX507" s="21" t="n">
        <f aca="false">IF(AND(N507="بله",L507&gt;تنظیمات!$B$9),1,0)</f>
        <v>0</v>
      </c>
      <c r="AY507" s="21" t="n">
        <f aca="false">IF(Y507="معکوس",1,0)</f>
        <v>0</v>
      </c>
      <c r="AZ507" s="21" t="n">
        <f aca="false">IF(ABS(AJ507)&gt;تنظیمات!$B$10,1,0)</f>
        <v>0</v>
      </c>
      <c r="BA507" s="21" t="n">
        <f aca="false">IF(AND(OR(AD507="رایگان/VIP",AD507="جانباز"),AF507="خیر"),1,0)</f>
        <v>0</v>
      </c>
      <c r="BB507" s="21" t="n">
        <f aca="false">IF(AE507="",0,IF(COUNTIF($AE$2:$AE$1001,AE507)&gt;1,1,0))</f>
        <v>0</v>
      </c>
      <c r="BC507" s="21" t="n">
        <f aca="false">IF(AND(H507="",I507&gt;تنظیمات!$B$12*60,AM507="خالی"),1,0)</f>
        <v>0</v>
      </c>
      <c r="BD507" s="21" t="n">
        <f aca="false">IF(AND(AP507="بله",I507&lt;تنظیمات!$B$14,AO507="خیر"),1,0)</f>
        <v>0</v>
      </c>
      <c r="BE507" s="21" t="n">
        <f aca="false">IF(AN507="خیر",1,0)</f>
        <v>0</v>
      </c>
      <c r="BF507" s="21" t="n">
        <f aca="false">IF(AND(AD507="فیش مفقودی",AQ507="بله",I507&gt;تنظیمات!$B$12*60),1,0)</f>
        <v>0</v>
      </c>
      <c r="BG507" s="21" t="n">
        <f aca="false">IF(AND(AK507&gt;تنظیمات!$B$11,AL507="بله"),1,0)</f>
        <v>0</v>
      </c>
      <c r="BH507" s="21" t="n">
        <f aca="false">MIN(100,AR507*تنظیمات!$B$21+AS507*تنظیمات!$B$22+AT507*تنظیمات!$B$23+AU507*تنظیمات!$B$24+AV507*تنظیمات!$B$25+AW507*تنظیمات!$B$26+AX507*تنظیمات!$B$27+AY507*تنظیمات!$B$28+AZ507*تنظیمات!$B$29+BA507*تنظیمات!$B$30+BB507*تنظیمات!$B$31+BC507*تنظیمات!$B$32+BD507*تنظیمات!$B$33+BE507*تنظیمات!$B$34+BF507*تنظیمات!$B$35+BG507*تنظیمات!$B$36)</f>
        <v>0</v>
      </c>
      <c r="BI507" s="16" t="str">
        <f aca="false">IF(BH507&gt;=60,"بحرانی",IF(BH507&gt;=30,"مشکوک",IF(BH507&gt;0,"هشدار","عادی")))</f>
        <v>عادی</v>
      </c>
      <c r="BJ507" s="16" t="s">
        <v>338</v>
      </c>
    </row>
    <row r="508" customFormat="false" ht="15" hidden="false" customHeight="false" outlineLevel="0" collapsed="false">
      <c r="A508" s="16" t="s">
        <v>1966</v>
      </c>
      <c r="B508" s="16" t="s">
        <v>567</v>
      </c>
      <c r="C508" s="16"/>
      <c r="D508" s="16" t="s">
        <v>331</v>
      </c>
      <c r="E508" s="16" t="s">
        <v>390</v>
      </c>
      <c r="F508" s="16" t="s">
        <v>333</v>
      </c>
      <c r="G508" s="17" t="n">
        <v>46288.2404398148</v>
      </c>
      <c r="H508" s="17" t="n">
        <v>46288.5203009259</v>
      </c>
      <c r="I508" s="18" t="n">
        <f aca="false">IF(H508="",ROUND((تنظیمات!$B$7-G508)*1440,0),ROUND((H508-G508)*1440,0))</f>
        <v>403</v>
      </c>
      <c r="J508" s="16" t="s">
        <v>346</v>
      </c>
      <c r="K508" s="16" t="s">
        <v>410</v>
      </c>
      <c r="L508" s="19" t="n">
        <v>0.913</v>
      </c>
      <c r="M508" s="19" t="n">
        <v>0.945</v>
      </c>
      <c r="N508" s="16" t="s">
        <v>335</v>
      </c>
      <c r="O508" s="16" t="s">
        <v>650</v>
      </c>
      <c r="P508" s="16" t="s">
        <v>402</v>
      </c>
      <c r="Q508" s="20" t="n">
        <v>46288</v>
      </c>
      <c r="R508" s="16" t="s">
        <v>1967</v>
      </c>
      <c r="S508" s="16" t="s">
        <v>404</v>
      </c>
      <c r="T508" s="17"/>
      <c r="U508" s="21" t="n">
        <v>1</v>
      </c>
      <c r="V508" s="21" t="n">
        <v>1</v>
      </c>
      <c r="W508" s="22" t="n">
        <v>3.7</v>
      </c>
      <c r="X508" s="16" t="s">
        <v>335</v>
      </c>
      <c r="Y508" s="16" t="s">
        <v>338</v>
      </c>
      <c r="Z508" s="16" t="s">
        <v>465</v>
      </c>
      <c r="AA508" s="16"/>
      <c r="AB508" s="23"/>
      <c r="AC508" s="17"/>
      <c r="AD508" s="16" t="s">
        <v>466</v>
      </c>
      <c r="AE508" s="16"/>
      <c r="AF508" s="16" t="str">
        <f aca="false">IF(COUNTIF(لیست_سفید!$A$2:$A$21,B508)&gt;0,"بله","خیر")</f>
        <v>بله</v>
      </c>
      <c r="AG508" s="24" t="n">
        <f aca="false">IF(H508="","",IF(AD508="فیش مفقودی",تنظیمات!$B$6,(INT(I508/1440)*تنظیمات!$B$5+IF(MOD(I508,1440)&lt;=تنظیمات!$B$2,0,MIN(تنظیمات!$B$5,تنظیمات!$B$3+MAX(0,ROUNDUP((MOD(I508,1440)-60)/60,0))*تنظیمات!$B$4)))*INDEX(تعرفه!$B$2:$B$7,MATCH(AD508,تعرفه!$A$2:$A$7,0))))</f>
        <v>0</v>
      </c>
      <c r="AH508" s="24" t="n">
        <v>0</v>
      </c>
      <c r="AI508" s="24" t="n">
        <f aca="false">IF(AG508="","",AH508-AG508)</f>
        <v>0</v>
      </c>
      <c r="AJ508" s="21" t="n">
        <v>4</v>
      </c>
      <c r="AK508" s="21" t="n">
        <v>0</v>
      </c>
      <c r="AL508" s="16" t="s">
        <v>335</v>
      </c>
      <c r="AM508" s="16"/>
      <c r="AN508" s="16" t="s">
        <v>340</v>
      </c>
      <c r="AO508" s="16" t="s">
        <v>340</v>
      </c>
      <c r="AP508" s="16" t="s">
        <v>335</v>
      </c>
      <c r="AQ508" s="16"/>
      <c r="AR508" s="21" t="n">
        <f aca="false">IF(AND(T508&lt;&gt;"",H508&lt;&gt;""),IF(AND((T508-H508)*86400&gt;=0,(T508-H508)*86400&lt;تنظیمات!$B$13),1,0),0)</f>
        <v>0</v>
      </c>
      <c r="AS508" s="21" t="n">
        <f aca="false">IF(Z508="پوز",IF(OR(AB508="",COUNTIF(پوزها!$A$2:$A$5,AA508)=0),1,0),0)</f>
        <v>0</v>
      </c>
      <c r="AT508" s="21" t="n">
        <f aca="false">IF(AI508="",0,IF(AI508&gt;0,1,0))</f>
        <v>0</v>
      </c>
      <c r="AU508" s="21" t="n">
        <f aca="false">IF(AI508="",0,IF(AI508&lt;0,1,0))</f>
        <v>0</v>
      </c>
      <c r="AV508" s="21" t="n">
        <f aca="false">IF(U508&gt;V508,1,0)</f>
        <v>0</v>
      </c>
      <c r="AW508" s="21" t="n">
        <f aca="false">IF(OR(W508&gt;تنظیمات!$B$8,X508="بله"),1,0)</f>
        <v>0</v>
      </c>
      <c r="AX508" s="21" t="n">
        <f aca="false">IF(AND(N508="بله",L508&gt;تنظیمات!$B$9),1,0)</f>
        <v>0</v>
      </c>
      <c r="AY508" s="21" t="n">
        <f aca="false">IF(Y508="معکوس",1,0)</f>
        <v>0</v>
      </c>
      <c r="AZ508" s="21" t="n">
        <f aca="false">IF(ABS(AJ508)&gt;تنظیمات!$B$10,1,0)</f>
        <v>0</v>
      </c>
      <c r="BA508" s="21" t="n">
        <f aca="false">IF(AND(OR(AD508="رایگان/VIP",AD508="جانباز"),AF508="خیر"),1,0)</f>
        <v>0</v>
      </c>
      <c r="BB508" s="21" t="n">
        <f aca="false">IF(AE508="",0,IF(COUNTIF($AE$2:$AE$1001,AE508)&gt;1,1,0))</f>
        <v>0</v>
      </c>
      <c r="BC508" s="21" t="n">
        <f aca="false">IF(AND(H508="",I508&gt;تنظیمات!$B$12*60,AM508="خالی"),1,0)</f>
        <v>0</v>
      </c>
      <c r="BD508" s="21" t="n">
        <f aca="false">IF(AND(AP508="بله",I508&lt;تنظیمات!$B$14,AO508="خیر"),1,0)</f>
        <v>0</v>
      </c>
      <c r="BE508" s="21" t="n">
        <f aca="false">IF(AN508="خیر",1,0)</f>
        <v>0</v>
      </c>
      <c r="BF508" s="21" t="n">
        <f aca="false">IF(AND(AD508="فیش مفقودی",AQ508="بله",I508&gt;تنظیمات!$B$12*60),1,0)</f>
        <v>0</v>
      </c>
      <c r="BG508" s="21" t="n">
        <f aca="false">IF(AND(AK508&gt;تنظیمات!$B$11,AL508="بله"),1,0)</f>
        <v>0</v>
      </c>
      <c r="BH508" s="21" t="n">
        <f aca="false">MIN(100,AR508*تنظیمات!$B$21+AS508*تنظیمات!$B$22+AT508*تنظیمات!$B$23+AU508*تنظیمات!$B$24+AV508*تنظیمات!$B$25+AW508*تنظیمات!$B$26+AX508*تنظیمات!$B$27+AY508*تنظیمات!$B$28+AZ508*تنظیمات!$B$29+BA508*تنظیمات!$B$30+BB508*تنظیمات!$B$31+BC508*تنظیمات!$B$32+BD508*تنظیمات!$B$33+BE508*تنظیمات!$B$34+BF508*تنظیمات!$B$35+BG508*تنظیمات!$B$36)</f>
        <v>0</v>
      </c>
      <c r="BI508" s="16" t="str">
        <f aca="false">IF(BH508&gt;=60,"بحرانی",IF(BH508&gt;=30,"مشکوک",IF(BH508&gt;0,"هشدار","عادی")))</f>
        <v>عادی</v>
      </c>
      <c r="BJ508" s="16" t="s">
        <v>338</v>
      </c>
    </row>
    <row r="509" customFormat="false" ht="15" hidden="false" customHeight="false" outlineLevel="0" collapsed="false">
      <c r="A509" s="16" t="s">
        <v>1968</v>
      </c>
      <c r="B509" s="16" t="s">
        <v>643</v>
      </c>
      <c r="C509" s="16"/>
      <c r="D509" s="16" t="s">
        <v>382</v>
      </c>
      <c r="E509" s="16" t="s">
        <v>345</v>
      </c>
      <c r="F509" s="16" t="s">
        <v>333</v>
      </c>
      <c r="G509" s="17" t="n">
        <v>46288.2414699074</v>
      </c>
      <c r="H509" s="17" t="n">
        <v>46288.2838310185</v>
      </c>
      <c r="I509" s="18" t="n">
        <f aca="false">IF(H509="",ROUND((تنظیمات!$B$7-G509)*1440,0),ROUND((H509-G509)*1440,0))</f>
        <v>61</v>
      </c>
      <c r="J509" s="16" t="s">
        <v>346</v>
      </c>
      <c r="K509" s="16" t="s">
        <v>400</v>
      </c>
      <c r="L509" s="19" t="n">
        <v>0.881</v>
      </c>
      <c r="M509" s="19" t="n">
        <v>0.985</v>
      </c>
      <c r="N509" s="16" t="s">
        <v>335</v>
      </c>
      <c r="O509" s="16" t="s">
        <v>419</v>
      </c>
      <c r="P509" s="16" t="s">
        <v>402</v>
      </c>
      <c r="Q509" s="20" t="n">
        <v>46288</v>
      </c>
      <c r="R509" s="16" t="s">
        <v>1969</v>
      </c>
      <c r="S509" s="16" t="s">
        <v>404</v>
      </c>
      <c r="T509" s="17"/>
      <c r="U509" s="21" t="n">
        <v>1</v>
      </c>
      <c r="V509" s="21" t="n">
        <v>1</v>
      </c>
      <c r="W509" s="22" t="n">
        <v>6.2</v>
      </c>
      <c r="X509" s="16" t="s">
        <v>335</v>
      </c>
      <c r="Y509" s="16" t="s">
        <v>338</v>
      </c>
      <c r="Z509" s="16" t="s">
        <v>413</v>
      </c>
      <c r="AA509" s="16" t="s">
        <v>427</v>
      </c>
      <c r="AB509" s="23" t="s">
        <v>1970</v>
      </c>
      <c r="AC509" s="17" t="n">
        <v>46288.2830324074</v>
      </c>
      <c r="AD509" s="16" t="s">
        <v>338</v>
      </c>
      <c r="AE509" s="16"/>
      <c r="AF509" s="16" t="str">
        <f aca="false">IF(COUNTIF(لیست_سفید!$A$2:$A$21,B509)&gt;0,"بله","خیر")</f>
        <v>خیر</v>
      </c>
      <c r="AG509" s="24" t="n">
        <f aca="false">IF(H509="","",IF(AD509="فیش مفقودی",تنظیمات!$B$6,(INT(I509/1440)*تنظیمات!$B$5+IF(MOD(I509,1440)&lt;=تنظیمات!$B$2,0,MIN(تنظیمات!$B$5,تنظیمات!$B$3+MAX(0,ROUNDUP((MOD(I509,1440)-60)/60,0))*تنظیمات!$B$4)))*INDEX(تعرفه!$B$2:$B$7,MATCH(AD509,تعرفه!$A$2:$A$7,0))))</f>
        <v>34000</v>
      </c>
      <c r="AH509" s="24" t="n">
        <v>34000</v>
      </c>
      <c r="AI509" s="24" t="n">
        <f aca="false">IF(AG509="","",AH509-AG509)</f>
        <v>0</v>
      </c>
      <c r="AJ509" s="21" t="n">
        <v>-3</v>
      </c>
      <c r="AK509" s="21" t="n">
        <v>0</v>
      </c>
      <c r="AL509" s="16" t="s">
        <v>335</v>
      </c>
      <c r="AM509" s="16"/>
      <c r="AN509" s="16" t="s">
        <v>340</v>
      </c>
      <c r="AO509" s="16" t="s">
        <v>340</v>
      </c>
      <c r="AP509" s="16" t="s">
        <v>335</v>
      </c>
      <c r="AQ509" s="16"/>
      <c r="AR509" s="21" t="n">
        <f aca="false">IF(AND(T509&lt;&gt;"",H509&lt;&gt;""),IF(AND((T509-H509)*86400&gt;=0,(T509-H509)*86400&lt;تنظیمات!$B$13),1,0),0)</f>
        <v>0</v>
      </c>
      <c r="AS509" s="21" t="n">
        <f aca="false">IF(Z509="پوز",IF(OR(AB509="",COUNTIF(پوزها!$A$2:$A$5,AA509)=0),1,0),0)</f>
        <v>0</v>
      </c>
      <c r="AT509" s="21" t="n">
        <f aca="false">IF(AI509="",0,IF(AI509&gt;0,1,0))</f>
        <v>0</v>
      </c>
      <c r="AU509" s="21" t="n">
        <f aca="false">IF(AI509="",0,IF(AI509&lt;0,1,0))</f>
        <v>0</v>
      </c>
      <c r="AV509" s="21" t="n">
        <f aca="false">IF(U509&gt;V509,1,0)</f>
        <v>0</v>
      </c>
      <c r="AW509" s="21" t="n">
        <f aca="false">IF(OR(W509&gt;تنظیمات!$B$8,X509="بله"),1,0)</f>
        <v>0</v>
      </c>
      <c r="AX509" s="21" t="n">
        <f aca="false">IF(AND(N509="بله",L509&gt;تنظیمات!$B$9),1,0)</f>
        <v>0</v>
      </c>
      <c r="AY509" s="21" t="n">
        <f aca="false">IF(Y509="معکوس",1,0)</f>
        <v>0</v>
      </c>
      <c r="AZ509" s="21" t="n">
        <f aca="false">IF(ABS(AJ509)&gt;تنظیمات!$B$10,1,0)</f>
        <v>0</v>
      </c>
      <c r="BA509" s="21" t="n">
        <f aca="false">IF(AND(OR(AD509="رایگان/VIP",AD509="جانباز"),AF509="خیر"),1,0)</f>
        <v>0</v>
      </c>
      <c r="BB509" s="21" t="n">
        <f aca="false">IF(AE509="",0,IF(COUNTIF($AE$2:$AE$1001,AE509)&gt;1,1,0))</f>
        <v>0</v>
      </c>
      <c r="BC509" s="21" t="n">
        <f aca="false">IF(AND(H509="",I509&gt;تنظیمات!$B$12*60,AM509="خالی"),1,0)</f>
        <v>0</v>
      </c>
      <c r="BD509" s="21" t="n">
        <f aca="false">IF(AND(AP509="بله",I509&lt;تنظیمات!$B$14,AO509="خیر"),1,0)</f>
        <v>0</v>
      </c>
      <c r="BE509" s="21" t="n">
        <f aca="false">IF(AN509="خیر",1,0)</f>
        <v>0</v>
      </c>
      <c r="BF509" s="21" t="n">
        <f aca="false">IF(AND(AD509="فیش مفقودی",AQ509="بله",I509&gt;تنظیمات!$B$12*60),1,0)</f>
        <v>0</v>
      </c>
      <c r="BG509" s="21" t="n">
        <f aca="false">IF(AND(AK509&gt;تنظیمات!$B$11,AL509="بله"),1,0)</f>
        <v>0</v>
      </c>
      <c r="BH509" s="21" t="n">
        <f aca="false">MIN(100,AR509*تنظیمات!$B$21+AS509*تنظیمات!$B$22+AT509*تنظیمات!$B$23+AU509*تنظیمات!$B$24+AV509*تنظیمات!$B$25+AW509*تنظیمات!$B$26+AX509*تنظیمات!$B$27+AY509*تنظیمات!$B$28+AZ509*تنظیمات!$B$29+BA509*تنظیمات!$B$30+BB509*تنظیمات!$B$31+BC509*تنظیمات!$B$32+BD509*تنظیمات!$B$33+BE509*تنظیمات!$B$34+BF509*تنظیمات!$B$35+BG509*تنظیمات!$B$36)</f>
        <v>0</v>
      </c>
      <c r="BI509" s="16" t="str">
        <f aca="false">IF(BH509&gt;=60,"بحرانی",IF(BH509&gt;=30,"مشکوک",IF(BH509&gt;0,"هشدار","عادی")))</f>
        <v>عادی</v>
      </c>
      <c r="BJ509" s="16" t="s">
        <v>338</v>
      </c>
    </row>
    <row r="510" customFormat="false" ht="15" hidden="false" customHeight="false" outlineLevel="0" collapsed="false">
      <c r="A510" s="16" t="s">
        <v>1971</v>
      </c>
      <c r="B510" s="16" t="s">
        <v>1972</v>
      </c>
      <c r="C510" s="16"/>
      <c r="D510" s="16" t="s">
        <v>350</v>
      </c>
      <c r="E510" s="16" t="s">
        <v>363</v>
      </c>
      <c r="F510" s="16" t="s">
        <v>333</v>
      </c>
      <c r="G510" s="17" t="n">
        <v>46288.2415277778</v>
      </c>
      <c r="H510" s="17" t="n">
        <v>46288.3991666667</v>
      </c>
      <c r="I510" s="18" t="n">
        <f aca="false">IF(H510="",ROUND((تنظیمات!$B$7-G510)*1440,0),ROUND((H510-G510)*1440,0))</f>
        <v>227</v>
      </c>
      <c r="J510" s="16" t="s">
        <v>346</v>
      </c>
      <c r="K510" s="16" t="s">
        <v>400</v>
      </c>
      <c r="L510" s="19" t="n">
        <v>0.971</v>
      </c>
      <c r="M510" s="19" t="n">
        <v>0.91</v>
      </c>
      <c r="N510" s="16" t="s">
        <v>335</v>
      </c>
      <c r="O510" s="16" t="s">
        <v>419</v>
      </c>
      <c r="P510" s="16" t="s">
        <v>402</v>
      </c>
      <c r="Q510" s="20" t="n">
        <v>46288</v>
      </c>
      <c r="R510" s="16" t="s">
        <v>1973</v>
      </c>
      <c r="S510" s="16" t="s">
        <v>404</v>
      </c>
      <c r="T510" s="17"/>
      <c r="U510" s="21" t="n">
        <v>1</v>
      </c>
      <c r="V510" s="21" t="n">
        <v>1</v>
      </c>
      <c r="W510" s="22" t="n">
        <v>5.4</v>
      </c>
      <c r="X510" s="16" t="s">
        <v>335</v>
      </c>
      <c r="Y510" s="16" t="s">
        <v>338</v>
      </c>
      <c r="Z510" s="16" t="s">
        <v>413</v>
      </c>
      <c r="AA510" s="16" t="s">
        <v>427</v>
      </c>
      <c r="AB510" s="23" t="s">
        <v>1974</v>
      </c>
      <c r="AC510" s="17" t="n">
        <v>46288.398125</v>
      </c>
      <c r="AD510" s="16" t="s">
        <v>338</v>
      </c>
      <c r="AE510" s="16"/>
      <c r="AF510" s="16" t="str">
        <f aca="false">IF(COUNTIF(لیست_سفید!$A$2:$A$21,B510)&gt;0,"بله","خیر")</f>
        <v>خیر</v>
      </c>
      <c r="AG510" s="24" t="n">
        <f aca="false">IF(H510="","",IF(AD510="فیش مفقودی",تنظیمات!$B$6,(INT(I510/1440)*تنظیمات!$B$5+IF(MOD(I510,1440)&lt;=تنظیمات!$B$2,0,MIN(تنظیمات!$B$5,تنظیمات!$B$3+MAX(0,ROUNDUP((MOD(I510,1440)-60)/60,0))*تنظیمات!$B$4)))*INDEX(تعرفه!$B$2:$B$7,MATCH(AD510,تعرفه!$A$2:$A$7,0))))</f>
        <v>62000</v>
      </c>
      <c r="AH510" s="24" t="n">
        <v>62000</v>
      </c>
      <c r="AI510" s="24" t="n">
        <f aca="false">IF(AG510="","",AH510-AG510)</f>
        <v>0</v>
      </c>
      <c r="AJ510" s="21" t="n">
        <v>2</v>
      </c>
      <c r="AK510" s="21" t="n">
        <v>0</v>
      </c>
      <c r="AL510" s="16" t="s">
        <v>335</v>
      </c>
      <c r="AM510" s="16"/>
      <c r="AN510" s="16" t="s">
        <v>340</v>
      </c>
      <c r="AO510" s="16" t="s">
        <v>340</v>
      </c>
      <c r="AP510" s="16" t="s">
        <v>335</v>
      </c>
      <c r="AQ510" s="16"/>
      <c r="AR510" s="21" t="n">
        <f aca="false">IF(AND(T510&lt;&gt;"",H510&lt;&gt;""),IF(AND((T510-H510)*86400&gt;=0,(T510-H510)*86400&lt;تنظیمات!$B$13),1,0),0)</f>
        <v>0</v>
      </c>
      <c r="AS510" s="21" t="n">
        <f aca="false">IF(Z510="پوز",IF(OR(AB510="",COUNTIF(پوزها!$A$2:$A$5,AA510)=0),1,0),0)</f>
        <v>0</v>
      </c>
      <c r="AT510" s="21" t="n">
        <f aca="false">IF(AI510="",0,IF(AI510&gt;0,1,0))</f>
        <v>0</v>
      </c>
      <c r="AU510" s="21" t="n">
        <f aca="false">IF(AI510="",0,IF(AI510&lt;0,1,0))</f>
        <v>0</v>
      </c>
      <c r="AV510" s="21" t="n">
        <f aca="false">IF(U510&gt;V510,1,0)</f>
        <v>0</v>
      </c>
      <c r="AW510" s="21" t="n">
        <f aca="false">IF(OR(W510&gt;تنظیمات!$B$8,X510="بله"),1,0)</f>
        <v>0</v>
      </c>
      <c r="AX510" s="21" t="n">
        <f aca="false">IF(AND(N510="بله",L510&gt;تنظیمات!$B$9),1,0)</f>
        <v>0</v>
      </c>
      <c r="AY510" s="21" t="n">
        <f aca="false">IF(Y510="معکوس",1,0)</f>
        <v>0</v>
      </c>
      <c r="AZ510" s="21" t="n">
        <f aca="false">IF(ABS(AJ510)&gt;تنظیمات!$B$10,1,0)</f>
        <v>0</v>
      </c>
      <c r="BA510" s="21" t="n">
        <f aca="false">IF(AND(OR(AD510="رایگان/VIP",AD510="جانباز"),AF510="خیر"),1,0)</f>
        <v>0</v>
      </c>
      <c r="BB510" s="21" t="n">
        <f aca="false">IF(AE510="",0,IF(COUNTIF($AE$2:$AE$1001,AE510)&gt;1,1,0))</f>
        <v>0</v>
      </c>
      <c r="BC510" s="21" t="n">
        <f aca="false">IF(AND(H510="",I510&gt;تنظیمات!$B$12*60,AM510="خالی"),1,0)</f>
        <v>0</v>
      </c>
      <c r="BD510" s="21" t="n">
        <f aca="false">IF(AND(AP510="بله",I510&lt;تنظیمات!$B$14,AO510="خیر"),1,0)</f>
        <v>0</v>
      </c>
      <c r="BE510" s="21" t="n">
        <f aca="false">IF(AN510="خیر",1,0)</f>
        <v>0</v>
      </c>
      <c r="BF510" s="21" t="n">
        <f aca="false">IF(AND(AD510="فیش مفقودی",AQ510="بله",I510&gt;تنظیمات!$B$12*60),1,0)</f>
        <v>0</v>
      </c>
      <c r="BG510" s="21" t="n">
        <f aca="false">IF(AND(AK510&gt;تنظیمات!$B$11,AL510="بله"),1,0)</f>
        <v>0</v>
      </c>
      <c r="BH510" s="21" t="n">
        <f aca="false">MIN(100,AR510*تنظیمات!$B$21+AS510*تنظیمات!$B$22+AT510*تنظیمات!$B$23+AU510*تنظیمات!$B$24+AV510*تنظیمات!$B$25+AW510*تنظیمات!$B$26+AX510*تنظیمات!$B$27+AY510*تنظیمات!$B$28+AZ510*تنظیمات!$B$29+BA510*تنظیمات!$B$30+BB510*تنظیمات!$B$31+BC510*تنظیمات!$B$32+BD510*تنظیمات!$B$33+BE510*تنظیمات!$B$34+BF510*تنظیمات!$B$35+BG510*تنظیمات!$B$36)</f>
        <v>0</v>
      </c>
      <c r="BI510" s="16" t="str">
        <f aca="false">IF(BH510&gt;=60,"بحرانی",IF(BH510&gt;=30,"مشکوک",IF(BH510&gt;0,"هشدار","عادی")))</f>
        <v>عادی</v>
      </c>
      <c r="BJ510" s="16" t="s">
        <v>338</v>
      </c>
    </row>
    <row r="511" customFormat="false" ht="15" hidden="false" customHeight="false" outlineLevel="0" collapsed="false">
      <c r="A511" s="16" t="s">
        <v>1975</v>
      </c>
      <c r="B511" s="16" t="s">
        <v>843</v>
      </c>
      <c r="C511" s="16"/>
      <c r="D511" s="16" t="s">
        <v>540</v>
      </c>
      <c r="E511" s="16" t="s">
        <v>332</v>
      </c>
      <c r="F511" s="16" t="s">
        <v>359</v>
      </c>
      <c r="G511" s="17" t="n">
        <v>46288.247974537</v>
      </c>
      <c r="H511" s="17" t="n">
        <v>46288.3535300926</v>
      </c>
      <c r="I511" s="18" t="n">
        <f aca="false">IF(H511="",ROUND((تنظیمات!$B$7-G511)*1440,0),ROUND((H511-G511)*1440,0))</f>
        <v>152</v>
      </c>
      <c r="J511" s="16" t="s">
        <v>346</v>
      </c>
      <c r="K511" s="16" t="s">
        <v>400</v>
      </c>
      <c r="L511" s="19" t="n">
        <v>0.914</v>
      </c>
      <c r="M511" s="19" t="n">
        <v>0.955</v>
      </c>
      <c r="N511" s="16" t="s">
        <v>335</v>
      </c>
      <c r="O511" s="16" t="s">
        <v>419</v>
      </c>
      <c r="P511" s="16" t="s">
        <v>402</v>
      </c>
      <c r="Q511" s="20" t="n">
        <v>46288</v>
      </c>
      <c r="R511" s="16" t="s">
        <v>1976</v>
      </c>
      <c r="S511" s="16" t="s">
        <v>404</v>
      </c>
      <c r="T511" s="17"/>
      <c r="U511" s="21" t="n">
        <v>1</v>
      </c>
      <c r="V511" s="21" t="n">
        <v>1</v>
      </c>
      <c r="W511" s="22" t="n">
        <v>5.2</v>
      </c>
      <c r="X511" s="16" t="s">
        <v>335</v>
      </c>
      <c r="Y511" s="16" t="s">
        <v>338</v>
      </c>
      <c r="Z511" s="16" t="s">
        <v>413</v>
      </c>
      <c r="AA511" s="16" t="s">
        <v>427</v>
      </c>
      <c r="AB511" s="23" t="s">
        <v>1977</v>
      </c>
      <c r="AC511" s="17" t="n">
        <v>46288.3527893519</v>
      </c>
      <c r="AD511" s="16" t="s">
        <v>338</v>
      </c>
      <c r="AE511" s="16"/>
      <c r="AF511" s="16" t="str">
        <f aca="false">IF(COUNTIF(لیست_سفید!$A$2:$A$21,B511)&gt;0,"بله","خیر")</f>
        <v>خیر</v>
      </c>
      <c r="AG511" s="24" t="n">
        <f aca="false">IF(H511="","",IF(AD511="فیش مفقودی",تنظیمات!$B$6,(INT(I511/1440)*تنظیمات!$B$5+IF(MOD(I511,1440)&lt;=تنظیمات!$B$2,0,MIN(تنظیمات!$B$5,تنظیمات!$B$3+MAX(0,ROUNDUP((MOD(I511,1440)-60)/60,0))*تنظیمات!$B$4)))*INDEX(تعرفه!$B$2:$B$7,MATCH(AD511,تعرفه!$A$2:$A$7,0))))</f>
        <v>48000</v>
      </c>
      <c r="AH511" s="24" t="n">
        <v>48000</v>
      </c>
      <c r="AI511" s="24" t="n">
        <f aca="false">IF(AG511="","",AH511-AG511)</f>
        <v>0</v>
      </c>
      <c r="AJ511" s="21" t="n">
        <v>-1</v>
      </c>
      <c r="AK511" s="21" t="n">
        <v>0</v>
      </c>
      <c r="AL511" s="16" t="s">
        <v>335</v>
      </c>
      <c r="AM511" s="16"/>
      <c r="AN511" s="16" t="s">
        <v>340</v>
      </c>
      <c r="AO511" s="16" t="s">
        <v>340</v>
      </c>
      <c r="AP511" s="16" t="s">
        <v>335</v>
      </c>
      <c r="AQ511" s="16"/>
      <c r="AR511" s="21" t="n">
        <f aca="false">IF(AND(T511&lt;&gt;"",H511&lt;&gt;""),IF(AND((T511-H511)*86400&gt;=0,(T511-H511)*86400&lt;تنظیمات!$B$13),1,0),0)</f>
        <v>0</v>
      </c>
      <c r="AS511" s="21" t="n">
        <f aca="false">IF(Z511="پوز",IF(OR(AB511="",COUNTIF(پوزها!$A$2:$A$5,AA511)=0),1,0),0)</f>
        <v>0</v>
      </c>
      <c r="AT511" s="21" t="n">
        <f aca="false">IF(AI511="",0,IF(AI511&gt;0,1,0))</f>
        <v>0</v>
      </c>
      <c r="AU511" s="21" t="n">
        <f aca="false">IF(AI511="",0,IF(AI511&lt;0,1,0))</f>
        <v>0</v>
      </c>
      <c r="AV511" s="21" t="n">
        <f aca="false">IF(U511&gt;V511,1,0)</f>
        <v>0</v>
      </c>
      <c r="AW511" s="21" t="n">
        <f aca="false">IF(OR(W511&gt;تنظیمات!$B$8,X511="بله"),1,0)</f>
        <v>0</v>
      </c>
      <c r="AX511" s="21" t="n">
        <f aca="false">IF(AND(N511="بله",L511&gt;تنظیمات!$B$9),1,0)</f>
        <v>0</v>
      </c>
      <c r="AY511" s="21" t="n">
        <f aca="false">IF(Y511="معکوس",1,0)</f>
        <v>0</v>
      </c>
      <c r="AZ511" s="21" t="n">
        <f aca="false">IF(ABS(AJ511)&gt;تنظیمات!$B$10,1,0)</f>
        <v>0</v>
      </c>
      <c r="BA511" s="21" t="n">
        <f aca="false">IF(AND(OR(AD511="رایگان/VIP",AD511="جانباز"),AF511="خیر"),1,0)</f>
        <v>0</v>
      </c>
      <c r="BB511" s="21" t="n">
        <f aca="false">IF(AE511="",0,IF(COUNTIF($AE$2:$AE$1001,AE511)&gt;1,1,0))</f>
        <v>0</v>
      </c>
      <c r="BC511" s="21" t="n">
        <f aca="false">IF(AND(H511="",I511&gt;تنظیمات!$B$12*60,AM511="خالی"),1,0)</f>
        <v>0</v>
      </c>
      <c r="BD511" s="21" t="n">
        <f aca="false">IF(AND(AP511="بله",I511&lt;تنظیمات!$B$14,AO511="خیر"),1,0)</f>
        <v>0</v>
      </c>
      <c r="BE511" s="21" t="n">
        <f aca="false">IF(AN511="خیر",1,0)</f>
        <v>0</v>
      </c>
      <c r="BF511" s="21" t="n">
        <f aca="false">IF(AND(AD511="فیش مفقودی",AQ511="بله",I511&gt;تنظیمات!$B$12*60),1,0)</f>
        <v>0</v>
      </c>
      <c r="BG511" s="21" t="n">
        <f aca="false">IF(AND(AK511&gt;تنظیمات!$B$11,AL511="بله"),1,0)</f>
        <v>0</v>
      </c>
      <c r="BH511" s="21" t="n">
        <f aca="false">MIN(100,AR511*تنظیمات!$B$21+AS511*تنظیمات!$B$22+AT511*تنظیمات!$B$23+AU511*تنظیمات!$B$24+AV511*تنظیمات!$B$25+AW511*تنظیمات!$B$26+AX511*تنظیمات!$B$27+AY511*تنظیمات!$B$28+AZ511*تنظیمات!$B$29+BA511*تنظیمات!$B$30+BB511*تنظیمات!$B$31+BC511*تنظیمات!$B$32+BD511*تنظیمات!$B$33+BE511*تنظیمات!$B$34+BF511*تنظیمات!$B$35+BG511*تنظیمات!$B$36)</f>
        <v>0</v>
      </c>
      <c r="BI511" s="16" t="str">
        <f aca="false">IF(BH511&gt;=60,"بحرانی",IF(BH511&gt;=30,"مشکوک",IF(BH511&gt;0,"هشدار","عادی")))</f>
        <v>عادی</v>
      </c>
      <c r="BJ511" s="16" t="s">
        <v>338</v>
      </c>
    </row>
    <row r="512" customFormat="false" ht="15" hidden="false" customHeight="false" outlineLevel="0" collapsed="false">
      <c r="A512" s="16" t="s">
        <v>1978</v>
      </c>
      <c r="B512" s="16" t="s">
        <v>1979</v>
      </c>
      <c r="C512" s="16"/>
      <c r="D512" s="16" t="s">
        <v>431</v>
      </c>
      <c r="E512" s="16" t="s">
        <v>345</v>
      </c>
      <c r="F512" s="16" t="s">
        <v>333</v>
      </c>
      <c r="G512" s="17" t="n">
        <v>46288.2517708333</v>
      </c>
      <c r="H512" s="17" t="n">
        <v>46288.3191319444</v>
      </c>
      <c r="I512" s="18" t="n">
        <f aca="false">IF(H512="",ROUND((تنظیمات!$B$7-G512)*1440,0),ROUND((H512-G512)*1440,0))</f>
        <v>97</v>
      </c>
      <c r="J512" s="16" t="s">
        <v>334</v>
      </c>
      <c r="K512" s="16" t="s">
        <v>410</v>
      </c>
      <c r="L512" s="19" t="n">
        <v>0.927</v>
      </c>
      <c r="M512" s="19" t="n">
        <v>0.949</v>
      </c>
      <c r="N512" s="16" t="s">
        <v>335</v>
      </c>
      <c r="O512" s="16" t="s">
        <v>650</v>
      </c>
      <c r="P512" s="16" t="s">
        <v>402</v>
      </c>
      <c r="Q512" s="20" t="n">
        <v>46288</v>
      </c>
      <c r="R512" s="16" t="s">
        <v>1980</v>
      </c>
      <c r="S512" s="16" t="s">
        <v>404</v>
      </c>
      <c r="T512" s="17"/>
      <c r="U512" s="21" t="n">
        <v>1</v>
      </c>
      <c r="V512" s="21" t="n">
        <v>1</v>
      </c>
      <c r="W512" s="22" t="n">
        <v>5.5</v>
      </c>
      <c r="X512" s="16" t="s">
        <v>335</v>
      </c>
      <c r="Y512" s="16" t="s">
        <v>338</v>
      </c>
      <c r="Z512" s="16" t="s">
        <v>413</v>
      </c>
      <c r="AA512" s="16" t="s">
        <v>414</v>
      </c>
      <c r="AB512" s="23" t="s">
        <v>1981</v>
      </c>
      <c r="AC512" s="17" t="n">
        <v>46288.3185069444</v>
      </c>
      <c r="AD512" s="16" t="s">
        <v>481</v>
      </c>
      <c r="AE512" s="16" t="s">
        <v>1982</v>
      </c>
      <c r="AF512" s="16" t="str">
        <f aca="false">IF(COUNTIF(لیست_سفید!$A$2:$A$21,B512)&gt;0,"بله","خیر")</f>
        <v>خیر</v>
      </c>
      <c r="AG512" s="24" t="n">
        <f aca="false">IF(H512="","",IF(AD512="فیش مفقودی",تنظیمات!$B$6,(INT(I512/1440)*تنظیمات!$B$5+IF(MOD(I512,1440)&lt;=تنظیمات!$B$2,0,MIN(تنظیمات!$B$5,تنظیمات!$B$3+MAX(0,ROUNDUP((MOD(I512,1440)-60)/60,0))*تنظیمات!$B$4)))*INDEX(تعرفه!$B$2:$B$7,MATCH(AD512,تعرفه!$A$2:$A$7,0))))</f>
        <v>17000</v>
      </c>
      <c r="AH512" s="24" t="n">
        <v>17000</v>
      </c>
      <c r="AI512" s="24" t="n">
        <f aca="false">IF(AG512="","",AH512-AG512)</f>
        <v>0</v>
      </c>
      <c r="AJ512" s="21" t="n">
        <v>-4</v>
      </c>
      <c r="AK512" s="21" t="n">
        <v>0</v>
      </c>
      <c r="AL512" s="16" t="s">
        <v>335</v>
      </c>
      <c r="AM512" s="16"/>
      <c r="AN512" s="16" t="s">
        <v>340</v>
      </c>
      <c r="AO512" s="16" t="s">
        <v>340</v>
      </c>
      <c r="AP512" s="16" t="s">
        <v>335</v>
      </c>
      <c r="AQ512" s="16"/>
      <c r="AR512" s="21" t="n">
        <f aca="false">IF(AND(T512&lt;&gt;"",H512&lt;&gt;""),IF(AND((T512-H512)*86400&gt;=0,(T512-H512)*86400&lt;تنظیمات!$B$13),1,0),0)</f>
        <v>0</v>
      </c>
      <c r="AS512" s="21" t="n">
        <f aca="false">IF(Z512="پوز",IF(OR(AB512="",COUNTIF(پوزها!$A$2:$A$5,AA512)=0),1,0),0)</f>
        <v>0</v>
      </c>
      <c r="AT512" s="21" t="n">
        <f aca="false">IF(AI512="",0,IF(AI512&gt;0,1,0))</f>
        <v>0</v>
      </c>
      <c r="AU512" s="21" t="n">
        <f aca="false">IF(AI512="",0,IF(AI512&lt;0,1,0))</f>
        <v>0</v>
      </c>
      <c r="AV512" s="21" t="n">
        <f aca="false">IF(U512&gt;V512,1,0)</f>
        <v>0</v>
      </c>
      <c r="AW512" s="21" t="n">
        <f aca="false">IF(OR(W512&gt;تنظیمات!$B$8,X512="بله"),1,0)</f>
        <v>0</v>
      </c>
      <c r="AX512" s="21" t="n">
        <f aca="false">IF(AND(N512="بله",L512&gt;تنظیمات!$B$9),1,0)</f>
        <v>0</v>
      </c>
      <c r="AY512" s="21" t="n">
        <f aca="false">IF(Y512="معکوس",1,0)</f>
        <v>0</v>
      </c>
      <c r="AZ512" s="21" t="n">
        <f aca="false">IF(ABS(AJ512)&gt;تنظیمات!$B$10,1,0)</f>
        <v>0</v>
      </c>
      <c r="BA512" s="21" t="n">
        <f aca="false">IF(AND(OR(AD512="رایگان/VIP",AD512="جانباز"),AF512="خیر"),1,0)</f>
        <v>0</v>
      </c>
      <c r="BB512" s="21" t="n">
        <f aca="false">IF(AE512="",0,IF(COUNTIF($AE$2:$AE$1001,AE512)&gt;1,1,0))</f>
        <v>0</v>
      </c>
      <c r="BC512" s="21" t="n">
        <f aca="false">IF(AND(H512="",I512&gt;تنظیمات!$B$12*60,AM512="خالی"),1,0)</f>
        <v>0</v>
      </c>
      <c r="BD512" s="21" t="n">
        <f aca="false">IF(AND(AP512="بله",I512&lt;تنظیمات!$B$14,AO512="خیر"),1,0)</f>
        <v>0</v>
      </c>
      <c r="BE512" s="21" t="n">
        <f aca="false">IF(AN512="خیر",1,0)</f>
        <v>0</v>
      </c>
      <c r="BF512" s="21" t="n">
        <f aca="false">IF(AND(AD512="فیش مفقودی",AQ512="بله",I512&gt;تنظیمات!$B$12*60),1,0)</f>
        <v>0</v>
      </c>
      <c r="BG512" s="21" t="n">
        <f aca="false">IF(AND(AK512&gt;تنظیمات!$B$11,AL512="بله"),1,0)</f>
        <v>0</v>
      </c>
      <c r="BH512" s="21" t="n">
        <f aca="false">MIN(100,AR512*تنظیمات!$B$21+AS512*تنظیمات!$B$22+AT512*تنظیمات!$B$23+AU512*تنظیمات!$B$24+AV512*تنظیمات!$B$25+AW512*تنظیمات!$B$26+AX512*تنظیمات!$B$27+AY512*تنظیمات!$B$28+AZ512*تنظیمات!$B$29+BA512*تنظیمات!$B$30+BB512*تنظیمات!$B$31+BC512*تنظیمات!$B$32+BD512*تنظیمات!$B$33+BE512*تنظیمات!$B$34+BF512*تنظیمات!$B$35+BG512*تنظیمات!$B$36)</f>
        <v>0</v>
      </c>
      <c r="BI512" s="16" t="str">
        <f aca="false">IF(BH512&gt;=60,"بحرانی",IF(BH512&gt;=30,"مشکوک",IF(BH512&gt;0,"هشدار","عادی")))</f>
        <v>عادی</v>
      </c>
      <c r="BJ512" s="16" t="s">
        <v>338</v>
      </c>
    </row>
    <row r="513" customFormat="false" ht="15" hidden="false" customHeight="false" outlineLevel="0" collapsed="false">
      <c r="A513" s="16" t="s">
        <v>1983</v>
      </c>
      <c r="B513" s="16" t="s">
        <v>1984</v>
      </c>
      <c r="C513" s="16"/>
      <c r="D513" s="16" t="s">
        <v>386</v>
      </c>
      <c r="E513" s="16" t="s">
        <v>363</v>
      </c>
      <c r="F513" s="16" t="s">
        <v>333</v>
      </c>
      <c r="G513" s="17" t="n">
        <v>46288.2547337963</v>
      </c>
      <c r="H513" s="17" t="n">
        <v>46288.3443171296</v>
      </c>
      <c r="I513" s="18" t="n">
        <f aca="false">IF(H513="",ROUND((تنظیمات!$B$7-G513)*1440,0),ROUND((H513-G513)*1440,0))</f>
        <v>129</v>
      </c>
      <c r="J513" s="16" t="s">
        <v>334</v>
      </c>
      <c r="K513" s="16" t="s">
        <v>400</v>
      </c>
      <c r="L513" s="19" t="n">
        <v>0.995</v>
      </c>
      <c r="M513" s="19" t="n">
        <v>0.926</v>
      </c>
      <c r="N513" s="16" t="s">
        <v>335</v>
      </c>
      <c r="O513" s="16" t="s">
        <v>419</v>
      </c>
      <c r="P513" s="16" t="s">
        <v>402</v>
      </c>
      <c r="Q513" s="20" t="n">
        <v>46288</v>
      </c>
      <c r="R513" s="16" t="s">
        <v>1985</v>
      </c>
      <c r="S513" s="16" t="s">
        <v>404</v>
      </c>
      <c r="T513" s="17"/>
      <c r="U513" s="21" t="n">
        <v>1</v>
      </c>
      <c r="V513" s="21" t="n">
        <v>1</v>
      </c>
      <c r="W513" s="22" t="n">
        <v>2.7</v>
      </c>
      <c r="X513" s="16" t="s">
        <v>335</v>
      </c>
      <c r="Y513" s="16" t="s">
        <v>338</v>
      </c>
      <c r="Z513" s="16" t="s">
        <v>413</v>
      </c>
      <c r="AA513" s="16" t="s">
        <v>427</v>
      </c>
      <c r="AB513" s="23" t="s">
        <v>1986</v>
      </c>
      <c r="AC513" s="17" t="n">
        <v>46288.3435300926</v>
      </c>
      <c r="AD513" s="16" t="s">
        <v>338</v>
      </c>
      <c r="AE513" s="16"/>
      <c r="AF513" s="16" t="str">
        <f aca="false">IF(COUNTIF(لیست_سفید!$A$2:$A$21,B513)&gt;0,"بله","خیر")</f>
        <v>خیر</v>
      </c>
      <c r="AG513" s="24" t="n">
        <f aca="false">IF(H513="","",IF(AD513="فیش مفقودی",تنظیمات!$B$6,(INT(I513/1440)*تنظیمات!$B$5+IF(MOD(I513,1440)&lt;=تنظیمات!$B$2,0,MIN(تنظیمات!$B$5,تنظیمات!$B$3+MAX(0,ROUNDUP((MOD(I513,1440)-60)/60,0))*تنظیمات!$B$4)))*INDEX(تعرفه!$B$2:$B$7,MATCH(AD513,تعرفه!$A$2:$A$7,0))))</f>
        <v>48000</v>
      </c>
      <c r="AH513" s="24" t="n">
        <v>48000</v>
      </c>
      <c r="AI513" s="24" t="n">
        <f aca="false">IF(AG513="","",AH513-AG513)</f>
        <v>0</v>
      </c>
      <c r="AJ513" s="21" t="n">
        <v>0</v>
      </c>
      <c r="AK513" s="21" t="n">
        <v>30</v>
      </c>
      <c r="AL513" s="16" t="s">
        <v>335</v>
      </c>
      <c r="AM513" s="16"/>
      <c r="AN513" s="16" t="s">
        <v>340</v>
      </c>
      <c r="AO513" s="16" t="s">
        <v>340</v>
      </c>
      <c r="AP513" s="16" t="s">
        <v>335</v>
      </c>
      <c r="AQ513" s="16"/>
      <c r="AR513" s="21" t="n">
        <f aca="false">IF(AND(T513&lt;&gt;"",H513&lt;&gt;""),IF(AND((T513-H513)*86400&gt;=0,(T513-H513)*86400&lt;تنظیمات!$B$13),1,0),0)</f>
        <v>0</v>
      </c>
      <c r="AS513" s="21" t="n">
        <f aca="false">IF(Z513="پوز",IF(OR(AB513="",COUNTIF(پوزها!$A$2:$A$5,AA513)=0),1,0),0)</f>
        <v>0</v>
      </c>
      <c r="AT513" s="21" t="n">
        <f aca="false">IF(AI513="",0,IF(AI513&gt;0,1,0))</f>
        <v>0</v>
      </c>
      <c r="AU513" s="21" t="n">
        <f aca="false">IF(AI513="",0,IF(AI513&lt;0,1,0))</f>
        <v>0</v>
      </c>
      <c r="AV513" s="21" t="n">
        <f aca="false">IF(U513&gt;V513,1,0)</f>
        <v>0</v>
      </c>
      <c r="AW513" s="21" t="n">
        <f aca="false">IF(OR(W513&gt;تنظیمات!$B$8,X513="بله"),1,0)</f>
        <v>0</v>
      </c>
      <c r="AX513" s="21" t="n">
        <f aca="false">IF(AND(N513="بله",L513&gt;تنظیمات!$B$9),1,0)</f>
        <v>0</v>
      </c>
      <c r="AY513" s="21" t="n">
        <f aca="false">IF(Y513="معکوس",1,0)</f>
        <v>0</v>
      </c>
      <c r="AZ513" s="21" t="n">
        <f aca="false">IF(ABS(AJ513)&gt;تنظیمات!$B$10,1,0)</f>
        <v>0</v>
      </c>
      <c r="BA513" s="21" t="n">
        <f aca="false">IF(AND(OR(AD513="رایگان/VIP",AD513="جانباز"),AF513="خیر"),1,0)</f>
        <v>0</v>
      </c>
      <c r="BB513" s="21" t="n">
        <f aca="false">IF(AE513="",0,IF(COUNTIF($AE$2:$AE$1001,AE513)&gt;1,1,0))</f>
        <v>0</v>
      </c>
      <c r="BC513" s="21" t="n">
        <f aca="false">IF(AND(H513="",I513&gt;تنظیمات!$B$12*60,AM513="خالی"),1,0)</f>
        <v>0</v>
      </c>
      <c r="BD513" s="21" t="n">
        <f aca="false">IF(AND(AP513="بله",I513&lt;تنظیمات!$B$14,AO513="خیر"),1,0)</f>
        <v>0</v>
      </c>
      <c r="BE513" s="21" t="n">
        <f aca="false">IF(AN513="خیر",1,0)</f>
        <v>0</v>
      </c>
      <c r="BF513" s="21" t="n">
        <f aca="false">IF(AND(AD513="فیش مفقودی",AQ513="بله",I513&gt;تنظیمات!$B$12*60),1,0)</f>
        <v>0</v>
      </c>
      <c r="BG513" s="21" t="n">
        <f aca="false">IF(AND(AK513&gt;تنظیمات!$B$11,AL513="بله"),1,0)</f>
        <v>0</v>
      </c>
      <c r="BH513" s="21" t="n">
        <f aca="false">MIN(100,AR513*تنظیمات!$B$21+AS513*تنظیمات!$B$22+AT513*تنظیمات!$B$23+AU513*تنظیمات!$B$24+AV513*تنظیمات!$B$25+AW513*تنظیمات!$B$26+AX513*تنظیمات!$B$27+AY513*تنظیمات!$B$28+AZ513*تنظیمات!$B$29+BA513*تنظیمات!$B$30+BB513*تنظیمات!$B$31+BC513*تنظیمات!$B$32+BD513*تنظیمات!$B$33+BE513*تنظیمات!$B$34+BF513*تنظیمات!$B$35+BG513*تنظیمات!$B$36)</f>
        <v>0</v>
      </c>
      <c r="BI513" s="16" t="str">
        <f aca="false">IF(BH513&gt;=60,"بحرانی",IF(BH513&gt;=30,"مشکوک",IF(BH513&gt;0,"هشدار","عادی")))</f>
        <v>عادی</v>
      </c>
      <c r="BJ513" s="16" t="s">
        <v>338</v>
      </c>
    </row>
    <row r="514" customFormat="false" ht="15" hidden="false" customHeight="false" outlineLevel="0" collapsed="false">
      <c r="A514" s="16" t="s">
        <v>1987</v>
      </c>
      <c r="B514" s="16" t="s">
        <v>767</v>
      </c>
      <c r="C514" s="16"/>
      <c r="D514" s="16" t="s">
        <v>418</v>
      </c>
      <c r="E514" s="16" t="s">
        <v>345</v>
      </c>
      <c r="F514" s="16" t="s">
        <v>333</v>
      </c>
      <c r="G514" s="17" t="n">
        <v>46288.2548263889</v>
      </c>
      <c r="H514" s="17" t="n">
        <v>46288.3777430556</v>
      </c>
      <c r="I514" s="18" t="n">
        <f aca="false">IF(H514="",ROUND((تنظیمات!$B$7-G514)*1440,0),ROUND((H514-G514)*1440,0))</f>
        <v>177</v>
      </c>
      <c r="J514" s="16" t="s">
        <v>334</v>
      </c>
      <c r="K514" s="16" t="s">
        <v>410</v>
      </c>
      <c r="L514" s="19" t="n">
        <v>0.919</v>
      </c>
      <c r="M514" s="19" t="n">
        <v>0.994</v>
      </c>
      <c r="N514" s="16" t="s">
        <v>335</v>
      </c>
      <c r="O514" s="16" t="s">
        <v>650</v>
      </c>
      <c r="P514" s="16" t="s">
        <v>402</v>
      </c>
      <c r="Q514" s="20" t="n">
        <v>46288</v>
      </c>
      <c r="R514" s="16" t="s">
        <v>1988</v>
      </c>
      <c r="S514" s="16" t="s">
        <v>404</v>
      </c>
      <c r="T514" s="17"/>
      <c r="U514" s="21" t="n">
        <v>1</v>
      </c>
      <c r="V514" s="21" t="n">
        <v>1</v>
      </c>
      <c r="W514" s="22" t="n">
        <v>7.3</v>
      </c>
      <c r="X514" s="16" t="s">
        <v>335</v>
      </c>
      <c r="Y514" s="16" t="s">
        <v>338</v>
      </c>
      <c r="Z514" s="16" t="s">
        <v>413</v>
      </c>
      <c r="AA514" s="16" t="s">
        <v>414</v>
      </c>
      <c r="AB514" s="23" t="s">
        <v>1989</v>
      </c>
      <c r="AC514" s="17" t="n">
        <v>46288.3772337963</v>
      </c>
      <c r="AD514" s="16" t="s">
        <v>338</v>
      </c>
      <c r="AE514" s="16"/>
      <c r="AF514" s="16" t="str">
        <f aca="false">IF(COUNTIF(لیست_سفید!$A$2:$A$21,B514)&gt;0,"بله","خیر")</f>
        <v>خیر</v>
      </c>
      <c r="AG514" s="24" t="n">
        <f aca="false">IF(H514="","",IF(AD514="فیش مفقودی",تنظیمات!$B$6,(INT(I514/1440)*تنظیمات!$B$5+IF(MOD(I514,1440)&lt;=تنظیمات!$B$2,0,MIN(تنظیمات!$B$5,تنظیمات!$B$3+MAX(0,ROUNDUP((MOD(I514,1440)-60)/60,0))*تنظیمات!$B$4)))*INDEX(تعرفه!$B$2:$B$7,MATCH(AD514,تعرفه!$A$2:$A$7,0))))</f>
        <v>48000</v>
      </c>
      <c r="AH514" s="24" t="n">
        <v>48000</v>
      </c>
      <c r="AI514" s="24" t="n">
        <f aca="false">IF(AG514="","",AH514-AG514)</f>
        <v>0</v>
      </c>
      <c r="AJ514" s="21" t="n">
        <v>1</v>
      </c>
      <c r="AK514" s="21" t="n">
        <v>0</v>
      </c>
      <c r="AL514" s="16" t="s">
        <v>335</v>
      </c>
      <c r="AM514" s="16"/>
      <c r="AN514" s="16" t="s">
        <v>340</v>
      </c>
      <c r="AO514" s="16" t="s">
        <v>340</v>
      </c>
      <c r="AP514" s="16" t="s">
        <v>335</v>
      </c>
      <c r="AQ514" s="16"/>
      <c r="AR514" s="21" t="n">
        <f aca="false">IF(AND(T514&lt;&gt;"",H514&lt;&gt;""),IF(AND((T514-H514)*86400&gt;=0,(T514-H514)*86400&lt;تنظیمات!$B$13),1,0),0)</f>
        <v>0</v>
      </c>
      <c r="AS514" s="21" t="n">
        <f aca="false">IF(Z514="پوز",IF(OR(AB514="",COUNTIF(پوزها!$A$2:$A$5,AA514)=0),1,0),0)</f>
        <v>0</v>
      </c>
      <c r="AT514" s="21" t="n">
        <f aca="false">IF(AI514="",0,IF(AI514&gt;0,1,0))</f>
        <v>0</v>
      </c>
      <c r="AU514" s="21" t="n">
        <f aca="false">IF(AI514="",0,IF(AI514&lt;0,1,0))</f>
        <v>0</v>
      </c>
      <c r="AV514" s="21" t="n">
        <f aca="false">IF(U514&gt;V514,1,0)</f>
        <v>0</v>
      </c>
      <c r="AW514" s="21" t="n">
        <f aca="false">IF(OR(W514&gt;تنظیمات!$B$8,X514="بله"),1,0)</f>
        <v>0</v>
      </c>
      <c r="AX514" s="21" t="n">
        <f aca="false">IF(AND(N514="بله",L514&gt;تنظیمات!$B$9),1,0)</f>
        <v>0</v>
      </c>
      <c r="AY514" s="21" t="n">
        <f aca="false">IF(Y514="معکوس",1,0)</f>
        <v>0</v>
      </c>
      <c r="AZ514" s="21" t="n">
        <f aca="false">IF(ABS(AJ514)&gt;تنظیمات!$B$10,1,0)</f>
        <v>0</v>
      </c>
      <c r="BA514" s="21" t="n">
        <f aca="false">IF(AND(OR(AD514="رایگان/VIP",AD514="جانباز"),AF514="خیر"),1,0)</f>
        <v>0</v>
      </c>
      <c r="BB514" s="21" t="n">
        <f aca="false">IF(AE514="",0,IF(COUNTIF($AE$2:$AE$1001,AE514)&gt;1,1,0))</f>
        <v>0</v>
      </c>
      <c r="BC514" s="21" t="n">
        <f aca="false">IF(AND(H514="",I514&gt;تنظیمات!$B$12*60,AM514="خالی"),1,0)</f>
        <v>0</v>
      </c>
      <c r="BD514" s="21" t="n">
        <f aca="false">IF(AND(AP514="بله",I514&lt;تنظیمات!$B$14,AO514="خیر"),1,0)</f>
        <v>0</v>
      </c>
      <c r="BE514" s="21" t="n">
        <f aca="false">IF(AN514="خیر",1,0)</f>
        <v>0</v>
      </c>
      <c r="BF514" s="21" t="n">
        <f aca="false">IF(AND(AD514="فیش مفقودی",AQ514="بله",I514&gt;تنظیمات!$B$12*60),1,0)</f>
        <v>0</v>
      </c>
      <c r="BG514" s="21" t="n">
        <f aca="false">IF(AND(AK514&gt;تنظیمات!$B$11,AL514="بله"),1,0)</f>
        <v>0</v>
      </c>
      <c r="BH514" s="21" t="n">
        <f aca="false">MIN(100,AR514*تنظیمات!$B$21+AS514*تنظیمات!$B$22+AT514*تنظیمات!$B$23+AU514*تنظیمات!$B$24+AV514*تنظیمات!$B$25+AW514*تنظیمات!$B$26+AX514*تنظیمات!$B$27+AY514*تنظیمات!$B$28+AZ514*تنظیمات!$B$29+BA514*تنظیمات!$B$30+BB514*تنظیمات!$B$31+BC514*تنظیمات!$B$32+BD514*تنظیمات!$B$33+BE514*تنظیمات!$B$34+BF514*تنظیمات!$B$35+BG514*تنظیمات!$B$36)</f>
        <v>0</v>
      </c>
      <c r="BI514" s="16" t="str">
        <f aca="false">IF(BH514&gt;=60,"بحرانی",IF(BH514&gt;=30,"مشکوک",IF(BH514&gt;0,"هشدار","عادی")))</f>
        <v>عادی</v>
      </c>
      <c r="BJ514" s="16" t="s">
        <v>338</v>
      </c>
    </row>
    <row r="515" customFormat="false" ht="15" hidden="false" customHeight="false" outlineLevel="0" collapsed="false">
      <c r="A515" s="16" t="s">
        <v>1990</v>
      </c>
      <c r="B515" s="16" t="s">
        <v>1110</v>
      </c>
      <c r="C515" s="16"/>
      <c r="D515" s="16" t="s">
        <v>440</v>
      </c>
      <c r="E515" s="16" t="s">
        <v>351</v>
      </c>
      <c r="F515" s="16" t="s">
        <v>359</v>
      </c>
      <c r="G515" s="17" t="n">
        <v>46288.2599768519</v>
      </c>
      <c r="H515" s="17" t="n">
        <v>46288.564837963</v>
      </c>
      <c r="I515" s="18" t="n">
        <f aca="false">IF(H515="",ROUND((تنظیمات!$B$7-G515)*1440,0),ROUND((H515-G515)*1440,0))</f>
        <v>439</v>
      </c>
      <c r="J515" s="16" t="s">
        <v>346</v>
      </c>
      <c r="K515" s="16" t="s">
        <v>400</v>
      </c>
      <c r="L515" s="19" t="n">
        <v>0.911</v>
      </c>
      <c r="M515" s="19" t="n">
        <v>0.936</v>
      </c>
      <c r="N515" s="16" t="s">
        <v>335</v>
      </c>
      <c r="O515" s="16" t="s">
        <v>419</v>
      </c>
      <c r="P515" s="16" t="s">
        <v>402</v>
      </c>
      <c r="Q515" s="20" t="n">
        <v>46288</v>
      </c>
      <c r="R515" s="16" t="s">
        <v>1991</v>
      </c>
      <c r="S515" s="16" t="s">
        <v>404</v>
      </c>
      <c r="T515" s="17"/>
      <c r="U515" s="21" t="n">
        <v>1</v>
      </c>
      <c r="V515" s="21" t="n">
        <v>1</v>
      </c>
      <c r="W515" s="22" t="n">
        <v>5.1</v>
      </c>
      <c r="X515" s="16" t="s">
        <v>335</v>
      </c>
      <c r="Y515" s="16" t="s">
        <v>338</v>
      </c>
      <c r="Z515" s="16" t="s">
        <v>443</v>
      </c>
      <c r="AA515" s="16"/>
      <c r="AB515" s="23"/>
      <c r="AC515" s="17"/>
      <c r="AD515" s="16" t="s">
        <v>444</v>
      </c>
      <c r="AE515" s="16"/>
      <c r="AF515" s="16" t="str">
        <f aca="false">IF(COUNTIF(لیست_سفید!$A$2:$A$21,B515)&gt;0,"بله","خیر")</f>
        <v>خیر</v>
      </c>
      <c r="AG515" s="24" t="n">
        <f aca="false">IF(H515="","",IF(AD515="فیش مفقودی",تنظیمات!$B$6,(INT(I515/1440)*تنظیمات!$B$5+IF(MOD(I515,1440)&lt;=تنظیمات!$B$2,0,MIN(تنظیمات!$B$5,تنظیمات!$B$3+MAX(0,ROUNDUP((MOD(I515,1440)-60)/60,0))*تنظیمات!$B$4)))*INDEX(تعرفه!$B$2:$B$7,MATCH(AD515,تعرفه!$A$2:$A$7,0))))</f>
        <v>0</v>
      </c>
      <c r="AH515" s="24" t="n">
        <v>0</v>
      </c>
      <c r="AI515" s="24" t="n">
        <f aca="false">IF(AG515="","",AH515-AG515)</f>
        <v>0</v>
      </c>
      <c r="AJ515" s="21" t="n">
        <v>1</v>
      </c>
      <c r="AK515" s="21" t="n">
        <v>0</v>
      </c>
      <c r="AL515" s="16" t="s">
        <v>335</v>
      </c>
      <c r="AM515" s="16"/>
      <c r="AN515" s="16" t="s">
        <v>340</v>
      </c>
      <c r="AO515" s="16" t="s">
        <v>340</v>
      </c>
      <c r="AP515" s="16" t="s">
        <v>335</v>
      </c>
      <c r="AQ515" s="16"/>
      <c r="AR515" s="21" t="n">
        <f aca="false">IF(AND(T515&lt;&gt;"",H515&lt;&gt;""),IF(AND((T515-H515)*86400&gt;=0,(T515-H515)*86400&lt;تنظیمات!$B$13),1,0),0)</f>
        <v>0</v>
      </c>
      <c r="AS515" s="21" t="n">
        <f aca="false">IF(Z515="پوز",IF(OR(AB515="",COUNTIF(پوزها!$A$2:$A$5,AA515)=0),1,0),0)</f>
        <v>0</v>
      </c>
      <c r="AT515" s="21" t="n">
        <f aca="false">IF(AI515="",0,IF(AI515&gt;0,1,0))</f>
        <v>0</v>
      </c>
      <c r="AU515" s="21" t="n">
        <f aca="false">IF(AI515="",0,IF(AI515&lt;0,1,0))</f>
        <v>0</v>
      </c>
      <c r="AV515" s="21" t="n">
        <f aca="false">IF(U515&gt;V515,1,0)</f>
        <v>0</v>
      </c>
      <c r="AW515" s="21" t="n">
        <f aca="false">IF(OR(W515&gt;تنظیمات!$B$8,X515="بله"),1,0)</f>
        <v>0</v>
      </c>
      <c r="AX515" s="21" t="n">
        <f aca="false">IF(AND(N515="بله",L515&gt;تنظیمات!$B$9),1,0)</f>
        <v>0</v>
      </c>
      <c r="AY515" s="21" t="n">
        <f aca="false">IF(Y515="معکوس",1,0)</f>
        <v>0</v>
      </c>
      <c r="AZ515" s="21" t="n">
        <f aca="false">IF(ABS(AJ515)&gt;تنظیمات!$B$10,1,0)</f>
        <v>0</v>
      </c>
      <c r="BA515" s="21" t="n">
        <f aca="false">IF(AND(OR(AD515="رایگان/VIP",AD515="جانباز"),AF515="خیر"),1,0)</f>
        <v>0</v>
      </c>
      <c r="BB515" s="21" t="n">
        <f aca="false">IF(AE515="",0,IF(COUNTIF($AE$2:$AE$1001,AE515)&gt;1,1,0))</f>
        <v>0</v>
      </c>
      <c r="BC515" s="21" t="n">
        <f aca="false">IF(AND(H515="",I515&gt;تنظیمات!$B$12*60,AM515="خالی"),1,0)</f>
        <v>0</v>
      </c>
      <c r="BD515" s="21" t="n">
        <f aca="false">IF(AND(AP515="بله",I515&lt;تنظیمات!$B$14,AO515="خیر"),1,0)</f>
        <v>0</v>
      </c>
      <c r="BE515" s="21" t="n">
        <f aca="false">IF(AN515="خیر",1,0)</f>
        <v>0</v>
      </c>
      <c r="BF515" s="21" t="n">
        <f aca="false">IF(AND(AD515="فیش مفقودی",AQ515="بله",I515&gt;تنظیمات!$B$12*60),1,0)</f>
        <v>0</v>
      </c>
      <c r="BG515" s="21" t="n">
        <f aca="false">IF(AND(AK515&gt;تنظیمات!$B$11,AL515="بله"),1,0)</f>
        <v>0</v>
      </c>
      <c r="BH515" s="21" t="n">
        <f aca="false">MIN(100,AR515*تنظیمات!$B$21+AS515*تنظیمات!$B$22+AT515*تنظیمات!$B$23+AU515*تنظیمات!$B$24+AV515*تنظیمات!$B$25+AW515*تنظیمات!$B$26+AX515*تنظیمات!$B$27+AY515*تنظیمات!$B$28+AZ515*تنظیمات!$B$29+BA515*تنظیمات!$B$30+BB515*تنظیمات!$B$31+BC515*تنظیمات!$B$32+BD515*تنظیمات!$B$33+BE515*تنظیمات!$B$34+BF515*تنظیمات!$B$35+BG515*تنظیمات!$B$36)</f>
        <v>0</v>
      </c>
      <c r="BI515" s="16" t="str">
        <f aca="false">IF(BH515&gt;=60,"بحرانی",IF(BH515&gt;=30,"مشکوک",IF(BH515&gt;0,"هشدار","عادی")))</f>
        <v>عادی</v>
      </c>
      <c r="BJ515" s="16" t="s">
        <v>338</v>
      </c>
    </row>
    <row r="516" customFormat="false" ht="15" hidden="false" customHeight="false" outlineLevel="0" collapsed="false">
      <c r="A516" s="16" t="s">
        <v>1992</v>
      </c>
      <c r="B516" s="16" t="s">
        <v>1020</v>
      </c>
      <c r="C516" s="16"/>
      <c r="D516" s="16" t="s">
        <v>370</v>
      </c>
      <c r="E516" s="16" t="s">
        <v>363</v>
      </c>
      <c r="F516" s="16" t="s">
        <v>333</v>
      </c>
      <c r="G516" s="17" t="n">
        <v>46288.2824537037</v>
      </c>
      <c r="H516" s="17" t="n">
        <v>46288.409537037</v>
      </c>
      <c r="I516" s="18" t="n">
        <f aca="false">IF(H516="",ROUND((تنظیمات!$B$7-G516)*1440,0),ROUND((H516-G516)*1440,0))</f>
        <v>183</v>
      </c>
      <c r="J516" s="16" t="s">
        <v>334</v>
      </c>
      <c r="K516" s="16" t="s">
        <v>410</v>
      </c>
      <c r="L516" s="19" t="n">
        <v>0.876</v>
      </c>
      <c r="M516" s="19" t="n">
        <v>0.995</v>
      </c>
      <c r="N516" s="16" t="s">
        <v>335</v>
      </c>
      <c r="O516" s="16" t="s">
        <v>650</v>
      </c>
      <c r="P516" s="16" t="s">
        <v>402</v>
      </c>
      <c r="Q516" s="20" t="n">
        <v>46288</v>
      </c>
      <c r="R516" s="16" t="s">
        <v>1993</v>
      </c>
      <c r="S516" s="16" t="s">
        <v>404</v>
      </c>
      <c r="T516" s="17"/>
      <c r="U516" s="21" t="n">
        <v>1</v>
      </c>
      <c r="V516" s="21" t="n">
        <v>1</v>
      </c>
      <c r="W516" s="22" t="n">
        <v>5.5</v>
      </c>
      <c r="X516" s="16" t="s">
        <v>335</v>
      </c>
      <c r="Y516" s="16" t="s">
        <v>338</v>
      </c>
      <c r="Z516" s="16" t="s">
        <v>413</v>
      </c>
      <c r="AA516" s="16" t="s">
        <v>414</v>
      </c>
      <c r="AB516" s="23" t="s">
        <v>1994</v>
      </c>
      <c r="AC516" s="17" t="n">
        <v>46288.4085300926</v>
      </c>
      <c r="AD516" s="16" t="s">
        <v>338</v>
      </c>
      <c r="AE516" s="16"/>
      <c r="AF516" s="16" t="str">
        <f aca="false">IF(COUNTIF(لیست_سفید!$A$2:$A$21,B516)&gt;0,"بله","خیر")</f>
        <v>خیر</v>
      </c>
      <c r="AG516" s="24" t="n">
        <f aca="false">IF(H516="","",IF(AD516="فیش مفقودی",تنظیمات!$B$6,(INT(I516/1440)*تنظیمات!$B$5+IF(MOD(I516,1440)&lt;=تنظیمات!$B$2,0,MIN(تنظیمات!$B$5,تنظیمات!$B$3+MAX(0,ROUNDUP((MOD(I516,1440)-60)/60,0))*تنظیمات!$B$4)))*INDEX(تعرفه!$B$2:$B$7,MATCH(AD516,تعرفه!$A$2:$A$7,0))))</f>
        <v>62000</v>
      </c>
      <c r="AH516" s="24" t="n">
        <v>62000</v>
      </c>
      <c r="AI516" s="24" t="n">
        <f aca="false">IF(AG516="","",AH516-AG516)</f>
        <v>0</v>
      </c>
      <c r="AJ516" s="21" t="n">
        <v>-1</v>
      </c>
      <c r="AK516" s="21" t="n">
        <v>0</v>
      </c>
      <c r="AL516" s="16" t="s">
        <v>335</v>
      </c>
      <c r="AM516" s="16"/>
      <c r="AN516" s="16" t="s">
        <v>340</v>
      </c>
      <c r="AO516" s="16" t="s">
        <v>340</v>
      </c>
      <c r="AP516" s="16" t="s">
        <v>335</v>
      </c>
      <c r="AQ516" s="16"/>
      <c r="AR516" s="21" t="n">
        <f aca="false">IF(AND(T516&lt;&gt;"",H516&lt;&gt;""),IF(AND((T516-H516)*86400&gt;=0,(T516-H516)*86400&lt;تنظیمات!$B$13),1,0),0)</f>
        <v>0</v>
      </c>
      <c r="AS516" s="21" t="n">
        <f aca="false">IF(Z516="پوز",IF(OR(AB516="",COUNTIF(پوزها!$A$2:$A$5,AA516)=0),1,0),0)</f>
        <v>0</v>
      </c>
      <c r="AT516" s="21" t="n">
        <f aca="false">IF(AI516="",0,IF(AI516&gt;0,1,0))</f>
        <v>0</v>
      </c>
      <c r="AU516" s="21" t="n">
        <f aca="false">IF(AI516="",0,IF(AI516&lt;0,1,0))</f>
        <v>0</v>
      </c>
      <c r="AV516" s="21" t="n">
        <f aca="false">IF(U516&gt;V516,1,0)</f>
        <v>0</v>
      </c>
      <c r="AW516" s="21" t="n">
        <f aca="false">IF(OR(W516&gt;تنظیمات!$B$8,X516="بله"),1,0)</f>
        <v>0</v>
      </c>
      <c r="AX516" s="21" t="n">
        <f aca="false">IF(AND(N516="بله",L516&gt;تنظیمات!$B$9),1,0)</f>
        <v>0</v>
      </c>
      <c r="AY516" s="21" t="n">
        <f aca="false">IF(Y516="معکوس",1,0)</f>
        <v>0</v>
      </c>
      <c r="AZ516" s="21" t="n">
        <f aca="false">IF(ABS(AJ516)&gt;تنظیمات!$B$10,1,0)</f>
        <v>0</v>
      </c>
      <c r="BA516" s="21" t="n">
        <f aca="false">IF(AND(OR(AD516="رایگان/VIP",AD516="جانباز"),AF516="خیر"),1,0)</f>
        <v>0</v>
      </c>
      <c r="BB516" s="21" t="n">
        <f aca="false">IF(AE516="",0,IF(COUNTIF($AE$2:$AE$1001,AE516)&gt;1,1,0))</f>
        <v>0</v>
      </c>
      <c r="BC516" s="21" t="n">
        <f aca="false">IF(AND(H516="",I516&gt;تنظیمات!$B$12*60,AM516="خالی"),1,0)</f>
        <v>0</v>
      </c>
      <c r="BD516" s="21" t="n">
        <f aca="false">IF(AND(AP516="بله",I516&lt;تنظیمات!$B$14,AO516="خیر"),1,0)</f>
        <v>0</v>
      </c>
      <c r="BE516" s="21" t="n">
        <f aca="false">IF(AN516="خیر",1,0)</f>
        <v>0</v>
      </c>
      <c r="BF516" s="21" t="n">
        <f aca="false">IF(AND(AD516="فیش مفقودی",AQ516="بله",I516&gt;تنظیمات!$B$12*60),1,0)</f>
        <v>0</v>
      </c>
      <c r="BG516" s="21" t="n">
        <f aca="false">IF(AND(AK516&gt;تنظیمات!$B$11,AL516="بله"),1,0)</f>
        <v>0</v>
      </c>
      <c r="BH516" s="21" t="n">
        <f aca="false">MIN(100,AR516*تنظیمات!$B$21+AS516*تنظیمات!$B$22+AT516*تنظیمات!$B$23+AU516*تنظیمات!$B$24+AV516*تنظیمات!$B$25+AW516*تنظیمات!$B$26+AX516*تنظیمات!$B$27+AY516*تنظیمات!$B$28+AZ516*تنظیمات!$B$29+BA516*تنظیمات!$B$30+BB516*تنظیمات!$B$31+BC516*تنظیمات!$B$32+BD516*تنظیمات!$B$33+BE516*تنظیمات!$B$34+BF516*تنظیمات!$B$35+BG516*تنظیمات!$B$36)</f>
        <v>0</v>
      </c>
      <c r="BI516" s="16" t="str">
        <f aca="false">IF(BH516&gt;=60,"بحرانی",IF(BH516&gt;=30,"مشکوک",IF(BH516&gt;0,"هشدار","عادی")))</f>
        <v>عادی</v>
      </c>
      <c r="BJ516" s="16" t="s">
        <v>338</v>
      </c>
    </row>
    <row r="517" customFormat="false" ht="15" hidden="false" customHeight="false" outlineLevel="0" collapsed="false">
      <c r="A517" s="16" t="s">
        <v>1995</v>
      </c>
      <c r="B517" s="16" t="s">
        <v>815</v>
      </c>
      <c r="C517" s="16"/>
      <c r="D517" s="16" t="s">
        <v>344</v>
      </c>
      <c r="E517" s="16" t="s">
        <v>363</v>
      </c>
      <c r="F517" s="16" t="s">
        <v>333</v>
      </c>
      <c r="G517" s="17" t="n">
        <v>46288.2927546296</v>
      </c>
      <c r="H517" s="17" t="n">
        <v>46288.3587268519</v>
      </c>
      <c r="I517" s="18" t="n">
        <f aca="false">IF(H517="",ROUND((تنظیمات!$B$7-G517)*1440,0),ROUND((H517-G517)*1440,0))</f>
        <v>95</v>
      </c>
      <c r="J517" s="16" t="s">
        <v>334</v>
      </c>
      <c r="K517" s="16" t="s">
        <v>410</v>
      </c>
      <c r="L517" s="19" t="n">
        <v>0.995</v>
      </c>
      <c r="M517" s="19" t="n">
        <v>0.905</v>
      </c>
      <c r="N517" s="16" t="s">
        <v>335</v>
      </c>
      <c r="O517" s="16" t="s">
        <v>650</v>
      </c>
      <c r="P517" s="16" t="s">
        <v>402</v>
      </c>
      <c r="Q517" s="20" t="n">
        <v>46288</v>
      </c>
      <c r="R517" s="16" t="s">
        <v>1996</v>
      </c>
      <c r="S517" s="16" t="s">
        <v>404</v>
      </c>
      <c r="T517" s="17"/>
      <c r="U517" s="21" t="n">
        <v>1</v>
      </c>
      <c r="V517" s="21" t="n">
        <v>1</v>
      </c>
      <c r="W517" s="22" t="n">
        <v>5.7</v>
      </c>
      <c r="X517" s="16" t="s">
        <v>335</v>
      </c>
      <c r="Y517" s="16" t="s">
        <v>338</v>
      </c>
      <c r="Z517" s="16" t="s">
        <v>413</v>
      </c>
      <c r="AA517" s="16" t="s">
        <v>414</v>
      </c>
      <c r="AB517" s="23" t="s">
        <v>1997</v>
      </c>
      <c r="AC517" s="17" t="n">
        <v>46288.3577083333</v>
      </c>
      <c r="AD517" s="16" t="s">
        <v>338</v>
      </c>
      <c r="AE517" s="16"/>
      <c r="AF517" s="16" t="str">
        <f aca="false">IF(COUNTIF(لیست_سفید!$A$2:$A$21,B517)&gt;0,"بله","خیر")</f>
        <v>خیر</v>
      </c>
      <c r="AG517" s="24" t="n">
        <f aca="false">IF(H517="","",IF(AD517="فیش مفقودی",تنظیمات!$B$6,(INT(I517/1440)*تنظیمات!$B$5+IF(MOD(I517,1440)&lt;=تنظیمات!$B$2,0,MIN(تنظیمات!$B$5,تنظیمات!$B$3+MAX(0,ROUNDUP((MOD(I517,1440)-60)/60,0))*تنظیمات!$B$4)))*INDEX(تعرفه!$B$2:$B$7,MATCH(AD517,تعرفه!$A$2:$A$7,0))))</f>
        <v>34000</v>
      </c>
      <c r="AH517" s="24" t="n">
        <v>34000</v>
      </c>
      <c r="AI517" s="24" t="n">
        <f aca="false">IF(AG517="","",AH517-AG517)</f>
        <v>0</v>
      </c>
      <c r="AJ517" s="21" t="n">
        <v>-2040</v>
      </c>
      <c r="AK517" s="21" t="n">
        <v>0</v>
      </c>
      <c r="AL517" s="16" t="s">
        <v>335</v>
      </c>
      <c r="AM517" s="16"/>
      <c r="AN517" s="16" t="s">
        <v>340</v>
      </c>
      <c r="AO517" s="16" t="s">
        <v>340</v>
      </c>
      <c r="AP517" s="16" t="s">
        <v>335</v>
      </c>
      <c r="AQ517" s="16"/>
      <c r="AR517" s="21" t="n">
        <f aca="false">IF(AND(T517&lt;&gt;"",H517&lt;&gt;""),IF(AND((T517-H517)*86400&gt;=0,(T517-H517)*86400&lt;تنظیمات!$B$13),1,0),0)</f>
        <v>0</v>
      </c>
      <c r="AS517" s="21" t="n">
        <f aca="false">IF(Z517="پوز",IF(OR(AB517="",COUNTIF(پوزها!$A$2:$A$5,AA517)=0),1,0),0)</f>
        <v>0</v>
      </c>
      <c r="AT517" s="21" t="n">
        <f aca="false">IF(AI517="",0,IF(AI517&gt;0,1,0))</f>
        <v>0</v>
      </c>
      <c r="AU517" s="21" t="n">
        <f aca="false">IF(AI517="",0,IF(AI517&lt;0,1,0))</f>
        <v>0</v>
      </c>
      <c r="AV517" s="21" t="n">
        <f aca="false">IF(U517&gt;V517,1,0)</f>
        <v>0</v>
      </c>
      <c r="AW517" s="21" t="n">
        <f aca="false">IF(OR(W517&gt;تنظیمات!$B$8,X517="بله"),1,0)</f>
        <v>0</v>
      </c>
      <c r="AX517" s="21" t="n">
        <f aca="false">IF(AND(N517="بله",L517&gt;تنظیمات!$B$9),1,0)</f>
        <v>0</v>
      </c>
      <c r="AY517" s="21" t="n">
        <f aca="false">IF(Y517="معکوس",1,0)</f>
        <v>0</v>
      </c>
      <c r="AZ517" s="21" t="n">
        <f aca="false">IF(ABS(AJ517)&gt;تنظیمات!$B$10,1,0)</f>
        <v>1</v>
      </c>
      <c r="BA517" s="21" t="n">
        <f aca="false">IF(AND(OR(AD517="رایگان/VIP",AD517="جانباز"),AF517="خیر"),1,0)</f>
        <v>0</v>
      </c>
      <c r="BB517" s="21" t="n">
        <f aca="false">IF(AE517="",0,IF(COUNTIF($AE$2:$AE$1001,AE517)&gt;1,1,0))</f>
        <v>0</v>
      </c>
      <c r="BC517" s="21" t="n">
        <f aca="false">IF(AND(H517="",I517&gt;تنظیمات!$B$12*60,AM517="خالی"),1,0)</f>
        <v>0</v>
      </c>
      <c r="BD517" s="21" t="n">
        <f aca="false">IF(AND(AP517="بله",I517&lt;تنظیمات!$B$14,AO517="خیر"),1,0)</f>
        <v>0</v>
      </c>
      <c r="BE517" s="21" t="n">
        <f aca="false">IF(AN517="خیر",1,0)</f>
        <v>0</v>
      </c>
      <c r="BF517" s="21" t="n">
        <f aca="false">IF(AND(AD517="فیش مفقودی",AQ517="بله",I517&gt;تنظیمات!$B$12*60),1,0)</f>
        <v>0</v>
      </c>
      <c r="BG517" s="21" t="n">
        <f aca="false">IF(AND(AK517&gt;تنظیمات!$B$11,AL517="بله"),1,0)</f>
        <v>0</v>
      </c>
      <c r="BH517" s="21" t="n">
        <f aca="false">MIN(100,AR517*تنظیمات!$B$21+AS517*تنظیمات!$B$22+AT517*تنظیمات!$B$23+AU517*تنظیمات!$B$24+AV517*تنظیمات!$B$25+AW517*تنظیمات!$B$26+AX517*تنظیمات!$B$27+AY517*تنظیمات!$B$28+AZ517*تنظیمات!$B$29+BA517*تنظیمات!$B$30+BB517*تنظیمات!$B$31+BC517*تنظیمات!$B$32+BD517*تنظیمات!$B$33+BE517*تنظیمات!$B$34+BF517*تنظیمات!$B$35+BG517*تنظیمات!$B$36)</f>
        <v>30</v>
      </c>
      <c r="BI517" s="16" t="str">
        <f aca="false">IF(BH517&gt;=60,"بحرانی",IF(BH517&gt;=30,"مشکوک",IF(BH517&gt;0,"هشدار","عادی")))</f>
        <v>مشکوک</v>
      </c>
      <c r="BJ517" s="16" t="s">
        <v>939</v>
      </c>
    </row>
    <row r="518" customFormat="false" ht="15" hidden="false" customHeight="false" outlineLevel="0" collapsed="false">
      <c r="A518" s="16" t="s">
        <v>1998</v>
      </c>
      <c r="B518" s="16" t="s">
        <v>1801</v>
      </c>
      <c r="C518" s="16"/>
      <c r="D518" s="16" t="s">
        <v>450</v>
      </c>
      <c r="E518" s="16" t="s">
        <v>390</v>
      </c>
      <c r="F518" s="16" t="s">
        <v>333</v>
      </c>
      <c r="G518" s="17" t="n">
        <v>46288.302037037</v>
      </c>
      <c r="H518" s="17" t="n">
        <v>46288.4714814815</v>
      </c>
      <c r="I518" s="18" t="n">
        <f aca="false">IF(H518="",ROUND((تنظیمات!$B$7-G518)*1440,0),ROUND((H518-G518)*1440,0))</f>
        <v>244</v>
      </c>
      <c r="J518" s="16" t="s">
        <v>334</v>
      </c>
      <c r="K518" s="16" t="s">
        <v>400</v>
      </c>
      <c r="L518" s="19" t="n">
        <v>0.979</v>
      </c>
      <c r="M518" s="19" t="n">
        <v>0.928</v>
      </c>
      <c r="N518" s="16" t="s">
        <v>335</v>
      </c>
      <c r="O518" s="16" t="s">
        <v>419</v>
      </c>
      <c r="P518" s="16" t="s">
        <v>402</v>
      </c>
      <c r="Q518" s="20" t="n">
        <v>46288</v>
      </c>
      <c r="R518" s="16" t="s">
        <v>1999</v>
      </c>
      <c r="S518" s="16" t="s">
        <v>404</v>
      </c>
      <c r="T518" s="17"/>
      <c r="U518" s="21" t="n">
        <v>1</v>
      </c>
      <c r="V518" s="21" t="n">
        <v>1</v>
      </c>
      <c r="W518" s="22" t="n">
        <v>8.1</v>
      </c>
      <c r="X518" s="16" t="s">
        <v>335</v>
      </c>
      <c r="Y518" s="16" t="s">
        <v>338</v>
      </c>
      <c r="Z518" s="16" t="s">
        <v>413</v>
      </c>
      <c r="AA518" s="16" t="s">
        <v>427</v>
      </c>
      <c r="AB518" s="23" t="s">
        <v>2000</v>
      </c>
      <c r="AC518" s="17" t="n">
        <v>46288.4711921296</v>
      </c>
      <c r="AD518" s="16" t="s">
        <v>338</v>
      </c>
      <c r="AE518" s="16"/>
      <c r="AF518" s="16" t="str">
        <f aca="false">IF(COUNTIF(لیست_سفید!$A$2:$A$21,B518)&gt;0,"بله","خیر")</f>
        <v>خیر</v>
      </c>
      <c r="AG518" s="24" t="n">
        <f aca="false">IF(H518="","",IF(AD518="فیش مفقودی",تنظیمات!$B$6,(INT(I518/1440)*تنظیمات!$B$5+IF(MOD(I518,1440)&lt;=تنظیمات!$B$2,0,MIN(تنظیمات!$B$5,تنظیمات!$B$3+MAX(0,ROUNDUP((MOD(I518,1440)-60)/60,0))*تنظیمات!$B$4)))*INDEX(تعرفه!$B$2:$B$7,MATCH(AD518,تعرفه!$A$2:$A$7,0))))</f>
        <v>76000</v>
      </c>
      <c r="AH518" s="24" t="n">
        <v>76000</v>
      </c>
      <c r="AI518" s="24" t="n">
        <f aca="false">IF(AG518="","",AH518-AG518)</f>
        <v>0</v>
      </c>
      <c r="AJ518" s="21" t="n">
        <v>-4</v>
      </c>
      <c r="AK518" s="21" t="n">
        <v>0</v>
      </c>
      <c r="AL518" s="16" t="s">
        <v>335</v>
      </c>
      <c r="AM518" s="16"/>
      <c r="AN518" s="16" t="s">
        <v>340</v>
      </c>
      <c r="AO518" s="16" t="s">
        <v>340</v>
      </c>
      <c r="AP518" s="16" t="s">
        <v>335</v>
      </c>
      <c r="AQ518" s="16"/>
      <c r="AR518" s="21" t="n">
        <f aca="false">IF(AND(T518&lt;&gt;"",H518&lt;&gt;""),IF(AND((T518-H518)*86400&gt;=0,(T518-H518)*86400&lt;تنظیمات!$B$13),1,0),0)</f>
        <v>0</v>
      </c>
      <c r="AS518" s="21" t="n">
        <f aca="false">IF(Z518="پوز",IF(OR(AB518="",COUNTIF(پوزها!$A$2:$A$5,AA518)=0),1,0),0)</f>
        <v>0</v>
      </c>
      <c r="AT518" s="21" t="n">
        <f aca="false">IF(AI518="",0,IF(AI518&gt;0,1,0))</f>
        <v>0</v>
      </c>
      <c r="AU518" s="21" t="n">
        <f aca="false">IF(AI518="",0,IF(AI518&lt;0,1,0))</f>
        <v>0</v>
      </c>
      <c r="AV518" s="21" t="n">
        <f aca="false">IF(U518&gt;V518,1,0)</f>
        <v>0</v>
      </c>
      <c r="AW518" s="21" t="n">
        <f aca="false">IF(OR(W518&gt;تنظیمات!$B$8,X518="بله"),1,0)</f>
        <v>0</v>
      </c>
      <c r="AX518" s="21" t="n">
        <f aca="false">IF(AND(N518="بله",L518&gt;تنظیمات!$B$9),1,0)</f>
        <v>0</v>
      </c>
      <c r="AY518" s="21" t="n">
        <f aca="false">IF(Y518="معکوس",1,0)</f>
        <v>0</v>
      </c>
      <c r="AZ518" s="21" t="n">
        <f aca="false">IF(ABS(AJ518)&gt;تنظیمات!$B$10,1,0)</f>
        <v>0</v>
      </c>
      <c r="BA518" s="21" t="n">
        <f aca="false">IF(AND(OR(AD518="رایگان/VIP",AD518="جانباز"),AF518="خیر"),1,0)</f>
        <v>0</v>
      </c>
      <c r="BB518" s="21" t="n">
        <f aca="false">IF(AE518="",0,IF(COUNTIF($AE$2:$AE$1001,AE518)&gt;1,1,0))</f>
        <v>0</v>
      </c>
      <c r="BC518" s="21" t="n">
        <f aca="false">IF(AND(H518="",I518&gt;تنظیمات!$B$12*60,AM518="خالی"),1,0)</f>
        <v>0</v>
      </c>
      <c r="BD518" s="21" t="n">
        <f aca="false">IF(AND(AP518="بله",I518&lt;تنظیمات!$B$14,AO518="خیر"),1,0)</f>
        <v>0</v>
      </c>
      <c r="BE518" s="21" t="n">
        <f aca="false">IF(AN518="خیر",1,0)</f>
        <v>0</v>
      </c>
      <c r="BF518" s="21" t="n">
        <f aca="false">IF(AND(AD518="فیش مفقودی",AQ518="بله",I518&gt;تنظیمات!$B$12*60),1,0)</f>
        <v>0</v>
      </c>
      <c r="BG518" s="21" t="n">
        <f aca="false">IF(AND(AK518&gt;تنظیمات!$B$11,AL518="بله"),1,0)</f>
        <v>0</v>
      </c>
      <c r="BH518" s="21" t="n">
        <f aca="false">MIN(100,AR518*تنظیمات!$B$21+AS518*تنظیمات!$B$22+AT518*تنظیمات!$B$23+AU518*تنظیمات!$B$24+AV518*تنظیمات!$B$25+AW518*تنظیمات!$B$26+AX518*تنظیمات!$B$27+AY518*تنظیمات!$B$28+AZ518*تنظیمات!$B$29+BA518*تنظیمات!$B$30+BB518*تنظیمات!$B$31+BC518*تنظیمات!$B$32+BD518*تنظیمات!$B$33+BE518*تنظیمات!$B$34+BF518*تنظیمات!$B$35+BG518*تنظیمات!$B$36)</f>
        <v>0</v>
      </c>
      <c r="BI518" s="16" t="str">
        <f aca="false">IF(BH518&gt;=60,"بحرانی",IF(BH518&gt;=30,"مشکوک",IF(BH518&gt;0,"هشدار","عادی")))</f>
        <v>عادی</v>
      </c>
      <c r="BJ518" s="16" t="s">
        <v>338</v>
      </c>
    </row>
    <row r="519" customFormat="false" ht="15" hidden="false" customHeight="false" outlineLevel="0" collapsed="false">
      <c r="A519" s="16" t="s">
        <v>2001</v>
      </c>
      <c r="B519" s="16" t="s">
        <v>1781</v>
      </c>
      <c r="C519" s="16"/>
      <c r="D519" s="16" t="s">
        <v>386</v>
      </c>
      <c r="E519" s="16" t="s">
        <v>390</v>
      </c>
      <c r="F519" s="16" t="s">
        <v>333</v>
      </c>
      <c r="G519" s="17" t="n">
        <v>46288.3044791667</v>
      </c>
      <c r="H519" s="17" t="n">
        <v>46288.7176736111</v>
      </c>
      <c r="I519" s="18" t="n">
        <f aca="false">IF(H519="",ROUND((تنظیمات!$B$7-G519)*1440,0),ROUND((H519-G519)*1440,0))</f>
        <v>595</v>
      </c>
      <c r="J519" s="16" t="s">
        <v>346</v>
      </c>
      <c r="K519" s="16" t="s">
        <v>400</v>
      </c>
      <c r="L519" s="19" t="n">
        <v>0.971</v>
      </c>
      <c r="M519" s="19" t="n">
        <v>0.965</v>
      </c>
      <c r="N519" s="16" t="s">
        <v>335</v>
      </c>
      <c r="O519" s="16" t="s">
        <v>666</v>
      </c>
      <c r="P519" s="16" t="s">
        <v>420</v>
      </c>
      <c r="Q519" s="20" t="n">
        <v>46288</v>
      </c>
      <c r="R519" s="16" t="s">
        <v>2002</v>
      </c>
      <c r="S519" s="16" t="s">
        <v>404</v>
      </c>
      <c r="T519" s="17"/>
      <c r="U519" s="21" t="n">
        <v>1</v>
      </c>
      <c r="V519" s="21" t="n">
        <v>1</v>
      </c>
      <c r="W519" s="22" t="n">
        <v>4.6</v>
      </c>
      <c r="X519" s="16" t="s">
        <v>335</v>
      </c>
      <c r="Y519" s="16" t="s">
        <v>338</v>
      </c>
      <c r="Z519" s="16" t="s">
        <v>443</v>
      </c>
      <c r="AA519" s="16"/>
      <c r="AB519" s="23"/>
      <c r="AC519" s="17"/>
      <c r="AD519" s="16" t="s">
        <v>444</v>
      </c>
      <c r="AE519" s="16"/>
      <c r="AF519" s="16" t="str">
        <f aca="false">IF(COUNTIF(لیست_سفید!$A$2:$A$21,B519)&gt;0,"بله","خیر")</f>
        <v>خیر</v>
      </c>
      <c r="AG519" s="24" t="n">
        <f aca="false">IF(H519="","",IF(AD519="فیش مفقودی",تنظیمات!$B$6,(INT(I519/1440)*تنظیمات!$B$5+IF(MOD(I519,1440)&lt;=تنظیمات!$B$2,0,MIN(تنظیمات!$B$5,تنظیمات!$B$3+MAX(0,ROUNDUP((MOD(I519,1440)-60)/60,0))*تنظیمات!$B$4)))*INDEX(تعرفه!$B$2:$B$7,MATCH(AD519,تعرفه!$A$2:$A$7,0))))</f>
        <v>0</v>
      </c>
      <c r="AH519" s="24" t="n">
        <v>0</v>
      </c>
      <c r="AI519" s="24" t="n">
        <f aca="false">IF(AG519="","",AH519-AG519)</f>
        <v>0</v>
      </c>
      <c r="AJ519" s="21" t="n">
        <v>2</v>
      </c>
      <c r="AK519" s="21" t="n">
        <v>0</v>
      </c>
      <c r="AL519" s="16" t="s">
        <v>335</v>
      </c>
      <c r="AM519" s="16"/>
      <c r="AN519" s="16" t="s">
        <v>340</v>
      </c>
      <c r="AO519" s="16" t="s">
        <v>340</v>
      </c>
      <c r="AP519" s="16" t="s">
        <v>335</v>
      </c>
      <c r="AQ519" s="16"/>
      <c r="AR519" s="21" t="n">
        <f aca="false">IF(AND(T519&lt;&gt;"",H519&lt;&gt;""),IF(AND((T519-H519)*86400&gt;=0,(T519-H519)*86400&lt;تنظیمات!$B$13),1,0),0)</f>
        <v>0</v>
      </c>
      <c r="AS519" s="21" t="n">
        <f aca="false">IF(Z519="پوز",IF(OR(AB519="",COUNTIF(پوزها!$A$2:$A$5,AA519)=0),1,0),0)</f>
        <v>0</v>
      </c>
      <c r="AT519" s="21" t="n">
        <f aca="false">IF(AI519="",0,IF(AI519&gt;0,1,0))</f>
        <v>0</v>
      </c>
      <c r="AU519" s="21" t="n">
        <f aca="false">IF(AI519="",0,IF(AI519&lt;0,1,0))</f>
        <v>0</v>
      </c>
      <c r="AV519" s="21" t="n">
        <f aca="false">IF(U519&gt;V519,1,0)</f>
        <v>0</v>
      </c>
      <c r="AW519" s="21" t="n">
        <f aca="false">IF(OR(W519&gt;تنظیمات!$B$8,X519="بله"),1,0)</f>
        <v>0</v>
      </c>
      <c r="AX519" s="21" t="n">
        <f aca="false">IF(AND(N519="بله",L519&gt;تنظیمات!$B$9),1,0)</f>
        <v>0</v>
      </c>
      <c r="AY519" s="21" t="n">
        <f aca="false">IF(Y519="معکوس",1,0)</f>
        <v>0</v>
      </c>
      <c r="AZ519" s="21" t="n">
        <f aca="false">IF(ABS(AJ519)&gt;تنظیمات!$B$10,1,0)</f>
        <v>0</v>
      </c>
      <c r="BA519" s="21" t="n">
        <f aca="false">IF(AND(OR(AD519="رایگان/VIP",AD519="جانباز"),AF519="خیر"),1,0)</f>
        <v>0</v>
      </c>
      <c r="BB519" s="21" t="n">
        <f aca="false">IF(AE519="",0,IF(COUNTIF($AE$2:$AE$1001,AE519)&gt;1,1,0))</f>
        <v>0</v>
      </c>
      <c r="BC519" s="21" t="n">
        <f aca="false">IF(AND(H519="",I519&gt;تنظیمات!$B$12*60,AM519="خالی"),1,0)</f>
        <v>0</v>
      </c>
      <c r="BD519" s="21" t="n">
        <f aca="false">IF(AND(AP519="بله",I519&lt;تنظیمات!$B$14,AO519="خیر"),1,0)</f>
        <v>0</v>
      </c>
      <c r="BE519" s="21" t="n">
        <f aca="false">IF(AN519="خیر",1,0)</f>
        <v>0</v>
      </c>
      <c r="BF519" s="21" t="n">
        <f aca="false">IF(AND(AD519="فیش مفقودی",AQ519="بله",I519&gt;تنظیمات!$B$12*60),1,0)</f>
        <v>0</v>
      </c>
      <c r="BG519" s="21" t="n">
        <f aca="false">IF(AND(AK519&gt;تنظیمات!$B$11,AL519="بله"),1,0)</f>
        <v>0</v>
      </c>
      <c r="BH519" s="21" t="n">
        <f aca="false">MIN(100,AR519*تنظیمات!$B$21+AS519*تنظیمات!$B$22+AT519*تنظیمات!$B$23+AU519*تنظیمات!$B$24+AV519*تنظیمات!$B$25+AW519*تنظیمات!$B$26+AX519*تنظیمات!$B$27+AY519*تنظیمات!$B$28+AZ519*تنظیمات!$B$29+BA519*تنظیمات!$B$30+BB519*تنظیمات!$B$31+BC519*تنظیمات!$B$32+BD519*تنظیمات!$B$33+BE519*تنظیمات!$B$34+BF519*تنظیمات!$B$35+BG519*تنظیمات!$B$36)</f>
        <v>0</v>
      </c>
      <c r="BI519" s="16" t="str">
        <f aca="false">IF(BH519&gt;=60,"بحرانی",IF(BH519&gt;=30,"مشکوک",IF(BH519&gt;0,"هشدار","عادی")))</f>
        <v>عادی</v>
      </c>
      <c r="BJ519" s="16" t="s">
        <v>338</v>
      </c>
    </row>
    <row r="520" customFormat="false" ht="15" hidden="false" customHeight="false" outlineLevel="0" collapsed="false">
      <c r="A520" s="16" t="s">
        <v>2003</v>
      </c>
      <c r="B520" s="16" t="s">
        <v>616</v>
      </c>
      <c r="C520" s="16"/>
      <c r="D520" s="16" t="s">
        <v>370</v>
      </c>
      <c r="E520" s="16" t="s">
        <v>390</v>
      </c>
      <c r="F520" s="16" t="s">
        <v>333</v>
      </c>
      <c r="G520" s="17" t="n">
        <v>46288.3069212963</v>
      </c>
      <c r="H520" s="17" t="n">
        <v>46288.3624768519</v>
      </c>
      <c r="I520" s="18" t="n">
        <f aca="false">IF(H520="",ROUND((تنظیمات!$B$7-G520)*1440,0),ROUND((H520-G520)*1440,0))</f>
        <v>80</v>
      </c>
      <c r="J520" s="16" t="s">
        <v>346</v>
      </c>
      <c r="K520" s="16" t="s">
        <v>400</v>
      </c>
      <c r="L520" s="19" t="n">
        <v>0.953</v>
      </c>
      <c r="M520" s="19" t="n">
        <v>0.974</v>
      </c>
      <c r="N520" s="16" t="s">
        <v>335</v>
      </c>
      <c r="O520" s="16" t="s">
        <v>419</v>
      </c>
      <c r="P520" s="16" t="s">
        <v>402</v>
      </c>
      <c r="Q520" s="20" t="n">
        <v>46288</v>
      </c>
      <c r="R520" s="16" t="s">
        <v>2004</v>
      </c>
      <c r="S520" s="16" t="s">
        <v>404</v>
      </c>
      <c r="T520" s="17"/>
      <c r="U520" s="21" t="n">
        <v>1</v>
      </c>
      <c r="V520" s="21" t="n">
        <v>1</v>
      </c>
      <c r="W520" s="22" t="n">
        <v>7.2</v>
      </c>
      <c r="X520" s="16" t="s">
        <v>335</v>
      </c>
      <c r="Y520" s="16" t="s">
        <v>338</v>
      </c>
      <c r="Z520" s="16" t="s">
        <v>413</v>
      </c>
      <c r="AA520" s="16" t="s">
        <v>427</v>
      </c>
      <c r="AB520" s="23" t="s">
        <v>2005</v>
      </c>
      <c r="AC520" s="17" t="n">
        <v>46288.3620949074</v>
      </c>
      <c r="AD520" s="16" t="s">
        <v>338</v>
      </c>
      <c r="AE520" s="16"/>
      <c r="AF520" s="16" t="str">
        <f aca="false">IF(COUNTIF(لیست_سفید!$A$2:$A$21,B520)&gt;0,"بله","خیر")</f>
        <v>خیر</v>
      </c>
      <c r="AG520" s="24" t="n">
        <f aca="false">IF(H520="","",IF(AD520="فیش مفقودی",تنظیمات!$B$6,(INT(I520/1440)*تنظیمات!$B$5+IF(MOD(I520,1440)&lt;=تنظیمات!$B$2,0,MIN(تنظیمات!$B$5,تنظیمات!$B$3+MAX(0,ROUNDUP((MOD(I520,1440)-60)/60,0))*تنظیمات!$B$4)))*INDEX(تعرفه!$B$2:$B$7,MATCH(AD520,تعرفه!$A$2:$A$7,0))))</f>
        <v>34000</v>
      </c>
      <c r="AH520" s="24" t="n">
        <v>34000</v>
      </c>
      <c r="AI520" s="24" t="n">
        <f aca="false">IF(AG520="","",AH520-AG520)</f>
        <v>0</v>
      </c>
      <c r="AJ520" s="21" t="n">
        <v>0</v>
      </c>
      <c r="AK520" s="21" t="n">
        <v>0</v>
      </c>
      <c r="AL520" s="16" t="s">
        <v>335</v>
      </c>
      <c r="AM520" s="16"/>
      <c r="AN520" s="16" t="s">
        <v>340</v>
      </c>
      <c r="AO520" s="16" t="s">
        <v>340</v>
      </c>
      <c r="AP520" s="16" t="s">
        <v>335</v>
      </c>
      <c r="AQ520" s="16"/>
      <c r="AR520" s="21" t="n">
        <f aca="false">IF(AND(T520&lt;&gt;"",H520&lt;&gt;""),IF(AND((T520-H520)*86400&gt;=0,(T520-H520)*86400&lt;تنظیمات!$B$13),1,0),0)</f>
        <v>0</v>
      </c>
      <c r="AS520" s="21" t="n">
        <f aca="false">IF(Z520="پوز",IF(OR(AB520="",COUNTIF(پوزها!$A$2:$A$5,AA520)=0),1,0),0)</f>
        <v>0</v>
      </c>
      <c r="AT520" s="21" t="n">
        <f aca="false">IF(AI520="",0,IF(AI520&gt;0,1,0))</f>
        <v>0</v>
      </c>
      <c r="AU520" s="21" t="n">
        <f aca="false">IF(AI520="",0,IF(AI520&lt;0,1,0))</f>
        <v>0</v>
      </c>
      <c r="AV520" s="21" t="n">
        <f aca="false">IF(U520&gt;V520,1,0)</f>
        <v>0</v>
      </c>
      <c r="AW520" s="21" t="n">
        <f aca="false">IF(OR(W520&gt;تنظیمات!$B$8,X520="بله"),1,0)</f>
        <v>0</v>
      </c>
      <c r="AX520" s="21" t="n">
        <f aca="false">IF(AND(N520="بله",L520&gt;تنظیمات!$B$9),1,0)</f>
        <v>0</v>
      </c>
      <c r="AY520" s="21" t="n">
        <f aca="false">IF(Y520="معکوس",1,0)</f>
        <v>0</v>
      </c>
      <c r="AZ520" s="21" t="n">
        <f aca="false">IF(ABS(AJ520)&gt;تنظیمات!$B$10,1,0)</f>
        <v>0</v>
      </c>
      <c r="BA520" s="21" t="n">
        <f aca="false">IF(AND(OR(AD520="رایگان/VIP",AD520="جانباز"),AF520="خیر"),1,0)</f>
        <v>0</v>
      </c>
      <c r="BB520" s="21" t="n">
        <f aca="false">IF(AE520="",0,IF(COUNTIF($AE$2:$AE$1001,AE520)&gt;1,1,0))</f>
        <v>0</v>
      </c>
      <c r="BC520" s="21" t="n">
        <f aca="false">IF(AND(H520="",I520&gt;تنظیمات!$B$12*60,AM520="خالی"),1,0)</f>
        <v>0</v>
      </c>
      <c r="BD520" s="21" t="n">
        <f aca="false">IF(AND(AP520="بله",I520&lt;تنظیمات!$B$14,AO520="خیر"),1,0)</f>
        <v>0</v>
      </c>
      <c r="BE520" s="21" t="n">
        <f aca="false">IF(AN520="خیر",1,0)</f>
        <v>0</v>
      </c>
      <c r="BF520" s="21" t="n">
        <f aca="false">IF(AND(AD520="فیش مفقودی",AQ520="بله",I520&gt;تنظیمات!$B$12*60),1,0)</f>
        <v>0</v>
      </c>
      <c r="BG520" s="21" t="n">
        <f aca="false">IF(AND(AK520&gt;تنظیمات!$B$11,AL520="بله"),1,0)</f>
        <v>0</v>
      </c>
      <c r="BH520" s="21" t="n">
        <f aca="false">MIN(100,AR520*تنظیمات!$B$21+AS520*تنظیمات!$B$22+AT520*تنظیمات!$B$23+AU520*تنظیمات!$B$24+AV520*تنظیمات!$B$25+AW520*تنظیمات!$B$26+AX520*تنظیمات!$B$27+AY520*تنظیمات!$B$28+AZ520*تنظیمات!$B$29+BA520*تنظیمات!$B$30+BB520*تنظیمات!$B$31+BC520*تنظیمات!$B$32+BD520*تنظیمات!$B$33+BE520*تنظیمات!$B$34+BF520*تنظیمات!$B$35+BG520*تنظیمات!$B$36)</f>
        <v>0</v>
      </c>
      <c r="BI520" s="16" t="str">
        <f aca="false">IF(BH520&gt;=60,"بحرانی",IF(BH520&gt;=30,"مشکوک",IF(BH520&gt;0,"هشدار","عادی")))</f>
        <v>عادی</v>
      </c>
      <c r="BJ520" s="16" t="s">
        <v>338</v>
      </c>
    </row>
    <row r="521" customFormat="false" ht="15" hidden="false" customHeight="false" outlineLevel="0" collapsed="false">
      <c r="A521" s="16" t="s">
        <v>2006</v>
      </c>
      <c r="B521" s="16" t="s">
        <v>785</v>
      </c>
      <c r="C521" s="16"/>
      <c r="D521" s="16" t="s">
        <v>523</v>
      </c>
      <c r="E521" s="16" t="s">
        <v>351</v>
      </c>
      <c r="F521" s="16" t="s">
        <v>333</v>
      </c>
      <c r="G521" s="17" t="n">
        <v>46288.3099421296</v>
      </c>
      <c r="H521" s="17" t="n">
        <v>46288.4043865741</v>
      </c>
      <c r="I521" s="18" t="n">
        <f aca="false">IF(H521="",ROUND((تنظیمات!$B$7-G521)*1440,0),ROUND((H521-G521)*1440,0))</f>
        <v>136</v>
      </c>
      <c r="J521" s="16" t="s">
        <v>334</v>
      </c>
      <c r="K521" s="16" t="s">
        <v>400</v>
      </c>
      <c r="L521" s="19" t="n">
        <v>0.936</v>
      </c>
      <c r="M521" s="19" t="n">
        <v>0.964</v>
      </c>
      <c r="N521" s="16" t="s">
        <v>335</v>
      </c>
      <c r="O521" s="16" t="s">
        <v>419</v>
      </c>
      <c r="P521" s="16" t="s">
        <v>402</v>
      </c>
      <c r="Q521" s="20" t="n">
        <v>46288</v>
      </c>
      <c r="R521" s="16" t="s">
        <v>2007</v>
      </c>
      <c r="S521" s="16" t="s">
        <v>404</v>
      </c>
      <c r="T521" s="17"/>
      <c r="U521" s="21" t="n">
        <v>1</v>
      </c>
      <c r="V521" s="21" t="n">
        <v>1</v>
      </c>
      <c r="W521" s="22" t="n">
        <v>7.2</v>
      </c>
      <c r="X521" s="16" t="s">
        <v>335</v>
      </c>
      <c r="Y521" s="16" t="s">
        <v>338</v>
      </c>
      <c r="Z521" s="16" t="s">
        <v>413</v>
      </c>
      <c r="AA521" s="16" t="s">
        <v>427</v>
      </c>
      <c r="AB521" s="23" t="s">
        <v>2008</v>
      </c>
      <c r="AC521" s="17" t="n">
        <v>46288.4037152778</v>
      </c>
      <c r="AD521" s="16" t="s">
        <v>338</v>
      </c>
      <c r="AE521" s="16"/>
      <c r="AF521" s="16" t="str">
        <f aca="false">IF(COUNTIF(لیست_سفید!$A$2:$A$21,B521)&gt;0,"بله","خیر")</f>
        <v>خیر</v>
      </c>
      <c r="AG521" s="24" t="n">
        <f aca="false">IF(H521="","",IF(AD521="فیش مفقودی",تنظیمات!$B$6,(INT(I521/1440)*تنظیمات!$B$5+IF(MOD(I521,1440)&lt;=تنظیمات!$B$2,0,MIN(تنظیمات!$B$5,تنظیمات!$B$3+MAX(0,ROUNDUP((MOD(I521,1440)-60)/60,0))*تنظیمات!$B$4)))*INDEX(تعرفه!$B$2:$B$7,MATCH(AD521,تعرفه!$A$2:$A$7,0))))</f>
        <v>48000</v>
      </c>
      <c r="AH521" s="24" t="n">
        <v>48000</v>
      </c>
      <c r="AI521" s="24" t="n">
        <f aca="false">IF(AG521="","",AH521-AG521)</f>
        <v>0</v>
      </c>
      <c r="AJ521" s="21" t="n">
        <v>2</v>
      </c>
      <c r="AK521" s="21" t="n">
        <v>0</v>
      </c>
      <c r="AL521" s="16" t="s">
        <v>335</v>
      </c>
      <c r="AM521" s="16"/>
      <c r="AN521" s="16" t="s">
        <v>340</v>
      </c>
      <c r="AO521" s="16" t="s">
        <v>340</v>
      </c>
      <c r="AP521" s="16" t="s">
        <v>335</v>
      </c>
      <c r="AQ521" s="16"/>
      <c r="AR521" s="21" t="n">
        <f aca="false">IF(AND(T521&lt;&gt;"",H521&lt;&gt;""),IF(AND((T521-H521)*86400&gt;=0,(T521-H521)*86400&lt;تنظیمات!$B$13),1,0),0)</f>
        <v>0</v>
      </c>
      <c r="AS521" s="21" t="n">
        <f aca="false">IF(Z521="پوز",IF(OR(AB521="",COUNTIF(پوزها!$A$2:$A$5,AA521)=0),1,0),0)</f>
        <v>0</v>
      </c>
      <c r="AT521" s="21" t="n">
        <f aca="false">IF(AI521="",0,IF(AI521&gt;0,1,0))</f>
        <v>0</v>
      </c>
      <c r="AU521" s="21" t="n">
        <f aca="false">IF(AI521="",0,IF(AI521&lt;0,1,0))</f>
        <v>0</v>
      </c>
      <c r="AV521" s="21" t="n">
        <f aca="false">IF(U521&gt;V521,1,0)</f>
        <v>0</v>
      </c>
      <c r="AW521" s="21" t="n">
        <f aca="false">IF(OR(W521&gt;تنظیمات!$B$8,X521="بله"),1,0)</f>
        <v>0</v>
      </c>
      <c r="AX521" s="21" t="n">
        <f aca="false">IF(AND(N521="بله",L521&gt;تنظیمات!$B$9),1,0)</f>
        <v>0</v>
      </c>
      <c r="AY521" s="21" t="n">
        <f aca="false">IF(Y521="معکوس",1,0)</f>
        <v>0</v>
      </c>
      <c r="AZ521" s="21" t="n">
        <f aca="false">IF(ABS(AJ521)&gt;تنظیمات!$B$10,1,0)</f>
        <v>0</v>
      </c>
      <c r="BA521" s="21" t="n">
        <f aca="false">IF(AND(OR(AD521="رایگان/VIP",AD521="جانباز"),AF521="خیر"),1,0)</f>
        <v>0</v>
      </c>
      <c r="BB521" s="21" t="n">
        <f aca="false">IF(AE521="",0,IF(COUNTIF($AE$2:$AE$1001,AE521)&gt;1,1,0))</f>
        <v>0</v>
      </c>
      <c r="BC521" s="21" t="n">
        <f aca="false">IF(AND(H521="",I521&gt;تنظیمات!$B$12*60,AM521="خالی"),1,0)</f>
        <v>0</v>
      </c>
      <c r="BD521" s="21" t="n">
        <f aca="false">IF(AND(AP521="بله",I521&lt;تنظیمات!$B$14,AO521="خیر"),1,0)</f>
        <v>0</v>
      </c>
      <c r="BE521" s="21" t="n">
        <f aca="false">IF(AN521="خیر",1,0)</f>
        <v>0</v>
      </c>
      <c r="BF521" s="21" t="n">
        <f aca="false">IF(AND(AD521="فیش مفقودی",AQ521="بله",I521&gt;تنظیمات!$B$12*60),1,0)</f>
        <v>0</v>
      </c>
      <c r="BG521" s="21" t="n">
        <f aca="false">IF(AND(AK521&gt;تنظیمات!$B$11,AL521="بله"),1,0)</f>
        <v>0</v>
      </c>
      <c r="BH521" s="21" t="n">
        <f aca="false">MIN(100,AR521*تنظیمات!$B$21+AS521*تنظیمات!$B$22+AT521*تنظیمات!$B$23+AU521*تنظیمات!$B$24+AV521*تنظیمات!$B$25+AW521*تنظیمات!$B$26+AX521*تنظیمات!$B$27+AY521*تنظیمات!$B$28+AZ521*تنظیمات!$B$29+BA521*تنظیمات!$B$30+BB521*تنظیمات!$B$31+BC521*تنظیمات!$B$32+BD521*تنظیمات!$B$33+BE521*تنظیمات!$B$34+BF521*تنظیمات!$B$35+BG521*تنظیمات!$B$36)</f>
        <v>0</v>
      </c>
      <c r="BI521" s="16" t="str">
        <f aca="false">IF(BH521&gt;=60,"بحرانی",IF(BH521&gt;=30,"مشکوک",IF(BH521&gt;0,"هشدار","عادی")))</f>
        <v>عادی</v>
      </c>
      <c r="BJ521" s="16" t="s">
        <v>338</v>
      </c>
    </row>
    <row r="522" customFormat="false" ht="15" hidden="false" customHeight="false" outlineLevel="0" collapsed="false">
      <c r="A522" s="16" t="s">
        <v>2009</v>
      </c>
      <c r="B522" s="16" t="s">
        <v>1821</v>
      </c>
      <c r="C522" s="16"/>
      <c r="D522" s="16" t="s">
        <v>418</v>
      </c>
      <c r="E522" s="16" t="s">
        <v>345</v>
      </c>
      <c r="F522" s="16" t="s">
        <v>333</v>
      </c>
      <c r="G522" s="17" t="n">
        <v>46288.3153819444</v>
      </c>
      <c r="H522" s="17" t="n">
        <v>46288.3827430556</v>
      </c>
      <c r="I522" s="18" t="n">
        <f aca="false">IF(H522="",ROUND((تنظیمات!$B$7-G522)*1440,0),ROUND((H522-G522)*1440,0))</f>
        <v>97</v>
      </c>
      <c r="J522" s="16" t="s">
        <v>334</v>
      </c>
      <c r="K522" s="16" t="s">
        <v>400</v>
      </c>
      <c r="L522" s="19" t="n">
        <v>0.889</v>
      </c>
      <c r="M522" s="19" t="n">
        <v>0.955</v>
      </c>
      <c r="N522" s="16" t="s">
        <v>335</v>
      </c>
      <c r="O522" s="16" t="s">
        <v>419</v>
      </c>
      <c r="P522" s="16" t="s">
        <v>402</v>
      </c>
      <c r="Q522" s="20" t="n">
        <v>46288</v>
      </c>
      <c r="R522" s="16" t="s">
        <v>2010</v>
      </c>
      <c r="S522" s="16" t="s">
        <v>404</v>
      </c>
      <c r="T522" s="17"/>
      <c r="U522" s="21" t="n">
        <v>1</v>
      </c>
      <c r="V522" s="21" t="n">
        <v>1</v>
      </c>
      <c r="W522" s="22" t="n">
        <v>6.6</v>
      </c>
      <c r="X522" s="16" t="s">
        <v>335</v>
      </c>
      <c r="Y522" s="16" t="s">
        <v>338</v>
      </c>
      <c r="Z522" s="16" t="s">
        <v>405</v>
      </c>
      <c r="AA522" s="16"/>
      <c r="AB522" s="23"/>
      <c r="AC522" s="17"/>
      <c r="AD522" s="16" t="s">
        <v>338</v>
      </c>
      <c r="AE522" s="16"/>
      <c r="AF522" s="16" t="str">
        <f aca="false">IF(COUNTIF(لیست_سفید!$A$2:$A$21,B522)&gt;0,"بله","خیر")</f>
        <v>خیر</v>
      </c>
      <c r="AG522" s="24" t="n">
        <f aca="false">IF(H522="","",IF(AD522="فیش مفقودی",تنظیمات!$B$6,(INT(I522/1440)*تنظیمات!$B$5+IF(MOD(I522,1440)&lt;=تنظیمات!$B$2,0,MIN(تنظیمات!$B$5,تنظیمات!$B$3+MAX(0,ROUNDUP((MOD(I522,1440)-60)/60,0))*تنظیمات!$B$4)))*INDEX(تعرفه!$B$2:$B$7,MATCH(AD522,تعرفه!$A$2:$A$7,0))))</f>
        <v>34000</v>
      </c>
      <c r="AH522" s="24" t="n">
        <v>34000</v>
      </c>
      <c r="AI522" s="24" t="n">
        <f aca="false">IF(AG522="","",AH522-AG522)</f>
        <v>0</v>
      </c>
      <c r="AJ522" s="21" t="n">
        <v>-1</v>
      </c>
      <c r="AK522" s="21" t="n">
        <v>0</v>
      </c>
      <c r="AL522" s="16" t="s">
        <v>335</v>
      </c>
      <c r="AM522" s="16"/>
      <c r="AN522" s="16" t="s">
        <v>340</v>
      </c>
      <c r="AO522" s="16" t="s">
        <v>340</v>
      </c>
      <c r="AP522" s="16" t="s">
        <v>335</v>
      </c>
      <c r="AQ522" s="16"/>
      <c r="AR522" s="21" t="n">
        <f aca="false">IF(AND(T522&lt;&gt;"",H522&lt;&gt;""),IF(AND((T522-H522)*86400&gt;=0,(T522-H522)*86400&lt;تنظیمات!$B$13),1,0),0)</f>
        <v>0</v>
      </c>
      <c r="AS522" s="21" t="n">
        <f aca="false">IF(Z522="پوز",IF(OR(AB522="",COUNTIF(پوزها!$A$2:$A$5,AA522)=0),1,0),0)</f>
        <v>0</v>
      </c>
      <c r="AT522" s="21" t="n">
        <f aca="false">IF(AI522="",0,IF(AI522&gt;0,1,0))</f>
        <v>0</v>
      </c>
      <c r="AU522" s="21" t="n">
        <f aca="false">IF(AI522="",0,IF(AI522&lt;0,1,0))</f>
        <v>0</v>
      </c>
      <c r="AV522" s="21" t="n">
        <f aca="false">IF(U522&gt;V522,1,0)</f>
        <v>0</v>
      </c>
      <c r="AW522" s="21" t="n">
        <f aca="false">IF(OR(W522&gt;تنظیمات!$B$8,X522="بله"),1,0)</f>
        <v>0</v>
      </c>
      <c r="AX522" s="21" t="n">
        <f aca="false">IF(AND(N522="بله",L522&gt;تنظیمات!$B$9),1,0)</f>
        <v>0</v>
      </c>
      <c r="AY522" s="21" t="n">
        <f aca="false">IF(Y522="معکوس",1,0)</f>
        <v>0</v>
      </c>
      <c r="AZ522" s="21" t="n">
        <f aca="false">IF(ABS(AJ522)&gt;تنظیمات!$B$10,1,0)</f>
        <v>0</v>
      </c>
      <c r="BA522" s="21" t="n">
        <f aca="false">IF(AND(OR(AD522="رایگان/VIP",AD522="جانباز"),AF522="خیر"),1,0)</f>
        <v>0</v>
      </c>
      <c r="BB522" s="21" t="n">
        <f aca="false">IF(AE522="",0,IF(COUNTIF($AE$2:$AE$1001,AE522)&gt;1,1,0))</f>
        <v>0</v>
      </c>
      <c r="BC522" s="21" t="n">
        <f aca="false">IF(AND(H522="",I522&gt;تنظیمات!$B$12*60,AM522="خالی"),1,0)</f>
        <v>0</v>
      </c>
      <c r="BD522" s="21" t="n">
        <f aca="false">IF(AND(AP522="بله",I522&lt;تنظیمات!$B$14,AO522="خیر"),1,0)</f>
        <v>0</v>
      </c>
      <c r="BE522" s="21" t="n">
        <f aca="false">IF(AN522="خیر",1,0)</f>
        <v>0</v>
      </c>
      <c r="BF522" s="21" t="n">
        <f aca="false">IF(AND(AD522="فیش مفقودی",AQ522="بله",I522&gt;تنظیمات!$B$12*60),1,0)</f>
        <v>0</v>
      </c>
      <c r="BG522" s="21" t="n">
        <f aca="false">IF(AND(AK522&gt;تنظیمات!$B$11,AL522="بله"),1,0)</f>
        <v>0</v>
      </c>
      <c r="BH522" s="21" t="n">
        <f aca="false">MIN(100,AR522*تنظیمات!$B$21+AS522*تنظیمات!$B$22+AT522*تنظیمات!$B$23+AU522*تنظیمات!$B$24+AV522*تنظیمات!$B$25+AW522*تنظیمات!$B$26+AX522*تنظیمات!$B$27+AY522*تنظیمات!$B$28+AZ522*تنظیمات!$B$29+BA522*تنظیمات!$B$30+BB522*تنظیمات!$B$31+BC522*تنظیمات!$B$32+BD522*تنظیمات!$B$33+BE522*تنظیمات!$B$34+BF522*تنظیمات!$B$35+BG522*تنظیمات!$B$36)</f>
        <v>0</v>
      </c>
      <c r="BI522" s="16" t="str">
        <f aca="false">IF(BH522&gt;=60,"بحرانی",IF(BH522&gt;=30,"مشکوک",IF(BH522&gt;0,"هشدار","عادی")))</f>
        <v>عادی</v>
      </c>
      <c r="BJ522" s="16" t="s">
        <v>338</v>
      </c>
    </row>
    <row r="523" customFormat="false" ht="15" hidden="false" customHeight="false" outlineLevel="0" collapsed="false">
      <c r="A523" s="16" t="s">
        <v>2011</v>
      </c>
      <c r="B523" s="16" t="s">
        <v>1717</v>
      </c>
      <c r="C523" s="16"/>
      <c r="D523" s="16" t="s">
        <v>382</v>
      </c>
      <c r="E523" s="16" t="s">
        <v>345</v>
      </c>
      <c r="F523" s="16" t="s">
        <v>333</v>
      </c>
      <c r="G523" s="17" t="n">
        <v>46288.325474537</v>
      </c>
      <c r="H523" s="17" t="n">
        <v>46288.4886689815</v>
      </c>
      <c r="I523" s="18" t="n">
        <f aca="false">IF(H523="",ROUND((تنظیمات!$B$7-G523)*1440,0),ROUND((H523-G523)*1440,0))</f>
        <v>235</v>
      </c>
      <c r="J523" s="16" t="s">
        <v>346</v>
      </c>
      <c r="K523" s="16" t="s">
        <v>400</v>
      </c>
      <c r="L523" s="19" t="n">
        <v>0.932</v>
      </c>
      <c r="M523" s="19" t="n">
        <v>0.953</v>
      </c>
      <c r="N523" s="16" t="s">
        <v>335</v>
      </c>
      <c r="O523" s="16" t="s">
        <v>419</v>
      </c>
      <c r="P523" s="16" t="s">
        <v>402</v>
      </c>
      <c r="Q523" s="20" t="n">
        <v>46288</v>
      </c>
      <c r="R523" s="16" t="s">
        <v>2012</v>
      </c>
      <c r="S523" s="16" t="s">
        <v>404</v>
      </c>
      <c r="T523" s="17"/>
      <c r="U523" s="21" t="n">
        <v>1</v>
      </c>
      <c r="V523" s="21" t="n">
        <v>1</v>
      </c>
      <c r="W523" s="22" t="n">
        <v>5.8</v>
      </c>
      <c r="X523" s="16" t="s">
        <v>335</v>
      </c>
      <c r="Y523" s="16" t="s">
        <v>338</v>
      </c>
      <c r="Z523" s="16" t="s">
        <v>405</v>
      </c>
      <c r="AA523" s="16"/>
      <c r="AB523" s="23"/>
      <c r="AC523" s="17"/>
      <c r="AD523" s="16" t="s">
        <v>338</v>
      </c>
      <c r="AE523" s="16"/>
      <c r="AF523" s="16" t="str">
        <f aca="false">IF(COUNTIF(لیست_سفید!$A$2:$A$21,B523)&gt;0,"بله","خیر")</f>
        <v>خیر</v>
      </c>
      <c r="AG523" s="24" t="n">
        <f aca="false">IF(H523="","",IF(AD523="فیش مفقودی",تنظیمات!$B$6,(INT(I523/1440)*تنظیمات!$B$5+IF(MOD(I523,1440)&lt;=تنظیمات!$B$2,0,MIN(تنظیمات!$B$5,تنظیمات!$B$3+MAX(0,ROUNDUP((MOD(I523,1440)-60)/60,0))*تنظیمات!$B$4)))*INDEX(تعرفه!$B$2:$B$7,MATCH(AD523,تعرفه!$A$2:$A$7,0))))</f>
        <v>62000</v>
      </c>
      <c r="AH523" s="24" t="n">
        <v>62000</v>
      </c>
      <c r="AI523" s="24" t="n">
        <f aca="false">IF(AG523="","",AH523-AG523)</f>
        <v>0</v>
      </c>
      <c r="AJ523" s="21" t="n">
        <v>0</v>
      </c>
      <c r="AK523" s="21" t="n">
        <v>0</v>
      </c>
      <c r="AL523" s="16" t="s">
        <v>335</v>
      </c>
      <c r="AM523" s="16"/>
      <c r="AN523" s="16" t="s">
        <v>340</v>
      </c>
      <c r="AO523" s="16" t="s">
        <v>340</v>
      </c>
      <c r="AP523" s="16" t="s">
        <v>335</v>
      </c>
      <c r="AQ523" s="16"/>
      <c r="AR523" s="21" t="n">
        <f aca="false">IF(AND(T523&lt;&gt;"",H523&lt;&gt;""),IF(AND((T523-H523)*86400&gt;=0,(T523-H523)*86400&lt;تنظیمات!$B$13),1,0),0)</f>
        <v>0</v>
      </c>
      <c r="AS523" s="21" t="n">
        <f aca="false">IF(Z523="پوز",IF(OR(AB523="",COUNTIF(پوزها!$A$2:$A$5,AA523)=0),1,0),0)</f>
        <v>0</v>
      </c>
      <c r="AT523" s="21" t="n">
        <f aca="false">IF(AI523="",0,IF(AI523&gt;0,1,0))</f>
        <v>0</v>
      </c>
      <c r="AU523" s="21" t="n">
        <f aca="false">IF(AI523="",0,IF(AI523&lt;0,1,0))</f>
        <v>0</v>
      </c>
      <c r="AV523" s="21" t="n">
        <f aca="false">IF(U523&gt;V523,1,0)</f>
        <v>0</v>
      </c>
      <c r="AW523" s="21" t="n">
        <f aca="false">IF(OR(W523&gt;تنظیمات!$B$8,X523="بله"),1,0)</f>
        <v>0</v>
      </c>
      <c r="AX523" s="21" t="n">
        <f aca="false">IF(AND(N523="بله",L523&gt;تنظیمات!$B$9),1,0)</f>
        <v>0</v>
      </c>
      <c r="AY523" s="21" t="n">
        <f aca="false">IF(Y523="معکوس",1,0)</f>
        <v>0</v>
      </c>
      <c r="AZ523" s="21" t="n">
        <f aca="false">IF(ABS(AJ523)&gt;تنظیمات!$B$10,1,0)</f>
        <v>0</v>
      </c>
      <c r="BA523" s="21" t="n">
        <f aca="false">IF(AND(OR(AD523="رایگان/VIP",AD523="جانباز"),AF523="خیر"),1,0)</f>
        <v>0</v>
      </c>
      <c r="BB523" s="21" t="n">
        <f aca="false">IF(AE523="",0,IF(COUNTIF($AE$2:$AE$1001,AE523)&gt;1,1,0))</f>
        <v>0</v>
      </c>
      <c r="BC523" s="21" t="n">
        <f aca="false">IF(AND(H523="",I523&gt;تنظیمات!$B$12*60,AM523="خالی"),1,0)</f>
        <v>0</v>
      </c>
      <c r="BD523" s="21" t="n">
        <f aca="false">IF(AND(AP523="بله",I523&lt;تنظیمات!$B$14,AO523="خیر"),1,0)</f>
        <v>0</v>
      </c>
      <c r="BE523" s="21" t="n">
        <f aca="false">IF(AN523="خیر",1,0)</f>
        <v>0</v>
      </c>
      <c r="BF523" s="21" t="n">
        <f aca="false">IF(AND(AD523="فیش مفقودی",AQ523="بله",I523&gt;تنظیمات!$B$12*60),1,0)</f>
        <v>0</v>
      </c>
      <c r="BG523" s="21" t="n">
        <f aca="false">IF(AND(AK523&gt;تنظیمات!$B$11,AL523="بله"),1,0)</f>
        <v>0</v>
      </c>
      <c r="BH523" s="21" t="n">
        <f aca="false">MIN(100,AR523*تنظیمات!$B$21+AS523*تنظیمات!$B$22+AT523*تنظیمات!$B$23+AU523*تنظیمات!$B$24+AV523*تنظیمات!$B$25+AW523*تنظیمات!$B$26+AX523*تنظیمات!$B$27+AY523*تنظیمات!$B$28+AZ523*تنظیمات!$B$29+BA523*تنظیمات!$B$30+BB523*تنظیمات!$B$31+BC523*تنظیمات!$B$32+BD523*تنظیمات!$B$33+BE523*تنظیمات!$B$34+BF523*تنظیمات!$B$35+BG523*تنظیمات!$B$36)</f>
        <v>0</v>
      </c>
      <c r="BI523" s="16" t="str">
        <f aca="false">IF(BH523&gt;=60,"بحرانی",IF(BH523&gt;=30,"مشکوک",IF(BH523&gt;0,"هشدار","عادی")))</f>
        <v>عادی</v>
      </c>
      <c r="BJ523" s="16" t="s">
        <v>338</v>
      </c>
    </row>
    <row r="524" customFormat="false" ht="15" hidden="false" customHeight="false" outlineLevel="0" collapsed="false">
      <c r="A524" s="16" t="s">
        <v>2013</v>
      </c>
      <c r="B524" s="16" t="s">
        <v>1267</v>
      </c>
      <c r="C524" s="16"/>
      <c r="D524" s="16" t="s">
        <v>531</v>
      </c>
      <c r="E524" s="16" t="s">
        <v>390</v>
      </c>
      <c r="F524" s="16" t="s">
        <v>333</v>
      </c>
      <c r="G524" s="17" t="n">
        <v>46288.3283449074</v>
      </c>
      <c r="H524" s="17" t="n">
        <v>46288.4845949074</v>
      </c>
      <c r="I524" s="18" t="n">
        <f aca="false">IF(H524="",ROUND((تنظیمات!$B$7-G524)*1440,0),ROUND((H524-G524)*1440,0))</f>
        <v>225</v>
      </c>
      <c r="J524" s="16" t="s">
        <v>346</v>
      </c>
      <c r="K524" s="16" t="s">
        <v>410</v>
      </c>
      <c r="L524" s="19" t="n">
        <v>0.949</v>
      </c>
      <c r="M524" s="19" t="n">
        <v>0.986</v>
      </c>
      <c r="N524" s="16" t="s">
        <v>335</v>
      </c>
      <c r="O524" s="16" t="s">
        <v>650</v>
      </c>
      <c r="P524" s="16" t="s">
        <v>402</v>
      </c>
      <c r="Q524" s="20" t="n">
        <v>46288</v>
      </c>
      <c r="R524" s="16" t="s">
        <v>2014</v>
      </c>
      <c r="S524" s="16" t="s">
        <v>404</v>
      </c>
      <c r="T524" s="17"/>
      <c r="U524" s="21" t="n">
        <v>1</v>
      </c>
      <c r="V524" s="21" t="n">
        <v>1</v>
      </c>
      <c r="W524" s="22" t="n">
        <v>7.4</v>
      </c>
      <c r="X524" s="16" t="s">
        <v>335</v>
      </c>
      <c r="Y524" s="16" t="s">
        <v>338</v>
      </c>
      <c r="Z524" s="16" t="s">
        <v>465</v>
      </c>
      <c r="AA524" s="16"/>
      <c r="AB524" s="23"/>
      <c r="AC524" s="17"/>
      <c r="AD524" s="16" t="s">
        <v>602</v>
      </c>
      <c r="AE524" s="16"/>
      <c r="AF524" s="16" t="str">
        <f aca="false">IF(COUNTIF(لیست_سفید!$A$2:$A$21,B524)&gt;0,"بله","خیر")</f>
        <v>بله</v>
      </c>
      <c r="AG524" s="24" t="n">
        <f aca="false">IF(H524="","",IF(AD524="فیش مفقودی",تنظیمات!$B$6,(INT(I524/1440)*تنظیمات!$B$5+IF(MOD(I524,1440)&lt;=تنظیمات!$B$2,0,MIN(تنظیمات!$B$5,تنظیمات!$B$3+MAX(0,ROUNDUP((MOD(I524,1440)-60)/60,0))*تنظیمات!$B$4)))*INDEX(تعرفه!$B$2:$B$7,MATCH(AD524,تعرفه!$A$2:$A$7,0))))</f>
        <v>0</v>
      </c>
      <c r="AH524" s="24" t="n">
        <v>0</v>
      </c>
      <c r="AI524" s="24" t="n">
        <f aca="false">IF(AG524="","",AH524-AG524)</f>
        <v>0</v>
      </c>
      <c r="AJ524" s="21" t="n">
        <v>0</v>
      </c>
      <c r="AK524" s="21" t="n">
        <v>0</v>
      </c>
      <c r="AL524" s="16" t="s">
        <v>335</v>
      </c>
      <c r="AM524" s="16"/>
      <c r="AN524" s="16" t="s">
        <v>340</v>
      </c>
      <c r="AO524" s="16" t="s">
        <v>340</v>
      </c>
      <c r="AP524" s="16" t="s">
        <v>335</v>
      </c>
      <c r="AQ524" s="16"/>
      <c r="AR524" s="21" t="n">
        <f aca="false">IF(AND(T524&lt;&gt;"",H524&lt;&gt;""),IF(AND((T524-H524)*86400&gt;=0,(T524-H524)*86400&lt;تنظیمات!$B$13),1,0),0)</f>
        <v>0</v>
      </c>
      <c r="AS524" s="21" t="n">
        <f aca="false">IF(Z524="پوز",IF(OR(AB524="",COUNTIF(پوزها!$A$2:$A$5,AA524)=0),1,0),0)</f>
        <v>0</v>
      </c>
      <c r="AT524" s="21" t="n">
        <f aca="false">IF(AI524="",0,IF(AI524&gt;0,1,0))</f>
        <v>0</v>
      </c>
      <c r="AU524" s="21" t="n">
        <f aca="false">IF(AI524="",0,IF(AI524&lt;0,1,0))</f>
        <v>0</v>
      </c>
      <c r="AV524" s="21" t="n">
        <f aca="false">IF(U524&gt;V524,1,0)</f>
        <v>0</v>
      </c>
      <c r="AW524" s="21" t="n">
        <f aca="false">IF(OR(W524&gt;تنظیمات!$B$8,X524="بله"),1,0)</f>
        <v>0</v>
      </c>
      <c r="AX524" s="21" t="n">
        <f aca="false">IF(AND(N524="بله",L524&gt;تنظیمات!$B$9),1,0)</f>
        <v>0</v>
      </c>
      <c r="AY524" s="21" t="n">
        <f aca="false">IF(Y524="معکوس",1,0)</f>
        <v>0</v>
      </c>
      <c r="AZ524" s="21" t="n">
        <f aca="false">IF(ABS(AJ524)&gt;تنظیمات!$B$10,1,0)</f>
        <v>0</v>
      </c>
      <c r="BA524" s="21" t="n">
        <f aca="false">IF(AND(OR(AD524="رایگان/VIP",AD524="جانباز"),AF524="خیر"),1,0)</f>
        <v>0</v>
      </c>
      <c r="BB524" s="21" t="n">
        <f aca="false">IF(AE524="",0,IF(COUNTIF($AE$2:$AE$1001,AE524)&gt;1,1,0))</f>
        <v>0</v>
      </c>
      <c r="BC524" s="21" t="n">
        <f aca="false">IF(AND(H524="",I524&gt;تنظیمات!$B$12*60,AM524="خالی"),1,0)</f>
        <v>0</v>
      </c>
      <c r="BD524" s="21" t="n">
        <f aca="false">IF(AND(AP524="بله",I524&lt;تنظیمات!$B$14,AO524="خیر"),1,0)</f>
        <v>0</v>
      </c>
      <c r="BE524" s="21" t="n">
        <f aca="false">IF(AN524="خیر",1,0)</f>
        <v>0</v>
      </c>
      <c r="BF524" s="21" t="n">
        <f aca="false">IF(AND(AD524="فیش مفقودی",AQ524="بله",I524&gt;تنظیمات!$B$12*60),1,0)</f>
        <v>0</v>
      </c>
      <c r="BG524" s="21" t="n">
        <f aca="false">IF(AND(AK524&gt;تنظیمات!$B$11,AL524="بله"),1,0)</f>
        <v>0</v>
      </c>
      <c r="BH524" s="21" t="n">
        <f aca="false">MIN(100,AR524*تنظیمات!$B$21+AS524*تنظیمات!$B$22+AT524*تنظیمات!$B$23+AU524*تنظیمات!$B$24+AV524*تنظیمات!$B$25+AW524*تنظیمات!$B$26+AX524*تنظیمات!$B$27+AY524*تنظیمات!$B$28+AZ524*تنظیمات!$B$29+BA524*تنظیمات!$B$30+BB524*تنظیمات!$B$31+BC524*تنظیمات!$B$32+BD524*تنظیمات!$B$33+BE524*تنظیمات!$B$34+BF524*تنظیمات!$B$35+BG524*تنظیمات!$B$36)</f>
        <v>0</v>
      </c>
      <c r="BI524" s="16" t="str">
        <f aca="false">IF(BH524&gt;=60,"بحرانی",IF(BH524&gt;=30,"مشکوک",IF(BH524&gt;0,"هشدار","عادی")))</f>
        <v>عادی</v>
      </c>
      <c r="BJ524" s="16" t="s">
        <v>338</v>
      </c>
    </row>
    <row r="525" customFormat="false" ht="15" hidden="false" customHeight="false" outlineLevel="0" collapsed="false">
      <c r="A525" s="16" t="s">
        <v>2015</v>
      </c>
      <c r="B525" s="16" t="s">
        <v>1298</v>
      </c>
      <c r="C525" s="16"/>
      <c r="D525" s="16" t="s">
        <v>531</v>
      </c>
      <c r="E525" s="16" t="s">
        <v>345</v>
      </c>
      <c r="F525" s="16" t="s">
        <v>333</v>
      </c>
      <c r="G525" s="17" t="n">
        <v>46288.3294328704</v>
      </c>
      <c r="H525" s="17" t="n">
        <v>46288.4613773148</v>
      </c>
      <c r="I525" s="18" t="n">
        <f aca="false">IF(H525="",ROUND((تنظیمات!$B$7-G525)*1440,0),ROUND((H525-G525)*1440,0))</f>
        <v>190</v>
      </c>
      <c r="J525" s="16" t="s">
        <v>334</v>
      </c>
      <c r="K525" s="16" t="s">
        <v>410</v>
      </c>
      <c r="L525" s="19" t="n">
        <v>0.932</v>
      </c>
      <c r="M525" s="19" t="n">
        <v>0.973</v>
      </c>
      <c r="N525" s="16" t="s">
        <v>335</v>
      </c>
      <c r="O525" s="16" t="s">
        <v>650</v>
      </c>
      <c r="P525" s="16" t="s">
        <v>402</v>
      </c>
      <c r="Q525" s="20" t="n">
        <v>46288</v>
      </c>
      <c r="R525" s="16" t="s">
        <v>2016</v>
      </c>
      <c r="S525" s="16" t="s">
        <v>404</v>
      </c>
      <c r="T525" s="17"/>
      <c r="U525" s="21" t="n">
        <v>1</v>
      </c>
      <c r="V525" s="21" t="n">
        <v>1</v>
      </c>
      <c r="W525" s="22" t="n">
        <v>5.3</v>
      </c>
      <c r="X525" s="16" t="s">
        <v>335</v>
      </c>
      <c r="Y525" s="16" t="s">
        <v>338</v>
      </c>
      <c r="Z525" s="16" t="s">
        <v>413</v>
      </c>
      <c r="AA525" s="16" t="s">
        <v>414</v>
      </c>
      <c r="AB525" s="23" t="s">
        <v>2017</v>
      </c>
      <c r="AC525" s="17" t="n">
        <v>46288.4607060185</v>
      </c>
      <c r="AD525" s="16" t="s">
        <v>338</v>
      </c>
      <c r="AE525" s="16"/>
      <c r="AF525" s="16" t="str">
        <f aca="false">IF(COUNTIF(لیست_سفید!$A$2:$A$21,B525)&gt;0,"بله","خیر")</f>
        <v>خیر</v>
      </c>
      <c r="AG525" s="24" t="n">
        <f aca="false">IF(H525="","",IF(AD525="فیش مفقودی",تنظیمات!$B$6,(INT(I525/1440)*تنظیمات!$B$5+IF(MOD(I525,1440)&lt;=تنظیمات!$B$2,0,MIN(تنظیمات!$B$5,تنظیمات!$B$3+MAX(0,ROUNDUP((MOD(I525,1440)-60)/60,0))*تنظیمات!$B$4)))*INDEX(تعرفه!$B$2:$B$7,MATCH(AD525,تعرفه!$A$2:$A$7,0))))</f>
        <v>62000</v>
      </c>
      <c r="AH525" s="24" t="n">
        <v>62000</v>
      </c>
      <c r="AI525" s="24" t="n">
        <f aca="false">IF(AG525="","",AH525-AG525)</f>
        <v>0</v>
      </c>
      <c r="AJ525" s="21" t="n">
        <v>-3</v>
      </c>
      <c r="AK525" s="21" t="n">
        <v>0</v>
      </c>
      <c r="AL525" s="16" t="s">
        <v>335</v>
      </c>
      <c r="AM525" s="16"/>
      <c r="AN525" s="16" t="s">
        <v>340</v>
      </c>
      <c r="AO525" s="16" t="s">
        <v>340</v>
      </c>
      <c r="AP525" s="16" t="s">
        <v>335</v>
      </c>
      <c r="AQ525" s="16"/>
      <c r="AR525" s="21" t="n">
        <f aca="false">IF(AND(T525&lt;&gt;"",H525&lt;&gt;""),IF(AND((T525-H525)*86400&gt;=0,(T525-H525)*86400&lt;تنظیمات!$B$13),1,0),0)</f>
        <v>0</v>
      </c>
      <c r="AS525" s="21" t="n">
        <f aca="false">IF(Z525="پوز",IF(OR(AB525="",COUNTIF(پوزها!$A$2:$A$5,AA525)=0),1,0),0)</f>
        <v>0</v>
      </c>
      <c r="AT525" s="21" t="n">
        <f aca="false">IF(AI525="",0,IF(AI525&gt;0,1,0))</f>
        <v>0</v>
      </c>
      <c r="AU525" s="21" t="n">
        <f aca="false">IF(AI525="",0,IF(AI525&lt;0,1,0))</f>
        <v>0</v>
      </c>
      <c r="AV525" s="21" t="n">
        <f aca="false">IF(U525&gt;V525,1,0)</f>
        <v>0</v>
      </c>
      <c r="AW525" s="21" t="n">
        <f aca="false">IF(OR(W525&gt;تنظیمات!$B$8,X525="بله"),1,0)</f>
        <v>0</v>
      </c>
      <c r="AX525" s="21" t="n">
        <f aca="false">IF(AND(N525="بله",L525&gt;تنظیمات!$B$9),1,0)</f>
        <v>0</v>
      </c>
      <c r="AY525" s="21" t="n">
        <f aca="false">IF(Y525="معکوس",1,0)</f>
        <v>0</v>
      </c>
      <c r="AZ525" s="21" t="n">
        <f aca="false">IF(ABS(AJ525)&gt;تنظیمات!$B$10,1,0)</f>
        <v>0</v>
      </c>
      <c r="BA525" s="21" t="n">
        <f aca="false">IF(AND(OR(AD525="رایگان/VIP",AD525="جانباز"),AF525="خیر"),1,0)</f>
        <v>0</v>
      </c>
      <c r="BB525" s="21" t="n">
        <f aca="false">IF(AE525="",0,IF(COUNTIF($AE$2:$AE$1001,AE525)&gt;1,1,0))</f>
        <v>0</v>
      </c>
      <c r="BC525" s="21" t="n">
        <f aca="false">IF(AND(H525="",I525&gt;تنظیمات!$B$12*60,AM525="خالی"),1,0)</f>
        <v>0</v>
      </c>
      <c r="BD525" s="21" t="n">
        <f aca="false">IF(AND(AP525="بله",I525&lt;تنظیمات!$B$14,AO525="خیر"),1,0)</f>
        <v>0</v>
      </c>
      <c r="BE525" s="21" t="n">
        <f aca="false">IF(AN525="خیر",1,0)</f>
        <v>0</v>
      </c>
      <c r="BF525" s="21" t="n">
        <f aca="false">IF(AND(AD525="فیش مفقودی",AQ525="بله",I525&gt;تنظیمات!$B$12*60),1,0)</f>
        <v>0</v>
      </c>
      <c r="BG525" s="21" t="n">
        <f aca="false">IF(AND(AK525&gt;تنظیمات!$B$11,AL525="بله"),1,0)</f>
        <v>0</v>
      </c>
      <c r="BH525" s="21" t="n">
        <f aca="false">MIN(100,AR525*تنظیمات!$B$21+AS525*تنظیمات!$B$22+AT525*تنظیمات!$B$23+AU525*تنظیمات!$B$24+AV525*تنظیمات!$B$25+AW525*تنظیمات!$B$26+AX525*تنظیمات!$B$27+AY525*تنظیمات!$B$28+AZ525*تنظیمات!$B$29+BA525*تنظیمات!$B$30+BB525*تنظیمات!$B$31+BC525*تنظیمات!$B$32+BD525*تنظیمات!$B$33+BE525*تنظیمات!$B$34+BF525*تنظیمات!$B$35+BG525*تنظیمات!$B$36)</f>
        <v>0</v>
      </c>
      <c r="BI525" s="16" t="str">
        <f aca="false">IF(BH525&gt;=60,"بحرانی",IF(BH525&gt;=30,"مشکوک",IF(BH525&gt;0,"هشدار","عادی")))</f>
        <v>عادی</v>
      </c>
      <c r="BJ525" s="16" t="s">
        <v>338</v>
      </c>
    </row>
    <row r="526" customFormat="false" ht="15" hidden="false" customHeight="false" outlineLevel="0" collapsed="false">
      <c r="A526" s="16" t="s">
        <v>2018</v>
      </c>
      <c r="B526" s="16" t="s">
        <v>498</v>
      </c>
      <c r="C526" s="16"/>
      <c r="D526" s="16" t="s">
        <v>344</v>
      </c>
      <c r="E526" s="16" t="s">
        <v>390</v>
      </c>
      <c r="F526" s="16" t="s">
        <v>333</v>
      </c>
      <c r="G526" s="17" t="n">
        <v>46288.3326967593</v>
      </c>
      <c r="H526" s="17" t="n">
        <v>46288.5340856482</v>
      </c>
      <c r="I526" s="18" t="n">
        <f aca="false">IF(H526="",ROUND((تنظیمات!$B$7-G526)*1440,0),ROUND((H526-G526)*1440,0))</f>
        <v>290</v>
      </c>
      <c r="J526" s="16" t="s">
        <v>334</v>
      </c>
      <c r="K526" s="16" t="s">
        <v>400</v>
      </c>
      <c r="L526" s="19" t="n">
        <v>0.961</v>
      </c>
      <c r="M526" s="19" t="n">
        <v>0.994</v>
      </c>
      <c r="N526" s="16" t="s">
        <v>335</v>
      </c>
      <c r="O526" s="16" t="s">
        <v>419</v>
      </c>
      <c r="P526" s="16" t="s">
        <v>402</v>
      </c>
      <c r="Q526" s="20" t="n">
        <v>46288</v>
      </c>
      <c r="R526" s="16" t="s">
        <v>2019</v>
      </c>
      <c r="S526" s="16" t="s">
        <v>404</v>
      </c>
      <c r="T526" s="17"/>
      <c r="U526" s="21" t="n">
        <v>1</v>
      </c>
      <c r="V526" s="21" t="n">
        <v>1</v>
      </c>
      <c r="W526" s="22" t="n">
        <v>6.7</v>
      </c>
      <c r="X526" s="16" t="s">
        <v>335</v>
      </c>
      <c r="Y526" s="16" t="s">
        <v>338</v>
      </c>
      <c r="Z526" s="16" t="s">
        <v>413</v>
      </c>
      <c r="AA526" s="16" t="s">
        <v>427</v>
      </c>
      <c r="AB526" s="23" t="s">
        <v>2020</v>
      </c>
      <c r="AC526" s="17" t="n">
        <v>46288.5334490741</v>
      </c>
      <c r="AD526" s="16" t="s">
        <v>338</v>
      </c>
      <c r="AE526" s="16"/>
      <c r="AF526" s="16" t="str">
        <f aca="false">IF(COUNTIF(لیست_سفید!$A$2:$A$21,B526)&gt;0,"بله","خیر")</f>
        <v>خیر</v>
      </c>
      <c r="AG526" s="24" t="n">
        <f aca="false">IF(H526="","",IF(AD526="فیش مفقودی",تنظیمات!$B$6,(INT(I526/1440)*تنظیمات!$B$5+IF(MOD(I526,1440)&lt;=تنظیمات!$B$2,0,MIN(تنظیمات!$B$5,تنظیمات!$B$3+MAX(0,ROUNDUP((MOD(I526,1440)-60)/60,0))*تنظیمات!$B$4)))*INDEX(تعرفه!$B$2:$B$7,MATCH(AD526,تعرفه!$A$2:$A$7,0))))</f>
        <v>76000</v>
      </c>
      <c r="AH526" s="24" t="n">
        <v>76000</v>
      </c>
      <c r="AI526" s="24" t="n">
        <f aca="false">IF(AG526="","",AH526-AG526)</f>
        <v>0</v>
      </c>
      <c r="AJ526" s="21" t="n">
        <v>-3</v>
      </c>
      <c r="AK526" s="21" t="n">
        <v>0</v>
      </c>
      <c r="AL526" s="16" t="s">
        <v>335</v>
      </c>
      <c r="AM526" s="16"/>
      <c r="AN526" s="16" t="s">
        <v>340</v>
      </c>
      <c r="AO526" s="16" t="s">
        <v>340</v>
      </c>
      <c r="AP526" s="16" t="s">
        <v>335</v>
      </c>
      <c r="AQ526" s="16"/>
      <c r="AR526" s="21" t="n">
        <f aca="false">IF(AND(T526&lt;&gt;"",H526&lt;&gt;""),IF(AND((T526-H526)*86400&gt;=0,(T526-H526)*86400&lt;تنظیمات!$B$13),1,0),0)</f>
        <v>0</v>
      </c>
      <c r="AS526" s="21" t="n">
        <f aca="false">IF(Z526="پوز",IF(OR(AB526="",COUNTIF(پوزها!$A$2:$A$5,AA526)=0),1,0),0)</f>
        <v>0</v>
      </c>
      <c r="AT526" s="21" t="n">
        <f aca="false">IF(AI526="",0,IF(AI526&gt;0,1,0))</f>
        <v>0</v>
      </c>
      <c r="AU526" s="21" t="n">
        <f aca="false">IF(AI526="",0,IF(AI526&lt;0,1,0))</f>
        <v>0</v>
      </c>
      <c r="AV526" s="21" t="n">
        <f aca="false">IF(U526&gt;V526,1,0)</f>
        <v>0</v>
      </c>
      <c r="AW526" s="21" t="n">
        <f aca="false">IF(OR(W526&gt;تنظیمات!$B$8,X526="بله"),1,0)</f>
        <v>0</v>
      </c>
      <c r="AX526" s="21" t="n">
        <f aca="false">IF(AND(N526="بله",L526&gt;تنظیمات!$B$9),1,0)</f>
        <v>0</v>
      </c>
      <c r="AY526" s="21" t="n">
        <f aca="false">IF(Y526="معکوس",1,0)</f>
        <v>0</v>
      </c>
      <c r="AZ526" s="21" t="n">
        <f aca="false">IF(ABS(AJ526)&gt;تنظیمات!$B$10,1,0)</f>
        <v>0</v>
      </c>
      <c r="BA526" s="21" t="n">
        <f aca="false">IF(AND(OR(AD526="رایگان/VIP",AD526="جانباز"),AF526="خیر"),1,0)</f>
        <v>0</v>
      </c>
      <c r="BB526" s="21" t="n">
        <f aca="false">IF(AE526="",0,IF(COUNTIF($AE$2:$AE$1001,AE526)&gt;1,1,0))</f>
        <v>0</v>
      </c>
      <c r="BC526" s="21" t="n">
        <f aca="false">IF(AND(H526="",I526&gt;تنظیمات!$B$12*60,AM526="خالی"),1,0)</f>
        <v>0</v>
      </c>
      <c r="BD526" s="21" t="n">
        <f aca="false">IF(AND(AP526="بله",I526&lt;تنظیمات!$B$14,AO526="خیر"),1,0)</f>
        <v>0</v>
      </c>
      <c r="BE526" s="21" t="n">
        <f aca="false">IF(AN526="خیر",1,0)</f>
        <v>0</v>
      </c>
      <c r="BF526" s="21" t="n">
        <f aca="false">IF(AND(AD526="فیش مفقودی",AQ526="بله",I526&gt;تنظیمات!$B$12*60),1,0)</f>
        <v>0</v>
      </c>
      <c r="BG526" s="21" t="n">
        <f aca="false">IF(AND(AK526&gt;تنظیمات!$B$11,AL526="بله"),1,0)</f>
        <v>0</v>
      </c>
      <c r="BH526" s="21" t="n">
        <f aca="false">MIN(100,AR526*تنظیمات!$B$21+AS526*تنظیمات!$B$22+AT526*تنظیمات!$B$23+AU526*تنظیمات!$B$24+AV526*تنظیمات!$B$25+AW526*تنظیمات!$B$26+AX526*تنظیمات!$B$27+AY526*تنظیمات!$B$28+AZ526*تنظیمات!$B$29+BA526*تنظیمات!$B$30+BB526*تنظیمات!$B$31+BC526*تنظیمات!$B$32+BD526*تنظیمات!$B$33+BE526*تنظیمات!$B$34+BF526*تنظیمات!$B$35+BG526*تنظیمات!$B$36)</f>
        <v>0</v>
      </c>
      <c r="BI526" s="16" t="str">
        <f aca="false">IF(BH526&gt;=60,"بحرانی",IF(BH526&gt;=30,"مشکوک",IF(BH526&gt;0,"هشدار","عادی")))</f>
        <v>عادی</v>
      </c>
      <c r="BJ526" s="16" t="s">
        <v>338</v>
      </c>
    </row>
    <row r="527" customFormat="false" ht="15" hidden="false" customHeight="false" outlineLevel="0" collapsed="false">
      <c r="A527" s="16" t="s">
        <v>2021</v>
      </c>
      <c r="B527" s="16" t="s">
        <v>1400</v>
      </c>
      <c r="C527" s="16"/>
      <c r="D527" s="16" t="s">
        <v>344</v>
      </c>
      <c r="E527" s="16" t="s">
        <v>332</v>
      </c>
      <c r="F527" s="16" t="s">
        <v>333</v>
      </c>
      <c r="G527" s="17" t="n">
        <v>46288.3632175926</v>
      </c>
      <c r="H527" s="17" t="n">
        <v>46288.401412037</v>
      </c>
      <c r="I527" s="18" t="n">
        <f aca="false">IF(H527="",ROUND((تنظیمات!$B$7-G527)*1440,0),ROUND((H527-G527)*1440,0))</f>
        <v>55</v>
      </c>
      <c r="J527" s="16" t="s">
        <v>346</v>
      </c>
      <c r="K527" s="16" t="s">
        <v>410</v>
      </c>
      <c r="L527" s="19" t="n">
        <v>0.913</v>
      </c>
      <c r="M527" s="19" t="n">
        <v>0.928</v>
      </c>
      <c r="N527" s="16" t="s">
        <v>335</v>
      </c>
      <c r="O527" s="16" t="s">
        <v>650</v>
      </c>
      <c r="P527" s="16" t="s">
        <v>402</v>
      </c>
      <c r="Q527" s="20" t="n">
        <v>46288</v>
      </c>
      <c r="R527" s="16" t="s">
        <v>2022</v>
      </c>
      <c r="S527" s="16" t="s">
        <v>452</v>
      </c>
      <c r="T527" s="17" t="n">
        <v>46288.395474537</v>
      </c>
      <c r="U527" s="21" t="n">
        <v>1</v>
      </c>
      <c r="V527" s="21" t="n">
        <v>1</v>
      </c>
      <c r="W527" s="22" t="n">
        <v>3.9</v>
      </c>
      <c r="X527" s="16" t="s">
        <v>335</v>
      </c>
      <c r="Y527" s="16" t="s">
        <v>338</v>
      </c>
      <c r="Z527" s="16" t="s">
        <v>413</v>
      </c>
      <c r="AA527" s="16" t="s">
        <v>414</v>
      </c>
      <c r="AB527" s="23" t="s">
        <v>2023</v>
      </c>
      <c r="AC527" s="17" t="n">
        <v>46288.4009837963</v>
      </c>
      <c r="AD527" s="16" t="s">
        <v>338</v>
      </c>
      <c r="AE527" s="16"/>
      <c r="AF527" s="16" t="str">
        <f aca="false">IF(COUNTIF(لیست_سفید!$A$2:$A$21,B527)&gt;0,"بله","خیر")</f>
        <v>خیر</v>
      </c>
      <c r="AG527" s="24" t="n">
        <f aca="false">IF(H527="","",IF(AD527="فیش مفقودی",تنظیمات!$B$6,(INT(I527/1440)*تنظیمات!$B$5+IF(MOD(I527,1440)&lt;=تنظیمات!$B$2,0,MIN(تنظیمات!$B$5,تنظیمات!$B$3+MAX(0,ROUNDUP((MOD(I527,1440)-60)/60,0))*تنظیمات!$B$4)))*INDEX(تعرفه!$B$2:$B$7,MATCH(AD527,تعرفه!$A$2:$A$7,0))))</f>
        <v>20000</v>
      </c>
      <c r="AH527" s="24" t="n">
        <v>20000</v>
      </c>
      <c r="AI527" s="24" t="n">
        <f aca="false">IF(AG527="","",AH527-AG527)</f>
        <v>0</v>
      </c>
      <c r="AJ527" s="21" t="n">
        <v>-3</v>
      </c>
      <c r="AK527" s="21" t="n">
        <v>0</v>
      </c>
      <c r="AL527" s="16" t="s">
        <v>335</v>
      </c>
      <c r="AM527" s="16"/>
      <c r="AN527" s="16" t="s">
        <v>340</v>
      </c>
      <c r="AO527" s="16" t="s">
        <v>340</v>
      </c>
      <c r="AP527" s="16" t="s">
        <v>335</v>
      </c>
      <c r="AQ527" s="16"/>
      <c r="AR527" s="21" t="n">
        <f aca="false">IF(AND(T527&lt;&gt;"",H527&lt;&gt;""),IF(AND((T527-H527)*86400&gt;=0,(T527-H527)*86400&lt;تنظیمات!$B$13),1,0),0)</f>
        <v>0</v>
      </c>
      <c r="AS527" s="21" t="n">
        <f aca="false">IF(Z527="پوز",IF(OR(AB527="",COUNTIF(پوزها!$A$2:$A$5,AA527)=0),1,0),0)</f>
        <v>0</v>
      </c>
      <c r="AT527" s="21" t="n">
        <f aca="false">IF(AI527="",0,IF(AI527&gt;0,1,0))</f>
        <v>0</v>
      </c>
      <c r="AU527" s="21" t="n">
        <f aca="false">IF(AI527="",0,IF(AI527&lt;0,1,0))</f>
        <v>0</v>
      </c>
      <c r="AV527" s="21" t="n">
        <f aca="false">IF(U527&gt;V527,1,0)</f>
        <v>0</v>
      </c>
      <c r="AW527" s="21" t="n">
        <f aca="false">IF(OR(W527&gt;تنظیمات!$B$8,X527="بله"),1,0)</f>
        <v>0</v>
      </c>
      <c r="AX527" s="21" t="n">
        <f aca="false">IF(AND(N527="بله",L527&gt;تنظیمات!$B$9),1,0)</f>
        <v>0</v>
      </c>
      <c r="AY527" s="21" t="n">
        <f aca="false">IF(Y527="معکوس",1,0)</f>
        <v>0</v>
      </c>
      <c r="AZ527" s="21" t="n">
        <f aca="false">IF(ABS(AJ527)&gt;تنظیمات!$B$10,1,0)</f>
        <v>0</v>
      </c>
      <c r="BA527" s="21" t="n">
        <f aca="false">IF(AND(OR(AD527="رایگان/VIP",AD527="جانباز"),AF527="خیر"),1,0)</f>
        <v>0</v>
      </c>
      <c r="BB527" s="21" t="n">
        <f aca="false">IF(AE527="",0,IF(COUNTIF($AE$2:$AE$1001,AE527)&gt;1,1,0))</f>
        <v>0</v>
      </c>
      <c r="BC527" s="21" t="n">
        <f aca="false">IF(AND(H527="",I527&gt;تنظیمات!$B$12*60,AM527="خالی"),1,0)</f>
        <v>0</v>
      </c>
      <c r="BD527" s="21" t="n">
        <f aca="false">IF(AND(AP527="بله",I527&lt;تنظیمات!$B$14,AO527="خیر"),1,0)</f>
        <v>0</v>
      </c>
      <c r="BE527" s="21" t="n">
        <f aca="false">IF(AN527="خیر",1,0)</f>
        <v>0</v>
      </c>
      <c r="BF527" s="21" t="n">
        <f aca="false">IF(AND(AD527="فیش مفقودی",AQ527="بله",I527&gt;تنظیمات!$B$12*60),1,0)</f>
        <v>0</v>
      </c>
      <c r="BG527" s="21" t="n">
        <f aca="false">IF(AND(AK527&gt;تنظیمات!$B$11,AL527="بله"),1,0)</f>
        <v>0</v>
      </c>
      <c r="BH527" s="21" t="n">
        <f aca="false">MIN(100,AR527*تنظیمات!$B$21+AS527*تنظیمات!$B$22+AT527*تنظیمات!$B$23+AU527*تنظیمات!$B$24+AV527*تنظیمات!$B$25+AW527*تنظیمات!$B$26+AX527*تنظیمات!$B$27+AY527*تنظیمات!$B$28+AZ527*تنظیمات!$B$29+BA527*تنظیمات!$B$30+BB527*تنظیمات!$B$31+BC527*تنظیمات!$B$32+BD527*تنظیمات!$B$33+BE527*تنظیمات!$B$34+BF527*تنظیمات!$B$35+BG527*تنظیمات!$B$36)</f>
        <v>0</v>
      </c>
      <c r="BI527" s="16" t="str">
        <f aca="false">IF(BH527&gt;=60,"بحرانی",IF(BH527&gt;=30,"مشکوک",IF(BH527&gt;0,"هشدار","عادی")))</f>
        <v>عادی</v>
      </c>
      <c r="BJ527" s="16" t="s">
        <v>338</v>
      </c>
    </row>
    <row r="528" customFormat="false" ht="15" hidden="false" customHeight="false" outlineLevel="0" collapsed="false">
      <c r="A528" s="16" t="s">
        <v>2024</v>
      </c>
      <c r="B528" s="16" t="s">
        <v>1400</v>
      </c>
      <c r="C528" s="16"/>
      <c r="D528" s="16" t="s">
        <v>344</v>
      </c>
      <c r="E528" s="16" t="s">
        <v>332</v>
      </c>
      <c r="F528" s="16" t="s">
        <v>333</v>
      </c>
      <c r="G528" s="17" t="n">
        <v>46288.3772222222</v>
      </c>
      <c r="H528" s="17" t="n">
        <v>46288.74875</v>
      </c>
      <c r="I528" s="18" t="n">
        <f aca="false">IF(H528="",ROUND((تنظیمات!$B$7-G528)*1440,0),ROUND((H528-G528)*1440,0))</f>
        <v>535</v>
      </c>
      <c r="J528" s="16" t="s">
        <v>346</v>
      </c>
      <c r="K528" s="16" t="s">
        <v>400</v>
      </c>
      <c r="L528" s="19" t="n">
        <v>0.948</v>
      </c>
      <c r="M528" s="19" t="n">
        <v>0.961</v>
      </c>
      <c r="N528" s="16" t="s">
        <v>335</v>
      </c>
      <c r="O528" s="16" t="s">
        <v>666</v>
      </c>
      <c r="P528" s="16" t="s">
        <v>420</v>
      </c>
      <c r="Q528" s="20" t="n">
        <v>46288</v>
      </c>
      <c r="R528" s="16" t="s">
        <v>2025</v>
      </c>
      <c r="S528" s="16" t="s">
        <v>404</v>
      </c>
      <c r="T528" s="17"/>
      <c r="U528" s="21" t="n">
        <v>3</v>
      </c>
      <c r="V528" s="21" t="n">
        <v>1</v>
      </c>
      <c r="W528" s="22" t="n">
        <v>13</v>
      </c>
      <c r="X528" s="16" t="s">
        <v>335</v>
      </c>
      <c r="Y528" s="16" t="s">
        <v>338</v>
      </c>
      <c r="Z528" s="16" t="s">
        <v>405</v>
      </c>
      <c r="AA528" s="16"/>
      <c r="AB528" s="23"/>
      <c r="AC528" s="17"/>
      <c r="AD528" s="16" t="s">
        <v>338</v>
      </c>
      <c r="AE528" s="16"/>
      <c r="AF528" s="16" t="str">
        <f aca="false">IF(COUNTIF(لیست_سفید!$A$2:$A$21,B528)&gt;0,"بله","خیر")</f>
        <v>خیر</v>
      </c>
      <c r="AG528" s="24" t="n">
        <f aca="false">IF(H528="","",IF(AD528="فیش مفقودی",تنظیمات!$B$6,(INT(I528/1440)*تنظیمات!$B$5+IF(MOD(I528,1440)&lt;=تنظیمات!$B$2,0,MIN(تنظیمات!$B$5,تنظیمات!$B$3+MAX(0,ROUNDUP((MOD(I528,1440)-60)/60,0))*تنظیمات!$B$4)))*INDEX(تعرفه!$B$2:$B$7,MATCH(AD528,تعرفه!$A$2:$A$7,0))))</f>
        <v>132000</v>
      </c>
      <c r="AH528" s="24" t="n">
        <v>132000</v>
      </c>
      <c r="AI528" s="24" t="n">
        <f aca="false">IF(AG528="","",AH528-AG528)</f>
        <v>0</v>
      </c>
      <c r="AJ528" s="21" t="n">
        <v>0</v>
      </c>
      <c r="AK528" s="21" t="n">
        <v>0</v>
      </c>
      <c r="AL528" s="16" t="s">
        <v>335</v>
      </c>
      <c r="AM528" s="16"/>
      <c r="AN528" s="16" t="s">
        <v>340</v>
      </c>
      <c r="AO528" s="16" t="s">
        <v>340</v>
      </c>
      <c r="AP528" s="16" t="s">
        <v>335</v>
      </c>
      <c r="AQ528" s="16"/>
      <c r="AR528" s="21" t="n">
        <f aca="false">IF(AND(T528&lt;&gt;"",H528&lt;&gt;""),IF(AND((T528-H528)*86400&gt;=0,(T528-H528)*86400&lt;تنظیمات!$B$13),1,0),0)</f>
        <v>0</v>
      </c>
      <c r="AS528" s="21" t="n">
        <f aca="false">IF(Z528="پوز",IF(OR(AB528="",COUNTIF(پوزها!$A$2:$A$5,AA528)=0),1,0),0)</f>
        <v>0</v>
      </c>
      <c r="AT528" s="21" t="n">
        <f aca="false">IF(AI528="",0,IF(AI528&gt;0,1,0))</f>
        <v>0</v>
      </c>
      <c r="AU528" s="21" t="n">
        <f aca="false">IF(AI528="",0,IF(AI528&lt;0,1,0))</f>
        <v>0</v>
      </c>
      <c r="AV528" s="21" t="n">
        <f aca="false">IF(U528&gt;V528,1,0)</f>
        <v>1</v>
      </c>
      <c r="AW528" s="21" t="n">
        <f aca="false">IF(OR(W528&gt;تنظیمات!$B$8,X528="بله"),1,0)</f>
        <v>1</v>
      </c>
      <c r="AX528" s="21" t="n">
        <f aca="false">IF(AND(N528="بله",L528&gt;تنظیمات!$B$9),1,0)</f>
        <v>0</v>
      </c>
      <c r="AY528" s="21" t="n">
        <f aca="false">IF(Y528="معکوس",1,0)</f>
        <v>0</v>
      </c>
      <c r="AZ528" s="21" t="n">
        <f aca="false">IF(ABS(AJ528)&gt;تنظیمات!$B$10,1,0)</f>
        <v>0</v>
      </c>
      <c r="BA528" s="21" t="n">
        <f aca="false">IF(AND(OR(AD528="رایگان/VIP",AD528="جانباز"),AF528="خیر"),1,0)</f>
        <v>0</v>
      </c>
      <c r="BB528" s="21" t="n">
        <f aca="false">IF(AE528="",0,IF(COUNTIF($AE$2:$AE$1001,AE528)&gt;1,1,0))</f>
        <v>0</v>
      </c>
      <c r="BC528" s="21" t="n">
        <f aca="false">IF(AND(H528="",I528&gt;تنظیمات!$B$12*60,AM528="خالی"),1,0)</f>
        <v>0</v>
      </c>
      <c r="BD528" s="21" t="n">
        <f aca="false">IF(AND(AP528="بله",I528&lt;تنظیمات!$B$14,AO528="خیر"),1,0)</f>
        <v>0</v>
      </c>
      <c r="BE528" s="21" t="n">
        <f aca="false">IF(AN528="خیر",1,0)</f>
        <v>0</v>
      </c>
      <c r="BF528" s="21" t="n">
        <f aca="false">IF(AND(AD528="فیش مفقودی",AQ528="بله",I528&gt;تنظیمات!$B$12*60),1,0)</f>
        <v>0</v>
      </c>
      <c r="BG528" s="21" t="n">
        <f aca="false">IF(AND(AK528&gt;تنظیمات!$B$11,AL528="بله"),1,0)</f>
        <v>0</v>
      </c>
      <c r="BH528" s="21" t="n">
        <f aca="false">MIN(100,AR528*تنظیمات!$B$21+AS528*تنظیمات!$B$22+AT528*تنظیمات!$B$23+AU528*تنظیمات!$B$24+AV528*تنظیمات!$B$25+AW528*تنظیمات!$B$26+AX528*تنظیمات!$B$27+AY528*تنظیمات!$B$28+AZ528*تنظیمات!$B$29+BA528*تنظیمات!$B$30+BB528*تنظیمات!$B$31+BC528*تنظیمات!$B$32+BD528*تنظیمات!$B$33+BE528*تنظیمات!$B$34+BF528*تنظیمات!$B$35+BG528*تنظیمات!$B$36)</f>
        <v>55</v>
      </c>
      <c r="BI528" s="16" t="str">
        <f aca="false">IF(BH528&gt;=60,"بحرانی",IF(BH528&gt;=30,"مشکوک",IF(BH528&gt;0,"هشدار","عادی")))</f>
        <v>مشکوک</v>
      </c>
      <c r="BJ528" s="16" t="s">
        <v>516</v>
      </c>
    </row>
    <row r="529" customFormat="false" ht="15" hidden="false" customHeight="false" outlineLevel="0" collapsed="false">
      <c r="A529" s="16" t="s">
        <v>2026</v>
      </c>
      <c r="B529" s="16" t="s">
        <v>631</v>
      </c>
      <c r="C529" s="16"/>
      <c r="D529" s="16" t="s">
        <v>431</v>
      </c>
      <c r="E529" s="16" t="s">
        <v>351</v>
      </c>
      <c r="F529" s="16" t="s">
        <v>333</v>
      </c>
      <c r="G529" s="17" t="n">
        <v>46288.3812152778</v>
      </c>
      <c r="H529" s="17" t="n">
        <v>46288.6499652778</v>
      </c>
      <c r="I529" s="18" t="n">
        <f aca="false">IF(H529="",ROUND((تنظیمات!$B$7-G529)*1440,0),ROUND((H529-G529)*1440,0))</f>
        <v>387</v>
      </c>
      <c r="J529" s="16" t="s">
        <v>334</v>
      </c>
      <c r="K529" s="16" t="s">
        <v>400</v>
      </c>
      <c r="L529" s="19" t="n">
        <v>0.907</v>
      </c>
      <c r="M529" s="19" t="n">
        <v>0.917</v>
      </c>
      <c r="N529" s="16" t="s">
        <v>335</v>
      </c>
      <c r="O529" s="16" t="s">
        <v>666</v>
      </c>
      <c r="P529" s="16" t="s">
        <v>420</v>
      </c>
      <c r="Q529" s="20" t="n">
        <v>46288</v>
      </c>
      <c r="R529" s="16" t="s">
        <v>2027</v>
      </c>
      <c r="S529" s="16" t="s">
        <v>404</v>
      </c>
      <c r="T529" s="17"/>
      <c r="U529" s="21" t="n">
        <v>1</v>
      </c>
      <c r="V529" s="21" t="n">
        <v>1</v>
      </c>
      <c r="W529" s="22" t="n">
        <v>5.1</v>
      </c>
      <c r="X529" s="16" t="s">
        <v>335</v>
      </c>
      <c r="Y529" s="16" t="s">
        <v>338</v>
      </c>
      <c r="Z529" s="16" t="s">
        <v>405</v>
      </c>
      <c r="AA529" s="16"/>
      <c r="AB529" s="23"/>
      <c r="AC529" s="17"/>
      <c r="AD529" s="16" t="s">
        <v>338</v>
      </c>
      <c r="AE529" s="16"/>
      <c r="AF529" s="16" t="str">
        <f aca="false">IF(COUNTIF(لیست_سفید!$A$2:$A$21,B529)&gt;0,"بله","خیر")</f>
        <v>خیر</v>
      </c>
      <c r="AG529" s="24" t="n">
        <f aca="false">IF(H529="","",IF(AD529="فیش مفقودی",تنظیمات!$B$6,(INT(I529/1440)*تنظیمات!$B$5+IF(MOD(I529,1440)&lt;=تنظیمات!$B$2,0,MIN(تنظیمات!$B$5,تنظیمات!$B$3+MAX(0,ROUNDUP((MOD(I529,1440)-60)/60,0))*تنظیمات!$B$4)))*INDEX(تعرفه!$B$2:$B$7,MATCH(AD529,تعرفه!$A$2:$A$7,0))))</f>
        <v>104000</v>
      </c>
      <c r="AH529" s="24" t="n">
        <v>104000</v>
      </c>
      <c r="AI529" s="24" t="n">
        <f aca="false">IF(AG529="","",AH529-AG529)</f>
        <v>0</v>
      </c>
      <c r="AJ529" s="21" t="n">
        <v>0</v>
      </c>
      <c r="AK529" s="21" t="n">
        <v>0</v>
      </c>
      <c r="AL529" s="16" t="s">
        <v>335</v>
      </c>
      <c r="AM529" s="16"/>
      <c r="AN529" s="16" t="s">
        <v>340</v>
      </c>
      <c r="AO529" s="16" t="s">
        <v>340</v>
      </c>
      <c r="AP529" s="16" t="s">
        <v>335</v>
      </c>
      <c r="AQ529" s="16"/>
      <c r="AR529" s="21" t="n">
        <f aca="false">IF(AND(T529&lt;&gt;"",H529&lt;&gt;""),IF(AND((T529-H529)*86400&gt;=0,(T529-H529)*86400&lt;تنظیمات!$B$13),1,0),0)</f>
        <v>0</v>
      </c>
      <c r="AS529" s="21" t="n">
        <f aca="false">IF(Z529="پوز",IF(OR(AB529="",COUNTIF(پوزها!$A$2:$A$5,AA529)=0),1,0),0)</f>
        <v>0</v>
      </c>
      <c r="AT529" s="21" t="n">
        <f aca="false">IF(AI529="",0,IF(AI529&gt;0,1,0))</f>
        <v>0</v>
      </c>
      <c r="AU529" s="21" t="n">
        <f aca="false">IF(AI529="",0,IF(AI529&lt;0,1,0))</f>
        <v>0</v>
      </c>
      <c r="AV529" s="21" t="n">
        <f aca="false">IF(U529&gt;V529,1,0)</f>
        <v>0</v>
      </c>
      <c r="AW529" s="21" t="n">
        <f aca="false">IF(OR(W529&gt;تنظیمات!$B$8,X529="بله"),1,0)</f>
        <v>0</v>
      </c>
      <c r="AX529" s="21" t="n">
        <f aca="false">IF(AND(N529="بله",L529&gt;تنظیمات!$B$9),1,0)</f>
        <v>0</v>
      </c>
      <c r="AY529" s="21" t="n">
        <f aca="false">IF(Y529="معکوس",1,0)</f>
        <v>0</v>
      </c>
      <c r="AZ529" s="21" t="n">
        <f aca="false">IF(ABS(AJ529)&gt;تنظیمات!$B$10,1,0)</f>
        <v>0</v>
      </c>
      <c r="BA529" s="21" t="n">
        <f aca="false">IF(AND(OR(AD529="رایگان/VIP",AD529="جانباز"),AF529="خیر"),1,0)</f>
        <v>0</v>
      </c>
      <c r="BB529" s="21" t="n">
        <f aca="false">IF(AE529="",0,IF(COUNTIF($AE$2:$AE$1001,AE529)&gt;1,1,0))</f>
        <v>0</v>
      </c>
      <c r="BC529" s="21" t="n">
        <f aca="false">IF(AND(H529="",I529&gt;تنظیمات!$B$12*60,AM529="خالی"),1,0)</f>
        <v>0</v>
      </c>
      <c r="BD529" s="21" t="n">
        <f aca="false">IF(AND(AP529="بله",I529&lt;تنظیمات!$B$14,AO529="خیر"),1,0)</f>
        <v>0</v>
      </c>
      <c r="BE529" s="21" t="n">
        <f aca="false">IF(AN529="خیر",1,0)</f>
        <v>0</v>
      </c>
      <c r="BF529" s="21" t="n">
        <f aca="false">IF(AND(AD529="فیش مفقودی",AQ529="بله",I529&gt;تنظیمات!$B$12*60),1,0)</f>
        <v>0</v>
      </c>
      <c r="BG529" s="21" t="n">
        <f aca="false">IF(AND(AK529&gt;تنظیمات!$B$11,AL529="بله"),1,0)</f>
        <v>0</v>
      </c>
      <c r="BH529" s="21" t="n">
        <f aca="false">MIN(100,AR529*تنظیمات!$B$21+AS529*تنظیمات!$B$22+AT529*تنظیمات!$B$23+AU529*تنظیمات!$B$24+AV529*تنظیمات!$B$25+AW529*تنظیمات!$B$26+AX529*تنظیمات!$B$27+AY529*تنظیمات!$B$28+AZ529*تنظیمات!$B$29+BA529*تنظیمات!$B$30+BB529*تنظیمات!$B$31+BC529*تنظیمات!$B$32+BD529*تنظیمات!$B$33+BE529*تنظیمات!$B$34+BF529*تنظیمات!$B$35+BG529*تنظیمات!$B$36)</f>
        <v>0</v>
      </c>
      <c r="BI529" s="16" t="str">
        <f aca="false">IF(BH529&gt;=60,"بحرانی",IF(BH529&gt;=30,"مشکوک",IF(BH529&gt;0,"هشدار","عادی")))</f>
        <v>عادی</v>
      </c>
      <c r="BJ529" s="16" t="s">
        <v>338</v>
      </c>
    </row>
    <row r="530" customFormat="false" ht="15" hidden="false" customHeight="false" outlineLevel="0" collapsed="false">
      <c r="A530" s="16" t="s">
        <v>2028</v>
      </c>
      <c r="B530" s="16" t="s">
        <v>973</v>
      </c>
      <c r="C530" s="16"/>
      <c r="D530" s="16" t="s">
        <v>431</v>
      </c>
      <c r="E530" s="16" t="s">
        <v>332</v>
      </c>
      <c r="F530" s="16" t="s">
        <v>333</v>
      </c>
      <c r="G530" s="17" t="n">
        <v>46288.3883101852</v>
      </c>
      <c r="H530" s="17" t="n">
        <v>46288.7320601852</v>
      </c>
      <c r="I530" s="18" t="n">
        <f aca="false">IF(H530="",ROUND((تنظیمات!$B$7-G530)*1440,0),ROUND((H530-G530)*1440,0))</f>
        <v>495</v>
      </c>
      <c r="J530" s="16" t="s">
        <v>346</v>
      </c>
      <c r="K530" s="16" t="s">
        <v>410</v>
      </c>
      <c r="L530" s="19" t="n">
        <v>0.931</v>
      </c>
      <c r="M530" s="19" t="n">
        <v>0.932</v>
      </c>
      <c r="N530" s="16" t="s">
        <v>335</v>
      </c>
      <c r="O530" s="16" t="s">
        <v>677</v>
      </c>
      <c r="P530" s="16" t="s">
        <v>420</v>
      </c>
      <c r="Q530" s="20" t="n">
        <v>46288</v>
      </c>
      <c r="R530" s="16" t="s">
        <v>2029</v>
      </c>
      <c r="S530" s="16" t="s">
        <v>404</v>
      </c>
      <c r="T530" s="17"/>
      <c r="U530" s="21" t="n">
        <v>1</v>
      </c>
      <c r="V530" s="21" t="n">
        <v>1</v>
      </c>
      <c r="W530" s="22" t="n">
        <v>5.1</v>
      </c>
      <c r="X530" s="16" t="s">
        <v>335</v>
      </c>
      <c r="Y530" s="16" t="s">
        <v>338</v>
      </c>
      <c r="Z530" s="16" t="s">
        <v>443</v>
      </c>
      <c r="AA530" s="16"/>
      <c r="AB530" s="23"/>
      <c r="AC530" s="17"/>
      <c r="AD530" s="16" t="s">
        <v>444</v>
      </c>
      <c r="AE530" s="16"/>
      <c r="AF530" s="16" t="str">
        <f aca="false">IF(COUNTIF(لیست_سفید!$A$2:$A$21,B530)&gt;0,"بله","خیر")</f>
        <v>خیر</v>
      </c>
      <c r="AG530" s="24" t="n">
        <f aca="false">IF(H530="","",IF(AD530="فیش مفقودی",تنظیمات!$B$6,(INT(I530/1440)*تنظیمات!$B$5+IF(MOD(I530,1440)&lt;=تنظیمات!$B$2,0,MIN(تنظیمات!$B$5,تنظیمات!$B$3+MAX(0,ROUNDUP((MOD(I530,1440)-60)/60,0))*تنظیمات!$B$4)))*INDEX(تعرفه!$B$2:$B$7,MATCH(AD530,تعرفه!$A$2:$A$7,0))))</f>
        <v>0</v>
      </c>
      <c r="AH530" s="24" t="n">
        <v>0</v>
      </c>
      <c r="AI530" s="24" t="n">
        <f aca="false">IF(AG530="","",AH530-AG530)</f>
        <v>0</v>
      </c>
      <c r="AJ530" s="21" t="n">
        <v>0</v>
      </c>
      <c r="AK530" s="21" t="n">
        <v>0</v>
      </c>
      <c r="AL530" s="16" t="s">
        <v>335</v>
      </c>
      <c r="AM530" s="16"/>
      <c r="AN530" s="16" t="s">
        <v>340</v>
      </c>
      <c r="AO530" s="16" t="s">
        <v>340</v>
      </c>
      <c r="AP530" s="16" t="s">
        <v>335</v>
      </c>
      <c r="AQ530" s="16"/>
      <c r="AR530" s="21" t="n">
        <f aca="false">IF(AND(T530&lt;&gt;"",H530&lt;&gt;""),IF(AND((T530-H530)*86400&gt;=0,(T530-H530)*86400&lt;تنظیمات!$B$13),1,0),0)</f>
        <v>0</v>
      </c>
      <c r="AS530" s="21" t="n">
        <f aca="false">IF(Z530="پوز",IF(OR(AB530="",COUNTIF(پوزها!$A$2:$A$5,AA530)=0),1,0),0)</f>
        <v>0</v>
      </c>
      <c r="AT530" s="21" t="n">
        <f aca="false">IF(AI530="",0,IF(AI530&gt;0,1,0))</f>
        <v>0</v>
      </c>
      <c r="AU530" s="21" t="n">
        <f aca="false">IF(AI530="",0,IF(AI530&lt;0,1,0))</f>
        <v>0</v>
      </c>
      <c r="AV530" s="21" t="n">
        <f aca="false">IF(U530&gt;V530,1,0)</f>
        <v>0</v>
      </c>
      <c r="AW530" s="21" t="n">
        <f aca="false">IF(OR(W530&gt;تنظیمات!$B$8,X530="بله"),1,0)</f>
        <v>0</v>
      </c>
      <c r="AX530" s="21" t="n">
        <f aca="false">IF(AND(N530="بله",L530&gt;تنظیمات!$B$9),1,0)</f>
        <v>0</v>
      </c>
      <c r="AY530" s="21" t="n">
        <f aca="false">IF(Y530="معکوس",1,0)</f>
        <v>0</v>
      </c>
      <c r="AZ530" s="21" t="n">
        <f aca="false">IF(ABS(AJ530)&gt;تنظیمات!$B$10,1,0)</f>
        <v>0</v>
      </c>
      <c r="BA530" s="21" t="n">
        <f aca="false">IF(AND(OR(AD530="رایگان/VIP",AD530="جانباز"),AF530="خیر"),1,0)</f>
        <v>0</v>
      </c>
      <c r="BB530" s="21" t="n">
        <f aca="false">IF(AE530="",0,IF(COUNTIF($AE$2:$AE$1001,AE530)&gt;1,1,0))</f>
        <v>0</v>
      </c>
      <c r="BC530" s="21" t="n">
        <f aca="false">IF(AND(H530="",I530&gt;تنظیمات!$B$12*60,AM530="خالی"),1,0)</f>
        <v>0</v>
      </c>
      <c r="BD530" s="21" t="n">
        <f aca="false">IF(AND(AP530="بله",I530&lt;تنظیمات!$B$14,AO530="خیر"),1,0)</f>
        <v>0</v>
      </c>
      <c r="BE530" s="21" t="n">
        <f aca="false">IF(AN530="خیر",1,0)</f>
        <v>0</v>
      </c>
      <c r="BF530" s="21" t="n">
        <f aca="false">IF(AND(AD530="فیش مفقودی",AQ530="بله",I530&gt;تنظیمات!$B$12*60),1,0)</f>
        <v>0</v>
      </c>
      <c r="BG530" s="21" t="n">
        <f aca="false">IF(AND(AK530&gt;تنظیمات!$B$11,AL530="بله"),1,0)</f>
        <v>0</v>
      </c>
      <c r="BH530" s="21" t="n">
        <f aca="false">MIN(100,AR530*تنظیمات!$B$21+AS530*تنظیمات!$B$22+AT530*تنظیمات!$B$23+AU530*تنظیمات!$B$24+AV530*تنظیمات!$B$25+AW530*تنظیمات!$B$26+AX530*تنظیمات!$B$27+AY530*تنظیمات!$B$28+AZ530*تنظیمات!$B$29+BA530*تنظیمات!$B$30+BB530*تنظیمات!$B$31+BC530*تنظیمات!$B$32+BD530*تنظیمات!$B$33+BE530*تنظیمات!$B$34+BF530*تنظیمات!$B$35+BG530*تنظیمات!$B$36)</f>
        <v>0</v>
      </c>
      <c r="BI530" s="16" t="str">
        <f aca="false">IF(BH530&gt;=60,"بحرانی",IF(BH530&gt;=30,"مشکوک",IF(BH530&gt;0,"هشدار","عادی")))</f>
        <v>عادی</v>
      </c>
      <c r="BJ530" s="16" t="s">
        <v>338</v>
      </c>
    </row>
    <row r="531" customFormat="false" ht="15" hidden="false" customHeight="false" outlineLevel="0" collapsed="false">
      <c r="A531" s="16" t="s">
        <v>2030</v>
      </c>
      <c r="B531" s="16" t="s">
        <v>1380</v>
      </c>
      <c r="C531" s="16"/>
      <c r="D531" s="16" t="s">
        <v>431</v>
      </c>
      <c r="E531" s="16" t="s">
        <v>345</v>
      </c>
      <c r="F531" s="16" t="s">
        <v>333</v>
      </c>
      <c r="G531" s="17" t="n">
        <v>46288.3929166667</v>
      </c>
      <c r="H531" s="17" t="n">
        <v>46288.6213888889</v>
      </c>
      <c r="I531" s="18" t="n">
        <f aca="false">IF(H531="",ROUND((تنظیمات!$B$7-G531)*1440,0),ROUND((H531-G531)*1440,0))</f>
        <v>329</v>
      </c>
      <c r="J531" s="16" t="s">
        <v>334</v>
      </c>
      <c r="K531" s="16" t="s">
        <v>400</v>
      </c>
      <c r="L531" s="19" t="n">
        <v>0.882</v>
      </c>
      <c r="M531" s="19" t="n">
        <v>0.941</v>
      </c>
      <c r="N531" s="16" t="s">
        <v>335</v>
      </c>
      <c r="O531" s="16" t="s">
        <v>666</v>
      </c>
      <c r="P531" s="16" t="s">
        <v>420</v>
      </c>
      <c r="Q531" s="20" t="n">
        <v>46288</v>
      </c>
      <c r="R531" s="16" t="s">
        <v>2031</v>
      </c>
      <c r="S531" s="16" t="s">
        <v>404</v>
      </c>
      <c r="T531" s="17"/>
      <c r="U531" s="21" t="n">
        <v>1</v>
      </c>
      <c r="V531" s="21" t="n">
        <v>1</v>
      </c>
      <c r="W531" s="22" t="n">
        <v>4</v>
      </c>
      <c r="X531" s="16" t="s">
        <v>335</v>
      </c>
      <c r="Y531" s="16" t="s">
        <v>338</v>
      </c>
      <c r="Z531" s="16" t="s">
        <v>413</v>
      </c>
      <c r="AA531" s="16" t="s">
        <v>427</v>
      </c>
      <c r="AB531" s="23" t="s">
        <v>2032</v>
      </c>
      <c r="AC531" s="17" t="n">
        <v>46288.6205787037</v>
      </c>
      <c r="AD531" s="16" t="s">
        <v>338</v>
      </c>
      <c r="AE531" s="16"/>
      <c r="AF531" s="16" t="str">
        <f aca="false">IF(COUNTIF(لیست_سفید!$A$2:$A$21,B531)&gt;0,"بله","خیر")</f>
        <v>خیر</v>
      </c>
      <c r="AG531" s="24" t="n">
        <f aca="false">IF(H531="","",IF(AD531="فیش مفقودی",تنظیمات!$B$6,(INT(I531/1440)*تنظیمات!$B$5+IF(MOD(I531,1440)&lt;=تنظیمات!$B$2,0,MIN(تنظیمات!$B$5,تنظیمات!$B$3+MAX(0,ROUNDUP((MOD(I531,1440)-60)/60,0))*تنظیمات!$B$4)))*INDEX(تعرفه!$B$2:$B$7,MATCH(AD531,تعرفه!$A$2:$A$7,0))))</f>
        <v>90000</v>
      </c>
      <c r="AH531" s="24" t="n">
        <v>90000</v>
      </c>
      <c r="AI531" s="24" t="n">
        <f aca="false">IF(AG531="","",AH531-AG531)</f>
        <v>0</v>
      </c>
      <c r="AJ531" s="21" t="n">
        <v>2</v>
      </c>
      <c r="AK531" s="21" t="n">
        <v>0</v>
      </c>
      <c r="AL531" s="16" t="s">
        <v>335</v>
      </c>
      <c r="AM531" s="16"/>
      <c r="AN531" s="16" t="s">
        <v>340</v>
      </c>
      <c r="AO531" s="16" t="s">
        <v>340</v>
      </c>
      <c r="AP531" s="16" t="s">
        <v>335</v>
      </c>
      <c r="AQ531" s="16"/>
      <c r="AR531" s="21" t="n">
        <f aca="false">IF(AND(T531&lt;&gt;"",H531&lt;&gt;""),IF(AND((T531-H531)*86400&gt;=0,(T531-H531)*86400&lt;تنظیمات!$B$13),1,0),0)</f>
        <v>0</v>
      </c>
      <c r="AS531" s="21" t="n">
        <f aca="false">IF(Z531="پوز",IF(OR(AB531="",COUNTIF(پوزها!$A$2:$A$5,AA531)=0),1,0),0)</f>
        <v>0</v>
      </c>
      <c r="AT531" s="21" t="n">
        <f aca="false">IF(AI531="",0,IF(AI531&gt;0,1,0))</f>
        <v>0</v>
      </c>
      <c r="AU531" s="21" t="n">
        <f aca="false">IF(AI531="",0,IF(AI531&lt;0,1,0))</f>
        <v>0</v>
      </c>
      <c r="AV531" s="21" t="n">
        <f aca="false">IF(U531&gt;V531,1,0)</f>
        <v>0</v>
      </c>
      <c r="AW531" s="21" t="n">
        <f aca="false">IF(OR(W531&gt;تنظیمات!$B$8,X531="بله"),1,0)</f>
        <v>0</v>
      </c>
      <c r="AX531" s="21" t="n">
        <f aca="false">IF(AND(N531="بله",L531&gt;تنظیمات!$B$9),1,0)</f>
        <v>0</v>
      </c>
      <c r="AY531" s="21" t="n">
        <f aca="false">IF(Y531="معکوس",1,0)</f>
        <v>0</v>
      </c>
      <c r="AZ531" s="21" t="n">
        <f aca="false">IF(ABS(AJ531)&gt;تنظیمات!$B$10,1,0)</f>
        <v>0</v>
      </c>
      <c r="BA531" s="21" t="n">
        <f aca="false">IF(AND(OR(AD531="رایگان/VIP",AD531="جانباز"),AF531="خیر"),1,0)</f>
        <v>0</v>
      </c>
      <c r="BB531" s="21" t="n">
        <f aca="false">IF(AE531="",0,IF(COUNTIF($AE$2:$AE$1001,AE531)&gt;1,1,0))</f>
        <v>0</v>
      </c>
      <c r="BC531" s="21" t="n">
        <f aca="false">IF(AND(H531="",I531&gt;تنظیمات!$B$12*60,AM531="خالی"),1,0)</f>
        <v>0</v>
      </c>
      <c r="BD531" s="21" t="n">
        <f aca="false">IF(AND(AP531="بله",I531&lt;تنظیمات!$B$14,AO531="خیر"),1,0)</f>
        <v>0</v>
      </c>
      <c r="BE531" s="21" t="n">
        <f aca="false">IF(AN531="خیر",1,0)</f>
        <v>0</v>
      </c>
      <c r="BF531" s="21" t="n">
        <f aca="false">IF(AND(AD531="فیش مفقودی",AQ531="بله",I531&gt;تنظیمات!$B$12*60),1,0)</f>
        <v>0</v>
      </c>
      <c r="BG531" s="21" t="n">
        <f aca="false">IF(AND(AK531&gt;تنظیمات!$B$11,AL531="بله"),1,0)</f>
        <v>0</v>
      </c>
      <c r="BH531" s="21" t="n">
        <f aca="false">MIN(100,AR531*تنظیمات!$B$21+AS531*تنظیمات!$B$22+AT531*تنظیمات!$B$23+AU531*تنظیمات!$B$24+AV531*تنظیمات!$B$25+AW531*تنظیمات!$B$26+AX531*تنظیمات!$B$27+AY531*تنظیمات!$B$28+AZ531*تنظیمات!$B$29+BA531*تنظیمات!$B$30+BB531*تنظیمات!$B$31+BC531*تنظیمات!$B$32+BD531*تنظیمات!$B$33+BE531*تنظیمات!$B$34+BF531*تنظیمات!$B$35+BG531*تنظیمات!$B$36)</f>
        <v>0</v>
      </c>
      <c r="BI531" s="16" t="str">
        <f aca="false">IF(BH531&gt;=60,"بحرانی",IF(BH531&gt;=30,"مشکوک",IF(BH531&gt;0,"هشدار","عادی")))</f>
        <v>عادی</v>
      </c>
      <c r="BJ531" s="16" t="s">
        <v>338</v>
      </c>
    </row>
    <row r="532" customFormat="false" ht="15" hidden="false" customHeight="false" outlineLevel="0" collapsed="false">
      <c r="A532" s="16" t="s">
        <v>2033</v>
      </c>
      <c r="B532" s="16" t="s">
        <v>646</v>
      </c>
      <c r="C532" s="16"/>
      <c r="D532" s="16" t="s">
        <v>370</v>
      </c>
      <c r="E532" s="16" t="s">
        <v>351</v>
      </c>
      <c r="F532" s="16" t="s">
        <v>333</v>
      </c>
      <c r="G532" s="17" t="n">
        <v>46288.4054398148</v>
      </c>
      <c r="H532" s="17" t="n">
        <v>46288.7366898148</v>
      </c>
      <c r="I532" s="18" t="n">
        <f aca="false">IF(H532="",ROUND((تنظیمات!$B$7-G532)*1440,0),ROUND((H532-G532)*1440,0))</f>
        <v>477</v>
      </c>
      <c r="J532" s="16" t="s">
        <v>346</v>
      </c>
      <c r="K532" s="16" t="s">
        <v>410</v>
      </c>
      <c r="L532" s="19" t="n">
        <v>0.995</v>
      </c>
      <c r="M532" s="19" t="n">
        <v>0.927</v>
      </c>
      <c r="N532" s="16" t="s">
        <v>335</v>
      </c>
      <c r="O532" s="16" t="s">
        <v>677</v>
      </c>
      <c r="P532" s="16" t="s">
        <v>420</v>
      </c>
      <c r="Q532" s="20" t="n">
        <v>46288</v>
      </c>
      <c r="R532" s="16" t="s">
        <v>2034</v>
      </c>
      <c r="S532" s="16" t="s">
        <v>404</v>
      </c>
      <c r="T532" s="17"/>
      <c r="U532" s="21" t="n">
        <v>1</v>
      </c>
      <c r="V532" s="21" t="n">
        <v>1</v>
      </c>
      <c r="W532" s="22" t="n">
        <v>5.2</v>
      </c>
      <c r="X532" s="16" t="s">
        <v>335</v>
      </c>
      <c r="Y532" s="16" t="s">
        <v>338</v>
      </c>
      <c r="Z532" s="16" t="s">
        <v>413</v>
      </c>
      <c r="AA532" s="16" t="s">
        <v>414</v>
      </c>
      <c r="AB532" s="23" t="s">
        <v>2035</v>
      </c>
      <c r="AC532" s="17" t="n">
        <v>46288.7363888889</v>
      </c>
      <c r="AD532" s="16" t="s">
        <v>338</v>
      </c>
      <c r="AE532" s="16"/>
      <c r="AF532" s="16" t="str">
        <f aca="false">IF(COUNTIF(لیست_سفید!$A$2:$A$21,B532)&gt;0,"بله","خیر")</f>
        <v>خیر</v>
      </c>
      <c r="AG532" s="24" t="n">
        <f aca="false">IF(H532="","",IF(AD532="فیش مفقودی",تنظیمات!$B$6,(INT(I532/1440)*تنظیمات!$B$5+IF(MOD(I532,1440)&lt;=تنظیمات!$B$2,0,MIN(تنظیمات!$B$5,تنظیمات!$B$3+MAX(0,ROUNDUP((MOD(I532,1440)-60)/60,0))*تنظیمات!$B$4)))*INDEX(تعرفه!$B$2:$B$7,MATCH(AD532,تعرفه!$A$2:$A$7,0))))</f>
        <v>118000</v>
      </c>
      <c r="AH532" s="24" t="n">
        <v>118000</v>
      </c>
      <c r="AI532" s="24" t="n">
        <f aca="false">IF(AG532="","",AH532-AG532)</f>
        <v>0</v>
      </c>
      <c r="AJ532" s="21" t="n">
        <v>0</v>
      </c>
      <c r="AK532" s="21" t="n">
        <v>0</v>
      </c>
      <c r="AL532" s="16" t="s">
        <v>335</v>
      </c>
      <c r="AM532" s="16"/>
      <c r="AN532" s="16" t="s">
        <v>340</v>
      </c>
      <c r="AO532" s="16" t="s">
        <v>340</v>
      </c>
      <c r="AP532" s="16" t="s">
        <v>335</v>
      </c>
      <c r="AQ532" s="16"/>
      <c r="AR532" s="21" t="n">
        <f aca="false">IF(AND(T532&lt;&gt;"",H532&lt;&gt;""),IF(AND((T532-H532)*86400&gt;=0,(T532-H532)*86400&lt;تنظیمات!$B$13),1,0),0)</f>
        <v>0</v>
      </c>
      <c r="AS532" s="21" t="n">
        <f aca="false">IF(Z532="پوز",IF(OR(AB532="",COUNTIF(پوزها!$A$2:$A$5,AA532)=0),1,0),0)</f>
        <v>0</v>
      </c>
      <c r="AT532" s="21" t="n">
        <f aca="false">IF(AI532="",0,IF(AI532&gt;0,1,0))</f>
        <v>0</v>
      </c>
      <c r="AU532" s="21" t="n">
        <f aca="false">IF(AI532="",0,IF(AI532&lt;0,1,0))</f>
        <v>0</v>
      </c>
      <c r="AV532" s="21" t="n">
        <f aca="false">IF(U532&gt;V532,1,0)</f>
        <v>0</v>
      </c>
      <c r="AW532" s="21" t="n">
        <f aca="false">IF(OR(W532&gt;تنظیمات!$B$8,X532="بله"),1,0)</f>
        <v>0</v>
      </c>
      <c r="AX532" s="21" t="n">
        <f aca="false">IF(AND(N532="بله",L532&gt;تنظیمات!$B$9),1,0)</f>
        <v>0</v>
      </c>
      <c r="AY532" s="21" t="n">
        <f aca="false">IF(Y532="معکوس",1,0)</f>
        <v>0</v>
      </c>
      <c r="AZ532" s="21" t="n">
        <f aca="false">IF(ABS(AJ532)&gt;تنظیمات!$B$10,1,0)</f>
        <v>0</v>
      </c>
      <c r="BA532" s="21" t="n">
        <f aca="false">IF(AND(OR(AD532="رایگان/VIP",AD532="جانباز"),AF532="خیر"),1,0)</f>
        <v>0</v>
      </c>
      <c r="BB532" s="21" t="n">
        <f aca="false">IF(AE532="",0,IF(COUNTIF($AE$2:$AE$1001,AE532)&gt;1,1,0))</f>
        <v>0</v>
      </c>
      <c r="BC532" s="21" t="n">
        <f aca="false">IF(AND(H532="",I532&gt;تنظیمات!$B$12*60,AM532="خالی"),1,0)</f>
        <v>0</v>
      </c>
      <c r="BD532" s="21" t="n">
        <f aca="false">IF(AND(AP532="بله",I532&lt;تنظیمات!$B$14,AO532="خیر"),1,0)</f>
        <v>0</v>
      </c>
      <c r="BE532" s="21" t="n">
        <f aca="false">IF(AN532="خیر",1,0)</f>
        <v>0</v>
      </c>
      <c r="BF532" s="21" t="n">
        <f aca="false">IF(AND(AD532="فیش مفقودی",AQ532="بله",I532&gt;تنظیمات!$B$12*60),1,0)</f>
        <v>0</v>
      </c>
      <c r="BG532" s="21" t="n">
        <f aca="false">IF(AND(AK532&gt;تنظیمات!$B$11,AL532="بله"),1,0)</f>
        <v>0</v>
      </c>
      <c r="BH532" s="21" t="n">
        <f aca="false">MIN(100,AR532*تنظیمات!$B$21+AS532*تنظیمات!$B$22+AT532*تنظیمات!$B$23+AU532*تنظیمات!$B$24+AV532*تنظیمات!$B$25+AW532*تنظیمات!$B$26+AX532*تنظیمات!$B$27+AY532*تنظیمات!$B$28+AZ532*تنظیمات!$B$29+BA532*تنظیمات!$B$30+BB532*تنظیمات!$B$31+BC532*تنظیمات!$B$32+BD532*تنظیمات!$B$33+BE532*تنظیمات!$B$34+BF532*تنظیمات!$B$35+BG532*تنظیمات!$B$36)</f>
        <v>0</v>
      </c>
      <c r="BI532" s="16" t="str">
        <f aca="false">IF(BH532&gt;=60,"بحرانی",IF(BH532&gt;=30,"مشکوک",IF(BH532&gt;0,"هشدار","عادی")))</f>
        <v>عادی</v>
      </c>
      <c r="BJ532" s="16" t="s">
        <v>338</v>
      </c>
    </row>
    <row r="533" customFormat="false" ht="15" hidden="false" customHeight="false" outlineLevel="0" collapsed="false">
      <c r="A533" s="16" t="s">
        <v>2036</v>
      </c>
      <c r="B533" s="16" t="s">
        <v>1104</v>
      </c>
      <c r="C533" s="16"/>
      <c r="D533" s="16" t="s">
        <v>431</v>
      </c>
      <c r="E533" s="16" t="s">
        <v>345</v>
      </c>
      <c r="F533" s="16" t="s">
        <v>333</v>
      </c>
      <c r="G533" s="17" t="n">
        <v>46288.4111111111</v>
      </c>
      <c r="H533" s="17" t="n">
        <v>46288.5722222222</v>
      </c>
      <c r="I533" s="18" t="n">
        <f aca="false">IF(H533="",ROUND((تنظیمات!$B$7-G533)*1440,0),ROUND((H533-G533)*1440,0))</f>
        <v>232</v>
      </c>
      <c r="J533" s="16" t="s">
        <v>346</v>
      </c>
      <c r="K533" s="16" t="s">
        <v>400</v>
      </c>
      <c r="L533" s="19" t="n">
        <v>0.966</v>
      </c>
      <c r="M533" s="19" t="n">
        <v>0.993</v>
      </c>
      <c r="N533" s="16" t="s">
        <v>335</v>
      </c>
      <c r="O533" s="16" t="s">
        <v>419</v>
      </c>
      <c r="P533" s="16" t="s">
        <v>402</v>
      </c>
      <c r="Q533" s="20" t="n">
        <v>46288</v>
      </c>
      <c r="R533" s="16" t="s">
        <v>2037</v>
      </c>
      <c r="S533" s="16" t="s">
        <v>404</v>
      </c>
      <c r="T533" s="17"/>
      <c r="U533" s="21" t="n">
        <v>1</v>
      </c>
      <c r="V533" s="21" t="n">
        <v>1</v>
      </c>
      <c r="W533" s="22" t="n">
        <v>4.9</v>
      </c>
      <c r="X533" s="16" t="s">
        <v>335</v>
      </c>
      <c r="Y533" s="16" t="s">
        <v>338</v>
      </c>
      <c r="Z533" s="16" t="s">
        <v>405</v>
      </c>
      <c r="AA533" s="16"/>
      <c r="AB533" s="23"/>
      <c r="AC533" s="17"/>
      <c r="AD533" s="16" t="s">
        <v>338</v>
      </c>
      <c r="AE533" s="16"/>
      <c r="AF533" s="16" t="str">
        <f aca="false">IF(COUNTIF(لیست_سفید!$A$2:$A$21,B533)&gt;0,"بله","خیر")</f>
        <v>خیر</v>
      </c>
      <c r="AG533" s="24" t="n">
        <f aca="false">IF(H533="","",IF(AD533="فیش مفقودی",تنظیمات!$B$6,(INT(I533/1440)*تنظیمات!$B$5+IF(MOD(I533,1440)&lt;=تنظیمات!$B$2,0,MIN(تنظیمات!$B$5,تنظیمات!$B$3+MAX(0,ROUNDUP((MOD(I533,1440)-60)/60,0))*تنظیمات!$B$4)))*INDEX(تعرفه!$B$2:$B$7,MATCH(AD533,تعرفه!$A$2:$A$7,0))))</f>
        <v>62000</v>
      </c>
      <c r="AH533" s="24" t="n">
        <v>62000</v>
      </c>
      <c r="AI533" s="24" t="n">
        <f aca="false">IF(AG533="","",AH533-AG533)</f>
        <v>0</v>
      </c>
      <c r="AJ533" s="21" t="n">
        <v>1</v>
      </c>
      <c r="AK533" s="21" t="n">
        <v>0</v>
      </c>
      <c r="AL533" s="16" t="s">
        <v>335</v>
      </c>
      <c r="AM533" s="16"/>
      <c r="AN533" s="16" t="s">
        <v>340</v>
      </c>
      <c r="AO533" s="16" t="s">
        <v>340</v>
      </c>
      <c r="AP533" s="16" t="s">
        <v>335</v>
      </c>
      <c r="AQ533" s="16"/>
      <c r="AR533" s="21" t="n">
        <f aca="false">IF(AND(T533&lt;&gt;"",H533&lt;&gt;""),IF(AND((T533-H533)*86400&gt;=0,(T533-H533)*86400&lt;تنظیمات!$B$13),1,0),0)</f>
        <v>0</v>
      </c>
      <c r="AS533" s="21" t="n">
        <f aca="false">IF(Z533="پوز",IF(OR(AB533="",COUNTIF(پوزها!$A$2:$A$5,AA533)=0),1,0),0)</f>
        <v>0</v>
      </c>
      <c r="AT533" s="21" t="n">
        <f aca="false">IF(AI533="",0,IF(AI533&gt;0,1,0))</f>
        <v>0</v>
      </c>
      <c r="AU533" s="21" t="n">
        <f aca="false">IF(AI533="",0,IF(AI533&lt;0,1,0))</f>
        <v>0</v>
      </c>
      <c r="AV533" s="21" t="n">
        <f aca="false">IF(U533&gt;V533,1,0)</f>
        <v>0</v>
      </c>
      <c r="AW533" s="21" t="n">
        <f aca="false">IF(OR(W533&gt;تنظیمات!$B$8,X533="بله"),1,0)</f>
        <v>0</v>
      </c>
      <c r="AX533" s="21" t="n">
        <f aca="false">IF(AND(N533="بله",L533&gt;تنظیمات!$B$9),1,0)</f>
        <v>0</v>
      </c>
      <c r="AY533" s="21" t="n">
        <f aca="false">IF(Y533="معکوس",1,0)</f>
        <v>0</v>
      </c>
      <c r="AZ533" s="21" t="n">
        <f aca="false">IF(ABS(AJ533)&gt;تنظیمات!$B$10,1,0)</f>
        <v>0</v>
      </c>
      <c r="BA533" s="21" t="n">
        <f aca="false">IF(AND(OR(AD533="رایگان/VIP",AD533="جانباز"),AF533="خیر"),1,0)</f>
        <v>0</v>
      </c>
      <c r="BB533" s="21" t="n">
        <f aca="false">IF(AE533="",0,IF(COUNTIF($AE$2:$AE$1001,AE533)&gt;1,1,0))</f>
        <v>0</v>
      </c>
      <c r="BC533" s="21" t="n">
        <f aca="false">IF(AND(H533="",I533&gt;تنظیمات!$B$12*60,AM533="خالی"),1,0)</f>
        <v>0</v>
      </c>
      <c r="BD533" s="21" t="n">
        <f aca="false">IF(AND(AP533="بله",I533&lt;تنظیمات!$B$14,AO533="خیر"),1,0)</f>
        <v>0</v>
      </c>
      <c r="BE533" s="21" t="n">
        <f aca="false">IF(AN533="خیر",1,0)</f>
        <v>0</v>
      </c>
      <c r="BF533" s="21" t="n">
        <f aca="false">IF(AND(AD533="فیش مفقودی",AQ533="بله",I533&gt;تنظیمات!$B$12*60),1,0)</f>
        <v>0</v>
      </c>
      <c r="BG533" s="21" t="n">
        <f aca="false">IF(AND(AK533&gt;تنظیمات!$B$11,AL533="بله"),1,0)</f>
        <v>0</v>
      </c>
      <c r="BH533" s="21" t="n">
        <f aca="false">MIN(100,AR533*تنظیمات!$B$21+AS533*تنظیمات!$B$22+AT533*تنظیمات!$B$23+AU533*تنظیمات!$B$24+AV533*تنظیمات!$B$25+AW533*تنظیمات!$B$26+AX533*تنظیمات!$B$27+AY533*تنظیمات!$B$28+AZ533*تنظیمات!$B$29+BA533*تنظیمات!$B$30+BB533*تنظیمات!$B$31+BC533*تنظیمات!$B$32+BD533*تنظیمات!$B$33+BE533*تنظیمات!$B$34+BF533*تنظیمات!$B$35+BG533*تنظیمات!$B$36)</f>
        <v>0</v>
      </c>
      <c r="BI533" s="16" t="str">
        <f aca="false">IF(BH533&gt;=60,"بحرانی",IF(BH533&gt;=30,"مشکوک",IF(BH533&gt;0,"هشدار","عادی")))</f>
        <v>عادی</v>
      </c>
      <c r="BJ533" s="16" t="s">
        <v>338</v>
      </c>
    </row>
    <row r="534" customFormat="false" ht="15" hidden="false" customHeight="false" outlineLevel="0" collapsed="false">
      <c r="A534" s="16" t="s">
        <v>2038</v>
      </c>
      <c r="B534" s="16" t="s">
        <v>871</v>
      </c>
      <c r="C534" s="16"/>
      <c r="D534" s="16" t="s">
        <v>370</v>
      </c>
      <c r="E534" s="16" t="s">
        <v>351</v>
      </c>
      <c r="F534" s="16" t="s">
        <v>333</v>
      </c>
      <c r="G534" s="17" t="n">
        <v>46288.4247800926</v>
      </c>
      <c r="H534" s="17" t="n">
        <v>46288.544224537</v>
      </c>
      <c r="I534" s="18" t="n">
        <f aca="false">IF(H534="",ROUND((تنظیمات!$B$7-G534)*1440,0),ROUND((H534-G534)*1440,0))</f>
        <v>172</v>
      </c>
      <c r="J534" s="16" t="s">
        <v>346</v>
      </c>
      <c r="K534" s="16" t="s">
        <v>410</v>
      </c>
      <c r="L534" s="19" t="n">
        <v>0.918</v>
      </c>
      <c r="M534" s="19" t="n">
        <v>0.878</v>
      </c>
      <c r="N534" s="16" t="s">
        <v>335</v>
      </c>
      <c r="O534" s="16" t="s">
        <v>650</v>
      </c>
      <c r="P534" s="16" t="s">
        <v>402</v>
      </c>
      <c r="Q534" s="20" t="n">
        <v>46288</v>
      </c>
      <c r="R534" s="16" t="s">
        <v>2039</v>
      </c>
      <c r="S534" s="16" t="s">
        <v>404</v>
      </c>
      <c r="T534" s="17"/>
      <c r="U534" s="21" t="n">
        <v>1</v>
      </c>
      <c r="V534" s="21" t="n">
        <v>1</v>
      </c>
      <c r="W534" s="22" t="n">
        <v>4.9</v>
      </c>
      <c r="X534" s="16" t="s">
        <v>335</v>
      </c>
      <c r="Y534" s="16" t="s">
        <v>338</v>
      </c>
      <c r="Z534" s="16" t="s">
        <v>405</v>
      </c>
      <c r="AA534" s="16"/>
      <c r="AB534" s="23"/>
      <c r="AC534" s="17"/>
      <c r="AD534" s="16" t="s">
        <v>338</v>
      </c>
      <c r="AE534" s="16"/>
      <c r="AF534" s="16" t="str">
        <f aca="false">IF(COUNTIF(لیست_سفید!$A$2:$A$21,B534)&gt;0,"بله","خیر")</f>
        <v>خیر</v>
      </c>
      <c r="AG534" s="24" t="n">
        <f aca="false">IF(H534="","",IF(AD534="فیش مفقودی",تنظیمات!$B$6,(INT(I534/1440)*تنظیمات!$B$5+IF(MOD(I534,1440)&lt;=تنظیمات!$B$2,0,MIN(تنظیمات!$B$5,تنظیمات!$B$3+MAX(0,ROUNDUP((MOD(I534,1440)-60)/60,0))*تنظیمات!$B$4)))*INDEX(تعرفه!$B$2:$B$7,MATCH(AD534,تعرفه!$A$2:$A$7,0))))</f>
        <v>48000</v>
      </c>
      <c r="AH534" s="24" t="n">
        <v>48000</v>
      </c>
      <c r="AI534" s="24" t="n">
        <f aca="false">IF(AG534="","",AH534-AG534)</f>
        <v>0</v>
      </c>
      <c r="AJ534" s="21" t="n">
        <v>-4</v>
      </c>
      <c r="AK534" s="21" t="n">
        <v>0</v>
      </c>
      <c r="AL534" s="16" t="s">
        <v>335</v>
      </c>
      <c r="AM534" s="16"/>
      <c r="AN534" s="16" t="s">
        <v>340</v>
      </c>
      <c r="AO534" s="16" t="s">
        <v>340</v>
      </c>
      <c r="AP534" s="16" t="s">
        <v>335</v>
      </c>
      <c r="AQ534" s="16"/>
      <c r="AR534" s="21" t="n">
        <f aca="false">IF(AND(T534&lt;&gt;"",H534&lt;&gt;""),IF(AND((T534-H534)*86400&gt;=0,(T534-H534)*86400&lt;تنظیمات!$B$13),1,0),0)</f>
        <v>0</v>
      </c>
      <c r="AS534" s="21" t="n">
        <f aca="false">IF(Z534="پوز",IF(OR(AB534="",COUNTIF(پوزها!$A$2:$A$5,AA534)=0),1,0),0)</f>
        <v>0</v>
      </c>
      <c r="AT534" s="21" t="n">
        <f aca="false">IF(AI534="",0,IF(AI534&gt;0,1,0))</f>
        <v>0</v>
      </c>
      <c r="AU534" s="21" t="n">
        <f aca="false">IF(AI534="",0,IF(AI534&lt;0,1,0))</f>
        <v>0</v>
      </c>
      <c r="AV534" s="21" t="n">
        <f aca="false">IF(U534&gt;V534,1,0)</f>
        <v>0</v>
      </c>
      <c r="AW534" s="21" t="n">
        <f aca="false">IF(OR(W534&gt;تنظیمات!$B$8,X534="بله"),1,0)</f>
        <v>0</v>
      </c>
      <c r="AX534" s="21" t="n">
        <f aca="false">IF(AND(N534="بله",L534&gt;تنظیمات!$B$9),1,0)</f>
        <v>0</v>
      </c>
      <c r="AY534" s="21" t="n">
        <f aca="false">IF(Y534="معکوس",1,0)</f>
        <v>0</v>
      </c>
      <c r="AZ534" s="21" t="n">
        <f aca="false">IF(ABS(AJ534)&gt;تنظیمات!$B$10,1,0)</f>
        <v>0</v>
      </c>
      <c r="BA534" s="21" t="n">
        <f aca="false">IF(AND(OR(AD534="رایگان/VIP",AD534="جانباز"),AF534="خیر"),1,0)</f>
        <v>0</v>
      </c>
      <c r="BB534" s="21" t="n">
        <f aca="false">IF(AE534="",0,IF(COUNTIF($AE$2:$AE$1001,AE534)&gt;1,1,0))</f>
        <v>0</v>
      </c>
      <c r="BC534" s="21" t="n">
        <f aca="false">IF(AND(H534="",I534&gt;تنظیمات!$B$12*60,AM534="خالی"),1,0)</f>
        <v>0</v>
      </c>
      <c r="BD534" s="21" t="n">
        <f aca="false">IF(AND(AP534="بله",I534&lt;تنظیمات!$B$14,AO534="خیر"),1,0)</f>
        <v>0</v>
      </c>
      <c r="BE534" s="21" t="n">
        <f aca="false">IF(AN534="خیر",1,0)</f>
        <v>0</v>
      </c>
      <c r="BF534" s="21" t="n">
        <f aca="false">IF(AND(AD534="فیش مفقودی",AQ534="بله",I534&gt;تنظیمات!$B$12*60),1,0)</f>
        <v>0</v>
      </c>
      <c r="BG534" s="21" t="n">
        <f aca="false">IF(AND(AK534&gt;تنظیمات!$B$11,AL534="بله"),1,0)</f>
        <v>0</v>
      </c>
      <c r="BH534" s="21" t="n">
        <f aca="false">MIN(100,AR534*تنظیمات!$B$21+AS534*تنظیمات!$B$22+AT534*تنظیمات!$B$23+AU534*تنظیمات!$B$24+AV534*تنظیمات!$B$25+AW534*تنظیمات!$B$26+AX534*تنظیمات!$B$27+AY534*تنظیمات!$B$28+AZ534*تنظیمات!$B$29+BA534*تنظیمات!$B$30+BB534*تنظیمات!$B$31+BC534*تنظیمات!$B$32+BD534*تنظیمات!$B$33+BE534*تنظیمات!$B$34+BF534*تنظیمات!$B$35+BG534*تنظیمات!$B$36)</f>
        <v>0</v>
      </c>
      <c r="BI534" s="16" t="str">
        <f aca="false">IF(BH534&gt;=60,"بحرانی",IF(BH534&gt;=30,"مشکوک",IF(BH534&gt;0,"هشدار","عادی")))</f>
        <v>عادی</v>
      </c>
      <c r="BJ534" s="16" t="s">
        <v>338</v>
      </c>
    </row>
    <row r="535" customFormat="false" ht="15" hidden="false" customHeight="false" outlineLevel="0" collapsed="false">
      <c r="A535" s="16" t="s">
        <v>2040</v>
      </c>
      <c r="B535" s="16" t="s">
        <v>709</v>
      </c>
      <c r="C535" s="16"/>
      <c r="D535" s="16" t="s">
        <v>440</v>
      </c>
      <c r="E535" s="16" t="s">
        <v>363</v>
      </c>
      <c r="F535" s="16" t="s">
        <v>359</v>
      </c>
      <c r="G535" s="17" t="n">
        <v>46288.4402777778</v>
      </c>
      <c r="H535" s="17" t="n">
        <v>46288.6263888889</v>
      </c>
      <c r="I535" s="18" t="n">
        <f aca="false">IF(H535="",ROUND((تنظیمات!$B$7-G535)*1440,0),ROUND((H535-G535)*1440,0))</f>
        <v>268</v>
      </c>
      <c r="J535" s="16" t="s">
        <v>346</v>
      </c>
      <c r="K535" s="16" t="s">
        <v>400</v>
      </c>
      <c r="L535" s="19" t="n">
        <v>0.954</v>
      </c>
      <c r="M535" s="19" t="n">
        <v>0.926</v>
      </c>
      <c r="N535" s="16" t="s">
        <v>335</v>
      </c>
      <c r="O535" s="16" t="s">
        <v>666</v>
      </c>
      <c r="P535" s="16" t="s">
        <v>420</v>
      </c>
      <c r="Q535" s="20" t="n">
        <v>46288</v>
      </c>
      <c r="R535" s="16" t="s">
        <v>2041</v>
      </c>
      <c r="S535" s="16" t="s">
        <v>404</v>
      </c>
      <c r="T535" s="17"/>
      <c r="U535" s="21" t="n">
        <v>1</v>
      </c>
      <c r="V535" s="21" t="n">
        <v>1</v>
      </c>
      <c r="W535" s="22" t="n">
        <v>7.8</v>
      </c>
      <c r="X535" s="16" t="s">
        <v>335</v>
      </c>
      <c r="Y535" s="16" t="s">
        <v>338</v>
      </c>
      <c r="Z535" s="16" t="s">
        <v>465</v>
      </c>
      <c r="AA535" s="16"/>
      <c r="AB535" s="23"/>
      <c r="AC535" s="17"/>
      <c r="AD535" s="16" t="s">
        <v>602</v>
      </c>
      <c r="AE535" s="16"/>
      <c r="AF535" s="16" t="str">
        <f aca="false">IF(COUNTIF(لیست_سفید!$A$2:$A$21,B535)&gt;0,"بله","خیر")</f>
        <v>خیر</v>
      </c>
      <c r="AG535" s="24" t="n">
        <f aca="false">IF(H535="","",IF(AD535="فیش مفقودی",تنظیمات!$B$6,(INT(I535/1440)*تنظیمات!$B$5+IF(MOD(I535,1440)&lt;=تنظیمات!$B$2,0,MIN(تنظیمات!$B$5,تنظیمات!$B$3+MAX(0,ROUNDUP((MOD(I535,1440)-60)/60,0))*تنظیمات!$B$4)))*INDEX(تعرفه!$B$2:$B$7,MATCH(AD535,تعرفه!$A$2:$A$7,0))))</f>
        <v>0</v>
      </c>
      <c r="AH535" s="24" t="n">
        <v>0</v>
      </c>
      <c r="AI535" s="24" t="n">
        <f aca="false">IF(AG535="","",AH535-AG535)</f>
        <v>0</v>
      </c>
      <c r="AJ535" s="21" t="n">
        <v>0</v>
      </c>
      <c r="AK535" s="21" t="n">
        <v>0</v>
      </c>
      <c r="AL535" s="16" t="s">
        <v>335</v>
      </c>
      <c r="AM535" s="16"/>
      <c r="AN535" s="16" t="s">
        <v>340</v>
      </c>
      <c r="AO535" s="16" t="s">
        <v>340</v>
      </c>
      <c r="AP535" s="16" t="s">
        <v>335</v>
      </c>
      <c r="AQ535" s="16"/>
      <c r="AR535" s="21" t="n">
        <f aca="false">IF(AND(T535&lt;&gt;"",H535&lt;&gt;""),IF(AND((T535-H535)*86400&gt;=0,(T535-H535)*86400&lt;تنظیمات!$B$13),1,0),0)</f>
        <v>0</v>
      </c>
      <c r="AS535" s="21" t="n">
        <f aca="false">IF(Z535="پوز",IF(OR(AB535="",COUNTIF(پوزها!$A$2:$A$5,AA535)=0),1,0),0)</f>
        <v>0</v>
      </c>
      <c r="AT535" s="21" t="n">
        <f aca="false">IF(AI535="",0,IF(AI535&gt;0,1,0))</f>
        <v>0</v>
      </c>
      <c r="AU535" s="21" t="n">
        <f aca="false">IF(AI535="",0,IF(AI535&lt;0,1,0))</f>
        <v>0</v>
      </c>
      <c r="AV535" s="21" t="n">
        <f aca="false">IF(U535&gt;V535,1,0)</f>
        <v>0</v>
      </c>
      <c r="AW535" s="21" t="n">
        <f aca="false">IF(OR(W535&gt;تنظیمات!$B$8,X535="بله"),1,0)</f>
        <v>0</v>
      </c>
      <c r="AX535" s="21" t="n">
        <f aca="false">IF(AND(N535="بله",L535&gt;تنظیمات!$B$9),1,0)</f>
        <v>0</v>
      </c>
      <c r="AY535" s="21" t="n">
        <f aca="false">IF(Y535="معکوس",1,0)</f>
        <v>0</v>
      </c>
      <c r="AZ535" s="21" t="n">
        <f aca="false">IF(ABS(AJ535)&gt;تنظیمات!$B$10,1,0)</f>
        <v>0</v>
      </c>
      <c r="BA535" s="21" t="n">
        <f aca="false">IF(AND(OR(AD535="رایگان/VIP",AD535="جانباز"),AF535="خیر"),1,0)</f>
        <v>1</v>
      </c>
      <c r="BB535" s="21" t="n">
        <f aca="false">IF(AE535="",0,IF(COUNTIF($AE$2:$AE$1001,AE535)&gt;1,1,0))</f>
        <v>0</v>
      </c>
      <c r="BC535" s="21" t="n">
        <f aca="false">IF(AND(H535="",I535&gt;تنظیمات!$B$12*60,AM535="خالی"),1,0)</f>
        <v>0</v>
      </c>
      <c r="BD535" s="21" t="n">
        <f aca="false">IF(AND(AP535="بله",I535&lt;تنظیمات!$B$14,AO535="خیر"),1,0)</f>
        <v>0</v>
      </c>
      <c r="BE535" s="21" t="n">
        <f aca="false">IF(AN535="خیر",1,0)</f>
        <v>0</v>
      </c>
      <c r="BF535" s="21" t="n">
        <f aca="false">IF(AND(AD535="فیش مفقودی",AQ535="بله",I535&gt;تنظیمات!$B$12*60),1,0)</f>
        <v>0</v>
      </c>
      <c r="BG535" s="21" t="n">
        <f aca="false">IF(AND(AK535&gt;تنظیمات!$B$11,AL535="بله"),1,0)</f>
        <v>0</v>
      </c>
      <c r="BH535" s="21" t="n">
        <f aca="false">MIN(100,AR535*تنظیمات!$B$21+AS535*تنظیمات!$B$22+AT535*تنظیمات!$B$23+AU535*تنظیمات!$B$24+AV535*تنظیمات!$B$25+AW535*تنظیمات!$B$26+AX535*تنظیمات!$B$27+AY535*تنظیمات!$B$28+AZ535*تنظیمات!$B$29+BA535*تنظیمات!$B$30+BB535*تنظیمات!$B$31+BC535*تنظیمات!$B$32+BD535*تنظیمات!$B$33+BE535*تنظیمات!$B$34+BF535*تنظیمات!$B$35+BG535*تنظیمات!$B$36)</f>
        <v>35</v>
      </c>
      <c r="BI535" s="16" t="str">
        <f aca="false">IF(BH535&gt;=60,"بحرانی",IF(BH535&gt;=30,"مشکوک",IF(BH535&gt;0,"هشدار","عادی")))</f>
        <v>مشکوک</v>
      </c>
      <c r="BJ535" s="16" t="s">
        <v>745</v>
      </c>
    </row>
    <row r="536" customFormat="false" ht="15" hidden="false" customHeight="false" outlineLevel="0" collapsed="false">
      <c r="A536" s="16" t="s">
        <v>2042</v>
      </c>
      <c r="B536" s="16" t="s">
        <v>928</v>
      </c>
      <c r="C536" s="16"/>
      <c r="D536" s="16" t="s">
        <v>331</v>
      </c>
      <c r="E536" s="16" t="s">
        <v>351</v>
      </c>
      <c r="F536" s="16" t="s">
        <v>333</v>
      </c>
      <c r="G536" s="17" t="n">
        <v>46288.4497916667</v>
      </c>
      <c r="H536" s="17" t="n">
        <v>46288.483125</v>
      </c>
      <c r="I536" s="18" t="n">
        <f aca="false">IF(H536="",ROUND((تنظیمات!$B$7-G536)*1440,0),ROUND((H536-G536)*1440,0))</f>
        <v>48</v>
      </c>
      <c r="J536" s="16" t="s">
        <v>334</v>
      </c>
      <c r="K536" s="16" t="s">
        <v>410</v>
      </c>
      <c r="L536" s="19" t="n">
        <v>0.934</v>
      </c>
      <c r="M536" s="19" t="n">
        <v>0.987</v>
      </c>
      <c r="N536" s="16" t="s">
        <v>335</v>
      </c>
      <c r="O536" s="16" t="s">
        <v>650</v>
      </c>
      <c r="P536" s="16" t="s">
        <v>402</v>
      </c>
      <c r="Q536" s="20" t="n">
        <v>46288</v>
      </c>
      <c r="R536" s="16" t="s">
        <v>2043</v>
      </c>
      <c r="S536" s="16" t="s">
        <v>404</v>
      </c>
      <c r="T536" s="17"/>
      <c r="U536" s="21" t="n">
        <v>1</v>
      </c>
      <c r="V536" s="21" t="n">
        <v>1</v>
      </c>
      <c r="W536" s="22" t="n">
        <v>6.2</v>
      </c>
      <c r="X536" s="16" t="s">
        <v>335</v>
      </c>
      <c r="Y536" s="16" t="s">
        <v>338</v>
      </c>
      <c r="Z536" s="16" t="s">
        <v>413</v>
      </c>
      <c r="AA536" s="16" t="s">
        <v>414</v>
      </c>
      <c r="AB536" s="23" t="s">
        <v>2044</v>
      </c>
      <c r="AC536" s="17" t="n">
        <v>46288.4821875</v>
      </c>
      <c r="AD536" s="16" t="s">
        <v>338</v>
      </c>
      <c r="AE536" s="16"/>
      <c r="AF536" s="16" t="str">
        <f aca="false">IF(COUNTIF(لیست_سفید!$A$2:$A$21,B536)&gt;0,"بله","خیر")</f>
        <v>خیر</v>
      </c>
      <c r="AG536" s="24" t="n">
        <f aca="false">IF(H536="","",IF(AD536="فیش مفقودی",تنظیمات!$B$6,(INT(I536/1440)*تنظیمات!$B$5+IF(MOD(I536,1440)&lt;=تنظیمات!$B$2,0,MIN(تنظیمات!$B$5,تنظیمات!$B$3+MAX(0,ROUNDUP((MOD(I536,1440)-60)/60,0))*تنظیمات!$B$4)))*INDEX(تعرفه!$B$2:$B$7,MATCH(AD536,تعرفه!$A$2:$A$7,0))))</f>
        <v>20000</v>
      </c>
      <c r="AH536" s="24" t="n">
        <v>20000</v>
      </c>
      <c r="AI536" s="24" t="n">
        <f aca="false">IF(AG536="","",AH536-AG536)</f>
        <v>0</v>
      </c>
      <c r="AJ536" s="21" t="n">
        <v>0</v>
      </c>
      <c r="AK536" s="21" t="n">
        <v>0</v>
      </c>
      <c r="AL536" s="16" t="s">
        <v>335</v>
      </c>
      <c r="AM536" s="16"/>
      <c r="AN536" s="16" t="s">
        <v>340</v>
      </c>
      <c r="AO536" s="16" t="s">
        <v>340</v>
      </c>
      <c r="AP536" s="16" t="s">
        <v>335</v>
      </c>
      <c r="AQ536" s="16"/>
      <c r="AR536" s="21" t="n">
        <f aca="false">IF(AND(T536&lt;&gt;"",H536&lt;&gt;""),IF(AND((T536-H536)*86400&gt;=0,(T536-H536)*86400&lt;تنظیمات!$B$13),1,0),0)</f>
        <v>0</v>
      </c>
      <c r="AS536" s="21" t="n">
        <f aca="false">IF(Z536="پوز",IF(OR(AB536="",COUNTIF(پوزها!$A$2:$A$5,AA536)=0),1,0),0)</f>
        <v>0</v>
      </c>
      <c r="AT536" s="21" t="n">
        <f aca="false">IF(AI536="",0,IF(AI536&gt;0,1,0))</f>
        <v>0</v>
      </c>
      <c r="AU536" s="21" t="n">
        <f aca="false">IF(AI536="",0,IF(AI536&lt;0,1,0))</f>
        <v>0</v>
      </c>
      <c r="AV536" s="21" t="n">
        <f aca="false">IF(U536&gt;V536,1,0)</f>
        <v>0</v>
      </c>
      <c r="AW536" s="21" t="n">
        <f aca="false">IF(OR(W536&gt;تنظیمات!$B$8,X536="بله"),1,0)</f>
        <v>0</v>
      </c>
      <c r="AX536" s="21" t="n">
        <f aca="false">IF(AND(N536="بله",L536&gt;تنظیمات!$B$9),1,0)</f>
        <v>0</v>
      </c>
      <c r="AY536" s="21" t="n">
        <f aca="false">IF(Y536="معکوس",1,0)</f>
        <v>0</v>
      </c>
      <c r="AZ536" s="21" t="n">
        <f aca="false">IF(ABS(AJ536)&gt;تنظیمات!$B$10,1,0)</f>
        <v>0</v>
      </c>
      <c r="BA536" s="21" t="n">
        <f aca="false">IF(AND(OR(AD536="رایگان/VIP",AD536="جانباز"),AF536="خیر"),1,0)</f>
        <v>0</v>
      </c>
      <c r="BB536" s="21" t="n">
        <f aca="false">IF(AE536="",0,IF(COUNTIF($AE$2:$AE$1001,AE536)&gt;1,1,0))</f>
        <v>0</v>
      </c>
      <c r="BC536" s="21" t="n">
        <f aca="false">IF(AND(H536="",I536&gt;تنظیمات!$B$12*60,AM536="خالی"),1,0)</f>
        <v>0</v>
      </c>
      <c r="BD536" s="21" t="n">
        <f aca="false">IF(AND(AP536="بله",I536&lt;تنظیمات!$B$14,AO536="خیر"),1,0)</f>
        <v>0</v>
      </c>
      <c r="BE536" s="21" t="n">
        <f aca="false">IF(AN536="خیر",1,0)</f>
        <v>0</v>
      </c>
      <c r="BF536" s="21" t="n">
        <f aca="false">IF(AND(AD536="فیش مفقودی",AQ536="بله",I536&gt;تنظیمات!$B$12*60),1,0)</f>
        <v>0</v>
      </c>
      <c r="BG536" s="21" t="n">
        <f aca="false">IF(AND(AK536&gt;تنظیمات!$B$11,AL536="بله"),1,0)</f>
        <v>0</v>
      </c>
      <c r="BH536" s="21" t="n">
        <f aca="false">MIN(100,AR536*تنظیمات!$B$21+AS536*تنظیمات!$B$22+AT536*تنظیمات!$B$23+AU536*تنظیمات!$B$24+AV536*تنظیمات!$B$25+AW536*تنظیمات!$B$26+AX536*تنظیمات!$B$27+AY536*تنظیمات!$B$28+AZ536*تنظیمات!$B$29+BA536*تنظیمات!$B$30+BB536*تنظیمات!$B$31+BC536*تنظیمات!$B$32+BD536*تنظیمات!$B$33+BE536*تنظیمات!$B$34+BF536*تنظیمات!$B$35+BG536*تنظیمات!$B$36)</f>
        <v>0</v>
      </c>
      <c r="BI536" s="16" t="str">
        <f aca="false">IF(BH536&gt;=60,"بحرانی",IF(BH536&gt;=30,"مشکوک",IF(BH536&gt;0,"هشدار","عادی")))</f>
        <v>عادی</v>
      </c>
      <c r="BJ536" s="16" t="s">
        <v>338</v>
      </c>
    </row>
    <row r="537" customFormat="false" ht="15" hidden="false" customHeight="false" outlineLevel="0" collapsed="false">
      <c r="A537" s="16" t="s">
        <v>2045</v>
      </c>
      <c r="B537" s="16" t="s">
        <v>932</v>
      </c>
      <c r="C537" s="16"/>
      <c r="D537" s="16" t="s">
        <v>418</v>
      </c>
      <c r="E537" s="16" t="s">
        <v>345</v>
      </c>
      <c r="F537" s="16" t="s">
        <v>333</v>
      </c>
      <c r="G537" s="17" t="n">
        <v>46288.4642708333</v>
      </c>
      <c r="H537" s="17" t="n">
        <v>46288.5351041667</v>
      </c>
      <c r="I537" s="18" t="n">
        <f aca="false">IF(H537="",ROUND((تنظیمات!$B$7-G537)*1440,0),ROUND((H537-G537)*1440,0))</f>
        <v>102</v>
      </c>
      <c r="J537" s="16" t="s">
        <v>334</v>
      </c>
      <c r="K537" s="16" t="s">
        <v>400</v>
      </c>
      <c r="L537" s="19" t="n">
        <v>0.966</v>
      </c>
      <c r="M537" s="19" t="n">
        <v>0.99</v>
      </c>
      <c r="N537" s="16" t="s">
        <v>335</v>
      </c>
      <c r="O537" s="16" t="s">
        <v>419</v>
      </c>
      <c r="P537" s="16" t="s">
        <v>402</v>
      </c>
      <c r="Q537" s="20" t="n">
        <v>46288</v>
      </c>
      <c r="R537" s="16" t="s">
        <v>2046</v>
      </c>
      <c r="S537" s="16" t="s">
        <v>404</v>
      </c>
      <c r="T537" s="17"/>
      <c r="U537" s="21" t="n">
        <v>1</v>
      </c>
      <c r="V537" s="21" t="n">
        <v>1</v>
      </c>
      <c r="W537" s="22" t="n">
        <v>3.9</v>
      </c>
      <c r="X537" s="16" t="s">
        <v>335</v>
      </c>
      <c r="Y537" s="16" t="s">
        <v>338</v>
      </c>
      <c r="Z537" s="16" t="s">
        <v>413</v>
      </c>
      <c r="AA537" s="16" t="s">
        <v>427</v>
      </c>
      <c r="AB537" s="23" t="s">
        <v>2047</v>
      </c>
      <c r="AC537" s="17" t="n">
        <v>46288.5347337963</v>
      </c>
      <c r="AD537" s="16" t="s">
        <v>338</v>
      </c>
      <c r="AE537" s="16"/>
      <c r="AF537" s="16" t="str">
        <f aca="false">IF(COUNTIF(لیست_سفید!$A$2:$A$21,B537)&gt;0,"بله","خیر")</f>
        <v>خیر</v>
      </c>
      <c r="AG537" s="24" t="n">
        <f aca="false">IF(H537="","",IF(AD537="فیش مفقودی",تنظیمات!$B$6,(INT(I537/1440)*تنظیمات!$B$5+IF(MOD(I537,1440)&lt;=تنظیمات!$B$2,0,MIN(تنظیمات!$B$5,تنظیمات!$B$3+MAX(0,ROUNDUP((MOD(I537,1440)-60)/60,0))*تنظیمات!$B$4)))*INDEX(تعرفه!$B$2:$B$7,MATCH(AD537,تعرفه!$A$2:$A$7,0))))</f>
        <v>34000</v>
      </c>
      <c r="AH537" s="24" t="n">
        <v>34000</v>
      </c>
      <c r="AI537" s="24" t="n">
        <f aca="false">IF(AG537="","",AH537-AG537)</f>
        <v>0</v>
      </c>
      <c r="AJ537" s="21" t="n">
        <v>0</v>
      </c>
      <c r="AK537" s="21" t="n">
        <v>0</v>
      </c>
      <c r="AL537" s="16" t="s">
        <v>335</v>
      </c>
      <c r="AM537" s="16"/>
      <c r="AN537" s="16" t="s">
        <v>340</v>
      </c>
      <c r="AO537" s="16" t="s">
        <v>340</v>
      </c>
      <c r="AP537" s="16" t="s">
        <v>335</v>
      </c>
      <c r="AQ537" s="16"/>
      <c r="AR537" s="21" t="n">
        <f aca="false">IF(AND(T537&lt;&gt;"",H537&lt;&gt;""),IF(AND((T537-H537)*86400&gt;=0,(T537-H537)*86400&lt;تنظیمات!$B$13),1,0),0)</f>
        <v>0</v>
      </c>
      <c r="AS537" s="21" t="n">
        <f aca="false">IF(Z537="پوز",IF(OR(AB537="",COUNTIF(پوزها!$A$2:$A$5,AA537)=0),1,0),0)</f>
        <v>0</v>
      </c>
      <c r="AT537" s="21" t="n">
        <f aca="false">IF(AI537="",0,IF(AI537&gt;0,1,0))</f>
        <v>0</v>
      </c>
      <c r="AU537" s="21" t="n">
        <f aca="false">IF(AI537="",0,IF(AI537&lt;0,1,0))</f>
        <v>0</v>
      </c>
      <c r="AV537" s="21" t="n">
        <f aca="false">IF(U537&gt;V537,1,0)</f>
        <v>0</v>
      </c>
      <c r="AW537" s="21" t="n">
        <f aca="false">IF(OR(W537&gt;تنظیمات!$B$8,X537="بله"),1,0)</f>
        <v>0</v>
      </c>
      <c r="AX537" s="21" t="n">
        <f aca="false">IF(AND(N537="بله",L537&gt;تنظیمات!$B$9),1,0)</f>
        <v>0</v>
      </c>
      <c r="AY537" s="21" t="n">
        <f aca="false">IF(Y537="معکوس",1,0)</f>
        <v>0</v>
      </c>
      <c r="AZ537" s="21" t="n">
        <f aca="false">IF(ABS(AJ537)&gt;تنظیمات!$B$10,1,0)</f>
        <v>0</v>
      </c>
      <c r="BA537" s="21" t="n">
        <f aca="false">IF(AND(OR(AD537="رایگان/VIP",AD537="جانباز"),AF537="خیر"),1,0)</f>
        <v>0</v>
      </c>
      <c r="BB537" s="21" t="n">
        <f aca="false">IF(AE537="",0,IF(COUNTIF($AE$2:$AE$1001,AE537)&gt;1,1,0))</f>
        <v>0</v>
      </c>
      <c r="BC537" s="21" t="n">
        <f aca="false">IF(AND(H537="",I537&gt;تنظیمات!$B$12*60,AM537="خالی"),1,0)</f>
        <v>0</v>
      </c>
      <c r="BD537" s="21" t="n">
        <f aca="false">IF(AND(AP537="بله",I537&lt;تنظیمات!$B$14,AO537="خیر"),1,0)</f>
        <v>0</v>
      </c>
      <c r="BE537" s="21" t="n">
        <f aca="false">IF(AN537="خیر",1,0)</f>
        <v>0</v>
      </c>
      <c r="BF537" s="21" t="n">
        <f aca="false">IF(AND(AD537="فیش مفقودی",AQ537="بله",I537&gt;تنظیمات!$B$12*60),1,0)</f>
        <v>0</v>
      </c>
      <c r="BG537" s="21" t="n">
        <f aca="false">IF(AND(AK537&gt;تنظیمات!$B$11,AL537="بله"),1,0)</f>
        <v>0</v>
      </c>
      <c r="BH537" s="21" t="n">
        <f aca="false">MIN(100,AR537*تنظیمات!$B$21+AS537*تنظیمات!$B$22+AT537*تنظیمات!$B$23+AU537*تنظیمات!$B$24+AV537*تنظیمات!$B$25+AW537*تنظیمات!$B$26+AX537*تنظیمات!$B$27+AY537*تنظیمات!$B$28+AZ537*تنظیمات!$B$29+BA537*تنظیمات!$B$30+BB537*تنظیمات!$B$31+BC537*تنظیمات!$B$32+BD537*تنظیمات!$B$33+BE537*تنظیمات!$B$34+BF537*تنظیمات!$B$35+BG537*تنظیمات!$B$36)</f>
        <v>0</v>
      </c>
      <c r="BI537" s="16" t="str">
        <f aca="false">IF(BH537&gt;=60,"بحرانی",IF(BH537&gt;=30,"مشکوک",IF(BH537&gt;0,"هشدار","عادی")))</f>
        <v>عادی</v>
      </c>
      <c r="BJ537" s="16" t="s">
        <v>338</v>
      </c>
    </row>
    <row r="538" customFormat="false" ht="15" hidden="false" customHeight="false" outlineLevel="0" collapsed="false">
      <c r="A538" s="16" t="s">
        <v>2048</v>
      </c>
      <c r="B538" s="16" t="s">
        <v>944</v>
      </c>
      <c r="C538" s="16"/>
      <c r="D538" s="16" t="s">
        <v>350</v>
      </c>
      <c r="E538" s="16" t="s">
        <v>351</v>
      </c>
      <c r="F538" s="16" t="s">
        <v>333</v>
      </c>
      <c r="G538" s="17" t="n">
        <v>46288.5250347222</v>
      </c>
      <c r="H538" s="17" t="n">
        <v>46288.5618402778</v>
      </c>
      <c r="I538" s="18" t="n">
        <f aca="false">IF(H538="",ROUND((تنظیمات!$B$7-G538)*1440,0),ROUND((H538-G538)*1440,0))</f>
        <v>53</v>
      </c>
      <c r="J538" s="16" t="s">
        <v>346</v>
      </c>
      <c r="K538" s="16" t="s">
        <v>400</v>
      </c>
      <c r="L538" s="19" t="n">
        <v>0.91</v>
      </c>
      <c r="M538" s="19" t="n">
        <v>0.958</v>
      </c>
      <c r="N538" s="16" t="s">
        <v>335</v>
      </c>
      <c r="O538" s="16" t="s">
        <v>419</v>
      </c>
      <c r="P538" s="16" t="s">
        <v>402</v>
      </c>
      <c r="Q538" s="20" t="n">
        <v>46288</v>
      </c>
      <c r="R538" s="16" t="s">
        <v>2049</v>
      </c>
      <c r="S538" s="16" t="s">
        <v>404</v>
      </c>
      <c r="T538" s="17"/>
      <c r="U538" s="21" t="n">
        <v>1</v>
      </c>
      <c r="V538" s="21" t="n">
        <v>1</v>
      </c>
      <c r="W538" s="22" t="n">
        <v>5.9</v>
      </c>
      <c r="X538" s="16" t="s">
        <v>335</v>
      </c>
      <c r="Y538" s="16" t="s">
        <v>338</v>
      </c>
      <c r="Z538" s="16" t="s">
        <v>405</v>
      </c>
      <c r="AA538" s="16"/>
      <c r="AB538" s="23"/>
      <c r="AC538" s="17"/>
      <c r="AD538" s="16" t="s">
        <v>338</v>
      </c>
      <c r="AE538" s="16"/>
      <c r="AF538" s="16" t="str">
        <f aca="false">IF(COUNTIF(لیست_سفید!$A$2:$A$21,B538)&gt;0,"بله","خیر")</f>
        <v>خیر</v>
      </c>
      <c r="AG538" s="24" t="n">
        <f aca="false">IF(H538="","",IF(AD538="فیش مفقودی",تنظیمات!$B$6,(INT(I538/1440)*تنظیمات!$B$5+IF(MOD(I538,1440)&lt;=تنظیمات!$B$2,0,MIN(تنظیمات!$B$5,تنظیمات!$B$3+MAX(0,ROUNDUP((MOD(I538,1440)-60)/60,0))*تنظیمات!$B$4)))*INDEX(تعرفه!$B$2:$B$7,MATCH(AD538,تعرفه!$A$2:$A$7,0))))</f>
        <v>20000</v>
      </c>
      <c r="AH538" s="24" t="n">
        <v>20000</v>
      </c>
      <c r="AI538" s="24" t="n">
        <f aca="false">IF(AG538="","",AH538-AG538)</f>
        <v>0</v>
      </c>
      <c r="AJ538" s="21" t="n">
        <v>-2</v>
      </c>
      <c r="AK538" s="21" t="n">
        <v>11</v>
      </c>
      <c r="AL538" s="16" t="s">
        <v>335</v>
      </c>
      <c r="AM538" s="16"/>
      <c r="AN538" s="16" t="s">
        <v>340</v>
      </c>
      <c r="AO538" s="16" t="s">
        <v>340</v>
      </c>
      <c r="AP538" s="16" t="s">
        <v>335</v>
      </c>
      <c r="AQ538" s="16"/>
      <c r="AR538" s="21" t="n">
        <f aca="false">IF(AND(T538&lt;&gt;"",H538&lt;&gt;""),IF(AND((T538-H538)*86400&gt;=0,(T538-H538)*86400&lt;تنظیمات!$B$13),1,0),0)</f>
        <v>0</v>
      </c>
      <c r="AS538" s="21" t="n">
        <f aca="false">IF(Z538="پوز",IF(OR(AB538="",COUNTIF(پوزها!$A$2:$A$5,AA538)=0),1,0),0)</f>
        <v>0</v>
      </c>
      <c r="AT538" s="21" t="n">
        <f aca="false">IF(AI538="",0,IF(AI538&gt;0,1,0))</f>
        <v>0</v>
      </c>
      <c r="AU538" s="21" t="n">
        <f aca="false">IF(AI538="",0,IF(AI538&lt;0,1,0))</f>
        <v>0</v>
      </c>
      <c r="AV538" s="21" t="n">
        <f aca="false">IF(U538&gt;V538,1,0)</f>
        <v>0</v>
      </c>
      <c r="AW538" s="21" t="n">
        <f aca="false">IF(OR(W538&gt;تنظیمات!$B$8,X538="بله"),1,0)</f>
        <v>0</v>
      </c>
      <c r="AX538" s="21" t="n">
        <f aca="false">IF(AND(N538="بله",L538&gt;تنظیمات!$B$9),1,0)</f>
        <v>0</v>
      </c>
      <c r="AY538" s="21" t="n">
        <f aca="false">IF(Y538="معکوس",1,0)</f>
        <v>0</v>
      </c>
      <c r="AZ538" s="21" t="n">
        <f aca="false">IF(ABS(AJ538)&gt;تنظیمات!$B$10,1,0)</f>
        <v>0</v>
      </c>
      <c r="BA538" s="21" t="n">
        <f aca="false">IF(AND(OR(AD538="رایگان/VIP",AD538="جانباز"),AF538="خیر"),1,0)</f>
        <v>0</v>
      </c>
      <c r="BB538" s="21" t="n">
        <f aca="false">IF(AE538="",0,IF(COUNTIF($AE$2:$AE$1001,AE538)&gt;1,1,0))</f>
        <v>0</v>
      </c>
      <c r="BC538" s="21" t="n">
        <f aca="false">IF(AND(H538="",I538&gt;تنظیمات!$B$12*60,AM538="خالی"),1,0)</f>
        <v>0</v>
      </c>
      <c r="BD538" s="21" t="n">
        <f aca="false">IF(AND(AP538="بله",I538&lt;تنظیمات!$B$14,AO538="خیر"),1,0)</f>
        <v>0</v>
      </c>
      <c r="BE538" s="21" t="n">
        <f aca="false">IF(AN538="خیر",1,0)</f>
        <v>0</v>
      </c>
      <c r="BF538" s="21" t="n">
        <f aca="false">IF(AND(AD538="فیش مفقودی",AQ538="بله",I538&gt;تنظیمات!$B$12*60),1,0)</f>
        <v>0</v>
      </c>
      <c r="BG538" s="21" t="n">
        <f aca="false">IF(AND(AK538&gt;تنظیمات!$B$11,AL538="بله"),1,0)</f>
        <v>0</v>
      </c>
      <c r="BH538" s="21" t="n">
        <f aca="false">MIN(100,AR538*تنظیمات!$B$21+AS538*تنظیمات!$B$22+AT538*تنظیمات!$B$23+AU538*تنظیمات!$B$24+AV538*تنظیمات!$B$25+AW538*تنظیمات!$B$26+AX538*تنظیمات!$B$27+AY538*تنظیمات!$B$28+AZ538*تنظیمات!$B$29+BA538*تنظیمات!$B$30+BB538*تنظیمات!$B$31+BC538*تنظیمات!$B$32+BD538*تنظیمات!$B$33+BE538*تنظیمات!$B$34+BF538*تنظیمات!$B$35+BG538*تنظیمات!$B$36)</f>
        <v>0</v>
      </c>
      <c r="BI538" s="16" t="str">
        <f aca="false">IF(BH538&gt;=60,"بحرانی",IF(BH538&gt;=30,"مشکوک",IF(BH538&gt;0,"هشدار","عادی")))</f>
        <v>عادی</v>
      </c>
      <c r="BJ538" s="16" t="s">
        <v>338</v>
      </c>
    </row>
    <row r="539" customFormat="false" ht="15" hidden="false" customHeight="false" outlineLevel="0" collapsed="false">
      <c r="A539" s="16" t="s">
        <v>2050</v>
      </c>
      <c r="B539" s="16" t="s">
        <v>1944</v>
      </c>
      <c r="C539" s="16"/>
      <c r="D539" s="16" t="s">
        <v>358</v>
      </c>
      <c r="E539" s="16" t="s">
        <v>375</v>
      </c>
      <c r="F539" s="16" t="s">
        <v>359</v>
      </c>
      <c r="G539" s="17" t="n">
        <v>46288.5362152778</v>
      </c>
      <c r="H539" s="17" t="n">
        <v>46288.7119097222</v>
      </c>
      <c r="I539" s="18" t="n">
        <f aca="false">IF(H539="",ROUND((تنظیمات!$B$7-G539)*1440,0),ROUND((H539-G539)*1440,0))</f>
        <v>253</v>
      </c>
      <c r="J539" s="16" t="s">
        <v>334</v>
      </c>
      <c r="K539" s="16" t="s">
        <v>410</v>
      </c>
      <c r="L539" s="19" t="n">
        <v>0.908</v>
      </c>
      <c r="M539" s="19" t="n">
        <v>0.995</v>
      </c>
      <c r="N539" s="16" t="s">
        <v>335</v>
      </c>
      <c r="O539" s="16" t="s">
        <v>677</v>
      </c>
      <c r="P539" s="16" t="s">
        <v>420</v>
      </c>
      <c r="Q539" s="20" t="n">
        <v>46288</v>
      </c>
      <c r="R539" s="16" t="s">
        <v>2051</v>
      </c>
      <c r="S539" s="16" t="s">
        <v>404</v>
      </c>
      <c r="T539" s="17"/>
      <c r="U539" s="21" t="n">
        <v>1</v>
      </c>
      <c r="V539" s="21" t="n">
        <v>1</v>
      </c>
      <c r="W539" s="22" t="n">
        <v>4.2</v>
      </c>
      <c r="X539" s="16" t="s">
        <v>335</v>
      </c>
      <c r="Y539" s="16" t="s">
        <v>338</v>
      </c>
      <c r="Z539" s="16" t="s">
        <v>413</v>
      </c>
      <c r="AA539" s="16" t="s">
        <v>414</v>
      </c>
      <c r="AB539" s="23" t="s">
        <v>2052</v>
      </c>
      <c r="AC539" s="17" t="n">
        <v>46288.7109837963</v>
      </c>
      <c r="AD539" s="16" t="s">
        <v>338</v>
      </c>
      <c r="AE539" s="16"/>
      <c r="AF539" s="16" t="str">
        <f aca="false">IF(COUNTIF(لیست_سفید!$A$2:$A$21,B539)&gt;0,"بله","خیر")</f>
        <v>خیر</v>
      </c>
      <c r="AG539" s="24" t="n">
        <f aca="false">IF(H539="","",IF(AD539="فیش مفقودی",تنظیمات!$B$6,(INT(I539/1440)*تنظیمات!$B$5+IF(MOD(I539,1440)&lt;=تنظیمات!$B$2,0,MIN(تنظیمات!$B$5,تنظیمات!$B$3+MAX(0,ROUNDUP((MOD(I539,1440)-60)/60,0))*تنظیمات!$B$4)))*INDEX(تعرفه!$B$2:$B$7,MATCH(AD539,تعرفه!$A$2:$A$7,0))))</f>
        <v>76000</v>
      </c>
      <c r="AH539" s="24" t="n">
        <v>76000</v>
      </c>
      <c r="AI539" s="24" t="n">
        <f aca="false">IF(AG539="","",AH539-AG539)</f>
        <v>0</v>
      </c>
      <c r="AJ539" s="21" t="n">
        <v>0</v>
      </c>
      <c r="AK539" s="21" t="n">
        <v>0</v>
      </c>
      <c r="AL539" s="16" t="s">
        <v>335</v>
      </c>
      <c r="AM539" s="16"/>
      <c r="AN539" s="16" t="s">
        <v>340</v>
      </c>
      <c r="AO539" s="16" t="s">
        <v>340</v>
      </c>
      <c r="AP539" s="16" t="s">
        <v>335</v>
      </c>
      <c r="AQ539" s="16"/>
      <c r="AR539" s="21" t="n">
        <f aca="false">IF(AND(T539&lt;&gt;"",H539&lt;&gt;""),IF(AND((T539-H539)*86400&gt;=0,(T539-H539)*86400&lt;تنظیمات!$B$13),1,0),0)</f>
        <v>0</v>
      </c>
      <c r="AS539" s="21" t="n">
        <f aca="false">IF(Z539="پوز",IF(OR(AB539="",COUNTIF(پوزها!$A$2:$A$5,AA539)=0),1,0),0)</f>
        <v>0</v>
      </c>
      <c r="AT539" s="21" t="n">
        <f aca="false">IF(AI539="",0,IF(AI539&gt;0,1,0))</f>
        <v>0</v>
      </c>
      <c r="AU539" s="21" t="n">
        <f aca="false">IF(AI539="",0,IF(AI539&lt;0,1,0))</f>
        <v>0</v>
      </c>
      <c r="AV539" s="21" t="n">
        <f aca="false">IF(U539&gt;V539,1,0)</f>
        <v>0</v>
      </c>
      <c r="AW539" s="21" t="n">
        <f aca="false">IF(OR(W539&gt;تنظیمات!$B$8,X539="بله"),1,0)</f>
        <v>0</v>
      </c>
      <c r="AX539" s="21" t="n">
        <f aca="false">IF(AND(N539="بله",L539&gt;تنظیمات!$B$9),1,0)</f>
        <v>0</v>
      </c>
      <c r="AY539" s="21" t="n">
        <f aca="false">IF(Y539="معکوس",1,0)</f>
        <v>0</v>
      </c>
      <c r="AZ539" s="21" t="n">
        <f aca="false">IF(ABS(AJ539)&gt;تنظیمات!$B$10,1,0)</f>
        <v>0</v>
      </c>
      <c r="BA539" s="21" t="n">
        <f aca="false">IF(AND(OR(AD539="رایگان/VIP",AD539="جانباز"),AF539="خیر"),1,0)</f>
        <v>0</v>
      </c>
      <c r="BB539" s="21" t="n">
        <f aca="false">IF(AE539="",0,IF(COUNTIF($AE$2:$AE$1001,AE539)&gt;1,1,0))</f>
        <v>0</v>
      </c>
      <c r="BC539" s="21" t="n">
        <f aca="false">IF(AND(H539="",I539&gt;تنظیمات!$B$12*60,AM539="خالی"),1,0)</f>
        <v>0</v>
      </c>
      <c r="BD539" s="21" t="n">
        <f aca="false">IF(AND(AP539="بله",I539&lt;تنظیمات!$B$14,AO539="خیر"),1,0)</f>
        <v>0</v>
      </c>
      <c r="BE539" s="21" t="n">
        <f aca="false">IF(AN539="خیر",1,0)</f>
        <v>0</v>
      </c>
      <c r="BF539" s="21" t="n">
        <f aca="false">IF(AND(AD539="فیش مفقودی",AQ539="بله",I539&gt;تنظیمات!$B$12*60),1,0)</f>
        <v>0</v>
      </c>
      <c r="BG539" s="21" t="n">
        <f aca="false">IF(AND(AK539&gt;تنظیمات!$B$11,AL539="بله"),1,0)</f>
        <v>0</v>
      </c>
      <c r="BH539" s="21" t="n">
        <f aca="false">MIN(100,AR539*تنظیمات!$B$21+AS539*تنظیمات!$B$22+AT539*تنظیمات!$B$23+AU539*تنظیمات!$B$24+AV539*تنظیمات!$B$25+AW539*تنظیمات!$B$26+AX539*تنظیمات!$B$27+AY539*تنظیمات!$B$28+AZ539*تنظیمات!$B$29+BA539*تنظیمات!$B$30+BB539*تنظیمات!$B$31+BC539*تنظیمات!$B$32+BD539*تنظیمات!$B$33+BE539*تنظیمات!$B$34+BF539*تنظیمات!$B$35+BG539*تنظیمات!$B$36)</f>
        <v>0</v>
      </c>
      <c r="BI539" s="16" t="str">
        <f aca="false">IF(BH539&gt;=60,"بحرانی",IF(BH539&gt;=30,"مشکوک",IF(BH539&gt;0,"هشدار","عادی")))</f>
        <v>عادی</v>
      </c>
      <c r="BJ539" s="16" t="s">
        <v>338</v>
      </c>
    </row>
    <row r="540" customFormat="false" ht="15" hidden="false" customHeight="false" outlineLevel="0" collapsed="false">
      <c r="A540" s="16" t="s">
        <v>2053</v>
      </c>
      <c r="B540" s="16" t="s">
        <v>1161</v>
      </c>
      <c r="C540" s="16"/>
      <c r="D540" s="16" t="s">
        <v>386</v>
      </c>
      <c r="E540" s="16" t="s">
        <v>375</v>
      </c>
      <c r="F540" s="16" t="s">
        <v>333</v>
      </c>
      <c r="G540" s="17" t="n">
        <v>46288.541099537</v>
      </c>
      <c r="H540" s="17" t="n">
        <v>46288.7515162037</v>
      </c>
      <c r="I540" s="18" t="n">
        <f aca="false">IF(H540="",ROUND((تنظیمات!$B$7-G540)*1440,0),ROUND((H540-G540)*1440,0))</f>
        <v>303</v>
      </c>
      <c r="J540" s="16" t="s">
        <v>346</v>
      </c>
      <c r="K540" s="16" t="s">
        <v>410</v>
      </c>
      <c r="L540" s="19" t="n">
        <v>0.959</v>
      </c>
      <c r="M540" s="19" t="n">
        <v>0.978</v>
      </c>
      <c r="N540" s="16" t="s">
        <v>335</v>
      </c>
      <c r="O540" s="16" t="s">
        <v>677</v>
      </c>
      <c r="P540" s="16" t="s">
        <v>420</v>
      </c>
      <c r="Q540" s="20" t="n">
        <v>46288</v>
      </c>
      <c r="R540" s="16" t="s">
        <v>2054</v>
      </c>
      <c r="S540" s="16" t="s">
        <v>404</v>
      </c>
      <c r="T540" s="17"/>
      <c r="U540" s="21" t="n">
        <v>1</v>
      </c>
      <c r="V540" s="21" t="n">
        <v>1</v>
      </c>
      <c r="W540" s="22" t="n">
        <v>6.6</v>
      </c>
      <c r="X540" s="16" t="s">
        <v>335</v>
      </c>
      <c r="Y540" s="16" t="s">
        <v>338</v>
      </c>
      <c r="Z540" s="16" t="s">
        <v>413</v>
      </c>
      <c r="AA540" s="16" t="s">
        <v>414</v>
      </c>
      <c r="AB540" s="23" t="s">
        <v>2055</v>
      </c>
      <c r="AC540" s="17" t="n">
        <v>46288.750625</v>
      </c>
      <c r="AD540" s="16" t="s">
        <v>338</v>
      </c>
      <c r="AE540" s="16"/>
      <c r="AF540" s="16" t="str">
        <f aca="false">IF(COUNTIF(لیست_سفید!$A$2:$A$21,B540)&gt;0,"بله","خیر")</f>
        <v>خیر</v>
      </c>
      <c r="AG540" s="24" t="n">
        <f aca="false">IF(H540="","",IF(AD540="فیش مفقودی",تنظیمات!$B$6,(INT(I540/1440)*تنظیمات!$B$5+IF(MOD(I540,1440)&lt;=تنظیمات!$B$2,0,MIN(تنظیمات!$B$5,تنظیمات!$B$3+MAX(0,ROUNDUP((MOD(I540,1440)-60)/60,0))*تنظیمات!$B$4)))*INDEX(تعرفه!$B$2:$B$7,MATCH(AD540,تعرفه!$A$2:$A$7,0))))</f>
        <v>90000</v>
      </c>
      <c r="AH540" s="24" t="n">
        <v>90000</v>
      </c>
      <c r="AI540" s="24" t="n">
        <f aca="false">IF(AG540="","",AH540-AG540)</f>
        <v>0</v>
      </c>
      <c r="AJ540" s="21" t="n">
        <v>0</v>
      </c>
      <c r="AK540" s="21" t="n">
        <v>0</v>
      </c>
      <c r="AL540" s="16" t="s">
        <v>335</v>
      </c>
      <c r="AM540" s="16"/>
      <c r="AN540" s="16" t="s">
        <v>340</v>
      </c>
      <c r="AO540" s="16" t="s">
        <v>340</v>
      </c>
      <c r="AP540" s="16" t="s">
        <v>335</v>
      </c>
      <c r="AQ540" s="16"/>
      <c r="AR540" s="21" t="n">
        <f aca="false">IF(AND(T540&lt;&gt;"",H540&lt;&gt;""),IF(AND((T540-H540)*86400&gt;=0,(T540-H540)*86400&lt;تنظیمات!$B$13),1,0),0)</f>
        <v>0</v>
      </c>
      <c r="AS540" s="21" t="n">
        <f aca="false">IF(Z540="پوز",IF(OR(AB540="",COUNTIF(پوزها!$A$2:$A$5,AA540)=0),1,0),0)</f>
        <v>0</v>
      </c>
      <c r="AT540" s="21" t="n">
        <f aca="false">IF(AI540="",0,IF(AI540&gt;0,1,0))</f>
        <v>0</v>
      </c>
      <c r="AU540" s="21" t="n">
        <f aca="false">IF(AI540="",0,IF(AI540&lt;0,1,0))</f>
        <v>0</v>
      </c>
      <c r="AV540" s="21" t="n">
        <f aca="false">IF(U540&gt;V540,1,0)</f>
        <v>0</v>
      </c>
      <c r="AW540" s="21" t="n">
        <f aca="false">IF(OR(W540&gt;تنظیمات!$B$8,X540="بله"),1,0)</f>
        <v>0</v>
      </c>
      <c r="AX540" s="21" t="n">
        <f aca="false">IF(AND(N540="بله",L540&gt;تنظیمات!$B$9),1,0)</f>
        <v>0</v>
      </c>
      <c r="AY540" s="21" t="n">
        <f aca="false">IF(Y540="معکوس",1,0)</f>
        <v>0</v>
      </c>
      <c r="AZ540" s="21" t="n">
        <f aca="false">IF(ABS(AJ540)&gt;تنظیمات!$B$10,1,0)</f>
        <v>0</v>
      </c>
      <c r="BA540" s="21" t="n">
        <f aca="false">IF(AND(OR(AD540="رایگان/VIP",AD540="جانباز"),AF540="خیر"),1,0)</f>
        <v>0</v>
      </c>
      <c r="BB540" s="21" t="n">
        <f aca="false">IF(AE540="",0,IF(COUNTIF($AE$2:$AE$1001,AE540)&gt;1,1,0))</f>
        <v>0</v>
      </c>
      <c r="BC540" s="21" t="n">
        <f aca="false">IF(AND(H540="",I540&gt;تنظیمات!$B$12*60,AM540="خالی"),1,0)</f>
        <v>0</v>
      </c>
      <c r="BD540" s="21" t="n">
        <f aca="false">IF(AND(AP540="بله",I540&lt;تنظیمات!$B$14,AO540="خیر"),1,0)</f>
        <v>0</v>
      </c>
      <c r="BE540" s="21" t="n">
        <f aca="false">IF(AN540="خیر",1,0)</f>
        <v>0</v>
      </c>
      <c r="BF540" s="21" t="n">
        <f aca="false">IF(AND(AD540="فیش مفقودی",AQ540="بله",I540&gt;تنظیمات!$B$12*60),1,0)</f>
        <v>0</v>
      </c>
      <c r="BG540" s="21" t="n">
        <f aca="false">IF(AND(AK540&gt;تنظیمات!$B$11,AL540="بله"),1,0)</f>
        <v>0</v>
      </c>
      <c r="BH540" s="21" t="n">
        <f aca="false">MIN(100,AR540*تنظیمات!$B$21+AS540*تنظیمات!$B$22+AT540*تنظیمات!$B$23+AU540*تنظیمات!$B$24+AV540*تنظیمات!$B$25+AW540*تنظیمات!$B$26+AX540*تنظیمات!$B$27+AY540*تنظیمات!$B$28+AZ540*تنظیمات!$B$29+BA540*تنظیمات!$B$30+BB540*تنظیمات!$B$31+BC540*تنظیمات!$B$32+BD540*تنظیمات!$B$33+BE540*تنظیمات!$B$34+BF540*تنظیمات!$B$35+BG540*تنظیمات!$B$36)</f>
        <v>0</v>
      </c>
      <c r="BI540" s="16" t="str">
        <f aca="false">IF(BH540&gt;=60,"بحرانی",IF(BH540&gt;=30,"مشکوک",IF(BH540&gt;0,"هشدار","عادی")))</f>
        <v>عادی</v>
      </c>
      <c r="BJ540" s="16" t="s">
        <v>338</v>
      </c>
    </row>
    <row r="541" customFormat="false" ht="15" hidden="false" customHeight="false" outlineLevel="0" collapsed="false">
      <c r="A541" s="16" t="s">
        <v>2056</v>
      </c>
      <c r="B541" s="16" t="s">
        <v>1721</v>
      </c>
      <c r="C541" s="16"/>
      <c r="D541" s="16" t="s">
        <v>331</v>
      </c>
      <c r="E541" s="16" t="s">
        <v>351</v>
      </c>
      <c r="F541" s="16" t="s">
        <v>333</v>
      </c>
      <c r="G541" s="17" t="n">
        <v>46288.5489351852</v>
      </c>
      <c r="H541" s="17" t="n">
        <v>46288.6149074074</v>
      </c>
      <c r="I541" s="18" t="n">
        <f aca="false">IF(H541="",ROUND((تنظیمات!$B$7-G541)*1440,0),ROUND((H541-G541)*1440,0))</f>
        <v>95</v>
      </c>
      <c r="J541" s="16" t="s">
        <v>334</v>
      </c>
      <c r="K541" s="16" t="s">
        <v>400</v>
      </c>
      <c r="L541" s="19" t="n">
        <v>0.954</v>
      </c>
      <c r="M541" s="19" t="n">
        <v>0.992</v>
      </c>
      <c r="N541" s="16" t="s">
        <v>335</v>
      </c>
      <c r="O541" s="16" t="s">
        <v>666</v>
      </c>
      <c r="P541" s="16" t="s">
        <v>420</v>
      </c>
      <c r="Q541" s="20" t="n">
        <v>46288</v>
      </c>
      <c r="R541" s="16" t="s">
        <v>2057</v>
      </c>
      <c r="S541" s="16" t="s">
        <v>404</v>
      </c>
      <c r="T541" s="17"/>
      <c r="U541" s="21" t="n">
        <v>3</v>
      </c>
      <c r="V541" s="21" t="n">
        <v>1</v>
      </c>
      <c r="W541" s="22" t="n">
        <v>13.1</v>
      </c>
      <c r="X541" s="16" t="s">
        <v>335</v>
      </c>
      <c r="Y541" s="16" t="s">
        <v>338</v>
      </c>
      <c r="Z541" s="16" t="s">
        <v>413</v>
      </c>
      <c r="AA541" s="16" t="s">
        <v>427</v>
      </c>
      <c r="AB541" s="23" t="s">
        <v>2058</v>
      </c>
      <c r="AC541" s="17" t="n">
        <v>46288.6141203704</v>
      </c>
      <c r="AD541" s="16" t="s">
        <v>338</v>
      </c>
      <c r="AE541" s="16"/>
      <c r="AF541" s="16" t="str">
        <f aca="false">IF(COUNTIF(لیست_سفید!$A$2:$A$21,B541)&gt;0,"بله","خیر")</f>
        <v>خیر</v>
      </c>
      <c r="AG541" s="24" t="n">
        <f aca="false">IF(H541="","",IF(AD541="فیش مفقودی",تنظیمات!$B$6,(INT(I541/1440)*تنظیمات!$B$5+IF(MOD(I541,1440)&lt;=تنظیمات!$B$2,0,MIN(تنظیمات!$B$5,تنظیمات!$B$3+MAX(0,ROUNDUP((MOD(I541,1440)-60)/60,0))*تنظیمات!$B$4)))*INDEX(تعرفه!$B$2:$B$7,MATCH(AD541,تعرفه!$A$2:$A$7,0))))</f>
        <v>34000</v>
      </c>
      <c r="AH541" s="24" t="n">
        <v>34000</v>
      </c>
      <c r="AI541" s="24" t="n">
        <f aca="false">IF(AG541="","",AH541-AG541)</f>
        <v>0</v>
      </c>
      <c r="AJ541" s="21" t="n">
        <v>-1</v>
      </c>
      <c r="AK541" s="21" t="n">
        <v>0</v>
      </c>
      <c r="AL541" s="16" t="s">
        <v>335</v>
      </c>
      <c r="AM541" s="16"/>
      <c r="AN541" s="16" t="s">
        <v>340</v>
      </c>
      <c r="AO541" s="16" t="s">
        <v>340</v>
      </c>
      <c r="AP541" s="16" t="s">
        <v>335</v>
      </c>
      <c r="AQ541" s="16"/>
      <c r="AR541" s="21" t="n">
        <f aca="false">IF(AND(T541&lt;&gt;"",H541&lt;&gt;""),IF(AND((T541-H541)*86400&gt;=0,(T541-H541)*86400&lt;تنظیمات!$B$13),1,0),0)</f>
        <v>0</v>
      </c>
      <c r="AS541" s="21" t="n">
        <f aca="false">IF(Z541="پوز",IF(OR(AB541="",COUNTIF(پوزها!$A$2:$A$5,AA541)=0),1,0),0)</f>
        <v>0</v>
      </c>
      <c r="AT541" s="21" t="n">
        <f aca="false">IF(AI541="",0,IF(AI541&gt;0,1,0))</f>
        <v>0</v>
      </c>
      <c r="AU541" s="21" t="n">
        <f aca="false">IF(AI541="",0,IF(AI541&lt;0,1,0))</f>
        <v>0</v>
      </c>
      <c r="AV541" s="21" t="n">
        <f aca="false">IF(U541&gt;V541,1,0)</f>
        <v>1</v>
      </c>
      <c r="AW541" s="21" t="n">
        <f aca="false">IF(OR(W541&gt;تنظیمات!$B$8,X541="بله"),1,0)</f>
        <v>1</v>
      </c>
      <c r="AX541" s="21" t="n">
        <f aca="false">IF(AND(N541="بله",L541&gt;تنظیمات!$B$9),1,0)</f>
        <v>0</v>
      </c>
      <c r="AY541" s="21" t="n">
        <f aca="false">IF(Y541="معکوس",1,0)</f>
        <v>0</v>
      </c>
      <c r="AZ541" s="21" t="n">
        <f aca="false">IF(ABS(AJ541)&gt;تنظیمات!$B$10,1,0)</f>
        <v>0</v>
      </c>
      <c r="BA541" s="21" t="n">
        <f aca="false">IF(AND(OR(AD541="رایگان/VIP",AD541="جانباز"),AF541="خیر"),1,0)</f>
        <v>0</v>
      </c>
      <c r="BB541" s="21" t="n">
        <f aca="false">IF(AE541="",0,IF(COUNTIF($AE$2:$AE$1001,AE541)&gt;1,1,0))</f>
        <v>0</v>
      </c>
      <c r="BC541" s="21" t="n">
        <f aca="false">IF(AND(H541="",I541&gt;تنظیمات!$B$12*60,AM541="خالی"),1,0)</f>
        <v>0</v>
      </c>
      <c r="BD541" s="21" t="n">
        <f aca="false">IF(AND(AP541="بله",I541&lt;تنظیمات!$B$14,AO541="خیر"),1,0)</f>
        <v>0</v>
      </c>
      <c r="BE541" s="21" t="n">
        <f aca="false">IF(AN541="خیر",1,0)</f>
        <v>0</v>
      </c>
      <c r="BF541" s="21" t="n">
        <f aca="false">IF(AND(AD541="فیش مفقودی",AQ541="بله",I541&gt;تنظیمات!$B$12*60),1,0)</f>
        <v>0</v>
      </c>
      <c r="BG541" s="21" t="n">
        <f aca="false">IF(AND(AK541&gt;تنظیمات!$B$11,AL541="بله"),1,0)</f>
        <v>0</v>
      </c>
      <c r="BH541" s="21" t="n">
        <f aca="false">MIN(100,AR541*تنظیمات!$B$21+AS541*تنظیمات!$B$22+AT541*تنظیمات!$B$23+AU541*تنظیمات!$B$24+AV541*تنظیمات!$B$25+AW541*تنظیمات!$B$26+AX541*تنظیمات!$B$27+AY541*تنظیمات!$B$28+AZ541*تنظیمات!$B$29+BA541*تنظیمات!$B$30+BB541*تنظیمات!$B$31+BC541*تنظیمات!$B$32+BD541*تنظیمات!$B$33+BE541*تنظیمات!$B$34+BF541*تنظیمات!$B$35+BG541*تنظیمات!$B$36)</f>
        <v>55</v>
      </c>
      <c r="BI541" s="16" t="str">
        <f aca="false">IF(BH541&gt;=60,"بحرانی",IF(BH541&gt;=30,"مشکوک",IF(BH541&gt;0,"هشدار","عادی")))</f>
        <v>مشکوک</v>
      </c>
      <c r="BJ541" s="16" t="s">
        <v>516</v>
      </c>
    </row>
    <row r="542" customFormat="false" ht="15" hidden="false" customHeight="false" outlineLevel="0" collapsed="false">
      <c r="A542" s="16" t="s">
        <v>2059</v>
      </c>
      <c r="B542" s="16" t="s">
        <v>1694</v>
      </c>
      <c r="C542" s="16"/>
      <c r="D542" s="16" t="s">
        <v>382</v>
      </c>
      <c r="E542" s="16" t="s">
        <v>375</v>
      </c>
      <c r="F542" s="16" t="s">
        <v>333</v>
      </c>
      <c r="G542" s="17" t="n">
        <v>46288.5544444445</v>
      </c>
      <c r="H542" s="17" t="n">
        <v>46288.7204166667</v>
      </c>
      <c r="I542" s="18" t="n">
        <f aca="false">IF(H542="",ROUND((تنظیمات!$B$7-G542)*1440,0),ROUND((H542-G542)*1440,0))</f>
        <v>239</v>
      </c>
      <c r="J542" s="16" t="s">
        <v>346</v>
      </c>
      <c r="K542" s="16" t="s">
        <v>400</v>
      </c>
      <c r="L542" s="19" t="n">
        <v>0.937</v>
      </c>
      <c r="M542" s="19" t="n">
        <v>0.909</v>
      </c>
      <c r="N542" s="16" t="s">
        <v>335</v>
      </c>
      <c r="O542" s="16" t="s">
        <v>666</v>
      </c>
      <c r="P542" s="16" t="s">
        <v>420</v>
      </c>
      <c r="Q542" s="20" t="n">
        <v>46288</v>
      </c>
      <c r="R542" s="16" t="s">
        <v>2060</v>
      </c>
      <c r="S542" s="16" t="s">
        <v>404</v>
      </c>
      <c r="T542" s="17"/>
      <c r="U542" s="21" t="n">
        <v>1</v>
      </c>
      <c r="V542" s="21" t="n">
        <v>1</v>
      </c>
      <c r="W542" s="22" t="n">
        <v>4.6</v>
      </c>
      <c r="X542" s="16" t="s">
        <v>335</v>
      </c>
      <c r="Y542" s="16" t="s">
        <v>338</v>
      </c>
      <c r="Z542" s="16" t="s">
        <v>405</v>
      </c>
      <c r="AA542" s="16"/>
      <c r="AB542" s="23"/>
      <c r="AC542" s="17"/>
      <c r="AD542" s="16" t="s">
        <v>338</v>
      </c>
      <c r="AE542" s="16"/>
      <c r="AF542" s="16" t="str">
        <f aca="false">IF(COUNTIF(لیست_سفید!$A$2:$A$21,B542)&gt;0,"بله","خیر")</f>
        <v>خیر</v>
      </c>
      <c r="AG542" s="24" t="n">
        <f aca="false">IF(H542="","",IF(AD542="فیش مفقودی",تنظیمات!$B$6,(INT(I542/1440)*تنظیمات!$B$5+IF(MOD(I542,1440)&lt;=تنظیمات!$B$2,0,MIN(تنظیمات!$B$5,تنظیمات!$B$3+MAX(0,ROUNDUP((MOD(I542,1440)-60)/60,0))*تنظیمات!$B$4)))*INDEX(تعرفه!$B$2:$B$7,MATCH(AD542,تعرفه!$A$2:$A$7,0))))</f>
        <v>62000</v>
      </c>
      <c r="AH542" s="24" t="n">
        <v>36000</v>
      </c>
      <c r="AI542" s="24" t="n">
        <f aca="false">IF(AG542="","",AH542-AG542)</f>
        <v>-26000</v>
      </c>
      <c r="AJ542" s="21" t="n">
        <v>3</v>
      </c>
      <c r="AK542" s="21" t="n">
        <v>0</v>
      </c>
      <c r="AL542" s="16" t="s">
        <v>335</v>
      </c>
      <c r="AM542" s="16"/>
      <c r="AN542" s="16" t="s">
        <v>340</v>
      </c>
      <c r="AO542" s="16" t="s">
        <v>340</v>
      </c>
      <c r="AP542" s="16" t="s">
        <v>335</v>
      </c>
      <c r="AQ542" s="16"/>
      <c r="AR542" s="21" t="n">
        <f aca="false">IF(AND(T542&lt;&gt;"",H542&lt;&gt;""),IF(AND((T542-H542)*86400&gt;=0,(T542-H542)*86400&lt;تنظیمات!$B$13),1,0),0)</f>
        <v>0</v>
      </c>
      <c r="AS542" s="21" t="n">
        <f aca="false">IF(Z542="پوز",IF(OR(AB542="",COUNTIF(پوزها!$A$2:$A$5,AA542)=0),1,0),0)</f>
        <v>0</v>
      </c>
      <c r="AT542" s="21" t="n">
        <f aca="false">IF(AI542="",0,IF(AI542&gt;0,1,0))</f>
        <v>0</v>
      </c>
      <c r="AU542" s="21" t="n">
        <f aca="false">IF(AI542="",0,IF(AI542&lt;0,1,0))</f>
        <v>1</v>
      </c>
      <c r="AV542" s="21" t="n">
        <f aca="false">IF(U542&gt;V542,1,0)</f>
        <v>0</v>
      </c>
      <c r="AW542" s="21" t="n">
        <f aca="false">IF(OR(W542&gt;تنظیمات!$B$8,X542="بله"),1,0)</f>
        <v>0</v>
      </c>
      <c r="AX542" s="21" t="n">
        <f aca="false">IF(AND(N542="بله",L542&gt;تنظیمات!$B$9),1,0)</f>
        <v>0</v>
      </c>
      <c r="AY542" s="21" t="n">
        <f aca="false">IF(Y542="معکوس",1,0)</f>
        <v>0</v>
      </c>
      <c r="AZ542" s="21" t="n">
        <f aca="false">IF(ABS(AJ542)&gt;تنظیمات!$B$10,1,0)</f>
        <v>0</v>
      </c>
      <c r="BA542" s="21" t="n">
        <f aca="false">IF(AND(OR(AD542="رایگان/VIP",AD542="جانباز"),AF542="خیر"),1,0)</f>
        <v>0</v>
      </c>
      <c r="BB542" s="21" t="n">
        <f aca="false">IF(AE542="",0,IF(COUNTIF($AE$2:$AE$1001,AE542)&gt;1,1,0))</f>
        <v>0</v>
      </c>
      <c r="BC542" s="21" t="n">
        <f aca="false">IF(AND(H542="",I542&gt;تنظیمات!$B$12*60,AM542="خالی"),1,0)</f>
        <v>0</v>
      </c>
      <c r="BD542" s="21" t="n">
        <f aca="false">IF(AND(AP542="بله",I542&lt;تنظیمات!$B$14,AO542="خیر"),1,0)</f>
        <v>0</v>
      </c>
      <c r="BE542" s="21" t="n">
        <f aca="false">IF(AN542="خیر",1,0)</f>
        <v>0</v>
      </c>
      <c r="BF542" s="21" t="n">
        <f aca="false">IF(AND(AD542="فیش مفقودی",AQ542="بله",I542&gt;تنظیمات!$B$12*60),1,0)</f>
        <v>0</v>
      </c>
      <c r="BG542" s="21" t="n">
        <f aca="false">IF(AND(AK542&gt;تنظیمات!$B$11,AL542="بله"),1,0)</f>
        <v>0</v>
      </c>
      <c r="BH542" s="21" t="n">
        <f aca="false">MIN(100,AR542*تنظیمات!$B$21+AS542*تنظیمات!$B$22+AT542*تنظیمات!$B$23+AU542*تنظیمات!$B$24+AV542*تنظیمات!$B$25+AW542*تنظیمات!$B$26+AX542*تنظیمات!$B$27+AY542*تنظیمات!$B$28+AZ542*تنظیمات!$B$29+BA542*تنظیمات!$B$30+BB542*تنظیمات!$B$31+BC542*تنظیمات!$B$32+BD542*تنظیمات!$B$33+BE542*تنظیمات!$B$34+BF542*تنظیمات!$B$35+BG542*تنظیمات!$B$36)</f>
        <v>25</v>
      </c>
      <c r="BI542" s="16" t="str">
        <f aca="false">IF(BH542&gt;=60,"بحرانی",IF(BH542&gt;=30,"مشکوک",IF(BH542&gt;0,"هشدار","عادی")))</f>
        <v>هشدار</v>
      </c>
      <c r="BJ542" s="16" t="s">
        <v>610</v>
      </c>
    </row>
    <row r="543" customFormat="false" ht="15" hidden="false" customHeight="false" outlineLevel="0" collapsed="false">
      <c r="A543" s="16" t="s">
        <v>2061</v>
      </c>
      <c r="B543" s="16" t="s">
        <v>2062</v>
      </c>
      <c r="C543" s="16"/>
      <c r="D543" s="16" t="s">
        <v>508</v>
      </c>
      <c r="E543" s="16" t="s">
        <v>390</v>
      </c>
      <c r="F543" s="16" t="s">
        <v>333</v>
      </c>
      <c r="G543" s="17" t="n">
        <v>46288.5661342593</v>
      </c>
      <c r="H543" s="17" t="n">
        <v>46288.6182175926</v>
      </c>
      <c r="I543" s="18" t="n">
        <f aca="false">IF(H543="",ROUND((تنظیمات!$B$7-G543)*1440,0),ROUND((H543-G543)*1440,0))</f>
        <v>75</v>
      </c>
      <c r="J543" s="16" t="s">
        <v>334</v>
      </c>
      <c r="K543" s="16" t="s">
        <v>400</v>
      </c>
      <c r="L543" s="19" t="n">
        <v>0.965</v>
      </c>
      <c r="M543" s="19" t="n">
        <v>0.906</v>
      </c>
      <c r="N543" s="16" t="s">
        <v>335</v>
      </c>
      <c r="O543" s="16" t="s">
        <v>666</v>
      </c>
      <c r="P543" s="16" t="s">
        <v>420</v>
      </c>
      <c r="Q543" s="20" t="n">
        <v>46288</v>
      </c>
      <c r="R543" s="16" t="s">
        <v>2063</v>
      </c>
      <c r="S543" s="16" t="s">
        <v>404</v>
      </c>
      <c r="T543" s="17"/>
      <c r="U543" s="21" t="n">
        <v>1</v>
      </c>
      <c r="V543" s="21" t="n">
        <v>1</v>
      </c>
      <c r="W543" s="22" t="n">
        <v>20.6</v>
      </c>
      <c r="X543" s="16" t="s">
        <v>340</v>
      </c>
      <c r="Y543" s="16" t="s">
        <v>338</v>
      </c>
      <c r="Z543" s="16" t="s">
        <v>413</v>
      </c>
      <c r="AA543" s="16" t="s">
        <v>427</v>
      </c>
      <c r="AB543" s="23" t="s">
        <v>2064</v>
      </c>
      <c r="AC543" s="17" t="n">
        <v>46288.6177777778</v>
      </c>
      <c r="AD543" s="16" t="s">
        <v>338</v>
      </c>
      <c r="AE543" s="16"/>
      <c r="AF543" s="16" t="str">
        <f aca="false">IF(COUNTIF(لیست_سفید!$A$2:$A$21,B543)&gt;0,"بله","خیر")</f>
        <v>خیر</v>
      </c>
      <c r="AG543" s="24" t="n">
        <f aca="false">IF(H543="","",IF(AD543="فیش مفقودی",تنظیمات!$B$6,(INT(I543/1440)*تنظیمات!$B$5+IF(MOD(I543,1440)&lt;=تنظیمات!$B$2,0,MIN(تنظیمات!$B$5,تنظیمات!$B$3+MAX(0,ROUNDUP((MOD(I543,1440)-60)/60,0))*تنظیمات!$B$4)))*INDEX(تعرفه!$B$2:$B$7,MATCH(AD543,تعرفه!$A$2:$A$7,0))))</f>
        <v>34000</v>
      </c>
      <c r="AH543" s="24" t="n">
        <v>34000</v>
      </c>
      <c r="AI543" s="24" t="n">
        <f aca="false">IF(AG543="","",AH543-AG543)</f>
        <v>0</v>
      </c>
      <c r="AJ543" s="21" t="n">
        <v>2</v>
      </c>
      <c r="AK543" s="21" t="n">
        <v>0</v>
      </c>
      <c r="AL543" s="16" t="s">
        <v>335</v>
      </c>
      <c r="AM543" s="16"/>
      <c r="AN543" s="16" t="s">
        <v>340</v>
      </c>
      <c r="AO543" s="16" t="s">
        <v>340</v>
      </c>
      <c r="AP543" s="16" t="s">
        <v>335</v>
      </c>
      <c r="AQ543" s="16"/>
      <c r="AR543" s="21" t="n">
        <f aca="false">IF(AND(T543&lt;&gt;"",H543&lt;&gt;""),IF(AND((T543-H543)*86400&gt;=0,(T543-H543)*86400&lt;تنظیمات!$B$13),1,0),0)</f>
        <v>0</v>
      </c>
      <c r="AS543" s="21" t="n">
        <f aca="false">IF(Z543="پوز",IF(OR(AB543="",COUNTIF(پوزها!$A$2:$A$5,AA543)=0),1,0),0)</f>
        <v>0</v>
      </c>
      <c r="AT543" s="21" t="n">
        <f aca="false">IF(AI543="",0,IF(AI543&gt;0,1,0))</f>
        <v>0</v>
      </c>
      <c r="AU543" s="21" t="n">
        <f aca="false">IF(AI543="",0,IF(AI543&lt;0,1,0))</f>
        <v>0</v>
      </c>
      <c r="AV543" s="21" t="n">
        <f aca="false">IF(U543&gt;V543,1,0)</f>
        <v>0</v>
      </c>
      <c r="AW543" s="21" t="n">
        <f aca="false">IF(OR(W543&gt;تنظیمات!$B$8,X543="بله"),1,0)</f>
        <v>1</v>
      </c>
      <c r="AX543" s="21" t="n">
        <f aca="false">IF(AND(N543="بله",L543&gt;تنظیمات!$B$9),1,0)</f>
        <v>0</v>
      </c>
      <c r="AY543" s="21" t="n">
        <f aca="false">IF(Y543="معکوس",1,0)</f>
        <v>0</v>
      </c>
      <c r="AZ543" s="21" t="n">
        <f aca="false">IF(ABS(AJ543)&gt;تنظیمات!$B$10,1,0)</f>
        <v>0</v>
      </c>
      <c r="BA543" s="21" t="n">
        <f aca="false">IF(AND(OR(AD543="رایگان/VIP",AD543="جانباز"),AF543="خیر"),1,0)</f>
        <v>0</v>
      </c>
      <c r="BB543" s="21" t="n">
        <f aca="false">IF(AE543="",0,IF(COUNTIF($AE$2:$AE$1001,AE543)&gt;1,1,0))</f>
        <v>0</v>
      </c>
      <c r="BC543" s="21" t="n">
        <f aca="false">IF(AND(H543="",I543&gt;تنظیمات!$B$12*60,AM543="خالی"),1,0)</f>
        <v>0</v>
      </c>
      <c r="BD543" s="21" t="n">
        <f aca="false">IF(AND(AP543="بله",I543&lt;تنظیمات!$B$14,AO543="خیر"),1,0)</f>
        <v>0</v>
      </c>
      <c r="BE543" s="21" t="n">
        <f aca="false">IF(AN543="خیر",1,0)</f>
        <v>0</v>
      </c>
      <c r="BF543" s="21" t="n">
        <f aca="false">IF(AND(AD543="فیش مفقودی",AQ543="بله",I543&gt;تنظیمات!$B$12*60),1,0)</f>
        <v>0</v>
      </c>
      <c r="BG543" s="21" t="n">
        <f aca="false">IF(AND(AK543&gt;تنظیمات!$B$11,AL543="بله"),1,0)</f>
        <v>0</v>
      </c>
      <c r="BH543" s="21" t="n">
        <f aca="false">MIN(100,AR543*تنظیمات!$B$21+AS543*تنظیمات!$B$22+AT543*تنظیمات!$B$23+AU543*تنظیمات!$B$24+AV543*تنظیمات!$B$25+AW543*تنظیمات!$B$26+AX543*تنظیمات!$B$27+AY543*تنظیمات!$B$28+AZ543*تنظیمات!$B$29+BA543*تنظیمات!$B$30+BB543*تنظیمات!$B$31+BC543*تنظیمات!$B$32+BD543*تنظیمات!$B$33+BE543*تنظیمات!$B$34+BF543*تنظیمات!$B$35+BG543*تنظیمات!$B$36)</f>
        <v>25</v>
      </c>
      <c r="BI543" s="16" t="str">
        <f aca="false">IF(BH543&gt;=60,"بحرانی",IF(BH543&gt;=30,"مشکوک",IF(BH543&gt;0,"هشدار","عادی")))</f>
        <v>هشدار</v>
      </c>
      <c r="BJ543" s="16" t="s">
        <v>211</v>
      </c>
    </row>
    <row r="544" customFormat="false" ht="15" hidden="false" customHeight="false" outlineLevel="0" collapsed="false">
      <c r="A544" s="16" t="s">
        <v>2065</v>
      </c>
      <c r="B544" s="16" t="s">
        <v>2066</v>
      </c>
      <c r="C544" s="16"/>
      <c r="D544" s="16" t="s">
        <v>523</v>
      </c>
      <c r="E544" s="16" t="s">
        <v>345</v>
      </c>
      <c r="F544" s="16" t="s">
        <v>333</v>
      </c>
      <c r="G544" s="17" t="n">
        <v>46288.5691550926</v>
      </c>
      <c r="H544" s="17" t="n">
        <v>46288.7879050926</v>
      </c>
      <c r="I544" s="18" t="n">
        <f aca="false">IF(H544="",ROUND((تنظیمات!$B$7-G544)*1440,0),ROUND((H544-G544)*1440,0))</f>
        <v>315</v>
      </c>
      <c r="J544" s="16" t="s">
        <v>334</v>
      </c>
      <c r="K544" s="16" t="s">
        <v>410</v>
      </c>
      <c r="L544" s="19" t="n">
        <v>0.972</v>
      </c>
      <c r="M544" s="19" t="n">
        <v>0.94</v>
      </c>
      <c r="N544" s="16" t="s">
        <v>335</v>
      </c>
      <c r="O544" s="16" t="s">
        <v>677</v>
      </c>
      <c r="P544" s="16" t="s">
        <v>420</v>
      </c>
      <c r="Q544" s="20" t="n">
        <v>46288</v>
      </c>
      <c r="R544" s="16" t="s">
        <v>2067</v>
      </c>
      <c r="S544" s="16" t="s">
        <v>404</v>
      </c>
      <c r="T544" s="17"/>
      <c r="U544" s="21" t="n">
        <v>1</v>
      </c>
      <c r="V544" s="21" t="n">
        <v>1</v>
      </c>
      <c r="W544" s="22" t="n">
        <v>4.2</v>
      </c>
      <c r="X544" s="16" t="s">
        <v>335</v>
      </c>
      <c r="Y544" s="16" t="s">
        <v>338</v>
      </c>
      <c r="Z544" s="16" t="s">
        <v>465</v>
      </c>
      <c r="AA544" s="16"/>
      <c r="AB544" s="23"/>
      <c r="AC544" s="17"/>
      <c r="AD544" s="16" t="s">
        <v>466</v>
      </c>
      <c r="AE544" s="16"/>
      <c r="AF544" s="16" t="str">
        <f aca="false">IF(COUNTIF(لیست_سفید!$A$2:$A$21,B544)&gt;0,"بله","خیر")</f>
        <v>بله</v>
      </c>
      <c r="AG544" s="24" t="n">
        <f aca="false">IF(H544="","",IF(AD544="فیش مفقودی",تنظیمات!$B$6,(INT(I544/1440)*تنظیمات!$B$5+IF(MOD(I544,1440)&lt;=تنظیمات!$B$2,0,MIN(تنظیمات!$B$5,تنظیمات!$B$3+MAX(0,ROUNDUP((MOD(I544,1440)-60)/60,0))*تنظیمات!$B$4)))*INDEX(تعرفه!$B$2:$B$7,MATCH(AD544,تعرفه!$A$2:$A$7,0))))</f>
        <v>0</v>
      </c>
      <c r="AH544" s="24" t="n">
        <v>0</v>
      </c>
      <c r="AI544" s="24" t="n">
        <f aca="false">IF(AG544="","",AH544-AG544)</f>
        <v>0</v>
      </c>
      <c r="AJ544" s="21" t="n">
        <v>-3</v>
      </c>
      <c r="AK544" s="21" t="n">
        <v>0</v>
      </c>
      <c r="AL544" s="16" t="s">
        <v>335</v>
      </c>
      <c r="AM544" s="16"/>
      <c r="AN544" s="16" t="s">
        <v>340</v>
      </c>
      <c r="AO544" s="16" t="s">
        <v>340</v>
      </c>
      <c r="AP544" s="16" t="s">
        <v>335</v>
      </c>
      <c r="AQ544" s="16"/>
      <c r="AR544" s="21" t="n">
        <f aca="false">IF(AND(T544&lt;&gt;"",H544&lt;&gt;""),IF(AND((T544-H544)*86400&gt;=0,(T544-H544)*86400&lt;تنظیمات!$B$13),1,0),0)</f>
        <v>0</v>
      </c>
      <c r="AS544" s="21" t="n">
        <f aca="false">IF(Z544="پوز",IF(OR(AB544="",COUNTIF(پوزها!$A$2:$A$5,AA544)=0),1,0),0)</f>
        <v>0</v>
      </c>
      <c r="AT544" s="21" t="n">
        <f aca="false">IF(AI544="",0,IF(AI544&gt;0,1,0))</f>
        <v>0</v>
      </c>
      <c r="AU544" s="21" t="n">
        <f aca="false">IF(AI544="",0,IF(AI544&lt;0,1,0))</f>
        <v>0</v>
      </c>
      <c r="AV544" s="21" t="n">
        <f aca="false">IF(U544&gt;V544,1,0)</f>
        <v>0</v>
      </c>
      <c r="AW544" s="21" t="n">
        <f aca="false">IF(OR(W544&gt;تنظیمات!$B$8,X544="بله"),1,0)</f>
        <v>0</v>
      </c>
      <c r="AX544" s="21" t="n">
        <f aca="false">IF(AND(N544="بله",L544&gt;تنظیمات!$B$9),1,0)</f>
        <v>0</v>
      </c>
      <c r="AY544" s="21" t="n">
        <f aca="false">IF(Y544="معکوس",1,0)</f>
        <v>0</v>
      </c>
      <c r="AZ544" s="21" t="n">
        <f aca="false">IF(ABS(AJ544)&gt;تنظیمات!$B$10,1,0)</f>
        <v>0</v>
      </c>
      <c r="BA544" s="21" t="n">
        <f aca="false">IF(AND(OR(AD544="رایگان/VIP",AD544="جانباز"),AF544="خیر"),1,0)</f>
        <v>0</v>
      </c>
      <c r="BB544" s="21" t="n">
        <f aca="false">IF(AE544="",0,IF(COUNTIF($AE$2:$AE$1001,AE544)&gt;1,1,0))</f>
        <v>0</v>
      </c>
      <c r="BC544" s="21" t="n">
        <f aca="false">IF(AND(H544="",I544&gt;تنظیمات!$B$12*60,AM544="خالی"),1,0)</f>
        <v>0</v>
      </c>
      <c r="BD544" s="21" t="n">
        <f aca="false">IF(AND(AP544="بله",I544&lt;تنظیمات!$B$14,AO544="خیر"),1,0)</f>
        <v>0</v>
      </c>
      <c r="BE544" s="21" t="n">
        <f aca="false">IF(AN544="خیر",1,0)</f>
        <v>0</v>
      </c>
      <c r="BF544" s="21" t="n">
        <f aca="false">IF(AND(AD544="فیش مفقودی",AQ544="بله",I544&gt;تنظیمات!$B$12*60),1,0)</f>
        <v>0</v>
      </c>
      <c r="BG544" s="21" t="n">
        <f aca="false">IF(AND(AK544&gt;تنظیمات!$B$11,AL544="بله"),1,0)</f>
        <v>0</v>
      </c>
      <c r="BH544" s="21" t="n">
        <f aca="false">MIN(100,AR544*تنظیمات!$B$21+AS544*تنظیمات!$B$22+AT544*تنظیمات!$B$23+AU544*تنظیمات!$B$24+AV544*تنظیمات!$B$25+AW544*تنظیمات!$B$26+AX544*تنظیمات!$B$27+AY544*تنظیمات!$B$28+AZ544*تنظیمات!$B$29+BA544*تنظیمات!$B$30+BB544*تنظیمات!$B$31+BC544*تنظیمات!$B$32+BD544*تنظیمات!$B$33+BE544*تنظیمات!$B$34+BF544*تنظیمات!$B$35+BG544*تنظیمات!$B$36)</f>
        <v>0</v>
      </c>
      <c r="BI544" s="16" t="str">
        <f aca="false">IF(BH544&gt;=60,"بحرانی",IF(BH544&gt;=30,"مشکوک",IF(BH544&gt;0,"هشدار","عادی")))</f>
        <v>عادی</v>
      </c>
      <c r="BJ544" s="16" t="s">
        <v>338</v>
      </c>
    </row>
    <row r="545" customFormat="false" ht="15" hidden="false" customHeight="false" outlineLevel="0" collapsed="false">
      <c r="A545" s="16" t="s">
        <v>2068</v>
      </c>
      <c r="B545" s="16" t="s">
        <v>889</v>
      </c>
      <c r="C545" s="16"/>
      <c r="D545" s="16" t="s">
        <v>440</v>
      </c>
      <c r="E545" s="16" t="s">
        <v>390</v>
      </c>
      <c r="F545" s="16" t="s">
        <v>359</v>
      </c>
      <c r="G545" s="17" t="n">
        <v>46288.5836805556</v>
      </c>
      <c r="H545" s="17" t="n">
        <v>46288.7677083333</v>
      </c>
      <c r="I545" s="18" t="n">
        <f aca="false">IF(H545="",ROUND((تنظیمات!$B$7-G545)*1440,0),ROUND((H545-G545)*1440,0))</f>
        <v>265</v>
      </c>
      <c r="J545" s="16" t="s">
        <v>346</v>
      </c>
      <c r="K545" s="16" t="s">
        <v>410</v>
      </c>
      <c r="L545" s="19" t="n">
        <v>0.992</v>
      </c>
      <c r="M545" s="19" t="n">
        <v>0.921</v>
      </c>
      <c r="N545" s="16" t="s">
        <v>335</v>
      </c>
      <c r="O545" s="16" t="s">
        <v>677</v>
      </c>
      <c r="P545" s="16" t="s">
        <v>420</v>
      </c>
      <c r="Q545" s="20" t="n">
        <v>46288</v>
      </c>
      <c r="R545" s="16" t="s">
        <v>2069</v>
      </c>
      <c r="S545" s="16" t="s">
        <v>404</v>
      </c>
      <c r="T545" s="17"/>
      <c r="U545" s="21" t="n">
        <v>1</v>
      </c>
      <c r="V545" s="21" t="n">
        <v>1</v>
      </c>
      <c r="W545" s="22" t="n">
        <v>5.3</v>
      </c>
      <c r="X545" s="16" t="s">
        <v>335</v>
      </c>
      <c r="Y545" s="16" t="s">
        <v>338</v>
      </c>
      <c r="Z545" s="16" t="s">
        <v>413</v>
      </c>
      <c r="AA545" s="16" t="s">
        <v>414</v>
      </c>
      <c r="AB545" s="23" t="s">
        <v>2070</v>
      </c>
      <c r="AC545" s="17" t="n">
        <v>46288.7669328704</v>
      </c>
      <c r="AD545" s="16" t="s">
        <v>338</v>
      </c>
      <c r="AE545" s="16"/>
      <c r="AF545" s="16" t="str">
        <f aca="false">IF(COUNTIF(لیست_سفید!$A$2:$A$21,B545)&gt;0,"بله","خیر")</f>
        <v>خیر</v>
      </c>
      <c r="AG545" s="24" t="n">
        <f aca="false">IF(H545="","",IF(AD545="فیش مفقودی",تنظیمات!$B$6,(INT(I545/1440)*تنظیمات!$B$5+IF(MOD(I545,1440)&lt;=تنظیمات!$B$2,0,MIN(تنظیمات!$B$5,تنظیمات!$B$3+MAX(0,ROUNDUP((MOD(I545,1440)-60)/60,0))*تنظیمات!$B$4)))*INDEX(تعرفه!$B$2:$B$7,MATCH(AD545,تعرفه!$A$2:$A$7,0))))</f>
        <v>76000</v>
      </c>
      <c r="AH545" s="24" t="n">
        <v>76000</v>
      </c>
      <c r="AI545" s="24" t="n">
        <f aca="false">IF(AG545="","",AH545-AG545)</f>
        <v>0</v>
      </c>
      <c r="AJ545" s="21" t="n">
        <v>-2</v>
      </c>
      <c r="AK545" s="21" t="n">
        <v>0</v>
      </c>
      <c r="AL545" s="16" t="s">
        <v>335</v>
      </c>
      <c r="AM545" s="16"/>
      <c r="AN545" s="16" t="s">
        <v>340</v>
      </c>
      <c r="AO545" s="16" t="s">
        <v>340</v>
      </c>
      <c r="AP545" s="16" t="s">
        <v>335</v>
      </c>
      <c r="AQ545" s="16"/>
      <c r="AR545" s="21" t="n">
        <f aca="false">IF(AND(T545&lt;&gt;"",H545&lt;&gt;""),IF(AND((T545-H545)*86400&gt;=0,(T545-H545)*86400&lt;تنظیمات!$B$13),1,0),0)</f>
        <v>0</v>
      </c>
      <c r="AS545" s="21" t="n">
        <f aca="false">IF(Z545="پوز",IF(OR(AB545="",COUNTIF(پوزها!$A$2:$A$5,AA545)=0),1,0),0)</f>
        <v>0</v>
      </c>
      <c r="AT545" s="21" t="n">
        <f aca="false">IF(AI545="",0,IF(AI545&gt;0,1,0))</f>
        <v>0</v>
      </c>
      <c r="AU545" s="21" t="n">
        <f aca="false">IF(AI545="",0,IF(AI545&lt;0,1,0))</f>
        <v>0</v>
      </c>
      <c r="AV545" s="21" t="n">
        <f aca="false">IF(U545&gt;V545,1,0)</f>
        <v>0</v>
      </c>
      <c r="AW545" s="21" t="n">
        <f aca="false">IF(OR(W545&gt;تنظیمات!$B$8,X545="بله"),1,0)</f>
        <v>0</v>
      </c>
      <c r="AX545" s="21" t="n">
        <f aca="false">IF(AND(N545="بله",L545&gt;تنظیمات!$B$9),1,0)</f>
        <v>0</v>
      </c>
      <c r="AY545" s="21" t="n">
        <f aca="false">IF(Y545="معکوس",1,0)</f>
        <v>0</v>
      </c>
      <c r="AZ545" s="21" t="n">
        <f aca="false">IF(ABS(AJ545)&gt;تنظیمات!$B$10,1,0)</f>
        <v>0</v>
      </c>
      <c r="BA545" s="21" t="n">
        <f aca="false">IF(AND(OR(AD545="رایگان/VIP",AD545="جانباز"),AF545="خیر"),1,0)</f>
        <v>0</v>
      </c>
      <c r="BB545" s="21" t="n">
        <f aca="false">IF(AE545="",0,IF(COUNTIF($AE$2:$AE$1001,AE545)&gt;1,1,0))</f>
        <v>0</v>
      </c>
      <c r="BC545" s="21" t="n">
        <f aca="false">IF(AND(H545="",I545&gt;تنظیمات!$B$12*60,AM545="خالی"),1,0)</f>
        <v>0</v>
      </c>
      <c r="BD545" s="21" t="n">
        <f aca="false">IF(AND(AP545="بله",I545&lt;تنظیمات!$B$14,AO545="خیر"),1,0)</f>
        <v>0</v>
      </c>
      <c r="BE545" s="21" t="n">
        <f aca="false">IF(AN545="خیر",1,0)</f>
        <v>0</v>
      </c>
      <c r="BF545" s="21" t="n">
        <f aca="false">IF(AND(AD545="فیش مفقودی",AQ545="بله",I545&gt;تنظیمات!$B$12*60),1,0)</f>
        <v>0</v>
      </c>
      <c r="BG545" s="21" t="n">
        <f aca="false">IF(AND(AK545&gt;تنظیمات!$B$11,AL545="بله"),1,0)</f>
        <v>0</v>
      </c>
      <c r="BH545" s="21" t="n">
        <f aca="false">MIN(100,AR545*تنظیمات!$B$21+AS545*تنظیمات!$B$22+AT545*تنظیمات!$B$23+AU545*تنظیمات!$B$24+AV545*تنظیمات!$B$25+AW545*تنظیمات!$B$26+AX545*تنظیمات!$B$27+AY545*تنظیمات!$B$28+AZ545*تنظیمات!$B$29+BA545*تنظیمات!$B$30+BB545*تنظیمات!$B$31+BC545*تنظیمات!$B$32+BD545*تنظیمات!$B$33+BE545*تنظیمات!$B$34+BF545*تنظیمات!$B$35+BG545*تنظیمات!$B$36)</f>
        <v>0</v>
      </c>
      <c r="BI545" s="16" t="str">
        <f aca="false">IF(BH545&gt;=60,"بحرانی",IF(BH545&gt;=30,"مشکوک",IF(BH545&gt;0,"هشدار","عادی")))</f>
        <v>عادی</v>
      </c>
      <c r="BJ545" s="16" t="s">
        <v>338</v>
      </c>
    </row>
    <row r="546" customFormat="false" ht="15" hidden="false" customHeight="false" outlineLevel="0" collapsed="false">
      <c r="A546" s="16" t="s">
        <v>2071</v>
      </c>
      <c r="B546" s="16" t="s">
        <v>1807</v>
      </c>
      <c r="C546" s="16" t="s">
        <v>2072</v>
      </c>
      <c r="D546" s="16" t="s">
        <v>370</v>
      </c>
      <c r="E546" s="16" t="s">
        <v>375</v>
      </c>
      <c r="F546" s="16" t="s">
        <v>333</v>
      </c>
      <c r="G546" s="17" t="n">
        <v>46288.5980092593</v>
      </c>
      <c r="H546" s="17" t="n">
        <v>46288.832037037</v>
      </c>
      <c r="I546" s="18" t="n">
        <f aca="false">IF(H546="",ROUND((تنظیمات!$B$7-G546)*1440,0),ROUND((H546-G546)*1440,0))</f>
        <v>337</v>
      </c>
      <c r="J546" s="16" t="s">
        <v>334</v>
      </c>
      <c r="K546" s="16" t="s">
        <v>410</v>
      </c>
      <c r="L546" s="19" t="n">
        <v>0.651</v>
      </c>
      <c r="M546" s="19" t="n">
        <v>0.95</v>
      </c>
      <c r="N546" s="16" t="s">
        <v>340</v>
      </c>
      <c r="O546" s="16" t="s">
        <v>677</v>
      </c>
      <c r="P546" s="16" t="s">
        <v>420</v>
      </c>
      <c r="Q546" s="20" t="n">
        <v>46288</v>
      </c>
      <c r="R546" s="16" t="s">
        <v>2073</v>
      </c>
      <c r="S546" s="16" t="s">
        <v>404</v>
      </c>
      <c r="T546" s="17"/>
      <c r="U546" s="21" t="n">
        <v>1</v>
      </c>
      <c r="V546" s="21" t="n">
        <v>1</v>
      </c>
      <c r="W546" s="22" t="n">
        <v>8.4</v>
      </c>
      <c r="X546" s="16" t="s">
        <v>335</v>
      </c>
      <c r="Y546" s="16" t="s">
        <v>338</v>
      </c>
      <c r="Z546" s="16" t="s">
        <v>405</v>
      </c>
      <c r="AA546" s="16"/>
      <c r="AB546" s="23"/>
      <c r="AC546" s="17"/>
      <c r="AD546" s="16" t="s">
        <v>338</v>
      </c>
      <c r="AE546" s="16"/>
      <c r="AF546" s="16" t="str">
        <f aca="false">IF(COUNTIF(لیست_سفید!$A$2:$A$21,B546)&gt;0,"بله","خیر")</f>
        <v>خیر</v>
      </c>
      <c r="AG546" s="24" t="n">
        <f aca="false">IF(H546="","",IF(AD546="فیش مفقودی",تنظیمات!$B$6,(INT(I546/1440)*تنظیمات!$B$5+IF(MOD(I546,1440)&lt;=تنظیمات!$B$2,0,MIN(تنظیمات!$B$5,تنظیمات!$B$3+MAX(0,ROUNDUP((MOD(I546,1440)-60)/60,0))*تنظیمات!$B$4)))*INDEX(تعرفه!$B$2:$B$7,MATCH(AD546,تعرفه!$A$2:$A$7,0))))</f>
        <v>90000</v>
      </c>
      <c r="AH546" s="24" t="n">
        <v>90000</v>
      </c>
      <c r="AI546" s="24" t="n">
        <f aca="false">IF(AG546="","",AH546-AG546)</f>
        <v>0</v>
      </c>
      <c r="AJ546" s="21" t="n">
        <v>-1</v>
      </c>
      <c r="AK546" s="21" t="n">
        <v>0</v>
      </c>
      <c r="AL546" s="16" t="s">
        <v>335</v>
      </c>
      <c r="AM546" s="16"/>
      <c r="AN546" s="16" t="s">
        <v>340</v>
      </c>
      <c r="AO546" s="16" t="s">
        <v>340</v>
      </c>
      <c r="AP546" s="16" t="s">
        <v>335</v>
      </c>
      <c r="AQ546" s="16"/>
      <c r="AR546" s="21" t="n">
        <f aca="false">IF(AND(T546&lt;&gt;"",H546&lt;&gt;""),IF(AND((T546-H546)*86400&gt;=0,(T546-H546)*86400&lt;تنظیمات!$B$13),1,0),0)</f>
        <v>0</v>
      </c>
      <c r="AS546" s="21" t="n">
        <f aca="false">IF(Z546="پوز",IF(OR(AB546="",COUNTIF(پوزها!$A$2:$A$5,AA546)=0),1,0),0)</f>
        <v>0</v>
      </c>
      <c r="AT546" s="21" t="n">
        <f aca="false">IF(AI546="",0,IF(AI546&gt;0,1,0))</f>
        <v>0</v>
      </c>
      <c r="AU546" s="21" t="n">
        <f aca="false">IF(AI546="",0,IF(AI546&lt;0,1,0))</f>
        <v>0</v>
      </c>
      <c r="AV546" s="21" t="n">
        <f aca="false">IF(U546&gt;V546,1,0)</f>
        <v>0</v>
      </c>
      <c r="AW546" s="21" t="n">
        <f aca="false">IF(OR(W546&gt;تنظیمات!$B$8,X546="بله"),1,0)</f>
        <v>0</v>
      </c>
      <c r="AX546" s="21" t="n">
        <f aca="false">IF(AND(N546="بله",L546&gt;تنظیمات!$B$9),1,0)</f>
        <v>0</v>
      </c>
      <c r="AY546" s="21" t="n">
        <f aca="false">IF(Y546="معکوس",1,0)</f>
        <v>0</v>
      </c>
      <c r="AZ546" s="21" t="n">
        <f aca="false">IF(ABS(AJ546)&gt;تنظیمات!$B$10,1,0)</f>
        <v>0</v>
      </c>
      <c r="BA546" s="21" t="n">
        <f aca="false">IF(AND(OR(AD546="رایگان/VIP",AD546="جانباز"),AF546="خیر"),1,0)</f>
        <v>0</v>
      </c>
      <c r="BB546" s="21" t="n">
        <f aca="false">IF(AE546="",0,IF(COUNTIF($AE$2:$AE$1001,AE546)&gt;1,1,0))</f>
        <v>0</v>
      </c>
      <c r="BC546" s="21" t="n">
        <f aca="false">IF(AND(H546="",I546&gt;تنظیمات!$B$12*60,AM546="خالی"),1,0)</f>
        <v>0</v>
      </c>
      <c r="BD546" s="21" t="n">
        <f aca="false">IF(AND(AP546="بله",I546&lt;تنظیمات!$B$14,AO546="خیر"),1,0)</f>
        <v>0</v>
      </c>
      <c r="BE546" s="21" t="n">
        <f aca="false">IF(AN546="خیر",1,0)</f>
        <v>0</v>
      </c>
      <c r="BF546" s="21" t="n">
        <f aca="false">IF(AND(AD546="فیش مفقودی",AQ546="بله",I546&gt;تنظیمات!$B$12*60),1,0)</f>
        <v>0</v>
      </c>
      <c r="BG546" s="21" t="n">
        <f aca="false">IF(AND(AK546&gt;تنظیمات!$B$11,AL546="بله"),1,0)</f>
        <v>0</v>
      </c>
      <c r="BH546" s="21" t="n">
        <f aca="false">MIN(100,AR546*تنظیمات!$B$21+AS546*تنظیمات!$B$22+AT546*تنظیمات!$B$23+AU546*تنظیمات!$B$24+AV546*تنظیمات!$B$25+AW546*تنظیمات!$B$26+AX546*تنظیمات!$B$27+AY546*تنظیمات!$B$28+AZ546*تنظیمات!$B$29+BA546*تنظیمات!$B$30+BB546*تنظیمات!$B$31+BC546*تنظیمات!$B$32+BD546*تنظیمات!$B$33+BE546*تنظیمات!$B$34+BF546*تنظیمات!$B$35+BG546*تنظیمات!$B$36)</f>
        <v>0</v>
      </c>
      <c r="BI546" s="16" t="str">
        <f aca="false">IF(BH546&gt;=60,"بحرانی",IF(BH546&gt;=30,"مشکوک",IF(BH546&gt;0,"هشدار","عادی")))</f>
        <v>عادی</v>
      </c>
      <c r="BJ546" s="16" t="s">
        <v>338</v>
      </c>
    </row>
    <row r="547" customFormat="false" ht="15" hidden="false" customHeight="false" outlineLevel="0" collapsed="false">
      <c r="A547" s="16" t="s">
        <v>2074</v>
      </c>
      <c r="B547" s="16" t="s">
        <v>892</v>
      </c>
      <c r="C547" s="16"/>
      <c r="D547" s="16" t="s">
        <v>382</v>
      </c>
      <c r="E547" s="16" t="s">
        <v>332</v>
      </c>
      <c r="F547" s="16" t="s">
        <v>333</v>
      </c>
      <c r="G547" s="17" t="n">
        <v>46288.6211574074</v>
      </c>
      <c r="H547" s="17" t="n">
        <v>46288.6406018519</v>
      </c>
      <c r="I547" s="18" t="n">
        <f aca="false">IF(H547="",ROUND((تنظیمات!$B$7-G547)*1440,0),ROUND((H547-G547)*1440,0))</f>
        <v>28</v>
      </c>
      <c r="J547" s="16" t="s">
        <v>346</v>
      </c>
      <c r="K547" s="16" t="s">
        <v>410</v>
      </c>
      <c r="L547" s="19" t="n">
        <v>0.995</v>
      </c>
      <c r="M547" s="19" t="n">
        <v>0.968</v>
      </c>
      <c r="N547" s="16" t="s">
        <v>335</v>
      </c>
      <c r="O547" s="16" t="s">
        <v>677</v>
      </c>
      <c r="P547" s="16" t="s">
        <v>420</v>
      </c>
      <c r="Q547" s="20" t="n">
        <v>46288</v>
      </c>
      <c r="R547" s="16" t="s">
        <v>2075</v>
      </c>
      <c r="S547" s="16" t="s">
        <v>404</v>
      </c>
      <c r="T547" s="17"/>
      <c r="U547" s="21" t="n">
        <v>1</v>
      </c>
      <c r="V547" s="21" t="n">
        <v>1</v>
      </c>
      <c r="W547" s="22" t="n">
        <v>5.7</v>
      </c>
      <c r="X547" s="16" t="s">
        <v>335</v>
      </c>
      <c r="Y547" s="16" t="s">
        <v>338</v>
      </c>
      <c r="Z547" s="16" t="s">
        <v>413</v>
      </c>
      <c r="AA547" s="16" t="s">
        <v>414</v>
      </c>
      <c r="AB547" s="23" t="s">
        <v>2076</v>
      </c>
      <c r="AC547" s="17" t="n">
        <v>46288.6396064815</v>
      </c>
      <c r="AD547" s="16" t="s">
        <v>338</v>
      </c>
      <c r="AE547" s="16"/>
      <c r="AF547" s="16" t="str">
        <f aca="false">IF(COUNTIF(لیست_سفید!$A$2:$A$21,B547)&gt;0,"بله","خیر")</f>
        <v>خیر</v>
      </c>
      <c r="AG547" s="24" t="n">
        <f aca="false">IF(H547="","",IF(AD547="فیش مفقودی",تنظیمات!$B$6,(INT(I547/1440)*تنظیمات!$B$5+IF(MOD(I547,1440)&lt;=تنظیمات!$B$2,0,MIN(تنظیمات!$B$5,تنظیمات!$B$3+MAX(0,ROUNDUP((MOD(I547,1440)-60)/60,0))*تنظیمات!$B$4)))*INDEX(تعرفه!$B$2:$B$7,MATCH(AD547,تعرفه!$A$2:$A$7,0))))</f>
        <v>20000</v>
      </c>
      <c r="AH547" s="24" t="n">
        <v>20000</v>
      </c>
      <c r="AI547" s="24" t="n">
        <f aca="false">IF(AG547="","",AH547-AG547)</f>
        <v>0</v>
      </c>
      <c r="AJ547" s="21" t="n">
        <v>0</v>
      </c>
      <c r="AK547" s="21" t="n">
        <v>0</v>
      </c>
      <c r="AL547" s="16" t="s">
        <v>335</v>
      </c>
      <c r="AM547" s="16"/>
      <c r="AN547" s="16" t="s">
        <v>340</v>
      </c>
      <c r="AO547" s="16" t="s">
        <v>340</v>
      </c>
      <c r="AP547" s="16" t="s">
        <v>335</v>
      </c>
      <c r="AQ547" s="16"/>
      <c r="AR547" s="21" t="n">
        <f aca="false">IF(AND(T547&lt;&gt;"",H547&lt;&gt;""),IF(AND((T547-H547)*86400&gt;=0,(T547-H547)*86400&lt;تنظیمات!$B$13),1,0),0)</f>
        <v>0</v>
      </c>
      <c r="AS547" s="21" t="n">
        <f aca="false">IF(Z547="پوز",IF(OR(AB547="",COUNTIF(پوزها!$A$2:$A$5,AA547)=0),1,0),0)</f>
        <v>0</v>
      </c>
      <c r="AT547" s="21" t="n">
        <f aca="false">IF(AI547="",0,IF(AI547&gt;0,1,0))</f>
        <v>0</v>
      </c>
      <c r="AU547" s="21" t="n">
        <f aca="false">IF(AI547="",0,IF(AI547&lt;0,1,0))</f>
        <v>0</v>
      </c>
      <c r="AV547" s="21" t="n">
        <f aca="false">IF(U547&gt;V547,1,0)</f>
        <v>0</v>
      </c>
      <c r="AW547" s="21" t="n">
        <f aca="false">IF(OR(W547&gt;تنظیمات!$B$8,X547="بله"),1,0)</f>
        <v>0</v>
      </c>
      <c r="AX547" s="21" t="n">
        <f aca="false">IF(AND(N547="بله",L547&gt;تنظیمات!$B$9),1,0)</f>
        <v>0</v>
      </c>
      <c r="AY547" s="21" t="n">
        <f aca="false">IF(Y547="معکوس",1,0)</f>
        <v>0</v>
      </c>
      <c r="AZ547" s="21" t="n">
        <f aca="false">IF(ABS(AJ547)&gt;تنظیمات!$B$10,1,0)</f>
        <v>0</v>
      </c>
      <c r="BA547" s="21" t="n">
        <f aca="false">IF(AND(OR(AD547="رایگان/VIP",AD547="جانباز"),AF547="خیر"),1,0)</f>
        <v>0</v>
      </c>
      <c r="BB547" s="21" t="n">
        <f aca="false">IF(AE547="",0,IF(COUNTIF($AE$2:$AE$1001,AE547)&gt;1,1,0))</f>
        <v>0</v>
      </c>
      <c r="BC547" s="21" t="n">
        <f aca="false">IF(AND(H547="",I547&gt;تنظیمات!$B$12*60,AM547="خالی"),1,0)</f>
        <v>0</v>
      </c>
      <c r="BD547" s="21" t="n">
        <f aca="false">IF(AND(AP547="بله",I547&lt;تنظیمات!$B$14,AO547="خیر"),1,0)</f>
        <v>0</v>
      </c>
      <c r="BE547" s="21" t="n">
        <f aca="false">IF(AN547="خیر",1,0)</f>
        <v>0</v>
      </c>
      <c r="BF547" s="21" t="n">
        <f aca="false">IF(AND(AD547="فیش مفقودی",AQ547="بله",I547&gt;تنظیمات!$B$12*60),1,0)</f>
        <v>0</v>
      </c>
      <c r="BG547" s="21" t="n">
        <f aca="false">IF(AND(AK547&gt;تنظیمات!$B$11,AL547="بله"),1,0)</f>
        <v>0</v>
      </c>
      <c r="BH547" s="21" t="n">
        <f aca="false">MIN(100,AR547*تنظیمات!$B$21+AS547*تنظیمات!$B$22+AT547*تنظیمات!$B$23+AU547*تنظیمات!$B$24+AV547*تنظیمات!$B$25+AW547*تنظیمات!$B$26+AX547*تنظیمات!$B$27+AY547*تنظیمات!$B$28+AZ547*تنظیمات!$B$29+BA547*تنظیمات!$B$30+BB547*تنظیمات!$B$31+BC547*تنظیمات!$B$32+BD547*تنظیمات!$B$33+BE547*تنظیمات!$B$34+BF547*تنظیمات!$B$35+BG547*تنظیمات!$B$36)</f>
        <v>0</v>
      </c>
      <c r="BI547" s="16" t="str">
        <f aca="false">IF(BH547&gt;=60,"بحرانی",IF(BH547&gt;=30,"مشکوک",IF(BH547&gt;0,"هشدار","عادی")))</f>
        <v>عادی</v>
      </c>
      <c r="BJ547" s="16" t="s">
        <v>338</v>
      </c>
    </row>
    <row r="548" customFormat="false" ht="15" hidden="false" customHeight="false" outlineLevel="0" collapsed="false">
      <c r="A548" s="16" t="s">
        <v>2077</v>
      </c>
      <c r="B548" s="16" t="s">
        <v>1413</v>
      </c>
      <c r="C548" s="16"/>
      <c r="D548" s="16" t="s">
        <v>386</v>
      </c>
      <c r="E548" s="16" t="s">
        <v>332</v>
      </c>
      <c r="F548" s="16" t="s">
        <v>333</v>
      </c>
      <c r="G548" s="17" t="n">
        <v>46288.6412962963</v>
      </c>
      <c r="H548" s="17" t="n">
        <v>46288.682962963</v>
      </c>
      <c r="I548" s="18" t="n">
        <f aca="false">IF(H548="",ROUND((تنظیمات!$B$7-G548)*1440,0),ROUND((H548-G548)*1440,0))</f>
        <v>60</v>
      </c>
      <c r="J548" s="16" t="s">
        <v>334</v>
      </c>
      <c r="K548" s="16" t="s">
        <v>410</v>
      </c>
      <c r="L548" s="19" t="n">
        <v>0.944</v>
      </c>
      <c r="M548" s="19" t="n">
        <v>0.927</v>
      </c>
      <c r="N548" s="16" t="s">
        <v>335</v>
      </c>
      <c r="O548" s="16" t="s">
        <v>677</v>
      </c>
      <c r="P548" s="16" t="s">
        <v>420</v>
      </c>
      <c r="Q548" s="20" t="n">
        <v>46288</v>
      </c>
      <c r="R548" s="16" t="s">
        <v>2078</v>
      </c>
      <c r="S548" s="16" t="s">
        <v>404</v>
      </c>
      <c r="T548" s="17"/>
      <c r="U548" s="21" t="n">
        <v>1</v>
      </c>
      <c r="V548" s="21" t="n">
        <v>1</v>
      </c>
      <c r="W548" s="22" t="n">
        <v>5</v>
      </c>
      <c r="X548" s="16" t="s">
        <v>335</v>
      </c>
      <c r="Y548" s="16" t="s">
        <v>338</v>
      </c>
      <c r="Z548" s="16" t="s">
        <v>413</v>
      </c>
      <c r="AA548" s="16" t="s">
        <v>414</v>
      </c>
      <c r="AB548" s="23" t="s">
        <v>2079</v>
      </c>
      <c r="AC548" s="17" t="n">
        <v>46288.6825578704</v>
      </c>
      <c r="AD548" s="16" t="s">
        <v>338</v>
      </c>
      <c r="AE548" s="16"/>
      <c r="AF548" s="16" t="str">
        <f aca="false">IF(COUNTIF(لیست_سفید!$A$2:$A$21,B548)&gt;0,"بله","خیر")</f>
        <v>خیر</v>
      </c>
      <c r="AG548" s="24" t="n">
        <f aca="false">IF(H548="","",IF(AD548="فیش مفقودی",تنظیمات!$B$6,(INT(I548/1440)*تنظیمات!$B$5+IF(MOD(I548,1440)&lt;=تنظیمات!$B$2,0,MIN(تنظیمات!$B$5,تنظیمات!$B$3+MAX(0,ROUNDUP((MOD(I548,1440)-60)/60,0))*تنظیمات!$B$4)))*INDEX(تعرفه!$B$2:$B$7,MATCH(AD548,تعرفه!$A$2:$A$7,0))))</f>
        <v>20000</v>
      </c>
      <c r="AH548" s="24" t="n">
        <v>20000</v>
      </c>
      <c r="AI548" s="24" t="n">
        <f aca="false">IF(AG548="","",AH548-AG548)</f>
        <v>0</v>
      </c>
      <c r="AJ548" s="21" t="n">
        <v>-1</v>
      </c>
      <c r="AK548" s="21" t="n">
        <v>0</v>
      </c>
      <c r="AL548" s="16" t="s">
        <v>335</v>
      </c>
      <c r="AM548" s="16"/>
      <c r="AN548" s="16" t="s">
        <v>340</v>
      </c>
      <c r="AO548" s="16" t="s">
        <v>340</v>
      </c>
      <c r="AP548" s="16" t="s">
        <v>335</v>
      </c>
      <c r="AQ548" s="16"/>
      <c r="AR548" s="21" t="n">
        <f aca="false">IF(AND(T548&lt;&gt;"",H548&lt;&gt;""),IF(AND((T548-H548)*86400&gt;=0,(T548-H548)*86400&lt;تنظیمات!$B$13),1,0),0)</f>
        <v>0</v>
      </c>
      <c r="AS548" s="21" t="n">
        <f aca="false">IF(Z548="پوز",IF(OR(AB548="",COUNTIF(پوزها!$A$2:$A$5,AA548)=0),1,0),0)</f>
        <v>0</v>
      </c>
      <c r="AT548" s="21" t="n">
        <f aca="false">IF(AI548="",0,IF(AI548&gt;0,1,0))</f>
        <v>0</v>
      </c>
      <c r="AU548" s="21" t="n">
        <f aca="false">IF(AI548="",0,IF(AI548&lt;0,1,0))</f>
        <v>0</v>
      </c>
      <c r="AV548" s="21" t="n">
        <f aca="false">IF(U548&gt;V548,1,0)</f>
        <v>0</v>
      </c>
      <c r="AW548" s="21" t="n">
        <f aca="false">IF(OR(W548&gt;تنظیمات!$B$8,X548="بله"),1,0)</f>
        <v>0</v>
      </c>
      <c r="AX548" s="21" t="n">
        <f aca="false">IF(AND(N548="بله",L548&gt;تنظیمات!$B$9),1,0)</f>
        <v>0</v>
      </c>
      <c r="AY548" s="21" t="n">
        <f aca="false">IF(Y548="معکوس",1,0)</f>
        <v>0</v>
      </c>
      <c r="AZ548" s="21" t="n">
        <f aca="false">IF(ABS(AJ548)&gt;تنظیمات!$B$10,1,0)</f>
        <v>0</v>
      </c>
      <c r="BA548" s="21" t="n">
        <f aca="false">IF(AND(OR(AD548="رایگان/VIP",AD548="جانباز"),AF548="خیر"),1,0)</f>
        <v>0</v>
      </c>
      <c r="BB548" s="21" t="n">
        <f aca="false">IF(AE548="",0,IF(COUNTIF($AE$2:$AE$1001,AE548)&gt;1,1,0))</f>
        <v>0</v>
      </c>
      <c r="BC548" s="21" t="n">
        <f aca="false">IF(AND(H548="",I548&gt;تنظیمات!$B$12*60,AM548="خالی"),1,0)</f>
        <v>0</v>
      </c>
      <c r="BD548" s="21" t="n">
        <f aca="false">IF(AND(AP548="بله",I548&lt;تنظیمات!$B$14,AO548="خیر"),1,0)</f>
        <v>0</v>
      </c>
      <c r="BE548" s="21" t="n">
        <f aca="false">IF(AN548="خیر",1,0)</f>
        <v>0</v>
      </c>
      <c r="BF548" s="21" t="n">
        <f aca="false">IF(AND(AD548="فیش مفقودی",AQ548="بله",I548&gt;تنظیمات!$B$12*60),1,0)</f>
        <v>0</v>
      </c>
      <c r="BG548" s="21" t="n">
        <f aca="false">IF(AND(AK548&gt;تنظیمات!$B$11,AL548="بله"),1,0)</f>
        <v>0</v>
      </c>
      <c r="BH548" s="21" t="n">
        <f aca="false">MIN(100,AR548*تنظیمات!$B$21+AS548*تنظیمات!$B$22+AT548*تنظیمات!$B$23+AU548*تنظیمات!$B$24+AV548*تنظیمات!$B$25+AW548*تنظیمات!$B$26+AX548*تنظیمات!$B$27+AY548*تنظیمات!$B$28+AZ548*تنظیمات!$B$29+BA548*تنظیمات!$B$30+BB548*تنظیمات!$B$31+BC548*تنظیمات!$B$32+BD548*تنظیمات!$B$33+BE548*تنظیمات!$B$34+BF548*تنظیمات!$B$35+BG548*تنظیمات!$B$36)</f>
        <v>0</v>
      </c>
      <c r="BI548" s="16" t="str">
        <f aca="false">IF(BH548&gt;=60,"بحرانی",IF(BH548&gt;=30,"مشکوک",IF(BH548&gt;0,"هشدار","عادی")))</f>
        <v>عادی</v>
      </c>
      <c r="BJ548" s="16" t="s">
        <v>338</v>
      </c>
    </row>
    <row r="549" customFormat="false" ht="15" hidden="false" customHeight="false" outlineLevel="0" collapsed="false">
      <c r="A549" s="16" t="s">
        <v>2080</v>
      </c>
      <c r="B549" s="16" t="s">
        <v>1413</v>
      </c>
      <c r="C549" s="16"/>
      <c r="D549" s="16" t="s">
        <v>386</v>
      </c>
      <c r="E549" s="16" t="s">
        <v>332</v>
      </c>
      <c r="F549" s="16" t="s">
        <v>333</v>
      </c>
      <c r="G549" s="17" t="n">
        <v>46288.6459837963</v>
      </c>
      <c r="H549" s="17" t="n">
        <v>46288.6911226852</v>
      </c>
      <c r="I549" s="18" t="n">
        <f aca="false">IF(H549="",ROUND((تنظیمات!$B$7-G549)*1440,0),ROUND((H549-G549)*1440,0))</f>
        <v>65</v>
      </c>
      <c r="J549" s="16" t="s">
        <v>334</v>
      </c>
      <c r="K549" s="16" t="s">
        <v>400</v>
      </c>
      <c r="L549" s="19" t="n">
        <v>0.99</v>
      </c>
      <c r="M549" s="19" t="n">
        <v>0.983</v>
      </c>
      <c r="N549" s="16" t="s">
        <v>335</v>
      </c>
      <c r="O549" s="16" t="s">
        <v>666</v>
      </c>
      <c r="P549" s="16" t="s">
        <v>420</v>
      </c>
      <c r="Q549" s="20" t="n">
        <v>46288</v>
      </c>
      <c r="R549" s="16" t="s">
        <v>2081</v>
      </c>
      <c r="S549" s="16" t="s">
        <v>404</v>
      </c>
      <c r="T549" s="17"/>
      <c r="U549" s="21" t="n">
        <v>1</v>
      </c>
      <c r="V549" s="21" t="n">
        <v>1</v>
      </c>
      <c r="W549" s="22" t="n">
        <v>6.4</v>
      </c>
      <c r="X549" s="16" t="s">
        <v>335</v>
      </c>
      <c r="Y549" s="16" t="s">
        <v>338</v>
      </c>
      <c r="Z549" s="16" t="s">
        <v>413</v>
      </c>
      <c r="AA549" s="16" t="s">
        <v>427</v>
      </c>
      <c r="AB549" s="23" t="s">
        <v>2082</v>
      </c>
      <c r="AC549" s="17" t="n">
        <v>46288.6902546296</v>
      </c>
      <c r="AD549" s="16" t="s">
        <v>338</v>
      </c>
      <c r="AE549" s="16"/>
      <c r="AF549" s="16" t="str">
        <f aca="false">IF(COUNTIF(لیست_سفید!$A$2:$A$21,B549)&gt;0,"بله","خیر")</f>
        <v>خیر</v>
      </c>
      <c r="AG549" s="24" t="n">
        <f aca="false">IF(H549="","",IF(AD549="فیش مفقودی",تنظیمات!$B$6,(INT(I549/1440)*تنظیمات!$B$5+IF(MOD(I549,1440)&lt;=تنظیمات!$B$2,0,MIN(تنظیمات!$B$5,تنظیمات!$B$3+MAX(0,ROUNDUP((MOD(I549,1440)-60)/60,0))*تنظیمات!$B$4)))*INDEX(تعرفه!$B$2:$B$7,MATCH(AD549,تعرفه!$A$2:$A$7,0))))</f>
        <v>34000</v>
      </c>
      <c r="AH549" s="24" t="n">
        <v>34000</v>
      </c>
      <c r="AI549" s="24" t="n">
        <f aca="false">IF(AG549="","",AH549-AG549)</f>
        <v>0</v>
      </c>
      <c r="AJ549" s="21" t="n">
        <v>0</v>
      </c>
      <c r="AK549" s="21" t="n">
        <v>0</v>
      </c>
      <c r="AL549" s="16" t="s">
        <v>335</v>
      </c>
      <c r="AM549" s="16"/>
      <c r="AN549" s="16" t="s">
        <v>340</v>
      </c>
      <c r="AO549" s="16" t="s">
        <v>340</v>
      </c>
      <c r="AP549" s="16" t="s">
        <v>335</v>
      </c>
      <c r="AQ549" s="16"/>
      <c r="AR549" s="21" t="n">
        <f aca="false">IF(AND(T549&lt;&gt;"",H549&lt;&gt;""),IF(AND((T549-H549)*86400&gt;=0,(T549-H549)*86400&lt;تنظیمات!$B$13),1,0),0)</f>
        <v>0</v>
      </c>
      <c r="AS549" s="21" t="n">
        <f aca="false">IF(Z549="پوز",IF(OR(AB549="",COUNTIF(پوزها!$A$2:$A$5,AA549)=0),1,0),0)</f>
        <v>0</v>
      </c>
      <c r="AT549" s="21" t="n">
        <f aca="false">IF(AI549="",0,IF(AI549&gt;0,1,0))</f>
        <v>0</v>
      </c>
      <c r="AU549" s="21" t="n">
        <f aca="false">IF(AI549="",0,IF(AI549&lt;0,1,0))</f>
        <v>0</v>
      </c>
      <c r="AV549" s="21" t="n">
        <f aca="false">IF(U549&gt;V549,1,0)</f>
        <v>0</v>
      </c>
      <c r="AW549" s="21" t="n">
        <f aca="false">IF(OR(W549&gt;تنظیمات!$B$8,X549="بله"),1,0)</f>
        <v>0</v>
      </c>
      <c r="AX549" s="21" t="n">
        <f aca="false">IF(AND(N549="بله",L549&gt;تنظیمات!$B$9),1,0)</f>
        <v>0</v>
      </c>
      <c r="AY549" s="21" t="n">
        <f aca="false">IF(Y549="معکوس",1,0)</f>
        <v>0</v>
      </c>
      <c r="AZ549" s="21" t="n">
        <f aca="false">IF(ABS(AJ549)&gt;تنظیمات!$B$10,1,0)</f>
        <v>0</v>
      </c>
      <c r="BA549" s="21" t="n">
        <f aca="false">IF(AND(OR(AD549="رایگان/VIP",AD549="جانباز"),AF549="خیر"),1,0)</f>
        <v>0</v>
      </c>
      <c r="BB549" s="21" t="n">
        <f aca="false">IF(AE549="",0,IF(COUNTIF($AE$2:$AE$1001,AE549)&gt;1,1,0))</f>
        <v>0</v>
      </c>
      <c r="BC549" s="21" t="n">
        <f aca="false">IF(AND(H549="",I549&gt;تنظیمات!$B$12*60,AM549="خالی"),1,0)</f>
        <v>0</v>
      </c>
      <c r="BD549" s="21" t="n">
        <f aca="false">IF(AND(AP549="بله",I549&lt;تنظیمات!$B$14,AO549="خیر"),1,0)</f>
        <v>0</v>
      </c>
      <c r="BE549" s="21" t="n">
        <f aca="false">IF(AN549="خیر",1,0)</f>
        <v>0</v>
      </c>
      <c r="BF549" s="21" t="n">
        <f aca="false">IF(AND(AD549="فیش مفقودی",AQ549="بله",I549&gt;تنظیمات!$B$12*60),1,0)</f>
        <v>0</v>
      </c>
      <c r="BG549" s="21" t="n">
        <f aca="false">IF(AND(AK549&gt;تنظیمات!$B$11,AL549="بله"),1,0)</f>
        <v>0</v>
      </c>
      <c r="BH549" s="21" t="n">
        <f aca="false">MIN(100,AR549*تنظیمات!$B$21+AS549*تنظیمات!$B$22+AT549*تنظیمات!$B$23+AU549*تنظیمات!$B$24+AV549*تنظیمات!$B$25+AW549*تنظیمات!$B$26+AX549*تنظیمات!$B$27+AY549*تنظیمات!$B$28+AZ549*تنظیمات!$B$29+BA549*تنظیمات!$B$30+BB549*تنظیمات!$B$31+BC549*تنظیمات!$B$32+BD549*تنظیمات!$B$33+BE549*تنظیمات!$B$34+BF549*تنظیمات!$B$35+BG549*تنظیمات!$B$36)</f>
        <v>0</v>
      </c>
      <c r="BI549" s="16" t="str">
        <f aca="false">IF(BH549&gt;=60,"بحرانی",IF(BH549&gt;=30,"مشکوک",IF(BH549&gt;0,"هشدار","عادی")))</f>
        <v>عادی</v>
      </c>
      <c r="BJ549" s="16" t="s">
        <v>338</v>
      </c>
    </row>
    <row r="550" customFormat="false" ht="15" hidden="false" customHeight="false" outlineLevel="0" collapsed="false">
      <c r="A550" s="16" t="s">
        <v>2083</v>
      </c>
      <c r="B550" s="16" t="s">
        <v>455</v>
      </c>
      <c r="C550" s="16"/>
      <c r="D550" s="16" t="s">
        <v>331</v>
      </c>
      <c r="E550" s="16" t="s">
        <v>351</v>
      </c>
      <c r="F550" s="16" t="s">
        <v>333</v>
      </c>
      <c r="G550" s="17" t="n">
        <v>46288.6494097222</v>
      </c>
      <c r="H550" s="17" t="n">
        <v>46288.6952430556</v>
      </c>
      <c r="I550" s="18" t="n">
        <f aca="false">IF(H550="",ROUND((تنظیمات!$B$7-G550)*1440,0),ROUND((H550-G550)*1440,0))</f>
        <v>66</v>
      </c>
      <c r="J550" s="16" t="s">
        <v>346</v>
      </c>
      <c r="K550" s="16" t="s">
        <v>400</v>
      </c>
      <c r="L550" s="19" t="n">
        <v>0.995</v>
      </c>
      <c r="M550" s="19" t="n">
        <v>0.943</v>
      </c>
      <c r="N550" s="16" t="s">
        <v>335</v>
      </c>
      <c r="O550" s="16" t="s">
        <v>666</v>
      </c>
      <c r="P550" s="16" t="s">
        <v>420</v>
      </c>
      <c r="Q550" s="20" t="n">
        <v>46288</v>
      </c>
      <c r="R550" s="16" t="s">
        <v>2084</v>
      </c>
      <c r="S550" s="16" t="s">
        <v>404</v>
      </c>
      <c r="T550" s="17"/>
      <c r="U550" s="21" t="n">
        <v>1</v>
      </c>
      <c r="V550" s="21" t="n">
        <v>1</v>
      </c>
      <c r="W550" s="22" t="n">
        <v>4.2</v>
      </c>
      <c r="X550" s="16" t="s">
        <v>335</v>
      </c>
      <c r="Y550" s="16" t="s">
        <v>338</v>
      </c>
      <c r="Z550" s="16" t="s">
        <v>413</v>
      </c>
      <c r="AA550" s="16" t="s">
        <v>427</v>
      </c>
      <c r="AB550" s="23" t="s">
        <v>2085</v>
      </c>
      <c r="AC550" s="17" t="n">
        <v>46288.6943287037</v>
      </c>
      <c r="AD550" s="16" t="s">
        <v>338</v>
      </c>
      <c r="AE550" s="16"/>
      <c r="AF550" s="16" t="str">
        <f aca="false">IF(COUNTIF(لیست_سفید!$A$2:$A$21,B550)&gt;0,"بله","خیر")</f>
        <v>خیر</v>
      </c>
      <c r="AG550" s="24" t="n">
        <f aca="false">IF(H550="","",IF(AD550="فیش مفقودی",تنظیمات!$B$6,(INT(I550/1440)*تنظیمات!$B$5+IF(MOD(I550,1440)&lt;=تنظیمات!$B$2,0,MIN(تنظیمات!$B$5,تنظیمات!$B$3+MAX(0,ROUNDUP((MOD(I550,1440)-60)/60,0))*تنظیمات!$B$4)))*INDEX(تعرفه!$B$2:$B$7,MATCH(AD550,تعرفه!$A$2:$A$7,0))))</f>
        <v>34000</v>
      </c>
      <c r="AH550" s="24" t="n">
        <v>34000</v>
      </c>
      <c r="AI550" s="24" t="n">
        <f aca="false">IF(AG550="","",AH550-AG550)</f>
        <v>0</v>
      </c>
      <c r="AJ550" s="21" t="n">
        <v>0</v>
      </c>
      <c r="AK550" s="21" t="n">
        <v>0</v>
      </c>
      <c r="AL550" s="16" t="s">
        <v>335</v>
      </c>
      <c r="AM550" s="16"/>
      <c r="AN550" s="16" t="s">
        <v>340</v>
      </c>
      <c r="AO550" s="16" t="s">
        <v>340</v>
      </c>
      <c r="AP550" s="16" t="s">
        <v>335</v>
      </c>
      <c r="AQ550" s="16"/>
      <c r="AR550" s="21" t="n">
        <f aca="false">IF(AND(T550&lt;&gt;"",H550&lt;&gt;""),IF(AND((T550-H550)*86400&gt;=0,(T550-H550)*86400&lt;تنظیمات!$B$13),1,0),0)</f>
        <v>0</v>
      </c>
      <c r="AS550" s="21" t="n">
        <f aca="false">IF(Z550="پوز",IF(OR(AB550="",COUNTIF(پوزها!$A$2:$A$5,AA550)=0),1,0),0)</f>
        <v>0</v>
      </c>
      <c r="AT550" s="21" t="n">
        <f aca="false">IF(AI550="",0,IF(AI550&gt;0,1,0))</f>
        <v>0</v>
      </c>
      <c r="AU550" s="21" t="n">
        <f aca="false">IF(AI550="",0,IF(AI550&lt;0,1,0))</f>
        <v>0</v>
      </c>
      <c r="AV550" s="21" t="n">
        <f aca="false">IF(U550&gt;V550,1,0)</f>
        <v>0</v>
      </c>
      <c r="AW550" s="21" t="n">
        <f aca="false">IF(OR(W550&gt;تنظیمات!$B$8,X550="بله"),1,0)</f>
        <v>0</v>
      </c>
      <c r="AX550" s="21" t="n">
        <f aca="false">IF(AND(N550="بله",L550&gt;تنظیمات!$B$9),1,0)</f>
        <v>0</v>
      </c>
      <c r="AY550" s="21" t="n">
        <f aca="false">IF(Y550="معکوس",1,0)</f>
        <v>0</v>
      </c>
      <c r="AZ550" s="21" t="n">
        <f aca="false">IF(ABS(AJ550)&gt;تنظیمات!$B$10,1,0)</f>
        <v>0</v>
      </c>
      <c r="BA550" s="21" t="n">
        <f aca="false">IF(AND(OR(AD550="رایگان/VIP",AD550="جانباز"),AF550="خیر"),1,0)</f>
        <v>0</v>
      </c>
      <c r="BB550" s="21" t="n">
        <f aca="false">IF(AE550="",0,IF(COUNTIF($AE$2:$AE$1001,AE550)&gt;1,1,0))</f>
        <v>0</v>
      </c>
      <c r="BC550" s="21" t="n">
        <f aca="false">IF(AND(H550="",I550&gt;تنظیمات!$B$12*60,AM550="خالی"),1,0)</f>
        <v>0</v>
      </c>
      <c r="BD550" s="21" t="n">
        <f aca="false">IF(AND(AP550="بله",I550&lt;تنظیمات!$B$14,AO550="خیر"),1,0)</f>
        <v>0</v>
      </c>
      <c r="BE550" s="21" t="n">
        <f aca="false">IF(AN550="خیر",1,0)</f>
        <v>0</v>
      </c>
      <c r="BF550" s="21" t="n">
        <f aca="false">IF(AND(AD550="فیش مفقودی",AQ550="بله",I550&gt;تنظیمات!$B$12*60),1,0)</f>
        <v>0</v>
      </c>
      <c r="BG550" s="21" t="n">
        <f aca="false">IF(AND(AK550&gt;تنظیمات!$B$11,AL550="بله"),1,0)</f>
        <v>0</v>
      </c>
      <c r="BH550" s="21" t="n">
        <f aca="false">MIN(100,AR550*تنظیمات!$B$21+AS550*تنظیمات!$B$22+AT550*تنظیمات!$B$23+AU550*تنظیمات!$B$24+AV550*تنظیمات!$B$25+AW550*تنظیمات!$B$26+AX550*تنظیمات!$B$27+AY550*تنظیمات!$B$28+AZ550*تنظیمات!$B$29+BA550*تنظیمات!$B$30+BB550*تنظیمات!$B$31+BC550*تنظیمات!$B$32+BD550*تنظیمات!$B$33+BE550*تنظیمات!$B$34+BF550*تنظیمات!$B$35+BG550*تنظیمات!$B$36)</f>
        <v>0</v>
      </c>
      <c r="BI550" s="16" t="str">
        <f aca="false">IF(BH550&gt;=60,"بحرانی",IF(BH550&gt;=30,"مشکوک",IF(BH550&gt;0,"هشدار","عادی")))</f>
        <v>عادی</v>
      </c>
      <c r="BJ550" s="16" t="s">
        <v>338</v>
      </c>
    </row>
    <row r="551" customFormat="false" ht="15" hidden="false" customHeight="false" outlineLevel="0" collapsed="false">
      <c r="A551" s="16" t="s">
        <v>2086</v>
      </c>
      <c r="B551" s="16" t="s">
        <v>2087</v>
      </c>
      <c r="C551" s="16"/>
      <c r="D551" s="16" t="s">
        <v>469</v>
      </c>
      <c r="E551" s="16" t="s">
        <v>375</v>
      </c>
      <c r="F551" s="16" t="s">
        <v>359</v>
      </c>
      <c r="G551" s="17" t="n">
        <v>46288.661400463</v>
      </c>
      <c r="H551" s="17" t="n">
        <v>46288.7343171296</v>
      </c>
      <c r="I551" s="18" t="n">
        <f aca="false">IF(H551="",ROUND((تنظیمات!$B$7-G551)*1440,0),ROUND((H551-G551)*1440,0))</f>
        <v>105</v>
      </c>
      <c r="J551" s="16" t="s">
        <v>346</v>
      </c>
      <c r="K551" s="16" t="s">
        <v>410</v>
      </c>
      <c r="L551" s="19" t="n">
        <v>0.926</v>
      </c>
      <c r="M551" s="19" t="n">
        <v>0.943</v>
      </c>
      <c r="N551" s="16" t="s">
        <v>335</v>
      </c>
      <c r="O551" s="16" t="s">
        <v>677</v>
      </c>
      <c r="P551" s="16" t="s">
        <v>420</v>
      </c>
      <c r="Q551" s="20" t="n">
        <v>46288</v>
      </c>
      <c r="R551" s="16" t="s">
        <v>2088</v>
      </c>
      <c r="S551" s="16" t="s">
        <v>404</v>
      </c>
      <c r="T551" s="17"/>
      <c r="U551" s="21" t="n">
        <v>1</v>
      </c>
      <c r="V551" s="21" t="n">
        <v>1</v>
      </c>
      <c r="W551" s="22" t="n">
        <v>4.8</v>
      </c>
      <c r="X551" s="16" t="s">
        <v>335</v>
      </c>
      <c r="Y551" s="16" t="s">
        <v>338</v>
      </c>
      <c r="Z551" s="16" t="s">
        <v>413</v>
      </c>
      <c r="AA551" s="16" t="s">
        <v>414</v>
      </c>
      <c r="AB551" s="23" t="s">
        <v>2089</v>
      </c>
      <c r="AC551" s="17" t="n">
        <v>46288.7339467593</v>
      </c>
      <c r="AD551" s="16" t="s">
        <v>338</v>
      </c>
      <c r="AE551" s="16"/>
      <c r="AF551" s="16" t="str">
        <f aca="false">IF(COUNTIF(لیست_سفید!$A$2:$A$21,B551)&gt;0,"بله","خیر")</f>
        <v>خیر</v>
      </c>
      <c r="AG551" s="24" t="n">
        <f aca="false">IF(H551="","",IF(AD551="فیش مفقودی",تنظیمات!$B$6,(INT(I551/1440)*تنظیمات!$B$5+IF(MOD(I551,1440)&lt;=تنظیمات!$B$2,0,MIN(تنظیمات!$B$5,تنظیمات!$B$3+MAX(0,ROUNDUP((MOD(I551,1440)-60)/60,0))*تنظیمات!$B$4)))*INDEX(تعرفه!$B$2:$B$7,MATCH(AD551,تعرفه!$A$2:$A$7,0))))</f>
        <v>34000</v>
      </c>
      <c r="AH551" s="24" t="n">
        <v>34000</v>
      </c>
      <c r="AI551" s="24" t="n">
        <f aca="false">IF(AG551="","",AH551-AG551)</f>
        <v>0</v>
      </c>
      <c r="AJ551" s="21" t="n">
        <v>-1</v>
      </c>
      <c r="AK551" s="21" t="n">
        <v>0</v>
      </c>
      <c r="AL551" s="16" t="s">
        <v>335</v>
      </c>
      <c r="AM551" s="16"/>
      <c r="AN551" s="16" t="s">
        <v>340</v>
      </c>
      <c r="AO551" s="16" t="s">
        <v>340</v>
      </c>
      <c r="AP551" s="16" t="s">
        <v>335</v>
      </c>
      <c r="AQ551" s="16"/>
      <c r="AR551" s="21" t="n">
        <f aca="false">IF(AND(T551&lt;&gt;"",H551&lt;&gt;""),IF(AND((T551-H551)*86400&gt;=0,(T551-H551)*86400&lt;تنظیمات!$B$13),1,0),0)</f>
        <v>0</v>
      </c>
      <c r="AS551" s="21" t="n">
        <f aca="false">IF(Z551="پوز",IF(OR(AB551="",COUNTIF(پوزها!$A$2:$A$5,AA551)=0),1,0),0)</f>
        <v>0</v>
      </c>
      <c r="AT551" s="21" t="n">
        <f aca="false">IF(AI551="",0,IF(AI551&gt;0,1,0))</f>
        <v>0</v>
      </c>
      <c r="AU551" s="21" t="n">
        <f aca="false">IF(AI551="",0,IF(AI551&lt;0,1,0))</f>
        <v>0</v>
      </c>
      <c r="AV551" s="21" t="n">
        <f aca="false">IF(U551&gt;V551,1,0)</f>
        <v>0</v>
      </c>
      <c r="AW551" s="21" t="n">
        <f aca="false">IF(OR(W551&gt;تنظیمات!$B$8,X551="بله"),1,0)</f>
        <v>0</v>
      </c>
      <c r="AX551" s="21" t="n">
        <f aca="false">IF(AND(N551="بله",L551&gt;تنظیمات!$B$9),1,0)</f>
        <v>0</v>
      </c>
      <c r="AY551" s="21" t="n">
        <f aca="false">IF(Y551="معکوس",1,0)</f>
        <v>0</v>
      </c>
      <c r="AZ551" s="21" t="n">
        <f aca="false">IF(ABS(AJ551)&gt;تنظیمات!$B$10,1,0)</f>
        <v>0</v>
      </c>
      <c r="BA551" s="21" t="n">
        <f aca="false">IF(AND(OR(AD551="رایگان/VIP",AD551="جانباز"),AF551="خیر"),1,0)</f>
        <v>0</v>
      </c>
      <c r="BB551" s="21" t="n">
        <f aca="false">IF(AE551="",0,IF(COUNTIF($AE$2:$AE$1001,AE551)&gt;1,1,0))</f>
        <v>0</v>
      </c>
      <c r="BC551" s="21" t="n">
        <f aca="false">IF(AND(H551="",I551&gt;تنظیمات!$B$12*60,AM551="خالی"),1,0)</f>
        <v>0</v>
      </c>
      <c r="BD551" s="21" t="n">
        <f aca="false">IF(AND(AP551="بله",I551&lt;تنظیمات!$B$14,AO551="خیر"),1,0)</f>
        <v>0</v>
      </c>
      <c r="BE551" s="21" t="n">
        <f aca="false">IF(AN551="خیر",1,0)</f>
        <v>0</v>
      </c>
      <c r="BF551" s="21" t="n">
        <f aca="false">IF(AND(AD551="فیش مفقودی",AQ551="بله",I551&gt;تنظیمات!$B$12*60),1,0)</f>
        <v>0</v>
      </c>
      <c r="BG551" s="21" t="n">
        <f aca="false">IF(AND(AK551&gt;تنظیمات!$B$11,AL551="بله"),1,0)</f>
        <v>0</v>
      </c>
      <c r="BH551" s="21" t="n">
        <f aca="false">MIN(100,AR551*تنظیمات!$B$21+AS551*تنظیمات!$B$22+AT551*تنظیمات!$B$23+AU551*تنظیمات!$B$24+AV551*تنظیمات!$B$25+AW551*تنظیمات!$B$26+AX551*تنظیمات!$B$27+AY551*تنظیمات!$B$28+AZ551*تنظیمات!$B$29+BA551*تنظیمات!$B$30+BB551*تنظیمات!$B$31+BC551*تنظیمات!$B$32+BD551*تنظیمات!$B$33+BE551*تنظیمات!$B$34+BF551*تنظیمات!$B$35+BG551*تنظیمات!$B$36)</f>
        <v>0</v>
      </c>
      <c r="BI551" s="16" t="str">
        <f aca="false">IF(BH551&gt;=60,"بحرانی",IF(BH551&gt;=30,"مشکوک",IF(BH551&gt;0,"هشدار","عادی")))</f>
        <v>عادی</v>
      </c>
      <c r="BJ551" s="16" t="s">
        <v>338</v>
      </c>
    </row>
    <row r="552" customFormat="false" ht="15" hidden="false" customHeight="false" outlineLevel="0" collapsed="false">
      <c r="A552" s="16" t="s">
        <v>2090</v>
      </c>
      <c r="B552" s="16" t="s">
        <v>709</v>
      </c>
      <c r="C552" s="16"/>
      <c r="D552" s="16" t="s">
        <v>440</v>
      </c>
      <c r="E552" s="16" t="s">
        <v>363</v>
      </c>
      <c r="F552" s="16" t="s">
        <v>359</v>
      </c>
      <c r="G552" s="17" t="n">
        <v>46288.6634953704</v>
      </c>
      <c r="H552" s="17" t="n">
        <v>46288.6961342593</v>
      </c>
      <c r="I552" s="18" t="n">
        <f aca="false">IF(H552="",ROUND((تنظیمات!$B$7-G552)*1440,0),ROUND((H552-G552)*1440,0))</f>
        <v>47</v>
      </c>
      <c r="J552" s="16" t="s">
        <v>346</v>
      </c>
      <c r="K552" s="16" t="s">
        <v>410</v>
      </c>
      <c r="L552" s="19" t="n">
        <v>0.961</v>
      </c>
      <c r="M552" s="19" t="n">
        <v>0.949</v>
      </c>
      <c r="N552" s="16" t="s">
        <v>335</v>
      </c>
      <c r="O552" s="16" t="s">
        <v>677</v>
      </c>
      <c r="P552" s="16" t="s">
        <v>420</v>
      </c>
      <c r="Q552" s="20" t="n">
        <v>46288</v>
      </c>
      <c r="R552" s="16" t="s">
        <v>2091</v>
      </c>
      <c r="S552" s="16" t="s">
        <v>404</v>
      </c>
      <c r="T552" s="17"/>
      <c r="U552" s="21" t="n">
        <v>1</v>
      </c>
      <c r="V552" s="21" t="n">
        <v>1</v>
      </c>
      <c r="W552" s="22" t="n">
        <v>7.2</v>
      </c>
      <c r="X552" s="16" t="s">
        <v>335</v>
      </c>
      <c r="Y552" s="16" t="s">
        <v>338</v>
      </c>
      <c r="Z552" s="16" t="s">
        <v>413</v>
      </c>
      <c r="AA552" s="16" t="s">
        <v>414</v>
      </c>
      <c r="AB552" s="23" t="s">
        <v>2092</v>
      </c>
      <c r="AC552" s="17" t="n">
        <v>46288.6958449074</v>
      </c>
      <c r="AD552" s="16" t="s">
        <v>338</v>
      </c>
      <c r="AE552" s="16"/>
      <c r="AF552" s="16" t="str">
        <f aca="false">IF(COUNTIF(لیست_سفید!$A$2:$A$21,B552)&gt;0,"بله","خیر")</f>
        <v>خیر</v>
      </c>
      <c r="AG552" s="24" t="n">
        <f aca="false">IF(H552="","",IF(AD552="فیش مفقودی",تنظیمات!$B$6,(INT(I552/1440)*تنظیمات!$B$5+IF(MOD(I552,1440)&lt;=تنظیمات!$B$2,0,MIN(تنظیمات!$B$5,تنظیمات!$B$3+MAX(0,ROUNDUP((MOD(I552,1440)-60)/60,0))*تنظیمات!$B$4)))*INDEX(تعرفه!$B$2:$B$7,MATCH(AD552,تعرفه!$A$2:$A$7,0))))</f>
        <v>20000</v>
      </c>
      <c r="AH552" s="24" t="n">
        <v>20000</v>
      </c>
      <c r="AI552" s="24" t="n">
        <f aca="false">IF(AG552="","",AH552-AG552)</f>
        <v>0</v>
      </c>
      <c r="AJ552" s="21" t="n">
        <v>-2</v>
      </c>
      <c r="AK552" s="21" t="n">
        <v>0</v>
      </c>
      <c r="AL552" s="16" t="s">
        <v>335</v>
      </c>
      <c r="AM552" s="16"/>
      <c r="AN552" s="16" t="s">
        <v>340</v>
      </c>
      <c r="AO552" s="16" t="s">
        <v>340</v>
      </c>
      <c r="AP552" s="16" t="s">
        <v>335</v>
      </c>
      <c r="AQ552" s="16"/>
      <c r="AR552" s="21" t="n">
        <f aca="false">IF(AND(T552&lt;&gt;"",H552&lt;&gt;""),IF(AND((T552-H552)*86400&gt;=0,(T552-H552)*86400&lt;تنظیمات!$B$13),1,0),0)</f>
        <v>0</v>
      </c>
      <c r="AS552" s="21" t="n">
        <f aca="false">IF(Z552="پوز",IF(OR(AB552="",COUNTIF(پوزها!$A$2:$A$5,AA552)=0),1,0),0)</f>
        <v>0</v>
      </c>
      <c r="AT552" s="21" t="n">
        <f aca="false">IF(AI552="",0,IF(AI552&gt;0,1,0))</f>
        <v>0</v>
      </c>
      <c r="AU552" s="21" t="n">
        <f aca="false">IF(AI552="",0,IF(AI552&lt;0,1,0))</f>
        <v>0</v>
      </c>
      <c r="AV552" s="21" t="n">
        <f aca="false">IF(U552&gt;V552,1,0)</f>
        <v>0</v>
      </c>
      <c r="AW552" s="21" t="n">
        <f aca="false">IF(OR(W552&gt;تنظیمات!$B$8,X552="بله"),1,0)</f>
        <v>0</v>
      </c>
      <c r="AX552" s="21" t="n">
        <f aca="false">IF(AND(N552="بله",L552&gt;تنظیمات!$B$9),1,0)</f>
        <v>0</v>
      </c>
      <c r="AY552" s="21" t="n">
        <f aca="false">IF(Y552="معکوس",1,0)</f>
        <v>0</v>
      </c>
      <c r="AZ552" s="21" t="n">
        <f aca="false">IF(ABS(AJ552)&gt;تنظیمات!$B$10,1,0)</f>
        <v>0</v>
      </c>
      <c r="BA552" s="21" t="n">
        <f aca="false">IF(AND(OR(AD552="رایگان/VIP",AD552="جانباز"),AF552="خیر"),1,0)</f>
        <v>0</v>
      </c>
      <c r="BB552" s="21" t="n">
        <f aca="false">IF(AE552="",0,IF(COUNTIF($AE$2:$AE$1001,AE552)&gt;1,1,0))</f>
        <v>0</v>
      </c>
      <c r="BC552" s="21" t="n">
        <f aca="false">IF(AND(H552="",I552&gt;تنظیمات!$B$12*60,AM552="خالی"),1,0)</f>
        <v>0</v>
      </c>
      <c r="BD552" s="21" t="n">
        <f aca="false">IF(AND(AP552="بله",I552&lt;تنظیمات!$B$14,AO552="خیر"),1,0)</f>
        <v>0</v>
      </c>
      <c r="BE552" s="21" t="n">
        <f aca="false">IF(AN552="خیر",1,0)</f>
        <v>0</v>
      </c>
      <c r="BF552" s="21" t="n">
        <f aca="false">IF(AND(AD552="فیش مفقودی",AQ552="بله",I552&gt;تنظیمات!$B$12*60),1,0)</f>
        <v>0</v>
      </c>
      <c r="BG552" s="21" t="n">
        <f aca="false">IF(AND(AK552&gt;تنظیمات!$B$11,AL552="بله"),1,0)</f>
        <v>0</v>
      </c>
      <c r="BH552" s="21" t="n">
        <f aca="false">MIN(100,AR552*تنظیمات!$B$21+AS552*تنظیمات!$B$22+AT552*تنظیمات!$B$23+AU552*تنظیمات!$B$24+AV552*تنظیمات!$B$25+AW552*تنظیمات!$B$26+AX552*تنظیمات!$B$27+AY552*تنظیمات!$B$28+AZ552*تنظیمات!$B$29+BA552*تنظیمات!$B$30+BB552*تنظیمات!$B$31+BC552*تنظیمات!$B$32+BD552*تنظیمات!$B$33+BE552*تنظیمات!$B$34+BF552*تنظیمات!$B$35+BG552*تنظیمات!$B$36)</f>
        <v>0</v>
      </c>
      <c r="BI552" s="16" t="str">
        <f aca="false">IF(BH552&gt;=60,"بحرانی",IF(BH552&gt;=30,"مشکوک",IF(BH552&gt;0,"هشدار","عادی")))</f>
        <v>عادی</v>
      </c>
      <c r="BJ552" s="16" t="s">
        <v>338</v>
      </c>
    </row>
    <row r="553" customFormat="false" ht="15" hidden="false" customHeight="false" outlineLevel="0" collapsed="false">
      <c r="A553" s="16" t="s">
        <v>2093</v>
      </c>
      <c r="B553" s="16" t="s">
        <v>2094</v>
      </c>
      <c r="C553" s="16"/>
      <c r="D553" s="16" t="s">
        <v>531</v>
      </c>
      <c r="E553" s="16" t="s">
        <v>351</v>
      </c>
      <c r="F553" s="16" t="s">
        <v>333</v>
      </c>
      <c r="G553" s="17" t="n">
        <v>46288.6653587963</v>
      </c>
      <c r="H553" s="17" t="n">
        <v>46288.7236921296</v>
      </c>
      <c r="I553" s="18" t="n">
        <f aca="false">IF(H553="",ROUND((تنظیمات!$B$7-G553)*1440,0),ROUND((H553-G553)*1440,0))</f>
        <v>84</v>
      </c>
      <c r="J553" s="16" t="s">
        <v>346</v>
      </c>
      <c r="K553" s="16" t="s">
        <v>400</v>
      </c>
      <c r="L553" s="19" t="n">
        <v>0.947</v>
      </c>
      <c r="M553" s="19" t="n">
        <v>0.955</v>
      </c>
      <c r="N553" s="16" t="s">
        <v>335</v>
      </c>
      <c r="O553" s="16" t="s">
        <v>666</v>
      </c>
      <c r="P553" s="16" t="s">
        <v>420</v>
      </c>
      <c r="Q553" s="20" t="n">
        <v>46288</v>
      </c>
      <c r="R553" s="16" t="s">
        <v>2095</v>
      </c>
      <c r="S553" s="16" t="s">
        <v>404</v>
      </c>
      <c r="T553" s="17"/>
      <c r="U553" s="21" t="n">
        <v>1</v>
      </c>
      <c r="V553" s="21" t="n">
        <v>1</v>
      </c>
      <c r="W553" s="22" t="n">
        <v>5</v>
      </c>
      <c r="X553" s="16" t="s">
        <v>335</v>
      </c>
      <c r="Y553" s="16" t="s">
        <v>338</v>
      </c>
      <c r="Z553" s="16" t="s">
        <v>413</v>
      </c>
      <c r="AA553" s="16" t="s">
        <v>427</v>
      </c>
      <c r="AB553" s="23" t="s">
        <v>2096</v>
      </c>
      <c r="AC553" s="17" t="n">
        <v>46288.7227430556</v>
      </c>
      <c r="AD553" s="16" t="s">
        <v>338</v>
      </c>
      <c r="AE553" s="16"/>
      <c r="AF553" s="16" t="str">
        <f aca="false">IF(COUNTIF(لیست_سفید!$A$2:$A$21,B553)&gt;0,"بله","خیر")</f>
        <v>خیر</v>
      </c>
      <c r="AG553" s="24" t="n">
        <f aca="false">IF(H553="","",IF(AD553="فیش مفقودی",تنظیمات!$B$6,(INT(I553/1440)*تنظیمات!$B$5+IF(MOD(I553,1440)&lt;=تنظیمات!$B$2,0,MIN(تنظیمات!$B$5,تنظیمات!$B$3+MAX(0,ROUNDUP((MOD(I553,1440)-60)/60,0))*تنظیمات!$B$4)))*INDEX(تعرفه!$B$2:$B$7,MATCH(AD553,تعرفه!$A$2:$A$7,0))))</f>
        <v>34000</v>
      </c>
      <c r="AH553" s="24" t="n">
        <v>34000</v>
      </c>
      <c r="AI553" s="24" t="n">
        <f aca="false">IF(AG553="","",AH553-AG553)</f>
        <v>0</v>
      </c>
      <c r="AJ553" s="21" t="n">
        <v>1</v>
      </c>
      <c r="AK553" s="21" t="n">
        <v>0</v>
      </c>
      <c r="AL553" s="16" t="s">
        <v>335</v>
      </c>
      <c r="AM553" s="16"/>
      <c r="AN553" s="16" t="s">
        <v>340</v>
      </c>
      <c r="AO553" s="16" t="s">
        <v>340</v>
      </c>
      <c r="AP553" s="16" t="s">
        <v>335</v>
      </c>
      <c r="AQ553" s="16"/>
      <c r="AR553" s="21" t="n">
        <f aca="false">IF(AND(T553&lt;&gt;"",H553&lt;&gt;""),IF(AND((T553-H553)*86400&gt;=0,(T553-H553)*86400&lt;تنظیمات!$B$13),1,0),0)</f>
        <v>0</v>
      </c>
      <c r="AS553" s="21" t="n">
        <f aca="false">IF(Z553="پوز",IF(OR(AB553="",COUNTIF(پوزها!$A$2:$A$5,AA553)=0),1,0),0)</f>
        <v>0</v>
      </c>
      <c r="AT553" s="21" t="n">
        <f aca="false">IF(AI553="",0,IF(AI553&gt;0,1,0))</f>
        <v>0</v>
      </c>
      <c r="AU553" s="21" t="n">
        <f aca="false">IF(AI553="",0,IF(AI553&lt;0,1,0))</f>
        <v>0</v>
      </c>
      <c r="AV553" s="21" t="n">
        <f aca="false">IF(U553&gt;V553,1,0)</f>
        <v>0</v>
      </c>
      <c r="AW553" s="21" t="n">
        <f aca="false">IF(OR(W553&gt;تنظیمات!$B$8,X553="بله"),1,0)</f>
        <v>0</v>
      </c>
      <c r="AX553" s="21" t="n">
        <f aca="false">IF(AND(N553="بله",L553&gt;تنظیمات!$B$9),1,0)</f>
        <v>0</v>
      </c>
      <c r="AY553" s="21" t="n">
        <f aca="false">IF(Y553="معکوس",1,0)</f>
        <v>0</v>
      </c>
      <c r="AZ553" s="21" t="n">
        <f aca="false">IF(ABS(AJ553)&gt;تنظیمات!$B$10,1,0)</f>
        <v>0</v>
      </c>
      <c r="BA553" s="21" t="n">
        <f aca="false">IF(AND(OR(AD553="رایگان/VIP",AD553="جانباز"),AF553="خیر"),1,0)</f>
        <v>0</v>
      </c>
      <c r="BB553" s="21" t="n">
        <f aca="false">IF(AE553="",0,IF(COUNTIF($AE$2:$AE$1001,AE553)&gt;1,1,0))</f>
        <v>0</v>
      </c>
      <c r="BC553" s="21" t="n">
        <f aca="false">IF(AND(H553="",I553&gt;تنظیمات!$B$12*60,AM553="خالی"),1,0)</f>
        <v>0</v>
      </c>
      <c r="BD553" s="21" t="n">
        <f aca="false">IF(AND(AP553="بله",I553&lt;تنظیمات!$B$14,AO553="خیر"),1,0)</f>
        <v>0</v>
      </c>
      <c r="BE553" s="21" t="n">
        <f aca="false">IF(AN553="خیر",1,0)</f>
        <v>0</v>
      </c>
      <c r="BF553" s="21" t="n">
        <f aca="false">IF(AND(AD553="فیش مفقودی",AQ553="بله",I553&gt;تنظیمات!$B$12*60),1,0)</f>
        <v>0</v>
      </c>
      <c r="BG553" s="21" t="n">
        <f aca="false">IF(AND(AK553&gt;تنظیمات!$B$11,AL553="بله"),1,0)</f>
        <v>0</v>
      </c>
      <c r="BH553" s="21" t="n">
        <f aca="false">MIN(100,AR553*تنظیمات!$B$21+AS553*تنظیمات!$B$22+AT553*تنظیمات!$B$23+AU553*تنظیمات!$B$24+AV553*تنظیمات!$B$25+AW553*تنظیمات!$B$26+AX553*تنظیمات!$B$27+AY553*تنظیمات!$B$28+AZ553*تنظیمات!$B$29+BA553*تنظیمات!$B$30+BB553*تنظیمات!$B$31+BC553*تنظیمات!$B$32+BD553*تنظیمات!$B$33+BE553*تنظیمات!$B$34+BF553*تنظیمات!$B$35+BG553*تنظیمات!$B$36)</f>
        <v>0</v>
      </c>
      <c r="BI553" s="16" t="str">
        <f aca="false">IF(BH553&gt;=60,"بحرانی",IF(BH553&gt;=30,"مشکوک",IF(BH553&gt;0,"هشدار","عادی")))</f>
        <v>عادی</v>
      </c>
      <c r="BJ553" s="16" t="s">
        <v>338</v>
      </c>
    </row>
    <row r="554" customFormat="false" ht="15" hidden="false" customHeight="false" outlineLevel="0" collapsed="false">
      <c r="A554" s="16" t="s">
        <v>2097</v>
      </c>
      <c r="B554" s="16" t="s">
        <v>1161</v>
      </c>
      <c r="C554" s="16"/>
      <c r="D554" s="16" t="s">
        <v>386</v>
      </c>
      <c r="E554" s="16" t="s">
        <v>375</v>
      </c>
      <c r="F554" s="16" t="s">
        <v>333</v>
      </c>
      <c r="G554" s="17" t="n">
        <v>46288.675162037</v>
      </c>
      <c r="H554" s="17" t="n">
        <v>46288.712662037</v>
      </c>
      <c r="I554" s="18" t="n">
        <f aca="false">IF(H554="",ROUND((تنظیمات!$B$7-G554)*1440,0),ROUND((H554-G554)*1440,0))</f>
        <v>54</v>
      </c>
      <c r="J554" s="16" t="s">
        <v>346</v>
      </c>
      <c r="K554" s="16" t="s">
        <v>400</v>
      </c>
      <c r="L554" s="19" t="n">
        <v>0.965</v>
      </c>
      <c r="M554" s="19" t="n">
        <v>0.9</v>
      </c>
      <c r="N554" s="16" t="s">
        <v>335</v>
      </c>
      <c r="O554" s="16" t="s">
        <v>666</v>
      </c>
      <c r="P554" s="16" t="s">
        <v>420</v>
      </c>
      <c r="Q554" s="20" t="n">
        <v>46288</v>
      </c>
      <c r="R554" s="16" t="s">
        <v>2098</v>
      </c>
      <c r="S554" s="16" t="s">
        <v>404</v>
      </c>
      <c r="T554" s="17"/>
      <c r="U554" s="21" t="n">
        <v>1</v>
      </c>
      <c r="V554" s="21" t="n">
        <v>1</v>
      </c>
      <c r="W554" s="22" t="n">
        <v>6.3</v>
      </c>
      <c r="X554" s="16" t="s">
        <v>335</v>
      </c>
      <c r="Y554" s="16" t="s">
        <v>338</v>
      </c>
      <c r="Z554" s="16" t="s">
        <v>405</v>
      </c>
      <c r="AA554" s="16"/>
      <c r="AB554" s="23"/>
      <c r="AC554" s="17"/>
      <c r="AD554" s="16" t="s">
        <v>338</v>
      </c>
      <c r="AE554" s="16"/>
      <c r="AF554" s="16" t="str">
        <f aca="false">IF(COUNTIF(لیست_سفید!$A$2:$A$21,B554)&gt;0,"بله","خیر")</f>
        <v>خیر</v>
      </c>
      <c r="AG554" s="24" t="n">
        <f aca="false">IF(H554="","",IF(AD554="فیش مفقودی",تنظیمات!$B$6,(INT(I554/1440)*تنظیمات!$B$5+IF(MOD(I554,1440)&lt;=تنظیمات!$B$2,0,MIN(تنظیمات!$B$5,تنظیمات!$B$3+MAX(0,ROUNDUP((MOD(I554,1440)-60)/60,0))*تنظیمات!$B$4)))*INDEX(تعرفه!$B$2:$B$7,MATCH(AD554,تعرفه!$A$2:$A$7,0))))</f>
        <v>20000</v>
      </c>
      <c r="AH554" s="24" t="n">
        <v>20000</v>
      </c>
      <c r="AI554" s="24" t="n">
        <f aca="false">IF(AG554="","",AH554-AG554)</f>
        <v>0</v>
      </c>
      <c r="AJ554" s="21" t="n">
        <v>1</v>
      </c>
      <c r="AK554" s="21" t="n">
        <v>0</v>
      </c>
      <c r="AL554" s="16" t="s">
        <v>335</v>
      </c>
      <c r="AM554" s="16"/>
      <c r="AN554" s="16" t="s">
        <v>340</v>
      </c>
      <c r="AO554" s="16" t="s">
        <v>340</v>
      </c>
      <c r="AP554" s="16" t="s">
        <v>335</v>
      </c>
      <c r="AQ554" s="16"/>
      <c r="AR554" s="21" t="n">
        <f aca="false">IF(AND(T554&lt;&gt;"",H554&lt;&gt;""),IF(AND((T554-H554)*86400&gt;=0,(T554-H554)*86400&lt;تنظیمات!$B$13),1,0),0)</f>
        <v>0</v>
      </c>
      <c r="AS554" s="21" t="n">
        <f aca="false">IF(Z554="پوز",IF(OR(AB554="",COUNTIF(پوزها!$A$2:$A$5,AA554)=0),1,0),0)</f>
        <v>0</v>
      </c>
      <c r="AT554" s="21" t="n">
        <f aca="false">IF(AI554="",0,IF(AI554&gt;0,1,0))</f>
        <v>0</v>
      </c>
      <c r="AU554" s="21" t="n">
        <f aca="false">IF(AI554="",0,IF(AI554&lt;0,1,0))</f>
        <v>0</v>
      </c>
      <c r="AV554" s="21" t="n">
        <f aca="false">IF(U554&gt;V554,1,0)</f>
        <v>0</v>
      </c>
      <c r="AW554" s="21" t="n">
        <f aca="false">IF(OR(W554&gt;تنظیمات!$B$8,X554="بله"),1,0)</f>
        <v>0</v>
      </c>
      <c r="AX554" s="21" t="n">
        <f aca="false">IF(AND(N554="بله",L554&gt;تنظیمات!$B$9),1,0)</f>
        <v>0</v>
      </c>
      <c r="AY554" s="21" t="n">
        <f aca="false">IF(Y554="معکوس",1,0)</f>
        <v>0</v>
      </c>
      <c r="AZ554" s="21" t="n">
        <f aca="false">IF(ABS(AJ554)&gt;تنظیمات!$B$10,1,0)</f>
        <v>0</v>
      </c>
      <c r="BA554" s="21" t="n">
        <f aca="false">IF(AND(OR(AD554="رایگان/VIP",AD554="جانباز"),AF554="خیر"),1,0)</f>
        <v>0</v>
      </c>
      <c r="BB554" s="21" t="n">
        <f aca="false">IF(AE554="",0,IF(COUNTIF($AE$2:$AE$1001,AE554)&gt;1,1,0))</f>
        <v>0</v>
      </c>
      <c r="BC554" s="21" t="n">
        <f aca="false">IF(AND(H554="",I554&gt;تنظیمات!$B$12*60,AM554="خالی"),1,0)</f>
        <v>0</v>
      </c>
      <c r="BD554" s="21" t="n">
        <f aca="false">IF(AND(AP554="بله",I554&lt;تنظیمات!$B$14,AO554="خیر"),1,0)</f>
        <v>0</v>
      </c>
      <c r="BE554" s="21" t="n">
        <f aca="false">IF(AN554="خیر",1,0)</f>
        <v>0</v>
      </c>
      <c r="BF554" s="21" t="n">
        <f aca="false">IF(AND(AD554="فیش مفقودی",AQ554="بله",I554&gt;تنظیمات!$B$12*60),1,0)</f>
        <v>0</v>
      </c>
      <c r="BG554" s="21" t="n">
        <f aca="false">IF(AND(AK554&gt;تنظیمات!$B$11,AL554="بله"),1,0)</f>
        <v>0</v>
      </c>
      <c r="BH554" s="21" t="n">
        <f aca="false">MIN(100,AR554*تنظیمات!$B$21+AS554*تنظیمات!$B$22+AT554*تنظیمات!$B$23+AU554*تنظیمات!$B$24+AV554*تنظیمات!$B$25+AW554*تنظیمات!$B$26+AX554*تنظیمات!$B$27+AY554*تنظیمات!$B$28+AZ554*تنظیمات!$B$29+BA554*تنظیمات!$B$30+BB554*تنظیمات!$B$31+BC554*تنظیمات!$B$32+BD554*تنظیمات!$B$33+BE554*تنظیمات!$B$34+BF554*تنظیمات!$B$35+BG554*تنظیمات!$B$36)</f>
        <v>0</v>
      </c>
      <c r="BI554" s="16" t="str">
        <f aca="false">IF(BH554&gt;=60,"بحرانی",IF(BH554&gt;=30,"مشکوک",IF(BH554&gt;0,"هشدار","عادی")))</f>
        <v>عادی</v>
      </c>
      <c r="BJ554" s="16" t="s">
        <v>338</v>
      </c>
    </row>
    <row r="555" customFormat="false" ht="15" hidden="false" customHeight="false" outlineLevel="0" collapsed="false">
      <c r="A555" s="16" t="s">
        <v>2099</v>
      </c>
      <c r="B555" s="16" t="s">
        <v>634</v>
      </c>
      <c r="C555" s="16" t="s">
        <v>2100</v>
      </c>
      <c r="D555" s="16" t="s">
        <v>523</v>
      </c>
      <c r="E555" s="16" t="s">
        <v>363</v>
      </c>
      <c r="F555" s="16" t="s">
        <v>333</v>
      </c>
      <c r="G555" s="17" t="n">
        <v>46288.6896296296</v>
      </c>
      <c r="H555" s="17" t="n">
        <v>46288.7194907407</v>
      </c>
      <c r="I555" s="18" t="n">
        <f aca="false">IF(H555="",ROUND((تنظیمات!$B$7-G555)*1440,0),ROUND((H555-G555)*1440,0))</f>
        <v>43</v>
      </c>
      <c r="J555" s="16" t="s">
        <v>334</v>
      </c>
      <c r="K555" s="16" t="s">
        <v>410</v>
      </c>
      <c r="L555" s="19" t="n">
        <v>0.69</v>
      </c>
      <c r="M555" s="19" t="n">
        <v>0.922</v>
      </c>
      <c r="N555" s="16" t="s">
        <v>340</v>
      </c>
      <c r="O555" s="16" t="s">
        <v>677</v>
      </c>
      <c r="P555" s="16" t="s">
        <v>420</v>
      </c>
      <c r="Q555" s="20" t="n">
        <v>46288</v>
      </c>
      <c r="R555" s="16" t="s">
        <v>2101</v>
      </c>
      <c r="S555" s="16" t="s">
        <v>404</v>
      </c>
      <c r="T555" s="17"/>
      <c r="U555" s="21" t="n">
        <v>1</v>
      </c>
      <c r="V555" s="21" t="n">
        <v>1</v>
      </c>
      <c r="W555" s="22" t="n">
        <v>4.3</v>
      </c>
      <c r="X555" s="16" t="s">
        <v>335</v>
      </c>
      <c r="Y555" s="16" t="s">
        <v>338</v>
      </c>
      <c r="Z555" s="16" t="s">
        <v>413</v>
      </c>
      <c r="AA555" s="16" t="s">
        <v>414</v>
      </c>
      <c r="AB555" s="23" t="s">
        <v>2102</v>
      </c>
      <c r="AC555" s="17" t="n">
        <v>46288.7189351852</v>
      </c>
      <c r="AD555" s="16" t="s">
        <v>338</v>
      </c>
      <c r="AE555" s="16"/>
      <c r="AF555" s="16" t="str">
        <f aca="false">IF(COUNTIF(لیست_سفید!$A$2:$A$21,B555)&gt;0,"بله","خیر")</f>
        <v>خیر</v>
      </c>
      <c r="AG555" s="24" t="n">
        <f aca="false">IF(H555="","",IF(AD555="فیش مفقودی",تنظیمات!$B$6,(INT(I555/1440)*تنظیمات!$B$5+IF(MOD(I555,1440)&lt;=تنظیمات!$B$2,0,MIN(تنظیمات!$B$5,تنظیمات!$B$3+MAX(0,ROUNDUP((MOD(I555,1440)-60)/60,0))*تنظیمات!$B$4)))*INDEX(تعرفه!$B$2:$B$7,MATCH(AD555,تعرفه!$A$2:$A$7,0))))</f>
        <v>20000</v>
      </c>
      <c r="AH555" s="24" t="n">
        <v>20000</v>
      </c>
      <c r="AI555" s="24" t="n">
        <f aca="false">IF(AG555="","",AH555-AG555)</f>
        <v>0</v>
      </c>
      <c r="AJ555" s="21" t="n">
        <v>0</v>
      </c>
      <c r="AK555" s="21" t="n">
        <v>0</v>
      </c>
      <c r="AL555" s="16" t="s">
        <v>335</v>
      </c>
      <c r="AM555" s="16"/>
      <c r="AN555" s="16" t="s">
        <v>340</v>
      </c>
      <c r="AO555" s="16" t="s">
        <v>340</v>
      </c>
      <c r="AP555" s="16" t="s">
        <v>335</v>
      </c>
      <c r="AQ555" s="16"/>
      <c r="AR555" s="21" t="n">
        <f aca="false">IF(AND(T555&lt;&gt;"",H555&lt;&gt;""),IF(AND((T555-H555)*86400&gt;=0,(T555-H555)*86400&lt;تنظیمات!$B$13),1,0),0)</f>
        <v>0</v>
      </c>
      <c r="AS555" s="21" t="n">
        <f aca="false">IF(Z555="پوز",IF(OR(AB555="",COUNTIF(پوزها!$A$2:$A$5,AA555)=0),1,0),0)</f>
        <v>0</v>
      </c>
      <c r="AT555" s="21" t="n">
        <f aca="false">IF(AI555="",0,IF(AI555&gt;0,1,0))</f>
        <v>0</v>
      </c>
      <c r="AU555" s="21" t="n">
        <f aca="false">IF(AI555="",0,IF(AI555&lt;0,1,0))</f>
        <v>0</v>
      </c>
      <c r="AV555" s="21" t="n">
        <f aca="false">IF(U555&gt;V555,1,0)</f>
        <v>0</v>
      </c>
      <c r="AW555" s="21" t="n">
        <f aca="false">IF(OR(W555&gt;تنظیمات!$B$8,X555="بله"),1,0)</f>
        <v>0</v>
      </c>
      <c r="AX555" s="21" t="n">
        <f aca="false">IF(AND(N555="بله",L555&gt;تنظیمات!$B$9),1,0)</f>
        <v>0</v>
      </c>
      <c r="AY555" s="21" t="n">
        <f aca="false">IF(Y555="معکوس",1,0)</f>
        <v>0</v>
      </c>
      <c r="AZ555" s="21" t="n">
        <f aca="false">IF(ABS(AJ555)&gt;تنظیمات!$B$10,1,0)</f>
        <v>0</v>
      </c>
      <c r="BA555" s="21" t="n">
        <f aca="false">IF(AND(OR(AD555="رایگان/VIP",AD555="جانباز"),AF555="خیر"),1,0)</f>
        <v>0</v>
      </c>
      <c r="BB555" s="21" t="n">
        <f aca="false">IF(AE555="",0,IF(COUNTIF($AE$2:$AE$1001,AE555)&gt;1,1,0))</f>
        <v>0</v>
      </c>
      <c r="BC555" s="21" t="n">
        <f aca="false">IF(AND(H555="",I555&gt;تنظیمات!$B$12*60,AM555="خالی"),1,0)</f>
        <v>0</v>
      </c>
      <c r="BD555" s="21" t="n">
        <f aca="false">IF(AND(AP555="بله",I555&lt;تنظیمات!$B$14,AO555="خیر"),1,0)</f>
        <v>0</v>
      </c>
      <c r="BE555" s="21" t="n">
        <f aca="false">IF(AN555="خیر",1,0)</f>
        <v>0</v>
      </c>
      <c r="BF555" s="21" t="n">
        <f aca="false">IF(AND(AD555="فیش مفقودی",AQ555="بله",I555&gt;تنظیمات!$B$12*60),1,0)</f>
        <v>0</v>
      </c>
      <c r="BG555" s="21" t="n">
        <f aca="false">IF(AND(AK555&gt;تنظیمات!$B$11,AL555="بله"),1,0)</f>
        <v>0</v>
      </c>
      <c r="BH555" s="21" t="n">
        <f aca="false">MIN(100,AR555*تنظیمات!$B$21+AS555*تنظیمات!$B$22+AT555*تنظیمات!$B$23+AU555*تنظیمات!$B$24+AV555*تنظیمات!$B$25+AW555*تنظیمات!$B$26+AX555*تنظیمات!$B$27+AY555*تنظیمات!$B$28+AZ555*تنظیمات!$B$29+BA555*تنظیمات!$B$30+BB555*تنظیمات!$B$31+BC555*تنظیمات!$B$32+BD555*تنظیمات!$B$33+BE555*تنظیمات!$B$34+BF555*تنظیمات!$B$35+BG555*تنظیمات!$B$36)</f>
        <v>0</v>
      </c>
      <c r="BI555" s="16" t="str">
        <f aca="false">IF(BH555&gt;=60,"بحرانی",IF(BH555&gt;=30,"مشکوک",IF(BH555&gt;0,"هشدار","عادی")))</f>
        <v>عادی</v>
      </c>
      <c r="BJ555" s="16" t="s">
        <v>338</v>
      </c>
    </row>
    <row r="556" customFormat="false" ht="15" hidden="false" customHeight="false" outlineLevel="0" collapsed="false">
      <c r="A556" s="16" t="s">
        <v>2103</v>
      </c>
      <c r="B556" s="16" t="s">
        <v>1373</v>
      </c>
      <c r="C556" s="16"/>
      <c r="D556" s="16" t="s">
        <v>370</v>
      </c>
      <c r="E556" s="16" t="s">
        <v>363</v>
      </c>
      <c r="F556" s="16" t="s">
        <v>333</v>
      </c>
      <c r="G556" s="17" t="n">
        <v>46288.6928587963</v>
      </c>
      <c r="H556" s="17" t="n">
        <v>46288.7623032407</v>
      </c>
      <c r="I556" s="18" t="n">
        <f aca="false">IF(H556="",ROUND((تنظیمات!$B$7-G556)*1440,0),ROUND((H556-G556)*1440,0))</f>
        <v>100</v>
      </c>
      <c r="J556" s="16" t="s">
        <v>346</v>
      </c>
      <c r="K556" s="16" t="s">
        <v>410</v>
      </c>
      <c r="L556" s="19" t="n">
        <v>0.995</v>
      </c>
      <c r="M556" s="19" t="n">
        <v>0.951</v>
      </c>
      <c r="N556" s="16" t="s">
        <v>335</v>
      </c>
      <c r="O556" s="16" t="s">
        <v>677</v>
      </c>
      <c r="P556" s="16" t="s">
        <v>420</v>
      </c>
      <c r="Q556" s="20" t="n">
        <v>46288</v>
      </c>
      <c r="R556" s="16" t="s">
        <v>2104</v>
      </c>
      <c r="S556" s="16" t="s">
        <v>404</v>
      </c>
      <c r="T556" s="17"/>
      <c r="U556" s="21" t="n">
        <v>1</v>
      </c>
      <c r="V556" s="21" t="n">
        <v>1</v>
      </c>
      <c r="W556" s="22" t="n">
        <v>7.4</v>
      </c>
      <c r="X556" s="16" t="s">
        <v>335</v>
      </c>
      <c r="Y556" s="16" t="s">
        <v>338</v>
      </c>
      <c r="Z556" s="16" t="s">
        <v>405</v>
      </c>
      <c r="AA556" s="16"/>
      <c r="AB556" s="23"/>
      <c r="AC556" s="17"/>
      <c r="AD556" s="16" t="s">
        <v>338</v>
      </c>
      <c r="AE556" s="16"/>
      <c r="AF556" s="16" t="str">
        <f aca="false">IF(COUNTIF(لیست_سفید!$A$2:$A$21,B556)&gt;0,"بله","خیر")</f>
        <v>خیر</v>
      </c>
      <c r="AG556" s="24" t="n">
        <f aca="false">IF(H556="","",IF(AD556="فیش مفقودی",تنظیمات!$B$6,(INT(I556/1440)*تنظیمات!$B$5+IF(MOD(I556,1440)&lt;=تنظیمات!$B$2,0,MIN(تنظیمات!$B$5,تنظیمات!$B$3+MAX(0,ROUNDUP((MOD(I556,1440)-60)/60,0))*تنظیمات!$B$4)))*INDEX(تعرفه!$B$2:$B$7,MATCH(AD556,تعرفه!$A$2:$A$7,0))))</f>
        <v>34000</v>
      </c>
      <c r="AH556" s="24" t="n">
        <v>34000</v>
      </c>
      <c r="AI556" s="24" t="n">
        <f aca="false">IF(AG556="","",AH556-AG556)</f>
        <v>0</v>
      </c>
      <c r="AJ556" s="21" t="n">
        <v>2</v>
      </c>
      <c r="AK556" s="21" t="n">
        <v>0</v>
      </c>
      <c r="AL556" s="16" t="s">
        <v>335</v>
      </c>
      <c r="AM556" s="16"/>
      <c r="AN556" s="16" t="s">
        <v>340</v>
      </c>
      <c r="AO556" s="16" t="s">
        <v>340</v>
      </c>
      <c r="AP556" s="16" t="s">
        <v>335</v>
      </c>
      <c r="AQ556" s="16"/>
      <c r="AR556" s="21" t="n">
        <f aca="false">IF(AND(T556&lt;&gt;"",H556&lt;&gt;""),IF(AND((T556-H556)*86400&gt;=0,(T556-H556)*86400&lt;تنظیمات!$B$13),1,0),0)</f>
        <v>0</v>
      </c>
      <c r="AS556" s="21" t="n">
        <f aca="false">IF(Z556="پوز",IF(OR(AB556="",COUNTIF(پوزها!$A$2:$A$5,AA556)=0),1,0),0)</f>
        <v>0</v>
      </c>
      <c r="AT556" s="21" t="n">
        <f aca="false">IF(AI556="",0,IF(AI556&gt;0,1,0))</f>
        <v>0</v>
      </c>
      <c r="AU556" s="21" t="n">
        <f aca="false">IF(AI556="",0,IF(AI556&lt;0,1,0))</f>
        <v>0</v>
      </c>
      <c r="AV556" s="21" t="n">
        <f aca="false">IF(U556&gt;V556,1,0)</f>
        <v>0</v>
      </c>
      <c r="AW556" s="21" t="n">
        <f aca="false">IF(OR(W556&gt;تنظیمات!$B$8,X556="بله"),1,0)</f>
        <v>0</v>
      </c>
      <c r="AX556" s="21" t="n">
        <f aca="false">IF(AND(N556="بله",L556&gt;تنظیمات!$B$9),1,0)</f>
        <v>0</v>
      </c>
      <c r="AY556" s="21" t="n">
        <f aca="false">IF(Y556="معکوس",1,0)</f>
        <v>0</v>
      </c>
      <c r="AZ556" s="21" t="n">
        <f aca="false">IF(ABS(AJ556)&gt;تنظیمات!$B$10,1,0)</f>
        <v>0</v>
      </c>
      <c r="BA556" s="21" t="n">
        <f aca="false">IF(AND(OR(AD556="رایگان/VIP",AD556="جانباز"),AF556="خیر"),1,0)</f>
        <v>0</v>
      </c>
      <c r="BB556" s="21" t="n">
        <f aca="false">IF(AE556="",0,IF(COUNTIF($AE$2:$AE$1001,AE556)&gt;1,1,0))</f>
        <v>0</v>
      </c>
      <c r="BC556" s="21" t="n">
        <f aca="false">IF(AND(H556="",I556&gt;تنظیمات!$B$12*60,AM556="خالی"),1,0)</f>
        <v>0</v>
      </c>
      <c r="BD556" s="21" t="n">
        <f aca="false">IF(AND(AP556="بله",I556&lt;تنظیمات!$B$14,AO556="خیر"),1,0)</f>
        <v>0</v>
      </c>
      <c r="BE556" s="21" t="n">
        <f aca="false">IF(AN556="خیر",1,0)</f>
        <v>0</v>
      </c>
      <c r="BF556" s="21" t="n">
        <f aca="false">IF(AND(AD556="فیش مفقودی",AQ556="بله",I556&gt;تنظیمات!$B$12*60),1,0)</f>
        <v>0</v>
      </c>
      <c r="BG556" s="21" t="n">
        <f aca="false">IF(AND(AK556&gt;تنظیمات!$B$11,AL556="بله"),1,0)</f>
        <v>0</v>
      </c>
      <c r="BH556" s="21" t="n">
        <f aca="false">MIN(100,AR556*تنظیمات!$B$21+AS556*تنظیمات!$B$22+AT556*تنظیمات!$B$23+AU556*تنظیمات!$B$24+AV556*تنظیمات!$B$25+AW556*تنظیمات!$B$26+AX556*تنظیمات!$B$27+AY556*تنظیمات!$B$28+AZ556*تنظیمات!$B$29+BA556*تنظیمات!$B$30+BB556*تنظیمات!$B$31+BC556*تنظیمات!$B$32+BD556*تنظیمات!$B$33+BE556*تنظیمات!$B$34+BF556*تنظیمات!$B$35+BG556*تنظیمات!$B$36)</f>
        <v>0</v>
      </c>
      <c r="BI556" s="16" t="str">
        <f aca="false">IF(BH556&gt;=60,"بحرانی",IF(BH556&gt;=30,"مشکوک",IF(BH556&gt;0,"هشدار","عادی")))</f>
        <v>عادی</v>
      </c>
      <c r="BJ556" s="16" t="s">
        <v>338</v>
      </c>
    </row>
    <row r="557" customFormat="false" ht="15" hidden="false" customHeight="false" outlineLevel="0" collapsed="false">
      <c r="A557" s="16" t="s">
        <v>2105</v>
      </c>
      <c r="B557" s="16" t="s">
        <v>575</v>
      </c>
      <c r="C557" s="16"/>
      <c r="D557" s="16" t="s">
        <v>370</v>
      </c>
      <c r="E557" s="16" t="s">
        <v>363</v>
      </c>
      <c r="F557" s="16" t="s">
        <v>333</v>
      </c>
      <c r="G557" s="17" t="n">
        <v>46288.6931481482</v>
      </c>
      <c r="H557" s="17" t="n">
        <v>46288.7549537037</v>
      </c>
      <c r="I557" s="18" t="n">
        <f aca="false">IF(H557="",ROUND((تنظیمات!$B$7-G557)*1440,0),ROUND((H557-G557)*1440,0))</f>
        <v>89</v>
      </c>
      <c r="J557" s="16" t="s">
        <v>346</v>
      </c>
      <c r="K557" s="16" t="s">
        <v>410</v>
      </c>
      <c r="L557" s="19" t="n">
        <v>0.959</v>
      </c>
      <c r="M557" s="19" t="n">
        <v>0.917</v>
      </c>
      <c r="N557" s="16" t="s">
        <v>335</v>
      </c>
      <c r="O557" s="16" t="s">
        <v>677</v>
      </c>
      <c r="P557" s="16" t="s">
        <v>420</v>
      </c>
      <c r="Q557" s="20" t="n">
        <v>46288</v>
      </c>
      <c r="R557" s="16" t="s">
        <v>2106</v>
      </c>
      <c r="S557" s="16" t="s">
        <v>404</v>
      </c>
      <c r="T557" s="17"/>
      <c r="U557" s="21" t="n">
        <v>1</v>
      </c>
      <c r="V557" s="21" t="n">
        <v>1</v>
      </c>
      <c r="W557" s="22" t="n">
        <v>5.3</v>
      </c>
      <c r="X557" s="16" t="s">
        <v>335</v>
      </c>
      <c r="Y557" s="16" t="s">
        <v>338</v>
      </c>
      <c r="Z557" s="16" t="s">
        <v>413</v>
      </c>
      <c r="AA557" s="16" t="s">
        <v>414</v>
      </c>
      <c r="AB557" s="23" t="s">
        <v>2107</v>
      </c>
      <c r="AC557" s="17" t="n">
        <v>46288.753912037</v>
      </c>
      <c r="AD557" s="16" t="s">
        <v>338</v>
      </c>
      <c r="AE557" s="16"/>
      <c r="AF557" s="16" t="str">
        <f aca="false">IF(COUNTIF(لیست_سفید!$A$2:$A$21,B557)&gt;0,"بله","خیر")</f>
        <v>خیر</v>
      </c>
      <c r="AG557" s="24" t="n">
        <f aca="false">IF(H557="","",IF(AD557="فیش مفقودی",تنظیمات!$B$6,(INT(I557/1440)*تنظیمات!$B$5+IF(MOD(I557,1440)&lt;=تنظیمات!$B$2,0,MIN(تنظیمات!$B$5,تنظیمات!$B$3+MAX(0,ROUNDUP((MOD(I557,1440)-60)/60,0))*تنظیمات!$B$4)))*INDEX(تعرفه!$B$2:$B$7,MATCH(AD557,تعرفه!$A$2:$A$7,0))))</f>
        <v>34000</v>
      </c>
      <c r="AH557" s="24" t="n">
        <v>34000</v>
      </c>
      <c r="AI557" s="24" t="n">
        <f aca="false">IF(AG557="","",AH557-AG557)</f>
        <v>0</v>
      </c>
      <c r="AJ557" s="21" t="n">
        <v>0</v>
      </c>
      <c r="AK557" s="21" t="n">
        <v>0</v>
      </c>
      <c r="AL557" s="16" t="s">
        <v>335</v>
      </c>
      <c r="AM557" s="16"/>
      <c r="AN557" s="16" t="s">
        <v>340</v>
      </c>
      <c r="AO557" s="16" t="s">
        <v>340</v>
      </c>
      <c r="AP557" s="16" t="s">
        <v>335</v>
      </c>
      <c r="AQ557" s="16"/>
      <c r="AR557" s="21" t="n">
        <f aca="false">IF(AND(T557&lt;&gt;"",H557&lt;&gt;""),IF(AND((T557-H557)*86400&gt;=0,(T557-H557)*86400&lt;تنظیمات!$B$13),1,0),0)</f>
        <v>0</v>
      </c>
      <c r="AS557" s="21" t="n">
        <f aca="false">IF(Z557="پوز",IF(OR(AB557="",COUNTIF(پوزها!$A$2:$A$5,AA557)=0),1,0),0)</f>
        <v>0</v>
      </c>
      <c r="AT557" s="21" t="n">
        <f aca="false">IF(AI557="",0,IF(AI557&gt;0,1,0))</f>
        <v>0</v>
      </c>
      <c r="AU557" s="21" t="n">
        <f aca="false">IF(AI557="",0,IF(AI557&lt;0,1,0))</f>
        <v>0</v>
      </c>
      <c r="AV557" s="21" t="n">
        <f aca="false">IF(U557&gt;V557,1,0)</f>
        <v>0</v>
      </c>
      <c r="AW557" s="21" t="n">
        <f aca="false">IF(OR(W557&gt;تنظیمات!$B$8,X557="بله"),1,0)</f>
        <v>0</v>
      </c>
      <c r="AX557" s="21" t="n">
        <f aca="false">IF(AND(N557="بله",L557&gt;تنظیمات!$B$9),1,0)</f>
        <v>0</v>
      </c>
      <c r="AY557" s="21" t="n">
        <f aca="false">IF(Y557="معکوس",1,0)</f>
        <v>0</v>
      </c>
      <c r="AZ557" s="21" t="n">
        <f aca="false">IF(ABS(AJ557)&gt;تنظیمات!$B$10,1,0)</f>
        <v>0</v>
      </c>
      <c r="BA557" s="21" t="n">
        <f aca="false">IF(AND(OR(AD557="رایگان/VIP",AD557="جانباز"),AF557="خیر"),1,0)</f>
        <v>0</v>
      </c>
      <c r="BB557" s="21" t="n">
        <f aca="false">IF(AE557="",0,IF(COUNTIF($AE$2:$AE$1001,AE557)&gt;1,1,0))</f>
        <v>0</v>
      </c>
      <c r="BC557" s="21" t="n">
        <f aca="false">IF(AND(H557="",I557&gt;تنظیمات!$B$12*60,AM557="خالی"),1,0)</f>
        <v>0</v>
      </c>
      <c r="BD557" s="21" t="n">
        <f aca="false">IF(AND(AP557="بله",I557&lt;تنظیمات!$B$14,AO557="خیر"),1,0)</f>
        <v>0</v>
      </c>
      <c r="BE557" s="21" t="n">
        <f aca="false">IF(AN557="خیر",1,0)</f>
        <v>0</v>
      </c>
      <c r="BF557" s="21" t="n">
        <f aca="false">IF(AND(AD557="فیش مفقودی",AQ557="بله",I557&gt;تنظیمات!$B$12*60),1,0)</f>
        <v>0</v>
      </c>
      <c r="BG557" s="21" t="n">
        <f aca="false">IF(AND(AK557&gt;تنظیمات!$B$11,AL557="بله"),1,0)</f>
        <v>0</v>
      </c>
      <c r="BH557" s="21" t="n">
        <f aca="false">MIN(100,AR557*تنظیمات!$B$21+AS557*تنظیمات!$B$22+AT557*تنظیمات!$B$23+AU557*تنظیمات!$B$24+AV557*تنظیمات!$B$25+AW557*تنظیمات!$B$26+AX557*تنظیمات!$B$27+AY557*تنظیمات!$B$28+AZ557*تنظیمات!$B$29+BA557*تنظیمات!$B$30+BB557*تنظیمات!$B$31+BC557*تنظیمات!$B$32+BD557*تنظیمات!$B$33+BE557*تنظیمات!$B$34+BF557*تنظیمات!$B$35+BG557*تنظیمات!$B$36)</f>
        <v>0</v>
      </c>
      <c r="BI557" s="16" t="str">
        <f aca="false">IF(BH557&gt;=60,"بحرانی",IF(BH557&gt;=30,"مشکوک",IF(BH557&gt;0,"هشدار","عادی")))</f>
        <v>عادی</v>
      </c>
      <c r="BJ557" s="16" t="s">
        <v>338</v>
      </c>
    </row>
    <row r="558" customFormat="false" ht="15" hidden="false" customHeight="false" outlineLevel="0" collapsed="false">
      <c r="A558" s="16" t="s">
        <v>2108</v>
      </c>
      <c r="B558" s="16" t="s">
        <v>1135</v>
      </c>
      <c r="C558" s="16"/>
      <c r="D558" s="16" t="s">
        <v>386</v>
      </c>
      <c r="E558" s="16" t="s">
        <v>363</v>
      </c>
      <c r="F558" s="16" t="s">
        <v>333</v>
      </c>
      <c r="G558" s="17" t="n">
        <v>46288.7033680556</v>
      </c>
      <c r="H558" s="17" t="n">
        <v>46288.7137847222</v>
      </c>
      <c r="I558" s="18" t="n">
        <f aca="false">IF(H558="",ROUND((تنظیمات!$B$7-G558)*1440,0),ROUND((H558-G558)*1440,0))</f>
        <v>15</v>
      </c>
      <c r="J558" s="16" t="s">
        <v>334</v>
      </c>
      <c r="K558" s="16" t="s">
        <v>410</v>
      </c>
      <c r="L558" s="19" t="n">
        <v>0.933</v>
      </c>
      <c r="M558" s="19"/>
      <c r="N558" s="16" t="s">
        <v>335</v>
      </c>
      <c r="O558" s="16" t="s">
        <v>677</v>
      </c>
      <c r="P558" s="16" t="s">
        <v>420</v>
      </c>
      <c r="Q558" s="20" t="n">
        <v>46288</v>
      </c>
      <c r="R558" s="16" t="s">
        <v>2109</v>
      </c>
      <c r="S558" s="16" t="s">
        <v>404</v>
      </c>
      <c r="T558" s="17"/>
      <c r="U558" s="21" t="n">
        <v>1</v>
      </c>
      <c r="V558" s="21" t="n">
        <v>1</v>
      </c>
      <c r="W558" s="22" t="n">
        <v>5.7</v>
      </c>
      <c r="X558" s="16" t="s">
        <v>335</v>
      </c>
      <c r="Y558" s="16" t="s">
        <v>338</v>
      </c>
      <c r="Z558" s="16" t="s">
        <v>405</v>
      </c>
      <c r="AA558" s="16"/>
      <c r="AB558" s="23"/>
      <c r="AC558" s="17"/>
      <c r="AD558" s="16" t="s">
        <v>338</v>
      </c>
      <c r="AE558" s="16"/>
      <c r="AF558" s="16" t="str">
        <f aca="false">IF(COUNTIF(لیست_سفید!$A$2:$A$21,B558)&gt;0,"بله","خیر")</f>
        <v>خیر</v>
      </c>
      <c r="AG558" s="24" t="n">
        <f aca="false">IF(H558="","",IF(AD558="فیش مفقودی",تنظیمات!$B$6,(INT(I558/1440)*تنظیمات!$B$5+IF(MOD(I558,1440)&lt;=تنظیمات!$B$2,0,MIN(تنظیمات!$B$5,تنظیمات!$B$3+MAX(0,ROUNDUP((MOD(I558,1440)-60)/60,0))*تنظیمات!$B$4)))*INDEX(تعرفه!$B$2:$B$7,MATCH(AD558,تعرفه!$A$2:$A$7,0))))</f>
        <v>20000</v>
      </c>
      <c r="AH558" s="24" t="n">
        <v>20000</v>
      </c>
      <c r="AI558" s="24" t="n">
        <f aca="false">IF(AG558="","",AH558-AG558)</f>
        <v>0</v>
      </c>
      <c r="AJ558" s="21" t="n">
        <v>-2</v>
      </c>
      <c r="AK558" s="21" t="n">
        <v>481</v>
      </c>
      <c r="AL558" s="16" t="s">
        <v>340</v>
      </c>
      <c r="AM558" s="16"/>
      <c r="AN558" s="16" t="s">
        <v>340</v>
      </c>
      <c r="AO558" s="16" t="s">
        <v>340</v>
      </c>
      <c r="AP558" s="16" t="s">
        <v>335</v>
      </c>
      <c r="AQ558" s="16"/>
      <c r="AR558" s="21" t="n">
        <f aca="false">IF(AND(T558&lt;&gt;"",H558&lt;&gt;""),IF(AND((T558-H558)*86400&gt;=0,(T558-H558)*86400&lt;تنظیمات!$B$13),1,0),0)</f>
        <v>0</v>
      </c>
      <c r="AS558" s="21" t="n">
        <f aca="false">IF(Z558="پوز",IF(OR(AB558="",COUNTIF(پوزها!$A$2:$A$5,AA558)=0),1,0),0)</f>
        <v>0</v>
      </c>
      <c r="AT558" s="21" t="n">
        <f aca="false">IF(AI558="",0,IF(AI558&gt;0,1,0))</f>
        <v>0</v>
      </c>
      <c r="AU558" s="21" t="n">
        <f aca="false">IF(AI558="",0,IF(AI558&lt;0,1,0))</f>
        <v>0</v>
      </c>
      <c r="AV558" s="21" t="n">
        <f aca="false">IF(U558&gt;V558,1,0)</f>
        <v>0</v>
      </c>
      <c r="AW558" s="21" t="n">
        <f aca="false">IF(OR(W558&gt;تنظیمات!$B$8,X558="بله"),1,0)</f>
        <v>0</v>
      </c>
      <c r="AX558" s="21" t="n">
        <f aca="false">IF(AND(N558="بله",L558&gt;تنظیمات!$B$9),1,0)</f>
        <v>0</v>
      </c>
      <c r="AY558" s="21" t="n">
        <f aca="false">IF(Y558="معکوس",1,0)</f>
        <v>0</v>
      </c>
      <c r="AZ558" s="21" t="n">
        <f aca="false">IF(ABS(AJ558)&gt;تنظیمات!$B$10,1,0)</f>
        <v>0</v>
      </c>
      <c r="BA558" s="21" t="n">
        <f aca="false">IF(AND(OR(AD558="رایگان/VIP",AD558="جانباز"),AF558="خیر"),1,0)</f>
        <v>0</v>
      </c>
      <c r="BB558" s="21" t="n">
        <f aca="false">IF(AE558="",0,IF(COUNTIF($AE$2:$AE$1001,AE558)&gt;1,1,0))</f>
        <v>0</v>
      </c>
      <c r="BC558" s="21" t="n">
        <f aca="false">IF(AND(H558="",I558&gt;تنظیمات!$B$12*60,AM558="خالی"),1,0)</f>
        <v>0</v>
      </c>
      <c r="BD558" s="21" t="n">
        <f aca="false">IF(AND(AP558="بله",I558&lt;تنظیمات!$B$14,AO558="خیر"),1,0)</f>
        <v>0</v>
      </c>
      <c r="BE558" s="21" t="n">
        <f aca="false">IF(AN558="خیر",1,0)</f>
        <v>0</v>
      </c>
      <c r="BF558" s="21" t="n">
        <f aca="false">IF(AND(AD558="فیش مفقودی",AQ558="بله",I558&gt;تنظیمات!$B$12*60),1,0)</f>
        <v>0</v>
      </c>
      <c r="BG558" s="21" t="n">
        <f aca="false">IF(AND(AK558&gt;تنظیمات!$B$11,AL558="بله"),1,0)</f>
        <v>1</v>
      </c>
      <c r="BH558" s="21" t="n">
        <f aca="false">MIN(100,AR558*تنظیمات!$B$21+AS558*تنظیمات!$B$22+AT558*تنظیمات!$B$23+AU558*تنظیمات!$B$24+AV558*تنظیمات!$B$25+AW558*تنظیمات!$B$26+AX558*تنظیمات!$B$27+AY558*تنظیمات!$B$28+AZ558*تنظیمات!$B$29+BA558*تنظیمات!$B$30+BB558*تنظیمات!$B$31+BC558*تنظیمات!$B$32+BD558*تنظیمات!$B$33+BE558*تنظیمات!$B$34+BF558*تنظیمات!$B$35+BG558*تنظیمات!$B$36)</f>
        <v>15</v>
      </c>
      <c r="BI558" s="16" t="str">
        <f aca="false">IF(BH558&gt;=60,"بحرانی",IF(BH558&gt;=30,"مشکوک",IF(BH558&gt;0,"هشدار","عادی")))</f>
        <v>هشدار</v>
      </c>
      <c r="BJ558" s="16" t="s">
        <v>918</v>
      </c>
    </row>
    <row r="559" customFormat="false" ht="15" hidden="false" customHeight="false" outlineLevel="0" collapsed="false">
      <c r="A559" s="16" t="s">
        <v>2110</v>
      </c>
      <c r="B559" s="16" t="s">
        <v>586</v>
      </c>
      <c r="C559" s="16"/>
      <c r="D559" s="16" t="s">
        <v>382</v>
      </c>
      <c r="E559" s="16" t="s">
        <v>345</v>
      </c>
      <c r="F559" s="16" t="s">
        <v>333</v>
      </c>
      <c r="G559" s="17" t="n">
        <v>46288.7171064815</v>
      </c>
      <c r="H559" s="17" t="n">
        <v>46288.7844675926</v>
      </c>
      <c r="I559" s="18" t="n">
        <f aca="false">IF(H559="",ROUND((تنظیمات!$B$7-G559)*1440,0),ROUND((H559-G559)*1440,0))</f>
        <v>97</v>
      </c>
      <c r="J559" s="16" t="s">
        <v>346</v>
      </c>
      <c r="K559" s="16" t="s">
        <v>410</v>
      </c>
      <c r="L559" s="19" t="n">
        <v>0.908</v>
      </c>
      <c r="M559" s="19" t="n">
        <v>0.892</v>
      </c>
      <c r="N559" s="16" t="s">
        <v>335</v>
      </c>
      <c r="O559" s="16" t="s">
        <v>677</v>
      </c>
      <c r="P559" s="16" t="s">
        <v>420</v>
      </c>
      <c r="Q559" s="20" t="n">
        <v>46288</v>
      </c>
      <c r="R559" s="16" t="s">
        <v>2111</v>
      </c>
      <c r="S559" s="16" t="s">
        <v>404</v>
      </c>
      <c r="T559" s="17"/>
      <c r="U559" s="21" t="n">
        <v>1</v>
      </c>
      <c r="V559" s="21" t="n">
        <v>1</v>
      </c>
      <c r="W559" s="22" t="n">
        <v>5.6</v>
      </c>
      <c r="X559" s="16" t="s">
        <v>335</v>
      </c>
      <c r="Y559" s="16" t="s">
        <v>338</v>
      </c>
      <c r="Z559" s="16" t="s">
        <v>405</v>
      </c>
      <c r="AA559" s="16"/>
      <c r="AB559" s="23"/>
      <c r="AC559" s="17"/>
      <c r="AD559" s="16" t="s">
        <v>481</v>
      </c>
      <c r="AE559" s="16" t="s">
        <v>2112</v>
      </c>
      <c r="AF559" s="16" t="str">
        <f aca="false">IF(COUNTIF(لیست_سفید!$A$2:$A$21,B559)&gt;0,"بله","خیر")</f>
        <v>خیر</v>
      </c>
      <c r="AG559" s="24" t="n">
        <f aca="false">IF(H559="","",IF(AD559="فیش مفقودی",تنظیمات!$B$6,(INT(I559/1440)*تنظیمات!$B$5+IF(MOD(I559,1440)&lt;=تنظیمات!$B$2,0,MIN(تنظیمات!$B$5,تنظیمات!$B$3+MAX(0,ROUNDUP((MOD(I559,1440)-60)/60,0))*تنظیمات!$B$4)))*INDEX(تعرفه!$B$2:$B$7,MATCH(AD559,تعرفه!$A$2:$A$7,0))))</f>
        <v>17000</v>
      </c>
      <c r="AH559" s="24" t="n">
        <v>17000</v>
      </c>
      <c r="AI559" s="24" t="n">
        <f aca="false">IF(AG559="","",AH559-AG559)</f>
        <v>0</v>
      </c>
      <c r="AJ559" s="21" t="n">
        <v>1</v>
      </c>
      <c r="AK559" s="21" t="n">
        <v>14</v>
      </c>
      <c r="AL559" s="16" t="s">
        <v>335</v>
      </c>
      <c r="AM559" s="16"/>
      <c r="AN559" s="16" t="s">
        <v>340</v>
      </c>
      <c r="AO559" s="16" t="s">
        <v>340</v>
      </c>
      <c r="AP559" s="16" t="s">
        <v>335</v>
      </c>
      <c r="AQ559" s="16"/>
      <c r="AR559" s="21" t="n">
        <f aca="false">IF(AND(T559&lt;&gt;"",H559&lt;&gt;""),IF(AND((T559-H559)*86400&gt;=0,(T559-H559)*86400&lt;تنظیمات!$B$13),1,0),0)</f>
        <v>0</v>
      </c>
      <c r="AS559" s="21" t="n">
        <f aca="false">IF(Z559="پوز",IF(OR(AB559="",COUNTIF(پوزها!$A$2:$A$5,AA559)=0),1,0),0)</f>
        <v>0</v>
      </c>
      <c r="AT559" s="21" t="n">
        <f aca="false">IF(AI559="",0,IF(AI559&gt;0,1,0))</f>
        <v>0</v>
      </c>
      <c r="AU559" s="21" t="n">
        <f aca="false">IF(AI559="",0,IF(AI559&lt;0,1,0))</f>
        <v>0</v>
      </c>
      <c r="AV559" s="21" t="n">
        <f aca="false">IF(U559&gt;V559,1,0)</f>
        <v>0</v>
      </c>
      <c r="AW559" s="21" t="n">
        <f aca="false">IF(OR(W559&gt;تنظیمات!$B$8,X559="بله"),1,0)</f>
        <v>0</v>
      </c>
      <c r="AX559" s="21" t="n">
        <f aca="false">IF(AND(N559="بله",L559&gt;تنظیمات!$B$9),1,0)</f>
        <v>0</v>
      </c>
      <c r="AY559" s="21" t="n">
        <f aca="false">IF(Y559="معکوس",1,0)</f>
        <v>0</v>
      </c>
      <c r="AZ559" s="21" t="n">
        <f aca="false">IF(ABS(AJ559)&gt;تنظیمات!$B$10,1,0)</f>
        <v>0</v>
      </c>
      <c r="BA559" s="21" t="n">
        <f aca="false">IF(AND(OR(AD559="رایگان/VIP",AD559="جانباز"),AF559="خیر"),1,0)</f>
        <v>0</v>
      </c>
      <c r="BB559" s="21" t="n">
        <f aca="false">IF(AE559="",0,IF(COUNTIF($AE$2:$AE$1001,AE559)&gt;1,1,0))</f>
        <v>0</v>
      </c>
      <c r="BC559" s="21" t="n">
        <f aca="false">IF(AND(H559="",I559&gt;تنظیمات!$B$12*60,AM559="خالی"),1,0)</f>
        <v>0</v>
      </c>
      <c r="BD559" s="21" t="n">
        <f aca="false">IF(AND(AP559="بله",I559&lt;تنظیمات!$B$14,AO559="خیر"),1,0)</f>
        <v>0</v>
      </c>
      <c r="BE559" s="21" t="n">
        <f aca="false">IF(AN559="خیر",1,0)</f>
        <v>0</v>
      </c>
      <c r="BF559" s="21" t="n">
        <f aca="false">IF(AND(AD559="فیش مفقودی",AQ559="بله",I559&gt;تنظیمات!$B$12*60),1,0)</f>
        <v>0</v>
      </c>
      <c r="BG559" s="21" t="n">
        <f aca="false">IF(AND(AK559&gt;تنظیمات!$B$11,AL559="بله"),1,0)</f>
        <v>0</v>
      </c>
      <c r="BH559" s="21" t="n">
        <f aca="false">MIN(100,AR559*تنظیمات!$B$21+AS559*تنظیمات!$B$22+AT559*تنظیمات!$B$23+AU559*تنظیمات!$B$24+AV559*تنظیمات!$B$25+AW559*تنظیمات!$B$26+AX559*تنظیمات!$B$27+AY559*تنظیمات!$B$28+AZ559*تنظیمات!$B$29+BA559*تنظیمات!$B$30+BB559*تنظیمات!$B$31+BC559*تنظیمات!$B$32+BD559*تنظیمات!$B$33+BE559*تنظیمات!$B$34+BF559*تنظیمات!$B$35+BG559*تنظیمات!$B$36)</f>
        <v>0</v>
      </c>
      <c r="BI559" s="16" t="str">
        <f aca="false">IF(BH559&gt;=60,"بحرانی",IF(BH559&gt;=30,"مشکوک",IF(BH559&gt;0,"هشدار","عادی")))</f>
        <v>عادی</v>
      </c>
      <c r="BJ559" s="16" t="s">
        <v>338</v>
      </c>
    </row>
    <row r="560" customFormat="false" ht="15" hidden="false" customHeight="false" outlineLevel="0" collapsed="false">
      <c r="A560" s="16" t="s">
        <v>2113</v>
      </c>
      <c r="B560" s="16" t="s">
        <v>539</v>
      </c>
      <c r="C560" s="16"/>
      <c r="D560" s="16" t="s">
        <v>540</v>
      </c>
      <c r="E560" s="16" t="s">
        <v>351</v>
      </c>
      <c r="F560" s="16" t="s">
        <v>359</v>
      </c>
      <c r="G560" s="17" t="n">
        <v>46288.7402777778</v>
      </c>
      <c r="H560" s="17" t="n">
        <v>46288.9034722222</v>
      </c>
      <c r="I560" s="18" t="n">
        <f aca="false">IF(H560="",ROUND((تنظیمات!$B$7-G560)*1440,0),ROUND((H560-G560)*1440,0))</f>
        <v>235</v>
      </c>
      <c r="J560" s="16" t="s">
        <v>334</v>
      </c>
      <c r="K560" s="16" t="s">
        <v>410</v>
      </c>
      <c r="L560" s="19" t="n">
        <v>0.886</v>
      </c>
      <c r="M560" s="19" t="n">
        <v>0.881</v>
      </c>
      <c r="N560" s="16" t="s">
        <v>335</v>
      </c>
      <c r="O560" s="16" t="s">
        <v>677</v>
      </c>
      <c r="P560" s="16" t="s">
        <v>420</v>
      </c>
      <c r="Q560" s="20" t="n">
        <v>46288</v>
      </c>
      <c r="R560" s="16" t="s">
        <v>2114</v>
      </c>
      <c r="S560" s="16" t="s">
        <v>404</v>
      </c>
      <c r="T560" s="17"/>
      <c r="U560" s="21" t="n">
        <v>1</v>
      </c>
      <c r="V560" s="21" t="n">
        <v>1</v>
      </c>
      <c r="W560" s="22" t="n">
        <v>5</v>
      </c>
      <c r="X560" s="16" t="s">
        <v>335</v>
      </c>
      <c r="Y560" s="16" t="s">
        <v>338</v>
      </c>
      <c r="Z560" s="16" t="s">
        <v>405</v>
      </c>
      <c r="AA560" s="16"/>
      <c r="AB560" s="23"/>
      <c r="AC560" s="17"/>
      <c r="AD560" s="16" t="s">
        <v>338</v>
      </c>
      <c r="AE560" s="16"/>
      <c r="AF560" s="16" t="str">
        <f aca="false">IF(COUNTIF(لیست_سفید!$A$2:$A$21,B560)&gt;0,"بله","خیر")</f>
        <v>خیر</v>
      </c>
      <c r="AG560" s="24" t="n">
        <f aca="false">IF(H560="","",IF(AD560="فیش مفقودی",تنظیمات!$B$6,(INT(I560/1440)*تنظیمات!$B$5+IF(MOD(I560,1440)&lt;=تنظیمات!$B$2,0,MIN(تنظیمات!$B$5,تنظیمات!$B$3+MAX(0,ROUNDUP((MOD(I560,1440)-60)/60,0))*تنظیمات!$B$4)))*INDEX(تعرفه!$B$2:$B$7,MATCH(AD560,تعرفه!$A$2:$A$7,0))))</f>
        <v>62000</v>
      </c>
      <c r="AH560" s="24" t="n">
        <v>62000</v>
      </c>
      <c r="AI560" s="24" t="n">
        <f aca="false">IF(AG560="","",AH560-AG560)</f>
        <v>0</v>
      </c>
      <c r="AJ560" s="21" t="n">
        <v>0</v>
      </c>
      <c r="AK560" s="21" t="n">
        <v>0</v>
      </c>
      <c r="AL560" s="16" t="s">
        <v>335</v>
      </c>
      <c r="AM560" s="16"/>
      <c r="AN560" s="16" t="s">
        <v>340</v>
      </c>
      <c r="AO560" s="16" t="s">
        <v>340</v>
      </c>
      <c r="AP560" s="16" t="s">
        <v>335</v>
      </c>
      <c r="AQ560" s="16"/>
      <c r="AR560" s="21" t="n">
        <f aca="false">IF(AND(T560&lt;&gt;"",H560&lt;&gt;""),IF(AND((T560-H560)*86400&gt;=0,(T560-H560)*86400&lt;تنظیمات!$B$13),1,0),0)</f>
        <v>0</v>
      </c>
      <c r="AS560" s="21" t="n">
        <f aca="false">IF(Z560="پوز",IF(OR(AB560="",COUNTIF(پوزها!$A$2:$A$5,AA560)=0),1,0),0)</f>
        <v>0</v>
      </c>
      <c r="AT560" s="21" t="n">
        <f aca="false">IF(AI560="",0,IF(AI560&gt;0,1,0))</f>
        <v>0</v>
      </c>
      <c r="AU560" s="21" t="n">
        <f aca="false">IF(AI560="",0,IF(AI560&lt;0,1,0))</f>
        <v>0</v>
      </c>
      <c r="AV560" s="21" t="n">
        <f aca="false">IF(U560&gt;V560,1,0)</f>
        <v>0</v>
      </c>
      <c r="AW560" s="21" t="n">
        <f aca="false">IF(OR(W560&gt;تنظیمات!$B$8,X560="بله"),1,0)</f>
        <v>0</v>
      </c>
      <c r="AX560" s="21" t="n">
        <f aca="false">IF(AND(N560="بله",L560&gt;تنظیمات!$B$9),1,0)</f>
        <v>0</v>
      </c>
      <c r="AY560" s="21" t="n">
        <f aca="false">IF(Y560="معکوس",1,0)</f>
        <v>0</v>
      </c>
      <c r="AZ560" s="21" t="n">
        <f aca="false">IF(ABS(AJ560)&gt;تنظیمات!$B$10,1,0)</f>
        <v>0</v>
      </c>
      <c r="BA560" s="21" t="n">
        <f aca="false">IF(AND(OR(AD560="رایگان/VIP",AD560="جانباز"),AF560="خیر"),1,0)</f>
        <v>0</v>
      </c>
      <c r="BB560" s="21" t="n">
        <f aca="false">IF(AE560="",0,IF(COUNTIF($AE$2:$AE$1001,AE560)&gt;1,1,0))</f>
        <v>0</v>
      </c>
      <c r="BC560" s="21" t="n">
        <f aca="false">IF(AND(H560="",I560&gt;تنظیمات!$B$12*60,AM560="خالی"),1,0)</f>
        <v>0</v>
      </c>
      <c r="BD560" s="21" t="n">
        <f aca="false">IF(AND(AP560="بله",I560&lt;تنظیمات!$B$14,AO560="خیر"),1,0)</f>
        <v>0</v>
      </c>
      <c r="BE560" s="21" t="n">
        <f aca="false">IF(AN560="خیر",1,0)</f>
        <v>0</v>
      </c>
      <c r="BF560" s="21" t="n">
        <f aca="false">IF(AND(AD560="فیش مفقودی",AQ560="بله",I560&gt;تنظیمات!$B$12*60),1,0)</f>
        <v>0</v>
      </c>
      <c r="BG560" s="21" t="n">
        <f aca="false">IF(AND(AK560&gt;تنظیمات!$B$11,AL560="بله"),1,0)</f>
        <v>0</v>
      </c>
      <c r="BH560" s="21" t="n">
        <f aca="false">MIN(100,AR560*تنظیمات!$B$21+AS560*تنظیمات!$B$22+AT560*تنظیمات!$B$23+AU560*تنظیمات!$B$24+AV560*تنظیمات!$B$25+AW560*تنظیمات!$B$26+AX560*تنظیمات!$B$27+AY560*تنظیمات!$B$28+AZ560*تنظیمات!$B$29+BA560*تنظیمات!$B$30+BB560*تنظیمات!$B$31+BC560*تنظیمات!$B$32+BD560*تنظیمات!$B$33+BE560*تنظیمات!$B$34+BF560*تنظیمات!$B$35+BG560*تنظیمات!$B$36)</f>
        <v>0</v>
      </c>
      <c r="BI560" s="16" t="str">
        <f aca="false">IF(BH560&gt;=60,"بحرانی",IF(BH560&gt;=30,"مشکوک",IF(BH560&gt;0,"هشدار","عادی")))</f>
        <v>عادی</v>
      </c>
      <c r="BJ560" s="16" t="s">
        <v>338</v>
      </c>
    </row>
    <row r="561" customFormat="false" ht="15" hidden="false" customHeight="false" outlineLevel="0" collapsed="false">
      <c r="A561" s="16" t="s">
        <v>2115</v>
      </c>
      <c r="B561" s="16" t="s">
        <v>1549</v>
      </c>
      <c r="C561" s="16"/>
      <c r="D561" s="16" t="s">
        <v>358</v>
      </c>
      <c r="E561" s="16" t="s">
        <v>363</v>
      </c>
      <c r="F561" s="16" t="s">
        <v>359</v>
      </c>
      <c r="G561" s="17" t="n">
        <v>46288.7533680556</v>
      </c>
      <c r="H561" s="17" t="n">
        <v>46288.8137847222</v>
      </c>
      <c r="I561" s="18" t="n">
        <f aca="false">IF(H561="",ROUND((تنظیمات!$B$7-G561)*1440,0),ROUND((H561-G561)*1440,0))</f>
        <v>87</v>
      </c>
      <c r="J561" s="16" t="s">
        <v>334</v>
      </c>
      <c r="K561" s="16" t="s">
        <v>400</v>
      </c>
      <c r="L561" s="19" t="n">
        <v>0.942</v>
      </c>
      <c r="M561" s="19" t="n">
        <v>0.93</v>
      </c>
      <c r="N561" s="16" t="s">
        <v>335</v>
      </c>
      <c r="O561" s="16" t="s">
        <v>666</v>
      </c>
      <c r="P561" s="16" t="s">
        <v>420</v>
      </c>
      <c r="Q561" s="20" t="n">
        <v>46288</v>
      </c>
      <c r="R561" s="16" t="s">
        <v>2116</v>
      </c>
      <c r="S561" s="16" t="s">
        <v>404</v>
      </c>
      <c r="T561" s="17"/>
      <c r="U561" s="21" t="n">
        <v>1</v>
      </c>
      <c r="V561" s="21" t="n">
        <v>1</v>
      </c>
      <c r="W561" s="22" t="n">
        <v>5.4</v>
      </c>
      <c r="X561" s="16" t="s">
        <v>335</v>
      </c>
      <c r="Y561" s="16" t="s">
        <v>338</v>
      </c>
      <c r="Z561" s="16" t="s">
        <v>413</v>
      </c>
      <c r="AA561" s="16" t="s">
        <v>427</v>
      </c>
      <c r="AB561" s="23" t="s">
        <v>2117</v>
      </c>
      <c r="AC561" s="17" t="n">
        <v>46288.8133680556</v>
      </c>
      <c r="AD561" s="16" t="s">
        <v>338</v>
      </c>
      <c r="AE561" s="16"/>
      <c r="AF561" s="16" t="str">
        <f aca="false">IF(COUNTIF(لیست_سفید!$A$2:$A$21,B561)&gt;0,"بله","خیر")</f>
        <v>خیر</v>
      </c>
      <c r="AG561" s="24" t="n">
        <f aca="false">IF(H561="","",IF(AD561="فیش مفقودی",تنظیمات!$B$6,(INT(I561/1440)*تنظیمات!$B$5+IF(MOD(I561,1440)&lt;=تنظیمات!$B$2,0,MIN(تنظیمات!$B$5,تنظیمات!$B$3+MAX(0,ROUNDUP((MOD(I561,1440)-60)/60,0))*تنظیمات!$B$4)))*INDEX(تعرفه!$B$2:$B$7,MATCH(AD561,تعرفه!$A$2:$A$7,0))))</f>
        <v>34000</v>
      </c>
      <c r="AH561" s="24" t="n">
        <v>46000</v>
      </c>
      <c r="AI561" s="24" t="n">
        <f aca="false">IF(AG561="","",AH561-AG561)</f>
        <v>12000</v>
      </c>
      <c r="AJ561" s="21" t="n">
        <v>1</v>
      </c>
      <c r="AK561" s="21" t="n">
        <v>0</v>
      </c>
      <c r="AL561" s="16" t="s">
        <v>335</v>
      </c>
      <c r="AM561" s="16"/>
      <c r="AN561" s="16" t="s">
        <v>340</v>
      </c>
      <c r="AO561" s="16" t="s">
        <v>340</v>
      </c>
      <c r="AP561" s="16" t="s">
        <v>335</v>
      </c>
      <c r="AQ561" s="16"/>
      <c r="AR561" s="21" t="n">
        <f aca="false">IF(AND(T561&lt;&gt;"",H561&lt;&gt;""),IF(AND((T561-H561)*86400&gt;=0,(T561-H561)*86400&lt;تنظیمات!$B$13),1,0),0)</f>
        <v>0</v>
      </c>
      <c r="AS561" s="21" t="n">
        <f aca="false">IF(Z561="پوز",IF(OR(AB561="",COUNTIF(پوزها!$A$2:$A$5,AA561)=0),1,0),0)</f>
        <v>0</v>
      </c>
      <c r="AT561" s="21" t="n">
        <f aca="false">IF(AI561="",0,IF(AI561&gt;0,1,0))</f>
        <v>1</v>
      </c>
      <c r="AU561" s="21" t="n">
        <f aca="false">IF(AI561="",0,IF(AI561&lt;0,1,0))</f>
        <v>0</v>
      </c>
      <c r="AV561" s="21" t="n">
        <f aca="false">IF(U561&gt;V561,1,0)</f>
        <v>0</v>
      </c>
      <c r="AW561" s="21" t="n">
        <f aca="false">IF(OR(W561&gt;تنظیمات!$B$8,X561="بله"),1,0)</f>
        <v>0</v>
      </c>
      <c r="AX561" s="21" t="n">
        <f aca="false">IF(AND(N561="بله",L561&gt;تنظیمات!$B$9),1,0)</f>
        <v>0</v>
      </c>
      <c r="AY561" s="21" t="n">
        <f aca="false">IF(Y561="معکوس",1,0)</f>
        <v>0</v>
      </c>
      <c r="AZ561" s="21" t="n">
        <f aca="false">IF(ABS(AJ561)&gt;تنظیمات!$B$10,1,0)</f>
        <v>0</v>
      </c>
      <c r="BA561" s="21" t="n">
        <f aca="false">IF(AND(OR(AD561="رایگان/VIP",AD561="جانباز"),AF561="خیر"),1,0)</f>
        <v>0</v>
      </c>
      <c r="BB561" s="21" t="n">
        <f aca="false">IF(AE561="",0,IF(COUNTIF($AE$2:$AE$1001,AE561)&gt;1,1,0))</f>
        <v>0</v>
      </c>
      <c r="BC561" s="21" t="n">
        <f aca="false">IF(AND(H561="",I561&gt;تنظیمات!$B$12*60,AM561="خالی"),1,0)</f>
        <v>0</v>
      </c>
      <c r="BD561" s="21" t="n">
        <f aca="false">IF(AND(AP561="بله",I561&lt;تنظیمات!$B$14,AO561="خیر"),1,0)</f>
        <v>0</v>
      </c>
      <c r="BE561" s="21" t="n">
        <f aca="false">IF(AN561="خیر",1,0)</f>
        <v>0</v>
      </c>
      <c r="BF561" s="21" t="n">
        <f aca="false">IF(AND(AD561="فیش مفقودی",AQ561="بله",I561&gt;تنظیمات!$B$12*60),1,0)</f>
        <v>0</v>
      </c>
      <c r="BG561" s="21" t="n">
        <f aca="false">IF(AND(AK561&gt;تنظیمات!$B$11,AL561="بله"),1,0)</f>
        <v>0</v>
      </c>
      <c r="BH561" s="21" t="n">
        <f aca="false">MIN(100,AR561*تنظیمات!$B$21+AS561*تنظیمات!$B$22+AT561*تنظیمات!$B$23+AU561*تنظیمات!$B$24+AV561*تنظیمات!$B$25+AW561*تنظیمات!$B$26+AX561*تنظیمات!$B$27+AY561*تنظیمات!$B$28+AZ561*تنظیمات!$B$29+BA561*تنظیمات!$B$30+BB561*تنظیمات!$B$31+BC561*تنظیمات!$B$32+BD561*تنظیمات!$B$33+BE561*تنظیمات!$B$34+BF561*تنظیمات!$B$35+BG561*تنظیمات!$B$36)</f>
        <v>25</v>
      </c>
      <c r="BI561" s="16" t="str">
        <f aca="false">IF(BH561&gt;=60,"بحرانی",IF(BH561&gt;=30,"مشکوک",IF(BH561&gt;0,"هشدار","عادی")))</f>
        <v>هشدار</v>
      </c>
      <c r="BJ561" s="16" t="s">
        <v>922</v>
      </c>
    </row>
    <row r="562" customFormat="false" ht="15" hidden="false" customHeight="false" outlineLevel="0" collapsed="false">
      <c r="A562" s="16" t="s">
        <v>2118</v>
      </c>
      <c r="B562" s="16" t="s">
        <v>856</v>
      </c>
      <c r="C562" s="16"/>
      <c r="D562" s="16" t="s">
        <v>523</v>
      </c>
      <c r="E562" s="16" t="s">
        <v>390</v>
      </c>
      <c r="F562" s="16" t="s">
        <v>333</v>
      </c>
      <c r="G562" s="17" t="n">
        <v>46288.7951273148</v>
      </c>
      <c r="H562" s="17" t="n">
        <v>46288.8777662037</v>
      </c>
      <c r="I562" s="18" t="n">
        <f aca="false">IF(H562="",ROUND((تنظیمات!$B$7-G562)*1440,0),ROUND((H562-G562)*1440,0))</f>
        <v>119</v>
      </c>
      <c r="J562" s="16" t="s">
        <v>334</v>
      </c>
      <c r="K562" s="16" t="s">
        <v>410</v>
      </c>
      <c r="L562" s="19" t="n">
        <v>0.92</v>
      </c>
      <c r="M562" s="19" t="n">
        <v>0.923</v>
      </c>
      <c r="N562" s="16" t="s">
        <v>335</v>
      </c>
      <c r="O562" s="16" t="s">
        <v>677</v>
      </c>
      <c r="P562" s="16" t="s">
        <v>420</v>
      </c>
      <c r="Q562" s="20" t="n">
        <v>46288</v>
      </c>
      <c r="R562" s="16" t="s">
        <v>2119</v>
      </c>
      <c r="S562" s="16" t="s">
        <v>452</v>
      </c>
      <c r="T562" s="17" t="n">
        <v>46288.875625</v>
      </c>
      <c r="U562" s="21" t="n">
        <v>1</v>
      </c>
      <c r="V562" s="21" t="n">
        <v>1</v>
      </c>
      <c r="W562" s="22" t="n">
        <v>5.2</v>
      </c>
      <c r="X562" s="16" t="s">
        <v>335</v>
      </c>
      <c r="Y562" s="16" t="s">
        <v>338</v>
      </c>
      <c r="Z562" s="16" t="s">
        <v>413</v>
      </c>
      <c r="AA562" s="16" t="s">
        <v>414</v>
      </c>
      <c r="AB562" s="23" t="s">
        <v>2120</v>
      </c>
      <c r="AC562" s="17" t="n">
        <v>46288.8772916667</v>
      </c>
      <c r="AD562" s="16" t="s">
        <v>338</v>
      </c>
      <c r="AE562" s="16"/>
      <c r="AF562" s="16" t="str">
        <f aca="false">IF(COUNTIF(لیست_سفید!$A$2:$A$21,B562)&gt;0,"بله","خیر")</f>
        <v>خیر</v>
      </c>
      <c r="AG562" s="24" t="n">
        <f aca="false">IF(H562="","",IF(AD562="فیش مفقودی",تنظیمات!$B$6,(INT(I562/1440)*تنظیمات!$B$5+IF(MOD(I562,1440)&lt;=تنظیمات!$B$2,0,MIN(تنظیمات!$B$5,تنظیمات!$B$3+MAX(0,ROUNDUP((MOD(I562,1440)-60)/60,0))*تنظیمات!$B$4)))*INDEX(تعرفه!$B$2:$B$7,MATCH(AD562,تعرفه!$A$2:$A$7,0))))</f>
        <v>34000</v>
      </c>
      <c r="AH562" s="24" t="n">
        <v>34000</v>
      </c>
      <c r="AI562" s="24" t="n">
        <f aca="false">IF(AG562="","",AH562-AG562)</f>
        <v>0</v>
      </c>
      <c r="AJ562" s="21" t="n">
        <v>0</v>
      </c>
      <c r="AK562" s="21" t="n">
        <v>0</v>
      </c>
      <c r="AL562" s="16" t="s">
        <v>335</v>
      </c>
      <c r="AM562" s="16"/>
      <c r="AN562" s="16" t="s">
        <v>340</v>
      </c>
      <c r="AO562" s="16" t="s">
        <v>340</v>
      </c>
      <c r="AP562" s="16" t="s">
        <v>335</v>
      </c>
      <c r="AQ562" s="16"/>
      <c r="AR562" s="21" t="n">
        <f aca="false">IF(AND(T562&lt;&gt;"",H562&lt;&gt;""),IF(AND((T562-H562)*86400&gt;=0,(T562-H562)*86400&lt;تنظیمات!$B$13),1,0),0)</f>
        <v>0</v>
      </c>
      <c r="AS562" s="21" t="n">
        <f aca="false">IF(Z562="پوز",IF(OR(AB562="",COUNTIF(پوزها!$A$2:$A$5,AA562)=0),1,0),0)</f>
        <v>0</v>
      </c>
      <c r="AT562" s="21" t="n">
        <f aca="false">IF(AI562="",0,IF(AI562&gt;0,1,0))</f>
        <v>0</v>
      </c>
      <c r="AU562" s="21" t="n">
        <f aca="false">IF(AI562="",0,IF(AI562&lt;0,1,0))</f>
        <v>0</v>
      </c>
      <c r="AV562" s="21" t="n">
        <f aca="false">IF(U562&gt;V562,1,0)</f>
        <v>0</v>
      </c>
      <c r="AW562" s="21" t="n">
        <f aca="false">IF(OR(W562&gt;تنظیمات!$B$8,X562="بله"),1,0)</f>
        <v>0</v>
      </c>
      <c r="AX562" s="21" t="n">
        <f aca="false">IF(AND(N562="بله",L562&gt;تنظیمات!$B$9),1,0)</f>
        <v>0</v>
      </c>
      <c r="AY562" s="21" t="n">
        <f aca="false">IF(Y562="معکوس",1,0)</f>
        <v>0</v>
      </c>
      <c r="AZ562" s="21" t="n">
        <f aca="false">IF(ABS(AJ562)&gt;تنظیمات!$B$10,1,0)</f>
        <v>0</v>
      </c>
      <c r="BA562" s="21" t="n">
        <f aca="false">IF(AND(OR(AD562="رایگان/VIP",AD562="جانباز"),AF562="خیر"),1,0)</f>
        <v>0</v>
      </c>
      <c r="BB562" s="21" t="n">
        <f aca="false">IF(AE562="",0,IF(COUNTIF($AE$2:$AE$1001,AE562)&gt;1,1,0))</f>
        <v>0</v>
      </c>
      <c r="BC562" s="21" t="n">
        <f aca="false">IF(AND(H562="",I562&gt;تنظیمات!$B$12*60,AM562="خالی"),1,0)</f>
        <v>0</v>
      </c>
      <c r="BD562" s="21" t="n">
        <f aca="false">IF(AND(AP562="بله",I562&lt;تنظیمات!$B$14,AO562="خیر"),1,0)</f>
        <v>0</v>
      </c>
      <c r="BE562" s="21" t="n">
        <f aca="false">IF(AN562="خیر",1,0)</f>
        <v>0</v>
      </c>
      <c r="BF562" s="21" t="n">
        <f aca="false">IF(AND(AD562="فیش مفقودی",AQ562="بله",I562&gt;تنظیمات!$B$12*60),1,0)</f>
        <v>0</v>
      </c>
      <c r="BG562" s="21" t="n">
        <f aca="false">IF(AND(AK562&gt;تنظیمات!$B$11,AL562="بله"),1,0)</f>
        <v>0</v>
      </c>
      <c r="BH562" s="21" t="n">
        <f aca="false">MIN(100,AR562*تنظیمات!$B$21+AS562*تنظیمات!$B$22+AT562*تنظیمات!$B$23+AU562*تنظیمات!$B$24+AV562*تنظیمات!$B$25+AW562*تنظیمات!$B$26+AX562*تنظیمات!$B$27+AY562*تنظیمات!$B$28+AZ562*تنظیمات!$B$29+BA562*تنظیمات!$B$30+BB562*تنظیمات!$B$31+BC562*تنظیمات!$B$32+BD562*تنظیمات!$B$33+BE562*تنظیمات!$B$34+BF562*تنظیمات!$B$35+BG562*تنظیمات!$B$36)</f>
        <v>0</v>
      </c>
      <c r="BI562" s="16" t="str">
        <f aca="false">IF(BH562&gt;=60,"بحرانی",IF(BH562&gt;=30,"مشکوک",IF(BH562&gt;0,"هشدار","عادی")))</f>
        <v>عادی</v>
      </c>
      <c r="BJ562" s="16" t="s">
        <v>338</v>
      </c>
    </row>
    <row r="563" customFormat="false" ht="15" hidden="false" customHeight="false" outlineLevel="0" collapsed="false">
      <c r="A563" s="16" t="s">
        <v>2121</v>
      </c>
      <c r="B563" s="16" t="s">
        <v>1333</v>
      </c>
      <c r="C563" s="16"/>
      <c r="D563" s="16" t="s">
        <v>382</v>
      </c>
      <c r="E563" s="16" t="s">
        <v>390</v>
      </c>
      <c r="F563" s="16" t="s">
        <v>333</v>
      </c>
      <c r="G563" s="17" t="n">
        <v>46288.8099421296</v>
      </c>
      <c r="H563" s="17" t="n">
        <v>46288.8696643519</v>
      </c>
      <c r="I563" s="18" t="n">
        <f aca="false">IF(H563="",ROUND((تنظیمات!$B$7-G563)*1440,0),ROUND((H563-G563)*1440,0))</f>
        <v>86</v>
      </c>
      <c r="J563" s="16" t="s">
        <v>334</v>
      </c>
      <c r="K563" s="16" t="s">
        <v>410</v>
      </c>
      <c r="L563" s="19" t="n">
        <v>0.964</v>
      </c>
      <c r="M563" s="19" t="n">
        <v>0.946</v>
      </c>
      <c r="N563" s="16" t="s">
        <v>335</v>
      </c>
      <c r="O563" s="16" t="s">
        <v>677</v>
      </c>
      <c r="P563" s="16" t="s">
        <v>420</v>
      </c>
      <c r="Q563" s="20" t="n">
        <v>46288</v>
      </c>
      <c r="R563" s="16" t="s">
        <v>2122</v>
      </c>
      <c r="S563" s="16" t="s">
        <v>404</v>
      </c>
      <c r="T563" s="17"/>
      <c r="U563" s="21" t="n">
        <v>1</v>
      </c>
      <c r="V563" s="21" t="n">
        <v>1</v>
      </c>
      <c r="W563" s="22" t="n">
        <v>4.5</v>
      </c>
      <c r="X563" s="16" t="s">
        <v>335</v>
      </c>
      <c r="Y563" s="16" t="s">
        <v>338</v>
      </c>
      <c r="Z563" s="16" t="s">
        <v>413</v>
      </c>
      <c r="AA563" s="16" t="s">
        <v>414</v>
      </c>
      <c r="AB563" s="23" t="s">
        <v>2123</v>
      </c>
      <c r="AC563" s="17" t="n">
        <v>46288.8692939815</v>
      </c>
      <c r="AD563" s="16" t="s">
        <v>338</v>
      </c>
      <c r="AE563" s="16"/>
      <c r="AF563" s="16" t="str">
        <f aca="false">IF(COUNTIF(لیست_سفید!$A$2:$A$21,B563)&gt;0,"بله","خیر")</f>
        <v>خیر</v>
      </c>
      <c r="AG563" s="24" t="n">
        <f aca="false">IF(H563="","",IF(AD563="فیش مفقودی",تنظیمات!$B$6,(INT(I563/1440)*تنظیمات!$B$5+IF(MOD(I563,1440)&lt;=تنظیمات!$B$2,0,MIN(تنظیمات!$B$5,تنظیمات!$B$3+MAX(0,ROUNDUP((MOD(I563,1440)-60)/60,0))*تنظیمات!$B$4)))*INDEX(تعرفه!$B$2:$B$7,MATCH(AD563,تعرفه!$A$2:$A$7,0))))</f>
        <v>34000</v>
      </c>
      <c r="AH563" s="24" t="n">
        <v>34000</v>
      </c>
      <c r="AI563" s="24" t="n">
        <f aca="false">IF(AG563="","",AH563-AG563)</f>
        <v>0</v>
      </c>
      <c r="AJ563" s="21" t="n">
        <v>-1</v>
      </c>
      <c r="AK563" s="21" t="n">
        <v>0</v>
      </c>
      <c r="AL563" s="16" t="s">
        <v>335</v>
      </c>
      <c r="AM563" s="16"/>
      <c r="AN563" s="16" t="s">
        <v>340</v>
      </c>
      <c r="AO563" s="16" t="s">
        <v>340</v>
      </c>
      <c r="AP563" s="16" t="s">
        <v>335</v>
      </c>
      <c r="AQ563" s="16"/>
      <c r="AR563" s="21" t="n">
        <f aca="false">IF(AND(T563&lt;&gt;"",H563&lt;&gt;""),IF(AND((T563-H563)*86400&gt;=0,(T563-H563)*86400&lt;تنظیمات!$B$13),1,0),0)</f>
        <v>0</v>
      </c>
      <c r="AS563" s="21" t="n">
        <f aca="false">IF(Z563="پوز",IF(OR(AB563="",COUNTIF(پوزها!$A$2:$A$5,AA563)=0),1,0),0)</f>
        <v>0</v>
      </c>
      <c r="AT563" s="21" t="n">
        <f aca="false">IF(AI563="",0,IF(AI563&gt;0,1,0))</f>
        <v>0</v>
      </c>
      <c r="AU563" s="21" t="n">
        <f aca="false">IF(AI563="",0,IF(AI563&lt;0,1,0))</f>
        <v>0</v>
      </c>
      <c r="AV563" s="21" t="n">
        <f aca="false">IF(U563&gt;V563,1,0)</f>
        <v>0</v>
      </c>
      <c r="AW563" s="21" t="n">
        <f aca="false">IF(OR(W563&gt;تنظیمات!$B$8,X563="بله"),1,0)</f>
        <v>0</v>
      </c>
      <c r="AX563" s="21" t="n">
        <f aca="false">IF(AND(N563="بله",L563&gt;تنظیمات!$B$9),1,0)</f>
        <v>0</v>
      </c>
      <c r="AY563" s="21" t="n">
        <f aca="false">IF(Y563="معکوس",1,0)</f>
        <v>0</v>
      </c>
      <c r="AZ563" s="21" t="n">
        <f aca="false">IF(ABS(AJ563)&gt;تنظیمات!$B$10,1,0)</f>
        <v>0</v>
      </c>
      <c r="BA563" s="21" t="n">
        <f aca="false">IF(AND(OR(AD563="رایگان/VIP",AD563="جانباز"),AF563="خیر"),1,0)</f>
        <v>0</v>
      </c>
      <c r="BB563" s="21" t="n">
        <f aca="false">IF(AE563="",0,IF(COUNTIF($AE$2:$AE$1001,AE563)&gt;1,1,0))</f>
        <v>0</v>
      </c>
      <c r="BC563" s="21" t="n">
        <f aca="false">IF(AND(H563="",I563&gt;تنظیمات!$B$12*60,AM563="خالی"),1,0)</f>
        <v>0</v>
      </c>
      <c r="BD563" s="21" t="n">
        <f aca="false">IF(AND(AP563="بله",I563&lt;تنظیمات!$B$14,AO563="خیر"),1,0)</f>
        <v>0</v>
      </c>
      <c r="BE563" s="21" t="n">
        <f aca="false">IF(AN563="خیر",1,0)</f>
        <v>0</v>
      </c>
      <c r="BF563" s="21" t="n">
        <f aca="false">IF(AND(AD563="فیش مفقودی",AQ563="بله",I563&gt;تنظیمات!$B$12*60),1,0)</f>
        <v>0</v>
      </c>
      <c r="BG563" s="21" t="n">
        <f aca="false">IF(AND(AK563&gt;تنظیمات!$B$11,AL563="بله"),1,0)</f>
        <v>0</v>
      </c>
      <c r="BH563" s="21" t="n">
        <f aca="false">MIN(100,AR563*تنظیمات!$B$21+AS563*تنظیمات!$B$22+AT563*تنظیمات!$B$23+AU563*تنظیمات!$B$24+AV563*تنظیمات!$B$25+AW563*تنظیمات!$B$26+AX563*تنظیمات!$B$27+AY563*تنظیمات!$B$28+AZ563*تنظیمات!$B$29+BA563*تنظیمات!$B$30+BB563*تنظیمات!$B$31+BC563*تنظیمات!$B$32+BD563*تنظیمات!$B$33+BE563*تنظیمات!$B$34+BF563*تنظیمات!$B$35+BG563*تنظیمات!$B$36)</f>
        <v>0</v>
      </c>
      <c r="BI563" s="16" t="str">
        <f aca="false">IF(BH563&gt;=60,"بحرانی",IF(BH563&gt;=30,"مشکوک",IF(BH563&gt;0,"هشدار","عادی")))</f>
        <v>عادی</v>
      </c>
      <c r="BJ563" s="16" t="s">
        <v>338</v>
      </c>
    </row>
    <row r="564" customFormat="false" ht="15" hidden="false" customHeight="false" outlineLevel="0" collapsed="false">
      <c r="A564" s="16" t="s">
        <v>2124</v>
      </c>
      <c r="B564" s="16" t="s">
        <v>970</v>
      </c>
      <c r="C564" s="16"/>
      <c r="D564" s="16" t="s">
        <v>344</v>
      </c>
      <c r="E564" s="16" t="s">
        <v>375</v>
      </c>
      <c r="F564" s="16" t="s">
        <v>333</v>
      </c>
      <c r="G564" s="17" t="n">
        <v>46288.8152893519</v>
      </c>
      <c r="H564" s="17" t="n">
        <v>46288.9507060185</v>
      </c>
      <c r="I564" s="18" t="n">
        <f aca="false">IF(H564="",ROUND((تنظیمات!$B$7-G564)*1440,0),ROUND((H564-G564)*1440,0))</f>
        <v>195</v>
      </c>
      <c r="J564" s="16" t="s">
        <v>346</v>
      </c>
      <c r="K564" s="16" t="s">
        <v>400</v>
      </c>
      <c r="L564" s="19" t="n">
        <v>0.952</v>
      </c>
      <c r="M564" s="19" t="n">
        <v>0.934</v>
      </c>
      <c r="N564" s="16" t="s">
        <v>335</v>
      </c>
      <c r="O564" s="16" t="s">
        <v>425</v>
      </c>
      <c r="P564" s="16" t="s">
        <v>651</v>
      </c>
      <c r="Q564" s="20" t="n">
        <v>46288</v>
      </c>
      <c r="R564" s="16" t="s">
        <v>2125</v>
      </c>
      <c r="S564" s="16" t="s">
        <v>404</v>
      </c>
      <c r="T564" s="17"/>
      <c r="U564" s="21" t="n">
        <v>1</v>
      </c>
      <c r="V564" s="21" t="n">
        <v>1</v>
      </c>
      <c r="W564" s="22" t="n">
        <v>5</v>
      </c>
      <c r="X564" s="16" t="s">
        <v>335</v>
      </c>
      <c r="Y564" s="16" t="s">
        <v>338</v>
      </c>
      <c r="Z564" s="16" t="s">
        <v>413</v>
      </c>
      <c r="AA564" s="16" t="s">
        <v>427</v>
      </c>
      <c r="AB564" s="23" t="s">
        <v>2126</v>
      </c>
      <c r="AC564" s="17" t="n">
        <v>46288.9499884259</v>
      </c>
      <c r="AD564" s="16" t="s">
        <v>338</v>
      </c>
      <c r="AE564" s="16"/>
      <c r="AF564" s="16" t="str">
        <f aca="false">IF(COUNTIF(لیست_سفید!$A$2:$A$21,B564)&gt;0,"بله","خیر")</f>
        <v>خیر</v>
      </c>
      <c r="AG564" s="24" t="n">
        <f aca="false">IF(H564="","",IF(AD564="فیش مفقودی",تنظیمات!$B$6,(INT(I564/1440)*تنظیمات!$B$5+IF(MOD(I564,1440)&lt;=تنظیمات!$B$2,0,MIN(تنظیمات!$B$5,تنظیمات!$B$3+MAX(0,ROUNDUP((MOD(I564,1440)-60)/60,0))*تنظیمات!$B$4)))*INDEX(تعرفه!$B$2:$B$7,MATCH(AD564,تعرفه!$A$2:$A$7,0))))</f>
        <v>62000</v>
      </c>
      <c r="AH564" s="24" t="n">
        <v>62000</v>
      </c>
      <c r="AI564" s="24" t="n">
        <f aca="false">IF(AG564="","",AH564-AG564)</f>
        <v>0</v>
      </c>
      <c r="AJ564" s="21" t="n">
        <v>3</v>
      </c>
      <c r="AK564" s="21" t="n">
        <v>0</v>
      </c>
      <c r="AL564" s="16" t="s">
        <v>335</v>
      </c>
      <c r="AM564" s="16"/>
      <c r="AN564" s="16" t="s">
        <v>340</v>
      </c>
      <c r="AO564" s="16" t="s">
        <v>340</v>
      </c>
      <c r="AP564" s="16" t="s">
        <v>335</v>
      </c>
      <c r="AQ564" s="16"/>
      <c r="AR564" s="21" t="n">
        <f aca="false">IF(AND(T564&lt;&gt;"",H564&lt;&gt;""),IF(AND((T564-H564)*86400&gt;=0,(T564-H564)*86400&lt;تنظیمات!$B$13),1,0),0)</f>
        <v>0</v>
      </c>
      <c r="AS564" s="21" t="n">
        <f aca="false">IF(Z564="پوز",IF(OR(AB564="",COUNTIF(پوزها!$A$2:$A$5,AA564)=0),1,0),0)</f>
        <v>0</v>
      </c>
      <c r="AT564" s="21" t="n">
        <f aca="false">IF(AI564="",0,IF(AI564&gt;0,1,0))</f>
        <v>0</v>
      </c>
      <c r="AU564" s="21" t="n">
        <f aca="false">IF(AI564="",0,IF(AI564&lt;0,1,0))</f>
        <v>0</v>
      </c>
      <c r="AV564" s="21" t="n">
        <f aca="false">IF(U564&gt;V564,1,0)</f>
        <v>0</v>
      </c>
      <c r="AW564" s="21" t="n">
        <f aca="false">IF(OR(W564&gt;تنظیمات!$B$8,X564="بله"),1,0)</f>
        <v>0</v>
      </c>
      <c r="AX564" s="21" t="n">
        <f aca="false">IF(AND(N564="بله",L564&gt;تنظیمات!$B$9),1,0)</f>
        <v>0</v>
      </c>
      <c r="AY564" s="21" t="n">
        <f aca="false">IF(Y564="معکوس",1,0)</f>
        <v>0</v>
      </c>
      <c r="AZ564" s="21" t="n">
        <f aca="false">IF(ABS(AJ564)&gt;تنظیمات!$B$10,1,0)</f>
        <v>0</v>
      </c>
      <c r="BA564" s="21" t="n">
        <f aca="false">IF(AND(OR(AD564="رایگان/VIP",AD564="جانباز"),AF564="خیر"),1,0)</f>
        <v>0</v>
      </c>
      <c r="BB564" s="21" t="n">
        <f aca="false">IF(AE564="",0,IF(COUNTIF($AE$2:$AE$1001,AE564)&gt;1,1,0))</f>
        <v>0</v>
      </c>
      <c r="BC564" s="21" t="n">
        <f aca="false">IF(AND(H564="",I564&gt;تنظیمات!$B$12*60,AM564="خالی"),1,0)</f>
        <v>0</v>
      </c>
      <c r="BD564" s="21" t="n">
        <f aca="false">IF(AND(AP564="بله",I564&lt;تنظیمات!$B$14,AO564="خیر"),1,0)</f>
        <v>0</v>
      </c>
      <c r="BE564" s="21" t="n">
        <f aca="false">IF(AN564="خیر",1,0)</f>
        <v>0</v>
      </c>
      <c r="BF564" s="21" t="n">
        <f aca="false">IF(AND(AD564="فیش مفقودی",AQ564="بله",I564&gt;تنظیمات!$B$12*60),1,0)</f>
        <v>0</v>
      </c>
      <c r="BG564" s="21" t="n">
        <f aca="false">IF(AND(AK564&gt;تنظیمات!$B$11,AL564="بله"),1,0)</f>
        <v>0</v>
      </c>
      <c r="BH564" s="21" t="n">
        <f aca="false">MIN(100,AR564*تنظیمات!$B$21+AS564*تنظیمات!$B$22+AT564*تنظیمات!$B$23+AU564*تنظیمات!$B$24+AV564*تنظیمات!$B$25+AW564*تنظیمات!$B$26+AX564*تنظیمات!$B$27+AY564*تنظیمات!$B$28+AZ564*تنظیمات!$B$29+BA564*تنظیمات!$B$30+BB564*تنظیمات!$B$31+BC564*تنظیمات!$B$32+BD564*تنظیمات!$B$33+BE564*تنظیمات!$B$34+BF564*تنظیمات!$B$35+BG564*تنظیمات!$B$36)</f>
        <v>0</v>
      </c>
      <c r="BI564" s="16" t="str">
        <f aca="false">IF(BH564&gt;=60,"بحرانی",IF(BH564&gt;=30,"مشکوک",IF(BH564&gt;0,"هشدار","عادی")))</f>
        <v>عادی</v>
      </c>
      <c r="BJ564" s="16" t="s">
        <v>338</v>
      </c>
    </row>
    <row r="565" customFormat="false" ht="15" hidden="false" customHeight="false" outlineLevel="0" collapsed="false">
      <c r="A565" s="16" t="s">
        <v>2127</v>
      </c>
      <c r="B565" s="16" t="s">
        <v>2128</v>
      </c>
      <c r="C565" s="16"/>
      <c r="D565" s="16" t="s">
        <v>450</v>
      </c>
      <c r="E565" s="16" t="s">
        <v>332</v>
      </c>
      <c r="F565" s="16" t="s">
        <v>333</v>
      </c>
      <c r="G565" s="17" t="n">
        <v>46288.8165625</v>
      </c>
      <c r="H565" s="17" t="n">
        <v>46292.7318402778</v>
      </c>
      <c r="I565" s="18" t="n">
        <f aca="false">IF(H565="",ROUND((تنظیمات!$B$7-G565)*1440,0),ROUND((H565-G565)*1440,0))</f>
        <v>5638</v>
      </c>
      <c r="J565" s="16" t="s">
        <v>346</v>
      </c>
      <c r="K565" s="16" t="s">
        <v>410</v>
      </c>
      <c r="L565" s="19" t="n">
        <v>0.918</v>
      </c>
      <c r="M565" s="19" t="n">
        <v>0.97</v>
      </c>
      <c r="N565" s="16" t="s">
        <v>335</v>
      </c>
      <c r="O565" s="16" t="s">
        <v>401</v>
      </c>
      <c r="P565" s="16" t="s">
        <v>420</v>
      </c>
      <c r="Q565" s="20" t="n">
        <v>46292</v>
      </c>
      <c r="R565" s="16" t="s">
        <v>2129</v>
      </c>
      <c r="S565" s="16" t="s">
        <v>404</v>
      </c>
      <c r="T565" s="17"/>
      <c r="U565" s="21" t="n">
        <v>1</v>
      </c>
      <c r="V565" s="21" t="n">
        <v>1</v>
      </c>
      <c r="W565" s="22" t="n">
        <v>2.6</v>
      </c>
      <c r="X565" s="16" t="s">
        <v>335</v>
      </c>
      <c r="Y565" s="16" t="s">
        <v>338</v>
      </c>
      <c r="Z565" s="16" t="s">
        <v>405</v>
      </c>
      <c r="AA565" s="16"/>
      <c r="AB565" s="23"/>
      <c r="AC565" s="17"/>
      <c r="AD565" s="16" t="s">
        <v>406</v>
      </c>
      <c r="AE565" s="16"/>
      <c r="AF565" s="16" t="str">
        <f aca="false">IF(COUNTIF(لیست_سفید!$A$2:$A$21,B565)&gt;0,"بله","خیر")</f>
        <v>خیر</v>
      </c>
      <c r="AG565" s="24" t="n">
        <f aca="false">IF(H565="","",IF(AD565="فیش مفقودی",تنظیمات!$B$6,(INT(I565/1440)*تنظیمات!$B$5+IF(MOD(I565,1440)&lt;=تنظیمات!$B$2,0,MIN(تنظیمات!$B$5,تنظیمات!$B$3+MAX(0,ROUNDUP((MOD(I565,1440)-60)/60,0))*تنظیمات!$B$4)))*INDEX(تعرفه!$B$2:$B$7,MATCH(AD565,تعرفه!$A$2:$A$7,0))))</f>
        <v>300000</v>
      </c>
      <c r="AH565" s="24" t="n">
        <v>300000</v>
      </c>
      <c r="AI565" s="24" t="n">
        <f aca="false">IF(AG565="","",AH565-AG565)</f>
        <v>0</v>
      </c>
      <c r="AJ565" s="21" t="n">
        <v>-2</v>
      </c>
      <c r="AK565" s="21" t="n">
        <v>0</v>
      </c>
      <c r="AL565" s="16" t="s">
        <v>335</v>
      </c>
      <c r="AM565" s="16"/>
      <c r="AN565" s="16" t="s">
        <v>340</v>
      </c>
      <c r="AO565" s="16" t="s">
        <v>340</v>
      </c>
      <c r="AP565" s="16" t="s">
        <v>335</v>
      </c>
      <c r="AQ565" s="16" t="s">
        <v>340</v>
      </c>
      <c r="AR565" s="21" t="n">
        <f aca="false">IF(AND(T565&lt;&gt;"",H565&lt;&gt;""),IF(AND((T565-H565)*86400&gt;=0,(T565-H565)*86400&lt;تنظیمات!$B$13),1,0),0)</f>
        <v>0</v>
      </c>
      <c r="AS565" s="21" t="n">
        <f aca="false">IF(Z565="پوز",IF(OR(AB565="",COUNTIF(پوزها!$A$2:$A$5,AA565)=0),1,0),0)</f>
        <v>0</v>
      </c>
      <c r="AT565" s="21" t="n">
        <f aca="false">IF(AI565="",0,IF(AI565&gt;0,1,0))</f>
        <v>0</v>
      </c>
      <c r="AU565" s="21" t="n">
        <f aca="false">IF(AI565="",0,IF(AI565&lt;0,1,0))</f>
        <v>0</v>
      </c>
      <c r="AV565" s="21" t="n">
        <f aca="false">IF(U565&gt;V565,1,0)</f>
        <v>0</v>
      </c>
      <c r="AW565" s="21" t="n">
        <f aca="false">IF(OR(W565&gt;تنظیمات!$B$8,X565="بله"),1,0)</f>
        <v>0</v>
      </c>
      <c r="AX565" s="21" t="n">
        <f aca="false">IF(AND(N565="بله",L565&gt;تنظیمات!$B$9),1,0)</f>
        <v>0</v>
      </c>
      <c r="AY565" s="21" t="n">
        <f aca="false">IF(Y565="معکوس",1,0)</f>
        <v>0</v>
      </c>
      <c r="AZ565" s="21" t="n">
        <f aca="false">IF(ABS(AJ565)&gt;تنظیمات!$B$10,1,0)</f>
        <v>0</v>
      </c>
      <c r="BA565" s="21" t="n">
        <f aca="false">IF(AND(OR(AD565="رایگان/VIP",AD565="جانباز"),AF565="خیر"),1,0)</f>
        <v>0</v>
      </c>
      <c r="BB565" s="21" t="n">
        <f aca="false">IF(AE565="",0,IF(COUNTIF($AE$2:$AE$1001,AE565)&gt;1,1,0))</f>
        <v>0</v>
      </c>
      <c r="BC565" s="21" t="n">
        <f aca="false">IF(AND(H565="",I565&gt;تنظیمات!$B$12*60,AM565="خالی"),1,0)</f>
        <v>0</v>
      </c>
      <c r="BD565" s="21" t="n">
        <f aca="false">IF(AND(AP565="بله",I565&lt;تنظیمات!$B$14,AO565="خیر"),1,0)</f>
        <v>0</v>
      </c>
      <c r="BE565" s="21" t="n">
        <f aca="false">IF(AN565="خیر",1,0)</f>
        <v>0</v>
      </c>
      <c r="BF565" s="21" t="n">
        <f aca="false">IF(AND(AD565="فیش مفقودی",AQ565="بله",I565&gt;تنظیمات!$B$12*60),1,0)</f>
        <v>1</v>
      </c>
      <c r="BG565" s="21" t="n">
        <f aca="false">IF(AND(AK565&gt;تنظیمات!$B$11,AL565="بله"),1,0)</f>
        <v>0</v>
      </c>
      <c r="BH565" s="21" t="n">
        <f aca="false">MIN(100,AR565*تنظیمات!$B$21+AS565*تنظیمات!$B$22+AT565*تنظیمات!$B$23+AU565*تنظیمات!$B$24+AV565*تنظیمات!$B$25+AW565*تنظیمات!$B$26+AX565*تنظیمات!$B$27+AY565*تنظیمات!$B$28+AZ565*تنظیمات!$B$29+BA565*تنظیمات!$B$30+BB565*تنظیمات!$B$31+BC565*تنظیمات!$B$32+BD565*تنظیمات!$B$33+BE565*تنظیمات!$B$34+BF565*تنظیمات!$B$35+BG565*تنظیمات!$B$36)</f>
        <v>30</v>
      </c>
      <c r="BI565" s="16" t="str">
        <f aca="false">IF(BH565&gt;=60,"بحرانی",IF(BH565&gt;=30,"مشکوک",IF(BH565&gt;0,"هشدار","عادی")))</f>
        <v>مشکوک</v>
      </c>
      <c r="BJ565" s="16" t="s">
        <v>407</v>
      </c>
    </row>
    <row r="566" customFormat="false" ht="15" hidden="false" customHeight="false" outlineLevel="0" collapsed="false">
      <c r="A566" s="16" t="s">
        <v>2130</v>
      </c>
      <c r="B566" s="16" t="s">
        <v>1315</v>
      </c>
      <c r="C566" s="16"/>
      <c r="D566" s="16" t="s">
        <v>431</v>
      </c>
      <c r="E566" s="16" t="s">
        <v>345</v>
      </c>
      <c r="F566" s="16" t="s">
        <v>333</v>
      </c>
      <c r="G566" s="17" t="n">
        <v>46288.8184490741</v>
      </c>
      <c r="H566" s="17" t="n">
        <v>46288.8684490741</v>
      </c>
      <c r="I566" s="18" t="n">
        <f aca="false">IF(H566="",ROUND((تنظیمات!$B$7-G566)*1440,0),ROUND((H566-G566)*1440,0))</f>
        <v>72</v>
      </c>
      <c r="J566" s="16" t="s">
        <v>334</v>
      </c>
      <c r="K566" s="16" t="s">
        <v>410</v>
      </c>
      <c r="L566" s="19" t="n">
        <v>0.946</v>
      </c>
      <c r="M566" s="19" t="n">
        <v>0.995</v>
      </c>
      <c r="N566" s="16" t="s">
        <v>335</v>
      </c>
      <c r="O566" s="16" t="s">
        <v>677</v>
      </c>
      <c r="P566" s="16" t="s">
        <v>420</v>
      </c>
      <c r="Q566" s="20" t="n">
        <v>46288</v>
      </c>
      <c r="R566" s="16" t="s">
        <v>2131</v>
      </c>
      <c r="S566" s="16" t="s">
        <v>404</v>
      </c>
      <c r="T566" s="17"/>
      <c r="U566" s="21" t="n">
        <v>1</v>
      </c>
      <c r="V566" s="21" t="n">
        <v>1</v>
      </c>
      <c r="W566" s="22" t="n">
        <v>3.6</v>
      </c>
      <c r="X566" s="16" t="s">
        <v>335</v>
      </c>
      <c r="Y566" s="16" t="s">
        <v>338</v>
      </c>
      <c r="Z566" s="16" t="s">
        <v>405</v>
      </c>
      <c r="AA566" s="16"/>
      <c r="AB566" s="23"/>
      <c r="AC566" s="17"/>
      <c r="AD566" s="16" t="s">
        <v>338</v>
      </c>
      <c r="AE566" s="16"/>
      <c r="AF566" s="16" t="str">
        <f aca="false">IF(COUNTIF(لیست_سفید!$A$2:$A$21,B566)&gt;0,"بله","خیر")</f>
        <v>خیر</v>
      </c>
      <c r="AG566" s="24" t="n">
        <f aca="false">IF(H566="","",IF(AD566="فیش مفقودی",تنظیمات!$B$6,(INT(I566/1440)*تنظیمات!$B$5+IF(MOD(I566,1440)&lt;=تنظیمات!$B$2,0,MIN(تنظیمات!$B$5,تنظیمات!$B$3+MAX(0,ROUNDUP((MOD(I566,1440)-60)/60,0))*تنظیمات!$B$4)))*INDEX(تعرفه!$B$2:$B$7,MATCH(AD566,تعرفه!$A$2:$A$7,0))))</f>
        <v>34000</v>
      </c>
      <c r="AH566" s="24" t="n">
        <v>34000</v>
      </c>
      <c r="AI566" s="24" t="n">
        <f aca="false">IF(AG566="","",AH566-AG566)</f>
        <v>0</v>
      </c>
      <c r="AJ566" s="21" t="n">
        <v>0</v>
      </c>
      <c r="AK566" s="21" t="n">
        <v>0</v>
      </c>
      <c r="AL566" s="16" t="s">
        <v>335</v>
      </c>
      <c r="AM566" s="16"/>
      <c r="AN566" s="16" t="s">
        <v>340</v>
      </c>
      <c r="AO566" s="16" t="s">
        <v>340</v>
      </c>
      <c r="AP566" s="16" t="s">
        <v>335</v>
      </c>
      <c r="AQ566" s="16"/>
      <c r="AR566" s="21" t="n">
        <f aca="false">IF(AND(T566&lt;&gt;"",H566&lt;&gt;""),IF(AND((T566-H566)*86400&gt;=0,(T566-H566)*86400&lt;تنظیمات!$B$13),1,0),0)</f>
        <v>0</v>
      </c>
      <c r="AS566" s="21" t="n">
        <f aca="false">IF(Z566="پوز",IF(OR(AB566="",COUNTIF(پوزها!$A$2:$A$5,AA566)=0),1,0),0)</f>
        <v>0</v>
      </c>
      <c r="AT566" s="21" t="n">
        <f aca="false">IF(AI566="",0,IF(AI566&gt;0,1,0))</f>
        <v>0</v>
      </c>
      <c r="AU566" s="21" t="n">
        <f aca="false">IF(AI566="",0,IF(AI566&lt;0,1,0))</f>
        <v>0</v>
      </c>
      <c r="AV566" s="21" t="n">
        <f aca="false">IF(U566&gt;V566,1,0)</f>
        <v>0</v>
      </c>
      <c r="AW566" s="21" t="n">
        <f aca="false">IF(OR(W566&gt;تنظیمات!$B$8,X566="بله"),1,0)</f>
        <v>0</v>
      </c>
      <c r="AX566" s="21" t="n">
        <f aca="false">IF(AND(N566="بله",L566&gt;تنظیمات!$B$9),1,0)</f>
        <v>0</v>
      </c>
      <c r="AY566" s="21" t="n">
        <f aca="false">IF(Y566="معکوس",1,0)</f>
        <v>0</v>
      </c>
      <c r="AZ566" s="21" t="n">
        <f aca="false">IF(ABS(AJ566)&gt;تنظیمات!$B$10,1,0)</f>
        <v>0</v>
      </c>
      <c r="BA566" s="21" t="n">
        <f aca="false">IF(AND(OR(AD566="رایگان/VIP",AD566="جانباز"),AF566="خیر"),1,0)</f>
        <v>0</v>
      </c>
      <c r="BB566" s="21" t="n">
        <f aca="false">IF(AE566="",0,IF(COUNTIF($AE$2:$AE$1001,AE566)&gt;1,1,0))</f>
        <v>0</v>
      </c>
      <c r="BC566" s="21" t="n">
        <f aca="false">IF(AND(H566="",I566&gt;تنظیمات!$B$12*60,AM566="خالی"),1,0)</f>
        <v>0</v>
      </c>
      <c r="BD566" s="21" t="n">
        <f aca="false">IF(AND(AP566="بله",I566&lt;تنظیمات!$B$14,AO566="خیر"),1,0)</f>
        <v>0</v>
      </c>
      <c r="BE566" s="21" t="n">
        <f aca="false">IF(AN566="خیر",1,0)</f>
        <v>0</v>
      </c>
      <c r="BF566" s="21" t="n">
        <f aca="false">IF(AND(AD566="فیش مفقودی",AQ566="بله",I566&gt;تنظیمات!$B$12*60),1,0)</f>
        <v>0</v>
      </c>
      <c r="BG566" s="21" t="n">
        <f aca="false">IF(AND(AK566&gt;تنظیمات!$B$11,AL566="بله"),1,0)</f>
        <v>0</v>
      </c>
      <c r="BH566" s="21" t="n">
        <f aca="false">MIN(100,AR566*تنظیمات!$B$21+AS566*تنظیمات!$B$22+AT566*تنظیمات!$B$23+AU566*تنظیمات!$B$24+AV566*تنظیمات!$B$25+AW566*تنظیمات!$B$26+AX566*تنظیمات!$B$27+AY566*تنظیمات!$B$28+AZ566*تنظیمات!$B$29+BA566*تنظیمات!$B$30+BB566*تنظیمات!$B$31+BC566*تنظیمات!$B$32+BD566*تنظیمات!$B$33+BE566*تنظیمات!$B$34+BF566*تنظیمات!$B$35+BG566*تنظیمات!$B$36)</f>
        <v>0</v>
      </c>
      <c r="BI566" s="16" t="str">
        <f aca="false">IF(BH566&gt;=60,"بحرانی",IF(BH566&gt;=30,"مشکوک",IF(BH566&gt;0,"هشدار","عادی")))</f>
        <v>عادی</v>
      </c>
      <c r="BJ566" s="16" t="s">
        <v>338</v>
      </c>
    </row>
    <row r="567" customFormat="false" ht="15" hidden="false" customHeight="false" outlineLevel="0" collapsed="false">
      <c r="A567" s="16" t="s">
        <v>2132</v>
      </c>
      <c r="B567" s="16" t="s">
        <v>875</v>
      </c>
      <c r="C567" s="16"/>
      <c r="D567" s="16" t="s">
        <v>418</v>
      </c>
      <c r="E567" s="16" t="s">
        <v>332</v>
      </c>
      <c r="F567" s="16" t="s">
        <v>333</v>
      </c>
      <c r="G567" s="17" t="n">
        <v>46288.8190277778</v>
      </c>
      <c r="H567" s="17" t="n">
        <v>46288.8461111111</v>
      </c>
      <c r="I567" s="18" t="n">
        <f aca="false">IF(H567="",ROUND((تنظیمات!$B$7-G567)*1440,0),ROUND((H567-G567)*1440,0))</f>
        <v>39</v>
      </c>
      <c r="J567" s="16" t="s">
        <v>346</v>
      </c>
      <c r="K567" s="16" t="s">
        <v>400</v>
      </c>
      <c r="L567" s="19" t="n">
        <v>0.995</v>
      </c>
      <c r="M567" s="19" t="n">
        <v>0.944</v>
      </c>
      <c r="N567" s="16" t="s">
        <v>335</v>
      </c>
      <c r="O567" s="16" t="s">
        <v>666</v>
      </c>
      <c r="P567" s="16" t="s">
        <v>420</v>
      </c>
      <c r="Q567" s="20" t="n">
        <v>46288</v>
      </c>
      <c r="R567" s="16" t="s">
        <v>2133</v>
      </c>
      <c r="S567" s="16" t="s">
        <v>404</v>
      </c>
      <c r="T567" s="17"/>
      <c r="U567" s="21" t="n">
        <v>1</v>
      </c>
      <c r="V567" s="21" t="n">
        <v>1</v>
      </c>
      <c r="W567" s="22" t="n">
        <v>4.3</v>
      </c>
      <c r="X567" s="16" t="s">
        <v>335</v>
      </c>
      <c r="Y567" s="16" t="s">
        <v>338</v>
      </c>
      <c r="Z567" s="16" t="s">
        <v>413</v>
      </c>
      <c r="AA567" s="16" t="s">
        <v>427</v>
      </c>
      <c r="AB567" s="23" t="s">
        <v>2134</v>
      </c>
      <c r="AC567" s="17" t="n">
        <v>46288.845625</v>
      </c>
      <c r="AD567" s="16" t="s">
        <v>338</v>
      </c>
      <c r="AE567" s="16"/>
      <c r="AF567" s="16" t="str">
        <f aca="false">IF(COUNTIF(لیست_سفید!$A$2:$A$21,B567)&gt;0,"بله","خیر")</f>
        <v>خیر</v>
      </c>
      <c r="AG567" s="24" t="n">
        <f aca="false">IF(H567="","",IF(AD567="فیش مفقودی",تنظیمات!$B$6,(INT(I567/1440)*تنظیمات!$B$5+IF(MOD(I567,1440)&lt;=تنظیمات!$B$2,0,MIN(تنظیمات!$B$5,تنظیمات!$B$3+MAX(0,ROUNDUP((MOD(I567,1440)-60)/60,0))*تنظیمات!$B$4)))*INDEX(تعرفه!$B$2:$B$7,MATCH(AD567,تعرفه!$A$2:$A$7,0))))</f>
        <v>20000</v>
      </c>
      <c r="AH567" s="24" t="n">
        <v>20000</v>
      </c>
      <c r="AI567" s="24" t="n">
        <f aca="false">IF(AG567="","",AH567-AG567)</f>
        <v>0</v>
      </c>
      <c r="AJ567" s="21" t="n">
        <v>0</v>
      </c>
      <c r="AK567" s="21" t="n">
        <v>0</v>
      </c>
      <c r="AL567" s="16" t="s">
        <v>335</v>
      </c>
      <c r="AM567" s="16"/>
      <c r="AN567" s="16" t="s">
        <v>340</v>
      </c>
      <c r="AO567" s="16" t="s">
        <v>340</v>
      </c>
      <c r="AP567" s="16" t="s">
        <v>335</v>
      </c>
      <c r="AQ567" s="16"/>
      <c r="AR567" s="21" t="n">
        <f aca="false">IF(AND(T567&lt;&gt;"",H567&lt;&gt;""),IF(AND((T567-H567)*86400&gt;=0,(T567-H567)*86400&lt;تنظیمات!$B$13),1,0),0)</f>
        <v>0</v>
      </c>
      <c r="AS567" s="21" t="n">
        <f aca="false">IF(Z567="پوز",IF(OR(AB567="",COUNTIF(پوزها!$A$2:$A$5,AA567)=0),1,0),0)</f>
        <v>0</v>
      </c>
      <c r="AT567" s="21" t="n">
        <f aca="false">IF(AI567="",0,IF(AI567&gt;0,1,0))</f>
        <v>0</v>
      </c>
      <c r="AU567" s="21" t="n">
        <f aca="false">IF(AI567="",0,IF(AI567&lt;0,1,0))</f>
        <v>0</v>
      </c>
      <c r="AV567" s="21" t="n">
        <f aca="false">IF(U567&gt;V567,1,0)</f>
        <v>0</v>
      </c>
      <c r="AW567" s="21" t="n">
        <f aca="false">IF(OR(W567&gt;تنظیمات!$B$8,X567="بله"),1,0)</f>
        <v>0</v>
      </c>
      <c r="AX567" s="21" t="n">
        <f aca="false">IF(AND(N567="بله",L567&gt;تنظیمات!$B$9),1,0)</f>
        <v>0</v>
      </c>
      <c r="AY567" s="21" t="n">
        <f aca="false">IF(Y567="معکوس",1,0)</f>
        <v>0</v>
      </c>
      <c r="AZ567" s="21" t="n">
        <f aca="false">IF(ABS(AJ567)&gt;تنظیمات!$B$10,1,0)</f>
        <v>0</v>
      </c>
      <c r="BA567" s="21" t="n">
        <f aca="false">IF(AND(OR(AD567="رایگان/VIP",AD567="جانباز"),AF567="خیر"),1,0)</f>
        <v>0</v>
      </c>
      <c r="BB567" s="21" t="n">
        <f aca="false">IF(AE567="",0,IF(COUNTIF($AE$2:$AE$1001,AE567)&gt;1,1,0))</f>
        <v>0</v>
      </c>
      <c r="BC567" s="21" t="n">
        <f aca="false">IF(AND(H567="",I567&gt;تنظیمات!$B$12*60,AM567="خالی"),1,0)</f>
        <v>0</v>
      </c>
      <c r="BD567" s="21" t="n">
        <f aca="false">IF(AND(AP567="بله",I567&lt;تنظیمات!$B$14,AO567="خیر"),1,0)</f>
        <v>0</v>
      </c>
      <c r="BE567" s="21" t="n">
        <f aca="false">IF(AN567="خیر",1,0)</f>
        <v>0</v>
      </c>
      <c r="BF567" s="21" t="n">
        <f aca="false">IF(AND(AD567="فیش مفقودی",AQ567="بله",I567&gt;تنظیمات!$B$12*60),1,0)</f>
        <v>0</v>
      </c>
      <c r="BG567" s="21" t="n">
        <f aca="false">IF(AND(AK567&gt;تنظیمات!$B$11,AL567="بله"),1,0)</f>
        <v>0</v>
      </c>
      <c r="BH567" s="21" t="n">
        <f aca="false">MIN(100,AR567*تنظیمات!$B$21+AS567*تنظیمات!$B$22+AT567*تنظیمات!$B$23+AU567*تنظیمات!$B$24+AV567*تنظیمات!$B$25+AW567*تنظیمات!$B$26+AX567*تنظیمات!$B$27+AY567*تنظیمات!$B$28+AZ567*تنظیمات!$B$29+BA567*تنظیمات!$B$30+BB567*تنظیمات!$B$31+BC567*تنظیمات!$B$32+BD567*تنظیمات!$B$33+BE567*تنظیمات!$B$34+BF567*تنظیمات!$B$35+BG567*تنظیمات!$B$36)</f>
        <v>0</v>
      </c>
      <c r="BI567" s="16" t="str">
        <f aca="false">IF(BH567&gt;=60,"بحرانی",IF(BH567&gt;=30,"مشکوک",IF(BH567&gt;0,"هشدار","عادی")))</f>
        <v>عادی</v>
      </c>
      <c r="BJ567" s="16" t="s">
        <v>338</v>
      </c>
    </row>
    <row r="568" customFormat="false" ht="15" hidden="false" customHeight="false" outlineLevel="0" collapsed="false">
      <c r="A568" s="16" t="s">
        <v>2135</v>
      </c>
      <c r="B568" s="16" t="s">
        <v>1113</v>
      </c>
      <c r="C568" s="16"/>
      <c r="D568" s="16" t="s">
        <v>508</v>
      </c>
      <c r="E568" s="16" t="s">
        <v>332</v>
      </c>
      <c r="F568" s="16" t="s">
        <v>333</v>
      </c>
      <c r="G568" s="17" t="n">
        <v>46288.8206365741</v>
      </c>
      <c r="H568" s="17" t="n">
        <v>46288.9011921296</v>
      </c>
      <c r="I568" s="18" t="n">
        <f aca="false">IF(H568="",ROUND((تنظیمات!$B$7-G568)*1440,0),ROUND((H568-G568)*1440,0))</f>
        <v>116</v>
      </c>
      <c r="J568" s="16" t="s">
        <v>346</v>
      </c>
      <c r="K568" s="16" t="s">
        <v>400</v>
      </c>
      <c r="L568" s="19" t="n">
        <v>0.981</v>
      </c>
      <c r="M568" s="19" t="n">
        <v>0.995</v>
      </c>
      <c r="N568" s="16" t="s">
        <v>335</v>
      </c>
      <c r="O568" s="16" t="s">
        <v>666</v>
      </c>
      <c r="P568" s="16" t="s">
        <v>420</v>
      </c>
      <c r="Q568" s="20" t="n">
        <v>46288</v>
      </c>
      <c r="R568" s="16" t="s">
        <v>2136</v>
      </c>
      <c r="S568" s="16" t="s">
        <v>404</v>
      </c>
      <c r="T568" s="17"/>
      <c r="U568" s="21" t="n">
        <v>1</v>
      </c>
      <c r="V568" s="21" t="n">
        <v>1</v>
      </c>
      <c r="W568" s="22" t="n">
        <v>4.2</v>
      </c>
      <c r="X568" s="16" t="s">
        <v>335</v>
      </c>
      <c r="Y568" s="16" t="s">
        <v>338</v>
      </c>
      <c r="Z568" s="16" t="s">
        <v>413</v>
      </c>
      <c r="AA568" s="16" t="s">
        <v>427</v>
      </c>
      <c r="AB568" s="23" t="s">
        <v>2137</v>
      </c>
      <c r="AC568" s="17" t="n">
        <v>46288.900150463</v>
      </c>
      <c r="AD568" s="16" t="s">
        <v>338</v>
      </c>
      <c r="AE568" s="16"/>
      <c r="AF568" s="16" t="str">
        <f aca="false">IF(COUNTIF(لیست_سفید!$A$2:$A$21,B568)&gt;0,"بله","خیر")</f>
        <v>خیر</v>
      </c>
      <c r="AG568" s="24" t="n">
        <f aca="false">IF(H568="","",IF(AD568="فیش مفقودی",تنظیمات!$B$6,(INT(I568/1440)*تنظیمات!$B$5+IF(MOD(I568,1440)&lt;=تنظیمات!$B$2,0,MIN(تنظیمات!$B$5,تنظیمات!$B$3+MAX(0,ROUNDUP((MOD(I568,1440)-60)/60,0))*تنظیمات!$B$4)))*INDEX(تعرفه!$B$2:$B$7,MATCH(AD568,تعرفه!$A$2:$A$7,0))))</f>
        <v>34000</v>
      </c>
      <c r="AH568" s="24" t="n">
        <v>34000</v>
      </c>
      <c r="AI568" s="24" t="n">
        <f aca="false">IF(AG568="","",AH568-AG568)</f>
        <v>0</v>
      </c>
      <c r="AJ568" s="21" t="n">
        <v>0</v>
      </c>
      <c r="AK568" s="21" t="n">
        <v>0</v>
      </c>
      <c r="AL568" s="16" t="s">
        <v>335</v>
      </c>
      <c r="AM568" s="16"/>
      <c r="AN568" s="16" t="s">
        <v>340</v>
      </c>
      <c r="AO568" s="16" t="s">
        <v>340</v>
      </c>
      <c r="AP568" s="16" t="s">
        <v>335</v>
      </c>
      <c r="AQ568" s="16"/>
      <c r="AR568" s="21" t="n">
        <f aca="false">IF(AND(T568&lt;&gt;"",H568&lt;&gt;""),IF(AND((T568-H568)*86400&gt;=0,(T568-H568)*86400&lt;تنظیمات!$B$13),1,0),0)</f>
        <v>0</v>
      </c>
      <c r="AS568" s="21" t="n">
        <f aca="false">IF(Z568="پوز",IF(OR(AB568="",COUNTIF(پوزها!$A$2:$A$5,AA568)=0),1,0),0)</f>
        <v>0</v>
      </c>
      <c r="AT568" s="21" t="n">
        <f aca="false">IF(AI568="",0,IF(AI568&gt;0,1,0))</f>
        <v>0</v>
      </c>
      <c r="AU568" s="21" t="n">
        <f aca="false">IF(AI568="",0,IF(AI568&lt;0,1,0))</f>
        <v>0</v>
      </c>
      <c r="AV568" s="21" t="n">
        <f aca="false">IF(U568&gt;V568,1,0)</f>
        <v>0</v>
      </c>
      <c r="AW568" s="21" t="n">
        <f aca="false">IF(OR(W568&gt;تنظیمات!$B$8,X568="بله"),1,0)</f>
        <v>0</v>
      </c>
      <c r="AX568" s="21" t="n">
        <f aca="false">IF(AND(N568="بله",L568&gt;تنظیمات!$B$9),1,0)</f>
        <v>0</v>
      </c>
      <c r="AY568" s="21" t="n">
        <f aca="false">IF(Y568="معکوس",1,0)</f>
        <v>0</v>
      </c>
      <c r="AZ568" s="21" t="n">
        <f aca="false">IF(ABS(AJ568)&gt;تنظیمات!$B$10,1,0)</f>
        <v>0</v>
      </c>
      <c r="BA568" s="21" t="n">
        <f aca="false">IF(AND(OR(AD568="رایگان/VIP",AD568="جانباز"),AF568="خیر"),1,0)</f>
        <v>0</v>
      </c>
      <c r="BB568" s="21" t="n">
        <f aca="false">IF(AE568="",0,IF(COUNTIF($AE$2:$AE$1001,AE568)&gt;1,1,0))</f>
        <v>0</v>
      </c>
      <c r="BC568" s="21" t="n">
        <f aca="false">IF(AND(H568="",I568&gt;تنظیمات!$B$12*60,AM568="خالی"),1,0)</f>
        <v>0</v>
      </c>
      <c r="BD568" s="21" t="n">
        <f aca="false">IF(AND(AP568="بله",I568&lt;تنظیمات!$B$14,AO568="خیر"),1,0)</f>
        <v>0</v>
      </c>
      <c r="BE568" s="21" t="n">
        <f aca="false">IF(AN568="خیر",1,0)</f>
        <v>0</v>
      </c>
      <c r="BF568" s="21" t="n">
        <f aca="false">IF(AND(AD568="فیش مفقودی",AQ568="بله",I568&gt;تنظیمات!$B$12*60),1,0)</f>
        <v>0</v>
      </c>
      <c r="BG568" s="21" t="n">
        <f aca="false">IF(AND(AK568&gt;تنظیمات!$B$11,AL568="بله"),1,0)</f>
        <v>0</v>
      </c>
      <c r="BH568" s="21" t="n">
        <f aca="false">MIN(100,AR568*تنظیمات!$B$21+AS568*تنظیمات!$B$22+AT568*تنظیمات!$B$23+AU568*تنظیمات!$B$24+AV568*تنظیمات!$B$25+AW568*تنظیمات!$B$26+AX568*تنظیمات!$B$27+AY568*تنظیمات!$B$28+AZ568*تنظیمات!$B$29+BA568*تنظیمات!$B$30+BB568*تنظیمات!$B$31+BC568*تنظیمات!$B$32+BD568*تنظیمات!$B$33+BE568*تنظیمات!$B$34+BF568*تنظیمات!$B$35+BG568*تنظیمات!$B$36)</f>
        <v>0</v>
      </c>
      <c r="BI568" s="16" t="str">
        <f aca="false">IF(BH568&gt;=60,"بحرانی",IF(BH568&gt;=30,"مشکوک",IF(BH568&gt;0,"هشدار","عادی")))</f>
        <v>عادی</v>
      </c>
      <c r="BJ568" s="16" t="s">
        <v>338</v>
      </c>
    </row>
    <row r="569" customFormat="false" ht="15" hidden="false" customHeight="false" outlineLevel="0" collapsed="false">
      <c r="A569" s="16" t="s">
        <v>2138</v>
      </c>
      <c r="B569" s="16" t="s">
        <v>1245</v>
      </c>
      <c r="C569" s="16" t="s">
        <v>2139</v>
      </c>
      <c r="D569" s="16" t="s">
        <v>386</v>
      </c>
      <c r="E569" s="16" t="s">
        <v>345</v>
      </c>
      <c r="F569" s="16" t="s">
        <v>333</v>
      </c>
      <c r="G569" s="17" t="n">
        <v>46288.8770023148</v>
      </c>
      <c r="H569" s="17" t="n">
        <v>46289.0881134259</v>
      </c>
      <c r="I569" s="18" t="n">
        <f aca="false">IF(H569="",ROUND((تنظیمات!$B$7-G569)*1440,0),ROUND((H569-G569)*1440,0))</f>
        <v>304</v>
      </c>
      <c r="J569" s="16" t="s">
        <v>334</v>
      </c>
      <c r="K569" s="16" t="s">
        <v>400</v>
      </c>
      <c r="L569" s="19" t="n">
        <v>0.692</v>
      </c>
      <c r="M569" s="19" t="n">
        <v>0.931</v>
      </c>
      <c r="N569" s="16" t="s">
        <v>340</v>
      </c>
      <c r="O569" s="16" t="s">
        <v>425</v>
      </c>
      <c r="P569" s="16" t="s">
        <v>651</v>
      </c>
      <c r="Q569" s="20" t="n">
        <v>46288</v>
      </c>
      <c r="R569" s="16" t="s">
        <v>2140</v>
      </c>
      <c r="S569" s="16" t="s">
        <v>404</v>
      </c>
      <c r="T569" s="17"/>
      <c r="U569" s="21" t="n">
        <v>1</v>
      </c>
      <c r="V569" s="21" t="n">
        <v>1</v>
      </c>
      <c r="W569" s="22" t="n">
        <v>3.7</v>
      </c>
      <c r="X569" s="16" t="s">
        <v>335</v>
      </c>
      <c r="Y569" s="16" t="s">
        <v>338</v>
      </c>
      <c r="Z569" s="16" t="s">
        <v>413</v>
      </c>
      <c r="AA569" s="16" t="s">
        <v>427</v>
      </c>
      <c r="AB569" s="23" t="s">
        <v>2141</v>
      </c>
      <c r="AC569" s="17" t="n">
        <v>46289.0876967593</v>
      </c>
      <c r="AD569" s="16" t="s">
        <v>338</v>
      </c>
      <c r="AE569" s="16"/>
      <c r="AF569" s="16" t="str">
        <f aca="false">IF(COUNTIF(لیست_سفید!$A$2:$A$21,B569)&gt;0,"بله","خیر")</f>
        <v>خیر</v>
      </c>
      <c r="AG569" s="24" t="n">
        <f aca="false">IF(H569="","",IF(AD569="فیش مفقودی",تنظیمات!$B$6,(INT(I569/1440)*تنظیمات!$B$5+IF(MOD(I569,1440)&lt;=تنظیمات!$B$2,0,MIN(تنظیمات!$B$5,تنظیمات!$B$3+MAX(0,ROUNDUP((MOD(I569,1440)-60)/60,0))*تنظیمات!$B$4)))*INDEX(تعرفه!$B$2:$B$7,MATCH(AD569,تعرفه!$A$2:$A$7,0))))</f>
        <v>90000</v>
      </c>
      <c r="AH569" s="24" t="n">
        <v>90000</v>
      </c>
      <c r="AI569" s="24" t="n">
        <f aca="false">IF(AG569="","",AH569-AG569)</f>
        <v>0</v>
      </c>
      <c r="AJ569" s="21" t="n">
        <v>4</v>
      </c>
      <c r="AK569" s="21" t="n">
        <v>0</v>
      </c>
      <c r="AL569" s="16" t="s">
        <v>335</v>
      </c>
      <c r="AM569" s="16"/>
      <c r="AN569" s="16" t="s">
        <v>340</v>
      </c>
      <c r="AO569" s="16" t="s">
        <v>340</v>
      </c>
      <c r="AP569" s="16" t="s">
        <v>335</v>
      </c>
      <c r="AQ569" s="16"/>
      <c r="AR569" s="21" t="n">
        <f aca="false">IF(AND(T569&lt;&gt;"",H569&lt;&gt;""),IF(AND((T569-H569)*86400&gt;=0,(T569-H569)*86400&lt;تنظیمات!$B$13),1,0),0)</f>
        <v>0</v>
      </c>
      <c r="AS569" s="21" t="n">
        <f aca="false">IF(Z569="پوز",IF(OR(AB569="",COUNTIF(پوزها!$A$2:$A$5,AA569)=0),1,0),0)</f>
        <v>0</v>
      </c>
      <c r="AT569" s="21" t="n">
        <f aca="false">IF(AI569="",0,IF(AI569&gt;0,1,0))</f>
        <v>0</v>
      </c>
      <c r="AU569" s="21" t="n">
        <f aca="false">IF(AI569="",0,IF(AI569&lt;0,1,0))</f>
        <v>0</v>
      </c>
      <c r="AV569" s="21" t="n">
        <f aca="false">IF(U569&gt;V569,1,0)</f>
        <v>0</v>
      </c>
      <c r="AW569" s="21" t="n">
        <f aca="false">IF(OR(W569&gt;تنظیمات!$B$8,X569="بله"),1,0)</f>
        <v>0</v>
      </c>
      <c r="AX569" s="21" t="n">
        <f aca="false">IF(AND(N569="بله",L569&gt;تنظیمات!$B$9),1,0)</f>
        <v>0</v>
      </c>
      <c r="AY569" s="21" t="n">
        <f aca="false">IF(Y569="معکوس",1,0)</f>
        <v>0</v>
      </c>
      <c r="AZ569" s="21" t="n">
        <f aca="false">IF(ABS(AJ569)&gt;تنظیمات!$B$10,1,0)</f>
        <v>0</v>
      </c>
      <c r="BA569" s="21" t="n">
        <f aca="false">IF(AND(OR(AD569="رایگان/VIP",AD569="جانباز"),AF569="خیر"),1,0)</f>
        <v>0</v>
      </c>
      <c r="BB569" s="21" t="n">
        <f aca="false">IF(AE569="",0,IF(COUNTIF($AE$2:$AE$1001,AE569)&gt;1,1,0))</f>
        <v>0</v>
      </c>
      <c r="BC569" s="21" t="n">
        <f aca="false">IF(AND(H569="",I569&gt;تنظیمات!$B$12*60,AM569="خالی"),1,0)</f>
        <v>0</v>
      </c>
      <c r="BD569" s="21" t="n">
        <f aca="false">IF(AND(AP569="بله",I569&lt;تنظیمات!$B$14,AO569="خیر"),1,0)</f>
        <v>0</v>
      </c>
      <c r="BE569" s="21" t="n">
        <f aca="false">IF(AN569="خیر",1,0)</f>
        <v>0</v>
      </c>
      <c r="BF569" s="21" t="n">
        <f aca="false">IF(AND(AD569="فیش مفقودی",AQ569="بله",I569&gt;تنظیمات!$B$12*60),1,0)</f>
        <v>0</v>
      </c>
      <c r="BG569" s="21" t="n">
        <f aca="false">IF(AND(AK569&gt;تنظیمات!$B$11,AL569="بله"),1,0)</f>
        <v>0</v>
      </c>
      <c r="BH569" s="21" t="n">
        <f aca="false">MIN(100,AR569*تنظیمات!$B$21+AS569*تنظیمات!$B$22+AT569*تنظیمات!$B$23+AU569*تنظیمات!$B$24+AV569*تنظیمات!$B$25+AW569*تنظیمات!$B$26+AX569*تنظیمات!$B$27+AY569*تنظیمات!$B$28+AZ569*تنظیمات!$B$29+BA569*تنظیمات!$B$30+BB569*تنظیمات!$B$31+BC569*تنظیمات!$B$32+BD569*تنظیمات!$B$33+BE569*تنظیمات!$B$34+BF569*تنظیمات!$B$35+BG569*تنظیمات!$B$36)</f>
        <v>0</v>
      </c>
      <c r="BI569" s="16" t="str">
        <f aca="false">IF(BH569&gt;=60,"بحرانی",IF(BH569&gt;=30,"مشکوک",IF(BH569&gt;0,"هشدار","عادی")))</f>
        <v>عادی</v>
      </c>
      <c r="BJ569" s="16" t="s">
        <v>338</v>
      </c>
    </row>
    <row r="570" customFormat="false" ht="15" hidden="false" customHeight="false" outlineLevel="0" collapsed="false">
      <c r="A570" s="16" t="s">
        <v>2142</v>
      </c>
      <c r="B570" s="16" t="s">
        <v>1509</v>
      </c>
      <c r="C570" s="16"/>
      <c r="D570" s="16" t="s">
        <v>370</v>
      </c>
      <c r="E570" s="16" t="s">
        <v>363</v>
      </c>
      <c r="F570" s="16" t="s">
        <v>333</v>
      </c>
      <c r="G570" s="17" t="n">
        <v>46288.9311458333</v>
      </c>
      <c r="H570" s="17" t="n">
        <v>46289.5561458333</v>
      </c>
      <c r="I570" s="18" t="n">
        <f aca="false">IF(H570="",ROUND((تنظیمات!$B$7-G570)*1440,0),ROUND((H570-G570)*1440,0))</f>
        <v>900</v>
      </c>
      <c r="J570" s="16" t="s">
        <v>334</v>
      </c>
      <c r="K570" s="16" t="s">
        <v>400</v>
      </c>
      <c r="L570" s="19" t="n">
        <v>0.909</v>
      </c>
      <c r="M570" s="19" t="n">
        <v>0.966</v>
      </c>
      <c r="N570" s="16" t="s">
        <v>335</v>
      </c>
      <c r="O570" s="16" t="s">
        <v>441</v>
      </c>
      <c r="P570" s="16" t="s">
        <v>402</v>
      </c>
      <c r="Q570" s="20" t="n">
        <v>46289</v>
      </c>
      <c r="R570" s="16" t="s">
        <v>2143</v>
      </c>
      <c r="S570" s="16" t="s">
        <v>404</v>
      </c>
      <c r="T570" s="17"/>
      <c r="U570" s="21" t="n">
        <v>1</v>
      </c>
      <c r="V570" s="21" t="n">
        <v>1</v>
      </c>
      <c r="W570" s="22" t="n">
        <v>3.6</v>
      </c>
      <c r="X570" s="16" t="s">
        <v>335</v>
      </c>
      <c r="Y570" s="16" t="s">
        <v>338</v>
      </c>
      <c r="Z570" s="16" t="s">
        <v>413</v>
      </c>
      <c r="AA570" s="16" t="s">
        <v>427</v>
      </c>
      <c r="AB570" s="23" t="s">
        <v>2144</v>
      </c>
      <c r="AC570" s="17" t="n">
        <v>46289.555474537</v>
      </c>
      <c r="AD570" s="16" t="s">
        <v>338</v>
      </c>
      <c r="AE570" s="16"/>
      <c r="AF570" s="16" t="str">
        <f aca="false">IF(COUNTIF(لیست_سفید!$A$2:$A$21,B570)&gt;0,"بله","خیر")</f>
        <v>خیر</v>
      </c>
      <c r="AG570" s="24" t="n">
        <f aca="false">IF(H570="","",IF(AD570="فیش مفقودی",تنظیمات!$B$6,(INT(I570/1440)*تنظیمات!$B$5+IF(MOD(I570,1440)&lt;=تنظیمات!$B$2,0,MIN(تنظیمات!$B$5,تنظیمات!$B$3+MAX(0,ROUNDUP((MOD(I570,1440)-60)/60,0))*تنظیمات!$B$4)))*INDEX(تعرفه!$B$2:$B$7,MATCH(AD570,تعرفه!$A$2:$A$7,0))))</f>
        <v>180000</v>
      </c>
      <c r="AH570" s="24" t="n">
        <v>180000</v>
      </c>
      <c r="AI570" s="24" t="n">
        <f aca="false">IF(AG570="","",AH570-AG570)</f>
        <v>0</v>
      </c>
      <c r="AJ570" s="21" t="n">
        <v>-1</v>
      </c>
      <c r="AK570" s="21" t="n">
        <v>0</v>
      </c>
      <c r="AL570" s="16" t="s">
        <v>335</v>
      </c>
      <c r="AM570" s="16"/>
      <c r="AN570" s="16" t="s">
        <v>340</v>
      </c>
      <c r="AO570" s="16" t="s">
        <v>340</v>
      </c>
      <c r="AP570" s="16" t="s">
        <v>335</v>
      </c>
      <c r="AQ570" s="16"/>
      <c r="AR570" s="21" t="n">
        <f aca="false">IF(AND(T570&lt;&gt;"",H570&lt;&gt;""),IF(AND((T570-H570)*86400&gt;=0,(T570-H570)*86400&lt;تنظیمات!$B$13),1,0),0)</f>
        <v>0</v>
      </c>
      <c r="AS570" s="21" t="n">
        <f aca="false">IF(Z570="پوز",IF(OR(AB570="",COUNTIF(پوزها!$A$2:$A$5,AA570)=0),1,0),0)</f>
        <v>0</v>
      </c>
      <c r="AT570" s="21" t="n">
        <f aca="false">IF(AI570="",0,IF(AI570&gt;0,1,0))</f>
        <v>0</v>
      </c>
      <c r="AU570" s="21" t="n">
        <f aca="false">IF(AI570="",0,IF(AI570&lt;0,1,0))</f>
        <v>0</v>
      </c>
      <c r="AV570" s="21" t="n">
        <f aca="false">IF(U570&gt;V570,1,0)</f>
        <v>0</v>
      </c>
      <c r="AW570" s="21" t="n">
        <f aca="false">IF(OR(W570&gt;تنظیمات!$B$8,X570="بله"),1,0)</f>
        <v>0</v>
      </c>
      <c r="AX570" s="21" t="n">
        <f aca="false">IF(AND(N570="بله",L570&gt;تنظیمات!$B$9),1,0)</f>
        <v>0</v>
      </c>
      <c r="AY570" s="21" t="n">
        <f aca="false">IF(Y570="معکوس",1,0)</f>
        <v>0</v>
      </c>
      <c r="AZ570" s="21" t="n">
        <f aca="false">IF(ABS(AJ570)&gt;تنظیمات!$B$10,1,0)</f>
        <v>0</v>
      </c>
      <c r="BA570" s="21" t="n">
        <f aca="false">IF(AND(OR(AD570="رایگان/VIP",AD570="جانباز"),AF570="خیر"),1,0)</f>
        <v>0</v>
      </c>
      <c r="BB570" s="21" t="n">
        <f aca="false">IF(AE570="",0,IF(COUNTIF($AE$2:$AE$1001,AE570)&gt;1,1,0))</f>
        <v>0</v>
      </c>
      <c r="BC570" s="21" t="n">
        <f aca="false">IF(AND(H570="",I570&gt;تنظیمات!$B$12*60,AM570="خالی"),1,0)</f>
        <v>0</v>
      </c>
      <c r="BD570" s="21" t="n">
        <f aca="false">IF(AND(AP570="بله",I570&lt;تنظیمات!$B$14,AO570="خیر"),1,0)</f>
        <v>0</v>
      </c>
      <c r="BE570" s="21" t="n">
        <f aca="false">IF(AN570="خیر",1,0)</f>
        <v>0</v>
      </c>
      <c r="BF570" s="21" t="n">
        <f aca="false">IF(AND(AD570="فیش مفقودی",AQ570="بله",I570&gt;تنظیمات!$B$12*60),1,0)</f>
        <v>0</v>
      </c>
      <c r="BG570" s="21" t="n">
        <f aca="false">IF(AND(AK570&gt;تنظیمات!$B$11,AL570="بله"),1,0)</f>
        <v>0</v>
      </c>
      <c r="BH570" s="21" t="n">
        <f aca="false">MIN(100,AR570*تنظیمات!$B$21+AS570*تنظیمات!$B$22+AT570*تنظیمات!$B$23+AU570*تنظیمات!$B$24+AV570*تنظیمات!$B$25+AW570*تنظیمات!$B$26+AX570*تنظیمات!$B$27+AY570*تنظیمات!$B$28+AZ570*تنظیمات!$B$29+BA570*تنظیمات!$B$30+BB570*تنظیمات!$B$31+BC570*تنظیمات!$B$32+BD570*تنظیمات!$B$33+BE570*تنظیمات!$B$34+BF570*تنظیمات!$B$35+BG570*تنظیمات!$B$36)</f>
        <v>0</v>
      </c>
      <c r="BI570" s="16" t="str">
        <f aca="false">IF(BH570&gt;=60,"بحرانی",IF(BH570&gt;=30,"مشکوک",IF(BH570&gt;0,"هشدار","عادی")))</f>
        <v>عادی</v>
      </c>
      <c r="BJ570" s="16" t="s">
        <v>338</v>
      </c>
    </row>
    <row r="571" customFormat="false" ht="15" hidden="false" customHeight="false" outlineLevel="0" collapsed="false">
      <c r="A571" s="16" t="s">
        <v>2145</v>
      </c>
      <c r="B571" s="16" t="s">
        <v>2146</v>
      </c>
      <c r="C571" s="16"/>
      <c r="D571" s="16" t="s">
        <v>418</v>
      </c>
      <c r="E571" s="16" t="s">
        <v>332</v>
      </c>
      <c r="F571" s="16" t="s">
        <v>333</v>
      </c>
      <c r="G571" s="17" t="n">
        <v>46288.9314583333</v>
      </c>
      <c r="H571" s="17" t="n">
        <v>46289.1099305556</v>
      </c>
      <c r="I571" s="18" t="n">
        <f aca="false">IF(H571="",ROUND((تنظیمات!$B$7-G571)*1440,0),ROUND((H571-G571)*1440,0))</f>
        <v>257</v>
      </c>
      <c r="J571" s="16" t="s">
        <v>334</v>
      </c>
      <c r="K571" s="16" t="s">
        <v>400</v>
      </c>
      <c r="L571" s="19" t="n">
        <v>0.939</v>
      </c>
      <c r="M571" s="19" t="n">
        <v>0.995</v>
      </c>
      <c r="N571" s="16" t="s">
        <v>335</v>
      </c>
      <c r="O571" s="16" t="s">
        <v>425</v>
      </c>
      <c r="P571" s="16" t="s">
        <v>651</v>
      </c>
      <c r="Q571" s="20" t="n">
        <v>46288</v>
      </c>
      <c r="R571" s="16" t="s">
        <v>2147</v>
      </c>
      <c r="S571" s="16" t="s">
        <v>404</v>
      </c>
      <c r="T571" s="17"/>
      <c r="U571" s="21" t="n">
        <v>1</v>
      </c>
      <c r="V571" s="21" t="n">
        <v>1</v>
      </c>
      <c r="W571" s="22" t="n">
        <v>5</v>
      </c>
      <c r="X571" s="16" t="s">
        <v>335</v>
      </c>
      <c r="Y571" s="16" t="s">
        <v>338</v>
      </c>
      <c r="Z571" s="16" t="s">
        <v>443</v>
      </c>
      <c r="AA571" s="16"/>
      <c r="AB571" s="23"/>
      <c r="AC571" s="17"/>
      <c r="AD571" s="16" t="s">
        <v>444</v>
      </c>
      <c r="AE571" s="16"/>
      <c r="AF571" s="16" t="str">
        <f aca="false">IF(COUNTIF(لیست_سفید!$A$2:$A$21,B571)&gt;0,"بله","خیر")</f>
        <v>خیر</v>
      </c>
      <c r="AG571" s="24" t="n">
        <f aca="false">IF(H571="","",IF(AD571="فیش مفقودی",تنظیمات!$B$6,(INT(I571/1440)*تنظیمات!$B$5+IF(MOD(I571,1440)&lt;=تنظیمات!$B$2,0,MIN(تنظیمات!$B$5,تنظیمات!$B$3+MAX(0,ROUNDUP((MOD(I571,1440)-60)/60,0))*تنظیمات!$B$4)))*INDEX(تعرفه!$B$2:$B$7,MATCH(AD571,تعرفه!$A$2:$A$7,0))))</f>
        <v>0</v>
      </c>
      <c r="AH571" s="24" t="n">
        <v>0</v>
      </c>
      <c r="AI571" s="24" t="n">
        <f aca="false">IF(AG571="","",AH571-AG571)</f>
        <v>0</v>
      </c>
      <c r="AJ571" s="21" t="n">
        <v>-3</v>
      </c>
      <c r="AK571" s="21" t="n">
        <v>0</v>
      </c>
      <c r="AL571" s="16" t="s">
        <v>335</v>
      </c>
      <c r="AM571" s="16"/>
      <c r="AN571" s="16" t="s">
        <v>340</v>
      </c>
      <c r="AO571" s="16" t="s">
        <v>340</v>
      </c>
      <c r="AP571" s="16" t="s">
        <v>335</v>
      </c>
      <c r="AQ571" s="16"/>
      <c r="AR571" s="21" t="n">
        <f aca="false">IF(AND(T571&lt;&gt;"",H571&lt;&gt;""),IF(AND((T571-H571)*86400&gt;=0,(T571-H571)*86400&lt;تنظیمات!$B$13),1,0),0)</f>
        <v>0</v>
      </c>
      <c r="AS571" s="21" t="n">
        <f aca="false">IF(Z571="پوز",IF(OR(AB571="",COUNTIF(پوزها!$A$2:$A$5,AA571)=0),1,0),0)</f>
        <v>0</v>
      </c>
      <c r="AT571" s="21" t="n">
        <f aca="false">IF(AI571="",0,IF(AI571&gt;0,1,0))</f>
        <v>0</v>
      </c>
      <c r="AU571" s="21" t="n">
        <f aca="false">IF(AI571="",0,IF(AI571&lt;0,1,0))</f>
        <v>0</v>
      </c>
      <c r="AV571" s="21" t="n">
        <f aca="false">IF(U571&gt;V571,1,0)</f>
        <v>0</v>
      </c>
      <c r="AW571" s="21" t="n">
        <f aca="false">IF(OR(W571&gt;تنظیمات!$B$8,X571="بله"),1,0)</f>
        <v>0</v>
      </c>
      <c r="AX571" s="21" t="n">
        <f aca="false">IF(AND(N571="بله",L571&gt;تنظیمات!$B$9),1,0)</f>
        <v>0</v>
      </c>
      <c r="AY571" s="21" t="n">
        <f aca="false">IF(Y571="معکوس",1,0)</f>
        <v>0</v>
      </c>
      <c r="AZ571" s="21" t="n">
        <f aca="false">IF(ABS(AJ571)&gt;تنظیمات!$B$10,1,0)</f>
        <v>0</v>
      </c>
      <c r="BA571" s="21" t="n">
        <f aca="false">IF(AND(OR(AD571="رایگان/VIP",AD571="جانباز"),AF571="خیر"),1,0)</f>
        <v>0</v>
      </c>
      <c r="BB571" s="21" t="n">
        <f aca="false">IF(AE571="",0,IF(COUNTIF($AE$2:$AE$1001,AE571)&gt;1,1,0))</f>
        <v>0</v>
      </c>
      <c r="BC571" s="21" t="n">
        <f aca="false">IF(AND(H571="",I571&gt;تنظیمات!$B$12*60,AM571="خالی"),1,0)</f>
        <v>0</v>
      </c>
      <c r="BD571" s="21" t="n">
        <f aca="false">IF(AND(AP571="بله",I571&lt;تنظیمات!$B$14,AO571="خیر"),1,0)</f>
        <v>0</v>
      </c>
      <c r="BE571" s="21" t="n">
        <f aca="false">IF(AN571="خیر",1,0)</f>
        <v>0</v>
      </c>
      <c r="BF571" s="21" t="n">
        <f aca="false">IF(AND(AD571="فیش مفقودی",AQ571="بله",I571&gt;تنظیمات!$B$12*60),1,0)</f>
        <v>0</v>
      </c>
      <c r="BG571" s="21" t="n">
        <f aca="false">IF(AND(AK571&gt;تنظیمات!$B$11,AL571="بله"),1,0)</f>
        <v>0</v>
      </c>
      <c r="BH571" s="21" t="n">
        <f aca="false">MIN(100,AR571*تنظیمات!$B$21+AS571*تنظیمات!$B$22+AT571*تنظیمات!$B$23+AU571*تنظیمات!$B$24+AV571*تنظیمات!$B$25+AW571*تنظیمات!$B$26+AX571*تنظیمات!$B$27+AY571*تنظیمات!$B$28+AZ571*تنظیمات!$B$29+BA571*تنظیمات!$B$30+BB571*تنظیمات!$B$31+BC571*تنظیمات!$B$32+BD571*تنظیمات!$B$33+BE571*تنظیمات!$B$34+BF571*تنظیمات!$B$35+BG571*تنظیمات!$B$36)</f>
        <v>0</v>
      </c>
      <c r="BI571" s="16" t="str">
        <f aca="false">IF(BH571&gt;=60,"بحرانی",IF(BH571&gt;=30,"مشکوک",IF(BH571&gt;0,"هشدار","عادی")))</f>
        <v>عادی</v>
      </c>
      <c r="BJ571" s="16" t="s">
        <v>338</v>
      </c>
    </row>
    <row r="572" customFormat="false" ht="15" hidden="false" customHeight="false" outlineLevel="0" collapsed="false">
      <c r="A572" s="16" t="s">
        <v>2148</v>
      </c>
      <c r="B572" s="16" t="s">
        <v>770</v>
      </c>
      <c r="C572" s="16"/>
      <c r="D572" s="16" t="s">
        <v>431</v>
      </c>
      <c r="E572" s="16" t="s">
        <v>375</v>
      </c>
      <c r="F572" s="16" t="s">
        <v>333</v>
      </c>
      <c r="G572" s="17" t="n">
        <v>46289.0090740741</v>
      </c>
      <c r="H572" s="17" t="n">
        <v>46289.3951851852</v>
      </c>
      <c r="I572" s="18" t="n">
        <f aca="false">IF(H572="",ROUND((تنظیمات!$B$7-G572)*1440,0),ROUND((H572-G572)*1440,0))</f>
        <v>556</v>
      </c>
      <c r="J572" s="16" t="s">
        <v>334</v>
      </c>
      <c r="K572" s="16" t="s">
        <v>400</v>
      </c>
      <c r="L572" s="19" t="n">
        <v>0.96</v>
      </c>
      <c r="M572" s="19" t="n">
        <v>0.933</v>
      </c>
      <c r="N572" s="16" t="s">
        <v>335</v>
      </c>
      <c r="O572" s="16" t="s">
        <v>441</v>
      </c>
      <c r="P572" s="16" t="s">
        <v>402</v>
      </c>
      <c r="Q572" s="20" t="n">
        <v>46289</v>
      </c>
      <c r="R572" s="16" t="s">
        <v>2149</v>
      </c>
      <c r="S572" s="16" t="s">
        <v>404</v>
      </c>
      <c r="T572" s="17"/>
      <c r="U572" s="21" t="n">
        <v>1</v>
      </c>
      <c r="V572" s="21" t="n">
        <v>1</v>
      </c>
      <c r="W572" s="22" t="n">
        <v>5.7</v>
      </c>
      <c r="X572" s="16" t="s">
        <v>335</v>
      </c>
      <c r="Y572" s="16" t="s">
        <v>338</v>
      </c>
      <c r="Z572" s="16" t="s">
        <v>443</v>
      </c>
      <c r="AA572" s="16"/>
      <c r="AB572" s="23"/>
      <c r="AC572" s="17"/>
      <c r="AD572" s="16" t="s">
        <v>444</v>
      </c>
      <c r="AE572" s="16"/>
      <c r="AF572" s="16" t="str">
        <f aca="false">IF(COUNTIF(لیست_سفید!$A$2:$A$21,B572)&gt;0,"بله","خیر")</f>
        <v>خیر</v>
      </c>
      <c r="AG572" s="24" t="n">
        <f aca="false">IF(H572="","",IF(AD572="فیش مفقودی",تنظیمات!$B$6,(INT(I572/1440)*تنظیمات!$B$5+IF(MOD(I572,1440)&lt;=تنظیمات!$B$2,0,MIN(تنظیمات!$B$5,تنظیمات!$B$3+MAX(0,ROUNDUP((MOD(I572,1440)-60)/60,0))*تنظیمات!$B$4)))*INDEX(تعرفه!$B$2:$B$7,MATCH(AD572,تعرفه!$A$2:$A$7,0))))</f>
        <v>0</v>
      </c>
      <c r="AH572" s="24" t="n">
        <v>0</v>
      </c>
      <c r="AI572" s="24" t="n">
        <f aca="false">IF(AG572="","",AH572-AG572)</f>
        <v>0</v>
      </c>
      <c r="AJ572" s="21" t="n">
        <v>0</v>
      </c>
      <c r="AK572" s="21" t="n">
        <v>0</v>
      </c>
      <c r="AL572" s="16" t="s">
        <v>335</v>
      </c>
      <c r="AM572" s="16"/>
      <c r="AN572" s="16" t="s">
        <v>340</v>
      </c>
      <c r="AO572" s="16" t="s">
        <v>340</v>
      </c>
      <c r="AP572" s="16" t="s">
        <v>335</v>
      </c>
      <c r="AQ572" s="16"/>
      <c r="AR572" s="21" t="n">
        <f aca="false">IF(AND(T572&lt;&gt;"",H572&lt;&gt;""),IF(AND((T572-H572)*86400&gt;=0,(T572-H572)*86400&lt;تنظیمات!$B$13),1,0),0)</f>
        <v>0</v>
      </c>
      <c r="AS572" s="21" t="n">
        <f aca="false">IF(Z572="پوز",IF(OR(AB572="",COUNTIF(پوزها!$A$2:$A$5,AA572)=0),1,0),0)</f>
        <v>0</v>
      </c>
      <c r="AT572" s="21" t="n">
        <f aca="false">IF(AI572="",0,IF(AI572&gt;0,1,0))</f>
        <v>0</v>
      </c>
      <c r="AU572" s="21" t="n">
        <f aca="false">IF(AI572="",0,IF(AI572&lt;0,1,0))</f>
        <v>0</v>
      </c>
      <c r="AV572" s="21" t="n">
        <f aca="false">IF(U572&gt;V572,1,0)</f>
        <v>0</v>
      </c>
      <c r="AW572" s="21" t="n">
        <f aca="false">IF(OR(W572&gt;تنظیمات!$B$8,X572="بله"),1,0)</f>
        <v>0</v>
      </c>
      <c r="AX572" s="21" t="n">
        <f aca="false">IF(AND(N572="بله",L572&gt;تنظیمات!$B$9),1,0)</f>
        <v>0</v>
      </c>
      <c r="AY572" s="21" t="n">
        <f aca="false">IF(Y572="معکوس",1,0)</f>
        <v>0</v>
      </c>
      <c r="AZ572" s="21" t="n">
        <f aca="false">IF(ABS(AJ572)&gt;تنظیمات!$B$10,1,0)</f>
        <v>0</v>
      </c>
      <c r="BA572" s="21" t="n">
        <f aca="false">IF(AND(OR(AD572="رایگان/VIP",AD572="جانباز"),AF572="خیر"),1,0)</f>
        <v>0</v>
      </c>
      <c r="BB572" s="21" t="n">
        <f aca="false">IF(AE572="",0,IF(COUNTIF($AE$2:$AE$1001,AE572)&gt;1,1,0))</f>
        <v>0</v>
      </c>
      <c r="BC572" s="21" t="n">
        <f aca="false">IF(AND(H572="",I572&gt;تنظیمات!$B$12*60,AM572="خالی"),1,0)</f>
        <v>0</v>
      </c>
      <c r="BD572" s="21" t="n">
        <f aca="false">IF(AND(AP572="بله",I572&lt;تنظیمات!$B$14,AO572="خیر"),1,0)</f>
        <v>0</v>
      </c>
      <c r="BE572" s="21" t="n">
        <f aca="false">IF(AN572="خیر",1,0)</f>
        <v>0</v>
      </c>
      <c r="BF572" s="21" t="n">
        <f aca="false">IF(AND(AD572="فیش مفقودی",AQ572="بله",I572&gt;تنظیمات!$B$12*60),1,0)</f>
        <v>0</v>
      </c>
      <c r="BG572" s="21" t="n">
        <f aca="false">IF(AND(AK572&gt;تنظیمات!$B$11,AL572="بله"),1,0)</f>
        <v>0</v>
      </c>
      <c r="BH572" s="21" t="n">
        <f aca="false">MIN(100,AR572*تنظیمات!$B$21+AS572*تنظیمات!$B$22+AT572*تنظیمات!$B$23+AU572*تنظیمات!$B$24+AV572*تنظیمات!$B$25+AW572*تنظیمات!$B$26+AX572*تنظیمات!$B$27+AY572*تنظیمات!$B$28+AZ572*تنظیمات!$B$29+BA572*تنظیمات!$B$30+BB572*تنظیمات!$B$31+BC572*تنظیمات!$B$32+BD572*تنظیمات!$B$33+BE572*تنظیمات!$B$34+BF572*تنظیمات!$B$35+BG572*تنظیمات!$B$36)</f>
        <v>0</v>
      </c>
      <c r="BI572" s="16" t="str">
        <f aca="false">IF(BH572&gt;=60,"بحرانی",IF(BH572&gt;=30,"مشکوک",IF(BH572&gt;0,"هشدار","عادی")))</f>
        <v>عادی</v>
      </c>
      <c r="BJ572" s="16" t="s">
        <v>338</v>
      </c>
    </row>
    <row r="573" customFormat="false" ht="15" hidden="false" customHeight="false" outlineLevel="0" collapsed="false">
      <c r="A573" s="16" t="s">
        <v>2150</v>
      </c>
      <c r="B573" s="16" t="s">
        <v>1781</v>
      </c>
      <c r="C573" s="16"/>
      <c r="D573" s="16" t="s">
        <v>386</v>
      </c>
      <c r="E573" s="16" t="s">
        <v>390</v>
      </c>
      <c r="F573" s="16" t="s">
        <v>333</v>
      </c>
      <c r="G573" s="17" t="n">
        <v>46289.1346064815</v>
      </c>
      <c r="H573" s="17" t="n">
        <v>46289.4741898148</v>
      </c>
      <c r="I573" s="18" t="n">
        <f aca="false">IF(H573="",ROUND((تنظیمات!$B$7-G573)*1440,0),ROUND((H573-G573)*1440,0))</f>
        <v>489</v>
      </c>
      <c r="J573" s="16" t="s">
        <v>334</v>
      </c>
      <c r="K573" s="16" t="s">
        <v>400</v>
      </c>
      <c r="L573" s="19" t="n">
        <v>0.955</v>
      </c>
      <c r="M573" s="19" t="n">
        <v>0.975</v>
      </c>
      <c r="N573" s="16" t="s">
        <v>335</v>
      </c>
      <c r="O573" s="16" t="s">
        <v>441</v>
      </c>
      <c r="P573" s="16" t="s">
        <v>402</v>
      </c>
      <c r="Q573" s="20" t="n">
        <v>46289</v>
      </c>
      <c r="R573" s="16" t="s">
        <v>2151</v>
      </c>
      <c r="S573" s="16" t="s">
        <v>404</v>
      </c>
      <c r="T573" s="17"/>
      <c r="U573" s="21" t="n">
        <v>1</v>
      </c>
      <c r="V573" s="21" t="n">
        <v>1</v>
      </c>
      <c r="W573" s="22" t="n">
        <v>6</v>
      </c>
      <c r="X573" s="16" t="s">
        <v>335</v>
      </c>
      <c r="Y573" s="16" t="s">
        <v>338</v>
      </c>
      <c r="Z573" s="16" t="s">
        <v>443</v>
      </c>
      <c r="AA573" s="16"/>
      <c r="AB573" s="23"/>
      <c r="AC573" s="17"/>
      <c r="AD573" s="16" t="s">
        <v>444</v>
      </c>
      <c r="AE573" s="16"/>
      <c r="AF573" s="16" t="str">
        <f aca="false">IF(COUNTIF(لیست_سفید!$A$2:$A$21,B573)&gt;0,"بله","خیر")</f>
        <v>خیر</v>
      </c>
      <c r="AG573" s="24" t="n">
        <f aca="false">IF(H573="","",IF(AD573="فیش مفقودی",تنظیمات!$B$6,(INT(I573/1440)*تنظیمات!$B$5+IF(MOD(I573,1440)&lt;=تنظیمات!$B$2,0,MIN(تنظیمات!$B$5,تنظیمات!$B$3+MAX(0,ROUNDUP((MOD(I573,1440)-60)/60,0))*تنظیمات!$B$4)))*INDEX(تعرفه!$B$2:$B$7,MATCH(AD573,تعرفه!$A$2:$A$7,0))))</f>
        <v>0</v>
      </c>
      <c r="AH573" s="24" t="n">
        <v>0</v>
      </c>
      <c r="AI573" s="24" t="n">
        <f aca="false">IF(AG573="","",AH573-AG573)</f>
        <v>0</v>
      </c>
      <c r="AJ573" s="21" t="n">
        <v>0</v>
      </c>
      <c r="AK573" s="21" t="n">
        <v>0</v>
      </c>
      <c r="AL573" s="16" t="s">
        <v>335</v>
      </c>
      <c r="AM573" s="16"/>
      <c r="AN573" s="16" t="s">
        <v>340</v>
      </c>
      <c r="AO573" s="16" t="s">
        <v>340</v>
      </c>
      <c r="AP573" s="16" t="s">
        <v>335</v>
      </c>
      <c r="AQ573" s="16"/>
      <c r="AR573" s="21" t="n">
        <f aca="false">IF(AND(T573&lt;&gt;"",H573&lt;&gt;""),IF(AND((T573-H573)*86400&gt;=0,(T573-H573)*86400&lt;تنظیمات!$B$13),1,0),0)</f>
        <v>0</v>
      </c>
      <c r="AS573" s="21" t="n">
        <f aca="false">IF(Z573="پوز",IF(OR(AB573="",COUNTIF(پوزها!$A$2:$A$5,AA573)=0),1,0),0)</f>
        <v>0</v>
      </c>
      <c r="AT573" s="21" t="n">
        <f aca="false">IF(AI573="",0,IF(AI573&gt;0,1,0))</f>
        <v>0</v>
      </c>
      <c r="AU573" s="21" t="n">
        <f aca="false">IF(AI573="",0,IF(AI573&lt;0,1,0))</f>
        <v>0</v>
      </c>
      <c r="AV573" s="21" t="n">
        <f aca="false">IF(U573&gt;V573,1,0)</f>
        <v>0</v>
      </c>
      <c r="AW573" s="21" t="n">
        <f aca="false">IF(OR(W573&gt;تنظیمات!$B$8,X573="بله"),1,0)</f>
        <v>0</v>
      </c>
      <c r="AX573" s="21" t="n">
        <f aca="false">IF(AND(N573="بله",L573&gt;تنظیمات!$B$9),1,0)</f>
        <v>0</v>
      </c>
      <c r="AY573" s="21" t="n">
        <f aca="false">IF(Y573="معکوس",1,0)</f>
        <v>0</v>
      </c>
      <c r="AZ573" s="21" t="n">
        <f aca="false">IF(ABS(AJ573)&gt;تنظیمات!$B$10,1,0)</f>
        <v>0</v>
      </c>
      <c r="BA573" s="21" t="n">
        <f aca="false">IF(AND(OR(AD573="رایگان/VIP",AD573="جانباز"),AF573="خیر"),1,0)</f>
        <v>0</v>
      </c>
      <c r="BB573" s="21" t="n">
        <f aca="false">IF(AE573="",0,IF(COUNTIF($AE$2:$AE$1001,AE573)&gt;1,1,0))</f>
        <v>0</v>
      </c>
      <c r="BC573" s="21" t="n">
        <f aca="false">IF(AND(H573="",I573&gt;تنظیمات!$B$12*60,AM573="خالی"),1,0)</f>
        <v>0</v>
      </c>
      <c r="BD573" s="21" t="n">
        <f aca="false">IF(AND(AP573="بله",I573&lt;تنظیمات!$B$14,AO573="خیر"),1,0)</f>
        <v>0</v>
      </c>
      <c r="BE573" s="21" t="n">
        <f aca="false">IF(AN573="خیر",1,0)</f>
        <v>0</v>
      </c>
      <c r="BF573" s="21" t="n">
        <f aca="false">IF(AND(AD573="فیش مفقودی",AQ573="بله",I573&gt;تنظیمات!$B$12*60),1,0)</f>
        <v>0</v>
      </c>
      <c r="BG573" s="21" t="n">
        <f aca="false">IF(AND(AK573&gt;تنظیمات!$B$11,AL573="بله"),1,0)</f>
        <v>0</v>
      </c>
      <c r="BH573" s="21" t="n">
        <f aca="false">MIN(100,AR573*تنظیمات!$B$21+AS573*تنظیمات!$B$22+AT573*تنظیمات!$B$23+AU573*تنظیمات!$B$24+AV573*تنظیمات!$B$25+AW573*تنظیمات!$B$26+AX573*تنظیمات!$B$27+AY573*تنظیمات!$B$28+AZ573*تنظیمات!$B$29+BA573*تنظیمات!$B$30+BB573*تنظیمات!$B$31+BC573*تنظیمات!$B$32+BD573*تنظیمات!$B$33+BE573*تنظیمات!$B$34+BF573*تنظیمات!$B$35+BG573*تنظیمات!$B$36)</f>
        <v>0</v>
      </c>
      <c r="BI573" s="16" t="str">
        <f aca="false">IF(BH573&gt;=60,"بحرانی",IF(BH573&gt;=30,"مشکوک",IF(BH573&gt;0,"هشدار","عادی")))</f>
        <v>عادی</v>
      </c>
      <c r="BJ573" s="16" t="s">
        <v>338</v>
      </c>
    </row>
    <row r="574" customFormat="false" ht="15" hidden="false" customHeight="false" outlineLevel="0" collapsed="false">
      <c r="A574" s="16" t="s">
        <v>2152</v>
      </c>
      <c r="B574" s="16" t="s">
        <v>2153</v>
      </c>
      <c r="C574" s="16"/>
      <c r="D574" s="16" t="s">
        <v>508</v>
      </c>
      <c r="E574" s="16" t="s">
        <v>375</v>
      </c>
      <c r="F574" s="16" t="s">
        <v>333</v>
      </c>
      <c r="G574" s="17" t="n">
        <v>46289.1679166667</v>
      </c>
      <c r="H574" s="17" t="n">
        <v>46289.2436111111</v>
      </c>
      <c r="I574" s="18" t="n">
        <f aca="false">IF(H574="",ROUND((تنظیمات!$B$7-G574)*1440,0),ROUND((H574-G574)*1440,0))</f>
        <v>109</v>
      </c>
      <c r="J574" s="16" t="s">
        <v>346</v>
      </c>
      <c r="K574" s="16" t="s">
        <v>400</v>
      </c>
      <c r="L574" s="19" t="n">
        <v>0.94</v>
      </c>
      <c r="M574" s="19" t="n">
        <v>0.988</v>
      </c>
      <c r="N574" s="16" t="s">
        <v>335</v>
      </c>
      <c r="O574" s="16" t="s">
        <v>425</v>
      </c>
      <c r="P574" s="16" t="s">
        <v>651</v>
      </c>
      <c r="Q574" s="20" t="n">
        <v>46288</v>
      </c>
      <c r="R574" s="16" t="s">
        <v>2154</v>
      </c>
      <c r="S574" s="16" t="s">
        <v>404</v>
      </c>
      <c r="T574" s="17"/>
      <c r="U574" s="21" t="n">
        <v>1</v>
      </c>
      <c r="V574" s="21" t="n">
        <v>1</v>
      </c>
      <c r="W574" s="22" t="n">
        <v>6.6</v>
      </c>
      <c r="X574" s="16" t="s">
        <v>335</v>
      </c>
      <c r="Y574" s="16" t="s">
        <v>338</v>
      </c>
      <c r="Z574" s="16" t="s">
        <v>405</v>
      </c>
      <c r="AA574" s="16"/>
      <c r="AB574" s="23"/>
      <c r="AC574" s="17"/>
      <c r="AD574" s="16" t="s">
        <v>338</v>
      </c>
      <c r="AE574" s="16"/>
      <c r="AF574" s="16" t="str">
        <f aca="false">IF(COUNTIF(لیست_سفید!$A$2:$A$21,B574)&gt;0,"بله","خیر")</f>
        <v>خیر</v>
      </c>
      <c r="AG574" s="24" t="n">
        <f aca="false">IF(H574="","",IF(AD574="فیش مفقودی",تنظیمات!$B$6,(INT(I574/1440)*تنظیمات!$B$5+IF(MOD(I574,1440)&lt;=تنظیمات!$B$2,0,MIN(تنظیمات!$B$5,تنظیمات!$B$3+MAX(0,ROUNDUP((MOD(I574,1440)-60)/60,0))*تنظیمات!$B$4)))*INDEX(تعرفه!$B$2:$B$7,MATCH(AD574,تعرفه!$A$2:$A$7,0))))</f>
        <v>34000</v>
      </c>
      <c r="AH574" s="24" t="n">
        <v>34000</v>
      </c>
      <c r="AI574" s="24" t="n">
        <f aca="false">IF(AG574="","",AH574-AG574)</f>
        <v>0</v>
      </c>
      <c r="AJ574" s="21" t="n">
        <v>4</v>
      </c>
      <c r="AK574" s="21" t="n">
        <v>0</v>
      </c>
      <c r="AL574" s="16" t="s">
        <v>335</v>
      </c>
      <c r="AM574" s="16"/>
      <c r="AN574" s="16" t="s">
        <v>340</v>
      </c>
      <c r="AO574" s="16" t="s">
        <v>340</v>
      </c>
      <c r="AP574" s="16" t="s">
        <v>335</v>
      </c>
      <c r="AQ574" s="16"/>
      <c r="AR574" s="21" t="n">
        <f aca="false">IF(AND(T574&lt;&gt;"",H574&lt;&gt;""),IF(AND((T574-H574)*86400&gt;=0,(T574-H574)*86400&lt;تنظیمات!$B$13),1,0),0)</f>
        <v>0</v>
      </c>
      <c r="AS574" s="21" t="n">
        <f aca="false">IF(Z574="پوز",IF(OR(AB574="",COUNTIF(پوزها!$A$2:$A$5,AA574)=0),1,0),0)</f>
        <v>0</v>
      </c>
      <c r="AT574" s="21" t="n">
        <f aca="false">IF(AI574="",0,IF(AI574&gt;0,1,0))</f>
        <v>0</v>
      </c>
      <c r="AU574" s="21" t="n">
        <f aca="false">IF(AI574="",0,IF(AI574&lt;0,1,0))</f>
        <v>0</v>
      </c>
      <c r="AV574" s="21" t="n">
        <f aca="false">IF(U574&gt;V574,1,0)</f>
        <v>0</v>
      </c>
      <c r="AW574" s="21" t="n">
        <f aca="false">IF(OR(W574&gt;تنظیمات!$B$8,X574="بله"),1,0)</f>
        <v>0</v>
      </c>
      <c r="AX574" s="21" t="n">
        <f aca="false">IF(AND(N574="بله",L574&gt;تنظیمات!$B$9),1,0)</f>
        <v>0</v>
      </c>
      <c r="AY574" s="21" t="n">
        <f aca="false">IF(Y574="معکوس",1,0)</f>
        <v>0</v>
      </c>
      <c r="AZ574" s="21" t="n">
        <f aca="false">IF(ABS(AJ574)&gt;تنظیمات!$B$10,1,0)</f>
        <v>0</v>
      </c>
      <c r="BA574" s="21" t="n">
        <f aca="false">IF(AND(OR(AD574="رایگان/VIP",AD574="جانباز"),AF574="خیر"),1,0)</f>
        <v>0</v>
      </c>
      <c r="BB574" s="21" t="n">
        <f aca="false">IF(AE574="",0,IF(COUNTIF($AE$2:$AE$1001,AE574)&gt;1,1,0))</f>
        <v>0</v>
      </c>
      <c r="BC574" s="21" t="n">
        <f aca="false">IF(AND(H574="",I574&gt;تنظیمات!$B$12*60,AM574="خالی"),1,0)</f>
        <v>0</v>
      </c>
      <c r="BD574" s="21" t="n">
        <f aca="false">IF(AND(AP574="بله",I574&lt;تنظیمات!$B$14,AO574="خیر"),1,0)</f>
        <v>0</v>
      </c>
      <c r="BE574" s="21" t="n">
        <f aca="false">IF(AN574="خیر",1,0)</f>
        <v>0</v>
      </c>
      <c r="BF574" s="21" t="n">
        <f aca="false">IF(AND(AD574="فیش مفقودی",AQ574="بله",I574&gt;تنظیمات!$B$12*60),1,0)</f>
        <v>0</v>
      </c>
      <c r="BG574" s="21" t="n">
        <f aca="false">IF(AND(AK574&gt;تنظیمات!$B$11,AL574="بله"),1,0)</f>
        <v>0</v>
      </c>
      <c r="BH574" s="21" t="n">
        <f aca="false">MIN(100,AR574*تنظیمات!$B$21+AS574*تنظیمات!$B$22+AT574*تنظیمات!$B$23+AU574*تنظیمات!$B$24+AV574*تنظیمات!$B$25+AW574*تنظیمات!$B$26+AX574*تنظیمات!$B$27+AY574*تنظیمات!$B$28+AZ574*تنظیمات!$B$29+BA574*تنظیمات!$B$30+BB574*تنظیمات!$B$31+BC574*تنظیمات!$B$32+BD574*تنظیمات!$B$33+BE574*تنظیمات!$B$34+BF574*تنظیمات!$B$35+BG574*تنظیمات!$B$36)</f>
        <v>0</v>
      </c>
      <c r="BI574" s="16" t="str">
        <f aca="false">IF(BH574&gt;=60,"بحرانی",IF(BH574&gt;=30,"مشکوک",IF(BH574&gt;0,"هشدار","عادی")))</f>
        <v>عادی</v>
      </c>
      <c r="BJ574" s="16" t="s">
        <v>338</v>
      </c>
    </row>
    <row r="575" customFormat="false" ht="15" hidden="false" customHeight="false" outlineLevel="0" collapsed="false">
      <c r="A575" s="16" t="s">
        <v>2155</v>
      </c>
      <c r="B575" s="16" t="s">
        <v>2066</v>
      </c>
      <c r="C575" s="16"/>
      <c r="D575" s="16" t="s">
        <v>523</v>
      </c>
      <c r="E575" s="16" t="s">
        <v>345</v>
      </c>
      <c r="F575" s="16" t="s">
        <v>333</v>
      </c>
      <c r="G575" s="17" t="n">
        <v>46289.1837268519</v>
      </c>
      <c r="H575" s="17" t="n">
        <v>46289.3420601852</v>
      </c>
      <c r="I575" s="18" t="n">
        <f aca="false">IF(H575="",ROUND((تنظیمات!$B$7-G575)*1440,0),ROUND((H575-G575)*1440,0))</f>
        <v>228</v>
      </c>
      <c r="J575" s="16" t="s">
        <v>346</v>
      </c>
      <c r="K575" s="16" t="s">
        <v>410</v>
      </c>
      <c r="L575" s="19" t="n">
        <v>0.942</v>
      </c>
      <c r="M575" s="19" t="n">
        <v>0.971</v>
      </c>
      <c r="N575" s="16" t="s">
        <v>335</v>
      </c>
      <c r="O575" s="16" t="s">
        <v>411</v>
      </c>
      <c r="P575" s="16" t="s">
        <v>402</v>
      </c>
      <c r="Q575" s="20" t="n">
        <v>46289</v>
      </c>
      <c r="R575" s="16" t="s">
        <v>2156</v>
      </c>
      <c r="S575" s="16" t="s">
        <v>404</v>
      </c>
      <c r="T575" s="17"/>
      <c r="U575" s="21" t="n">
        <v>1</v>
      </c>
      <c r="V575" s="21" t="n">
        <v>1</v>
      </c>
      <c r="W575" s="22" t="n">
        <v>3.8</v>
      </c>
      <c r="X575" s="16" t="s">
        <v>335</v>
      </c>
      <c r="Y575" s="16" t="s">
        <v>338</v>
      </c>
      <c r="Z575" s="16" t="s">
        <v>465</v>
      </c>
      <c r="AA575" s="16"/>
      <c r="AB575" s="23"/>
      <c r="AC575" s="17"/>
      <c r="AD575" s="16" t="s">
        <v>466</v>
      </c>
      <c r="AE575" s="16"/>
      <c r="AF575" s="16" t="str">
        <f aca="false">IF(COUNTIF(لیست_سفید!$A$2:$A$21,B575)&gt;0,"بله","خیر")</f>
        <v>بله</v>
      </c>
      <c r="AG575" s="24" t="n">
        <f aca="false">IF(H575="","",IF(AD575="فیش مفقودی",تنظیمات!$B$6,(INT(I575/1440)*تنظیمات!$B$5+IF(MOD(I575,1440)&lt;=تنظیمات!$B$2,0,MIN(تنظیمات!$B$5,تنظیمات!$B$3+MAX(0,ROUNDUP((MOD(I575,1440)-60)/60,0))*تنظیمات!$B$4)))*INDEX(تعرفه!$B$2:$B$7,MATCH(AD575,تعرفه!$A$2:$A$7,0))))</f>
        <v>0</v>
      </c>
      <c r="AH575" s="24" t="n">
        <v>0</v>
      </c>
      <c r="AI575" s="24" t="n">
        <f aca="false">IF(AG575="","",AH575-AG575)</f>
        <v>0</v>
      </c>
      <c r="AJ575" s="21" t="n">
        <v>2</v>
      </c>
      <c r="AK575" s="21" t="n">
        <v>0</v>
      </c>
      <c r="AL575" s="16" t="s">
        <v>335</v>
      </c>
      <c r="AM575" s="16"/>
      <c r="AN575" s="16" t="s">
        <v>340</v>
      </c>
      <c r="AO575" s="16" t="s">
        <v>340</v>
      </c>
      <c r="AP575" s="16" t="s">
        <v>335</v>
      </c>
      <c r="AQ575" s="16"/>
      <c r="AR575" s="21" t="n">
        <f aca="false">IF(AND(T575&lt;&gt;"",H575&lt;&gt;""),IF(AND((T575-H575)*86400&gt;=0,(T575-H575)*86400&lt;تنظیمات!$B$13),1,0),0)</f>
        <v>0</v>
      </c>
      <c r="AS575" s="21" t="n">
        <f aca="false">IF(Z575="پوز",IF(OR(AB575="",COUNTIF(پوزها!$A$2:$A$5,AA575)=0),1,0),0)</f>
        <v>0</v>
      </c>
      <c r="AT575" s="21" t="n">
        <f aca="false">IF(AI575="",0,IF(AI575&gt;0,1,0))</f>
        <v>0</v>
      </c>
      <c r="AU575" s="21" t="n">
        <f aca="false">IF(AI575="",0,IF(AI575&lt;0,1,0))</f>
        <v>0</v>
      </c>
      <c r="AV575" s="21" t="n">
        <f aca="false">IF(U575&gt;V575,1,0)</f>
        <v>0</v>
      </c>
      <c r="AW575" s="21" t="n">
        <f aca="false">IF(OR(W575&gt;تنظیمات!$B$8,X575="بله"),1,0)</f>
        <v>0</v>
      </c>
      <c r="AX575" s="21" t="n">
        <f aca="false">IF(AND(N575="بله",L575&gt;تنظیمات!$B$9),1,0)</f>
        <v>0</v>
      </c>
      <c r="AY575" s="21" t="n">
        <f aca="false">IF(Y575="معکوس",1,0)</f>
        <v>0</v>
      </c>
      <c r="AZ575" s="21" t="n">
        <f aca="false">IF(ABS(AJ575)&gt;تنظیمات!$B$10,1,0)</f>
        <v>0</v>
      </c>
      <c r="BA575" s="21" t="n">
        <f aca="false">IF(AND(OR(AD575="رایگان/VIP",AD575="جانباز"),AF575="خیر"),1,0)</f>
        <v>0</v>
      </c>
      <c r="BB575" s="21" t="n">
        <f aca="false">IF(AE575="",0,IF(COUNTIF($AE$2:$AE$1001,AE575)&gt;1,1,0))</f>
        <v>0</v>
      </c>
      <c r="BC575" s="21" t="n">
        <f aca="false">IF(AND(H575="",I575&gt;تنظیمات!$B$12*60,AM575="خالی"),1,0)</f>
        <v>0</v>
      </c>
      <c r="BD575" s="21" t="n">
        <f aca="false">IF(AND(AP575="بله",I575&lt;تنظیمات!$B$14,AO575="خیر"),1,0)</f>
        <v>0</v>
      </c>
      <c r="BE575" s="21" t="n">
        <f aca="false">IF(AN575="خیر",1,0)</f>
        <v>0</v>
      </c>
      <c r="BF575" s="21" t="n">
        <f aca="false">IF(AND(AD575="فیش مفقودی",AQ575="بله",I575&gt;تنظیمات!$B$12*60),1,0)</f>
        <v>0</v>
      </c>
      <c r="BG575" s="21" t="n">
        <f aca="false">IF(AND(AK575&gt;تنظیمات!$B$11,AL575="بله"),1,0)</f>
        <v>0</v>
      </c>
      <c r="BH575" s="21" t="n">
        <f aca="false">MIN(100,AR575*تنظیمات!$B$21+AS575*تنظیمات!$B$22+AT575*تنظیمات!$B$23+AU575*تنظیمات!$B$24+AV575*تنظیمات!$B$25+AW575*تنظیمات!$B$26+AX575*تنظیمات!$B$27+AY575*تنظیمات!$B$28+AZ575*تنظیمات!$B$29+BA575*تنظیمات!$B$30+BB575*تنظیمات!$B$31+BC575*تنظیمات!$B$32+BD575*تنظیمات!$B$33+BE575*تنظیمات!$B$34+BF575*تنظیمات!$B$35+BG575*تنظیمات!$B$36)</f>
        <v>0</v>
      </c>
      <c r="BI575" s="16" t="str">
        <f aca="false">IF(BH575&gt;=60,"بحرانی",IF(BH575&gt;=30,"مشکوک",IF(BH575&gt;0,"هشدار","عادی")))</f>
        <v>عادی</v>
      </c>
      <c r="BJ575" s="16" t="s">
        <v>338</v>
      </c>
    </row>
    <row r="576" customFormat="false" ht="15" hidden="false" customHeight="false" outlineLevel="0" collapsed="false">
      <c r="A576" s="16" t="s">
        <v>2157</v>
      </c>
      <c r="B576" s="16" t="s">
        <v>468</v>
      </c>
      <c r="C576" s="16"/>
      <c r="D576" s="16" t="s">
        <v>469</v>
      </c>
      <c r="E576" s="16" t="s">
        <v>375</v>
      </c>
      <c r="F576" s="16" t="s">
        <v>359</v>
      </c>
      <c r="G576" s="17" t="n">
        <v>46289.1853819444</v>
      </c>
      <c r="H576" s="17" t="n">
        <v>46289.3534375</v>
      </c>
      <c r="I576" s="18" t="n">
        <f aca="false">IF(H576="",ROUND((تنظیمات!$B$7-G576)*1440,0),ROUND((H576-G576)*1440,0))</f>
        <v>242</v>
      </c>
      <c r="J576" s="16" t="s">
        <v>346</v>
      </c>
      <c r="K576" s="16" t="s">
        <v>410</v>
      </c>
      <c r="L576" s="19" t="n">
        <v>0.978</v>
      </c>
      <c r="M576" s="19" t="n">
        <v>0.995</v>
      </c>
      <c r="N576" s="16" t="s">
        <v>335</v>
      </c>
      <c r="O576" s="16" t="s">
        <v>411</v>
      </c>
      <c r="P576" s="16" t="s">
        <v>402</v>
      </c>
      <c r="Q576" s="20" t="n">
        <v>46289</v>
      </c>
      <c r="R576" s="16" t="s">
        <v>2158</v>
      </c>
      <c r="S576" s="16" t="s">
        <v>404</v>
      </c>
      <c r="T576" s="17"/>
      <c r="U576" s="21" t="n">
        <v>1</v>
      </c>
      <c r="V576" s="21" t="n">
        <v>1</v>
      </c>
      <c r="W576" s="22" t="n">
        <v>5.3</v>
      </c>
      <c r="X576" s="16" t="s">
        <v>335</v>
      </c>
      <c r="Y576" s="16" t="s">
        <v>338</v>
      </c>
      <c r="Z576" s="16" t="s">
        <v>443</v>
      </c>
      <c r="AA576" s="16"/>
      <c r="AB576" s="23"/>
      <c r="AC576" s="17"/>
      <c r="AD576" s="16" t="s">
        <v>444</v>
      </c>
      <c r="AE576" s="16"/>
      <c r="AF576" s="16" t="str">
        <f aca="false">IF(COUNTIF(لیست_سفید!$A$2:$A$21,B576)&gt;0,"بله","خیر")</f>
        <v>خیر</v>
      </c>
      <c r="AG576" s="24" t="n">
        <f aca="false">IF(H576="","",IF(AD576="فیش مفقودی",تنظیمات!$B$6,(INT(I576/1440)*تنظیمات!$B$5+IF(MOD(I576,1440)&lt;=تنظیمات!$B$2,0,MIN(تنظیمات!$B$5,تنظیمات!$B$3+MAX(0,ROUNDUP((MOD(I576,1440)-60)/60,0))*تنظیمات!$B$4)))*INDEX(تعرفه!$B$2:$B$7,MATCH(AD576,تعرفه!$A$2:$A$7,0))))</f>
        <v>0</v>
      </c>
      <c r="AH576" s="24" t="n">
        <v>0</v>
      </c>
      <c r="AI576" s="24" t="n">
        <f aca="false">IF(AG576="","",AH576-AG576)</f>
        <v>0</v>
      </c>
      <c r="AJ576" s="21" t="n">
        <v>0</v>
      </c>
      <c r="AK576" s="21" t="n">
        <v>0</v>
      </c>
      <c r="AL576" s="16" t="s">
        <v>335</v>
      </c>
      <c r="AM576" s="16"/>
      <c r="AN576" s="16" t="s">
        <v>340</v>
      </c>
      <c r="AO576" s="16" t="s">
        <v>340</v>
      </c>
      <c r="AP576" s="16" t="s">
        <v>335</v>
      </c>
      <c r="AQ576" s="16"/>
      <c r="AR576" s="21" t="n">
        <f aca="false">IF(AND(T576&lt;&gt;"",H576&lt;&gt;""),IF(AND((T576-H576)*86400&gt;=0,(T576-H576)*86400&lt;تنظیمات!$B$13),1,0),0)</f>
        <v>0</v>
      </c>
      <c r="AS576" s="21" t="n">
        <f aca="false">IF(Z576="پوز",IF(OR(AB576="",COUNTIF(پوزها!$A$2:$A$5,AA576)=0),1,0),0)</f>
        <v>0</v>
      </c>
      <c r="AT576" s="21" t="n">
        <f aca="false">IF(AI576="",0,IF(AI576&gt;0,1,0))</f>
        <v>0</v>
      </c>
      <c r="AU576" s="21" t="n">
        <f aca="false">IF(AI576="",0,IF(AI576&lt;0,1,0))</f>
        <v>0</v>
      </c>
      <c r="AV576" s="21" t="n">
        <f aca="false">IF(U576&gt;V576,1,0)</f>
        <v>0</v>
      </c>
      <c r="AW576" s="21" t="n">
        <f aca="false">IF(OR(W576&gt;تنظیمات!$B$8,X576="بله"),1,0)</f>
        <v>0</v>
      </c>
      <c r="AX576" s="21" t="n">
        <f aca="false">IF(AND(N576="بله",L576&gt;تنظیمات!$B$9),1,0)</f>
        <v>0</v>
      </c>
      <c r="AY576" s="21" t="n">
        <f aca="false">IF(Y576="معکوس",1,0)</f>
        <v>0</v>
      </c>
      <c r="AZ576" s="21" t="n">
        <f aca="false">IF(ABS(AJ576)&gt;تنظیمات!$B$10,1,0)</f>
        <v>0</v>
      </c>
      <c r="BA576" s="21" t="n">
        <f aca="false">IF(AND(OR(AD576="رایگان/VIP",AD576="جانباز"),AF576="خیر"),1,0)</f>
        <v>0</v>
      </c>
      <c r="BB576" s="21" t="n">
        <f aca="false">IF(AE576="",0,IF(COUNTIF($AE$2:$AE$1001,AE576)&gt;1,1,0))</f>
        <v>0</v>
      </c>
      <c r="BC576" s="21" t="n">
        <f aca="false">IF(AND(H576="",I576&gt;تنظیمات!$B$12*60,AM576="خالی"),1,0)</f>
        <v>0</v>
      </c>
      <c r="BD576" s="21" t="n">
        <f aca="false">IF(AND(AP576="بله",I576&lt;تنظیمات!$B$14,AO576="خیر"),1,0)</f>
        <v>0</v>
      </c>
      <c r="BE576" s="21" t="n">
        <f aca="false">IF(AN576="خیر",1,0)</f>
        <v>0</v>
      </c>
      <c r="BF576" s="21" t="n">
        <f aca="false">IF(AND(AD576="فیش مفقودی",AQ576="بله",I576&gt;تنظیمات!$B$12*60),1,0)</f>
        <v>0</v>
      </c>
      <c r="BG576" s="21" t="n">
        <f aca="false">IF(AND(AK576&gt;تنظیمات!$B$11,AL576="بله"),1,0)</f>
        <v>0</v>
      </c>
      <c r="BH576" s="21" t="n">
        <f aca="false">MIN(100,AR576*تنظیمات!$B$21+AS576*تنظیمات!$B$22+AT576*تنظیمات!$B$23+AU576*تنظیمات!$B$24+AV576*تنظیمات!$B$25+AW576*تنظیمات!$B$26+AX576*تنظیمات!$B$27+AY576*تنظیمات!$B$28+AZ576*تنظیمات!$B$29+BA576*تنظیمات!$B$30+BB576*تنظیمات!$B$31+BC576*تنظیمات!$B$32+BD576*تنظیمات!$B$33+BE576*تنظیمات!$B$34+BF576*تنظیمات!$B$35+BG576*تنظیمات!$B$36)</f>
        <v>0</v>
      </c>
      <c r="BI576" s="16" t="str">
        <f aca="false">IF(BH576&gt;=60,"بحرانی",IF(BH576&gt;=30,"مشکوک",IF(BH576&gt;0,"هشدار","عادی")))</f>
        <v>عادی</v>
      </c>
      <c r="BJ576" s="16" t="s">
        <v>338</v>
      </c>
    </row>
    <row r="577" customFormat="false" ht="15" hidden="false" customHeight="false" outlineLevel="0" collapsed="false">
      <c r="A577" s="16" t="s">
        <v>2159</v>
      </c>
      <c r="B577" s="16" t="s">
        <v>583</v>
      </c>
      <c r="C577" s="16"/>
      <c r="D577" s="16" t="s">
        <v>331</v>
      </c>
      <c r="E577" s="16" t="s">
        <v>363</v>
      </c>
      <c r="F577" s="16" t="s">
        <v>333</v>
      </c>
      <c r="G577" s="17" t="n">
        <v>46289.194837963</v>
      </c>
      <c r="H577" s="17" t="n">
        <v>46289.463587963</v>
      </c>
      <c r="I577" s="18" t="n">
        <f aca="false">IF(H577="",ROUND((تنظیمات!$B$7-G577)*1440,0),ROUND((H577-G577)*1440,0))</f>
        <v>387</v>
      </c>
      <c r="J577" s="16" t="s">
        <v>346</v>
      </c>
      <c r="K577" s="16" t="s">
        <v>400</v>
      </c>
      <c r="L577" s="19" t="n">
        <v>0.975</v>
      </c>
      <c r="M577" s="19" t="n">
        <v>0.928</v>
      </c>
      <c r="N577" s="16" t="s">
        <v>335</v>
      </c>
      <c r="O577" s="16" t="s">
        <v>441</v>
      </c>
      <c r="P577" s="16" t="s">
        <v>402</v>
      </c>
      <c r="Q577" s="20" t="n">
        <v>46289</v>
      </c>
      <c r="R577" s="16" t="s">
        <v>2160</v>
      </c>
      <c r="S577" s="16" t="s">
        <v>404</v>
      </c>
      <c r="T577" s="17"/>
      <c r="U577" s="21" t="n">
        <v>1</v>
      </c>
      <c r="V577" s="21" t="n">
        <v>1</v>
      </c>
      <c r="W577" s="22" t="n">
        <v>7</v>
      </c>
      <c r="X577" s="16" t="s">
        <v>335</v>
      </c>
      <c r="Y577" s="16" t="s">
        <v>338</v>
      </c>
      <c r="Z577" s="16" t="s">
        <v>443</v>
      </c>
      <c r="AA577" s="16"/>
      <c r="AB577" s="23"/>
      <c r="AC577" s="17"/>
      <c r="AD577" s="16" t="s">
        <v>444</v>
      </c>
      <c r="AE577" s="16"/>
      <c r="AF577" s="16" t="str">
        <f aca="false">IF(COUNTIF(لیست_سفید!$A$2:$A$21,B577)&gt;0,"بله","خیر")</f>
        <v>خیر</v>
      </c>
      <c r="AG577" s="24" t="n">
        <f aca="false">IF(H577="","",IF(AD577="فیش مفقودی",تنظیمات!$B$6,(INT(I577/1440)*تنظیمات!$B$5+IF(MOD(I577,1440)&lt;=تنظیمات!$B$2,0,MIN(تنظیمات!$B$5,تنظیمات!$B$3+MAX(0,ROUNDUP((MOD(I577,1440)-60)/60,0))*تنظیمات!$B$4)))*INDEX(تعرفه!$B$2:$B$7,MATCH(AD577,تعرفه!$A$2:$A$7,0))))</f>
        <v>0</v>
      </c>
      <c r="AH577" s="24" t="n">
        <v>0</v>
      </c>
      <c r="AI577" s="24" t="n">
        <f aca="false">IF(AG577="","",AH577-AG577)</f>
        <v>0</v>
      </c>
      <c r="AJ577" s="21" t="n">
        <v>1</v>
      </c>
      <c r="AK577" s="21" t="n">
        <v>0</v>
      </c>
      <c r="AL577" s="16" t="s">
        <v>335</v>
      </c>
      <c r="AM577" s="16"/>
      <c r="AN577" s="16" t="s">
        <v>340</v>
      </c>
      <c r="AO577" s="16" t="s">
        <v>340</v>
      </c>
      <c r="AP577" s="16" t="s">
        <v>335</v>
      </c>
      <c r="AQ577" s="16"/>
      <c r="AR577" s="21" t="n">
        <f aca="false">IF(AND(T577&lt;&gt;"",H577&lt;&gt;""),IF(AND((T577-H577)*86400&gt;=0,(T577-H577)*86400&lt;تنظیمات!$B$13),1,0),0)</f>
        <v>0</v>
      </c>
      <c r="AS577" s="21" t="n">
        <f aca="false">IF(Z577="پوز",IF(OR(AB577="",COUNTIF(پوزها!$A$2:$A$5,AA577)=0),1,0),0)</f>
        <v>0</v>
      </c>
      <c r="AT577" s="21" t="n">
        <f aca="false">IF(AI577="",0,IF(AI577&gt;0,1,0))</f>
        <v>0</v>
      </c>
      <c r="AU577" s="21" t="n">
        <f aca="false">IF(AI577="",0,IF(AI577&lt;0,1,0))</f>
        <v>0</v>
      </c>
      <c r="AV577" s="21" t="n">
        <f aca="false">IF(U577&gt;V577,1,0)</f>
        <v>0</v>
      </c>
      <c r="AW577" s="21" t="n">
        <f aca="false">IF(OR(W577&gt;تنظیمات!$B$8,X577="بله"),1,0)</f>
        <v>0</v>
      </c>
      <c r="AX577" s="21" t="n">
        <f aca="false">IF(AND(N577="بله",L577&gt;تنظیمات!$B$9),1,0)</f>
        <v>0</v>
      </c>
      <c r="AY577" s="21" t="n">
        <f aca="false">IF(Y577="معکوس",1,0)</f>
        <v>0</v>
      </c>
      <c r="AZ577" s="21" t="n">
        <f aca="false">IF(ABS(AJ577)&gt;تنظیمات!$B$10,1,0)</f>
        <v>0</v>
      </c>
      <c r="BA577" s="21" t="n">
        <f aca="false">IF(AND(OR(AD577="رایگان/VIP",AD577="جانباز"),AF577="خیر"),1,0)</f>
        <v>0</v>
      </c>
      <c r="BB577" s="21" t="n">
        <f aca="false">IF(AE577="",0,IF(COUNTIF($AE$2:$AE$1001,AE577)&gt;1,1,0))</f>
        <v>0</v>
      </c>
      <c r="BC577" s="21" t="n">
        <f aca="false">IF(AND(H577="",I577&gt;تنظیمات!$B$12*60,AM577="خالی"),1,0)</f>
        <v>0</v>
      </c>
      <c r="BD577" s="21" t="n">
        <f aca="false">IF(AND(AP577="بله",I577&lt;تنظیمات!$B$14,AO577="خیر"),1,0)</f>
        <v>0</v>
      </c>
      <c r="BE577" s="21" t="n">
        <f aca="false">IF(AN577="خیر",1,0)</f>
        <v>0</v>
      </c>
      <c r="BF577" s="21" t="n">
        <f aca="false">IF(AND(AD577="فیش مفقودی",AQ577="بله",I577&gt;تنظیمات!$B$12*60),1,0)</f>
        <v>0</v>
      </c>
      <c r="BG577" s="21" t="n">
        <f aca="false">IF(AND(AK577&gt;تنظیمات!$B$11,AL577="بله"),1,0)</f>
        <v>0</v>
      </c>
      <c r="BH577" s="21" t="n">
        <f aca="false">MIN(100,AR577*تنظیمات!$B$21+AS577*تنظیمات!$B$22+AT577*تنظیمات!$B$23+AU577*تنظیمات!$B$24+AV577*تنظیمات!$B$25+AW577*تنظیمات!$B$26+AX577*تنظیمات!$B$27+AY577*تنظیمات!$B$28+AZ577*تنظیمات!$B$29+BA577*تنظیمات!$B$30+BB577*تنظیمات!$B$31+BC577*تنظیمات!$B$32+BD577*تنظیمات!$B$33+BE577*تنظیمات!$B$34+BF577*تنظیمات!$B$35+BG577*تنظیمات!$B$36)</f>
        <v>0</v>
      </c>
      <c r="BI577" s="16" t="str">
        <f aca="false">IF(BH577&gt;=60,"بحرانی",IF(BH577&gt;=30,"مشکوک",IF(BH577&gt;0,"هشدار","عادی")))</f>
        <v>عادی</v>
      </c>
      <c r="BJ577" s="16" t="s">
        <v>338</v>
      </c>
    </row>
    <row r="578" customFormat="false" ht="15" hidden="false" customHeight="false" outlineLevel="0" collapsed="false">
      <c r="A578" s="16" t="s">
        <v>2161</v>
      </c>
      <c r="B578" s="16" t="s">
        <v>634</v>
      </c>
      <c r="C578" s="16"/>
      <c r="D578" s="16" t="s">
        <v>523</v>
      </c>
      <c r="E578" s="16" t="s">
        <v>363</v>
      </c>
      <c r="F578" s="16" t="s">
        <v>333</v>
      </c>
      <c r="G578" s="17" t="n">
        <v>46289.216087963</v>
      </c>
      <c r="H578" s="17" t="n">
        <v>46289.4230324074</v>
      </c>
      <c r="I578" s="18" t="n">
        <f aca="false">IF(H578="",ROUND((تنظیمات!$B$7-G578)*1440,0),ROUND((H578-G578)*1440,0))</f>
        <v>298</v>
      </c>
      <c r="J578" s="16" t="s">
        <v>334</v>
      </c>
      <c r="K578" s="16" t="s">
        <v>400</v>
      </c>
      <c r="L578" s="19" t="n">
        <v>0.877</v>
      </c>
      <c r="M578" s="19" t="n">
        <v>0.957</v>
      </c>
      <c r="N578" s="16" t="s">
        <v>335</v>
      </c>
      <c r="O578" s="16" t="s">
        <v>441</v>
      </c>
      <c r="P578" s="16" t="s">
        <v>402</v>
      </c>
      <c r="Q578" s="20" t="n">
        <v>46289</v>
      </c>
      <c r="R578" s="16" t="s">
        <v>2162</v>
      </c>
      <c r="S578" s="16" t="s">
        <v>404</v>
      </c>
      <c r="T578" s="17"/>
      <c r="U578" s="21" t="n">
        <v>1</v>
      </c>
      <c r="V578" s="21" t="n">
        <v>1</v>
      </c>
      <c r="W578" s="22" t="n">
        <v>3.9</v>
      </c>
      <c r="X578" s="16" t="s">
        <v>335</v>
      </c>
      <c r="Y578" s="16" t="s">
        <v>338</v>
      </c>
      <c r="Z578" s="16" t="s">
        <v>405</v>
      </c>
      <c r="AA578" s="16"/>
      <c r="AB578" s="23"/>
      <c r="AC578" s="17"/>
      <c r="AD578" s="16" t="s">
        <v>338</v>
      </c>
      <c r="AE578" s="16"/>
      <c r="AF578" s="16" t="str">
        <f aca="false">IF(COUNTIF(لیست_سفید!$A$2:$A$21,B578)&gt;0,"بله","خیر")</f>
        <v>خیر</v>
      </c>
      <c r="AG578" s="24" t="n">
        <f aca="false">IF(H578="","",IF(AD578="فیش مفقودی",تنظیمات!$B$6,(INT(I578/1440)*تنظیمات!$B$5+IF(MOD(I578,1440)&lt;=تنظیمات!$B$2,0,MIN(تنظیمات!$B$5,تنظیمات!$B$3+MAX(0,ROUNDUP((MOD(I578,1440)-60)/60,0))*تنظیمات!$B$4)))*INDEX(تعرفه!$B$2:$B$7,MATCH(AD578,تعرفه!$A$2:$A$7,0))))</f>
        <v>76000</v>
      </c>
      <c r="AH578" s="24" t="n">
        <v>76000</v>
      </c>
      <c r="AI578" s="24" t="n">
        <f aca="false">IF(AG578="","",AH578-AG578)</f>
        <v>0</v>
      </c>
      <c r="AJ578" s="21" t="n">
        <v>0</v>
      </c>
      <c r="AK578" s="21" t="n">
        <v>0</v>
      </c>
      <c r="AL578" s="16" t="s">
        <v>335</v>
      </c>
      <c r="AM578" s="16"/>
      <c r="AN578" s="16" t="s">
        <v>340</v>
      </c>
      <c r="AO578" s="16" t="s">
        <v>340</v>
      </c>
      <c r="AP578" s="16" t="s">
        <v>335</v>
      </c>
      <c r="AQ578" s="16"/>
      <c r="AR578" s="21" t="n">
        <f aca="false">IF(AND(T578&lt;&gt;"",H578&lt;&gt;""),IF(AND((T578-H578)*86400&gt;=0,(T578-H578)*86400&lt;تنظیمات!$B$13),1,0),0)</f>
        <v>0</v>
      </c>
      <c r="AS578" s="21" t="n">
        <f aca="false">IF(Z578="پوز",IF(OR(AB578="",COUNTIF(پوزها!$A$2:$A$5,AA578)=0),1,0),0)</f>
        <v>0</v>
      </c>
      <c r="AT578" s="21" t="n">
        <f aca="false">IF(AI578="",0,IF(AI578&gt;0,1,0))</f>
        <v>0</v>
      </c>
      <c r="AU578" s="21" t="n">
        <f aca="false">IF(AI578="",0,IF(AI578&lt;0,1,0))</f>
        <v>0</v>
      </c>
      <c r="AV578" s="21" t="n">
        <f aca="false">IF(U578&gt;V578,1,0)</f>
        <v>0</v>
      </c>
      <c r="AW578" s="21" t="n">
        <f aca="false">IF(OR(W578&gt;تنظیمات!$B$8,X578="بله"),1,0)</f>
        <v>0</v>
      </c>
      <c r="AX578" s="21" t="n">
        <f aca="false">IF(AND(N578="بله",L578&gt;تنظیمات!$B$9),1,0)</f>
        <v>0</v>
      </c>
      <c r="AY578" s="21" t="n">
        <f aca="false">IF(Y578="معکوس",1,0)</f>
        <v>0</v>
      </c>
      <c r="AZ578" s="21" t="n">
        <f aca="false">IF(ABS(AJ578)&gt;تنظیمات!$B$10,1,0)</f>
        <v>0</v>
      </c>
      <c r="BA578" s="21" t="n">
        <f aca="false">IF(AND(OR(AD578="رایگان/VIP",AD578="جانباز"),AF578="خیر"),1,0)</f>
        <v>0</v>
      </c>
      <c r="BB578" s="21" t="n">
        <f aca="false">IF(AE578="",0,IF(COUNTIF($AE$2:$AE$1001,AE578)&gt;1,1,0))</f>
        <v>0</v>
      </c>
      <c r="BC578" s="21" t="n">
        <f aca="false">IF(AND(H578="",I578&gt;تنظیمات!$B$12*60,AM578="خالی"),1,0)</f>
        <v>0</v>
      </c>
      <c r="BD578" s="21" t="n">
        <f aca="false">IF(AND(AP578="بله",I578&lt;تنظیمات!$B$14,AO578="خیر"),1,0)</f>
        <v>0</v>
      </c>
      <c r="BE578" s="21" t="n">
        <f aca="false">IF(AN578="خیر",1,0)</f>
        <v>0</v>
      </c>
      <c r="BF578" s="21" t="n">
        <f aca="false">IF(AND(AD578="فیش مفقودی",AQ578="بله",I578&gt;تنظیمات!$B$12*60),1,0)</f>
        <v>0</v>
      </c>
      <c r="BG578" s="21" t="n">
        <f aca="false">IF(AND(AK578&gt;تنظیمات!$B$11,AL578="بله"),1,0)</f>
        <v>0</v>
      </c>
      <c r="BH578" s="21" t="n">
        <f aca="false">MIN(100,AR578*تنظیمات!$B$21+AS578*تنظیمات!$B$22+AT578*تنظیمات!$B$23+AU578*تنظیمات!$B$24+AV578*تنظیمات!$B$25+AW578*تنظیمات!$B$26+AX578*تنظیمات!$B$27+AY578*تنظیمات!$B$28+AZ578*تنظیمات!$B$29+BA578*تنظیمات!$B$30+BB578*تنظیمات!$B$31+BC578*تنظیمات!$B$32+BD578*تنظیمات!$B$33+BE578*تنظیمات!$B$34+BF578*تنظیمات!$B$35+BG578*تنظیمات!$B$36)</f>
        <v>0</v>
      </c>
      <c r="BI578" s="16" t="str">
        <f aca="false">IF(BH578&gt;=60,"بحرانی",IF(BH578&gt;=30,"مشکوک",IF(BH578&gt;0,"هشدار","عادی")))</f>
        <v>عادی</v>
      </c>
      <c r="BJ578" s="16" t="s">
        <v>338</v>
      </c>
    </row>
    <row r="579" customFormat="false" ht="15" hidden="false" customHeight="false" outlineLevel="0" collapsed="false">
      <c r="A579" s="16" t="s">
        <v>2163</v>
      </c>
      <c r="B579" s="16" t="s">
        <v>2164</v>
      </c>
      <c r="C579" s="16"/>
      <c r="D579" s="16" t="s">
        <v>531</v>
      </c>
      <c r="E579" s="16" t="s">
        <v>363</v>
      </c>
      <c r="F579" s="16" t="s">
        <v>333</v>
      </c>
      <c r="G579" s="17" t="n">
        <v>46289.2208449074</v>
      </c>
      <c r="H579" s="17" t="n">
        <v>46289.3895949074</v>
      </c>
      <c r="I579" s="18" t="n">
        <f aca="false">IF(H579="",ROUND((تنظیمات!$B$7-G579)*1440,0),ROUND((H579-G579)*1440,0))</f>
        <v>243</v>
      </c>
      <c r="J579" s="16" t="s">
        <v>346</v>
      </c>
      <c r="K579" s="16" t="s">
        <v>400</v>
      </c>
      <c r="L579" s="19" t="n">
        <v>0.995</v>
      </c>
      <c r="M579" s="19" t="n">
        <v>0.936</v>
      </c>
      <c r="N579" s="16" t="s">
        <v>335</v>
      </c>
      <c r="O579" s="16" t="s">
        <v>441</v>
      </c>
      <c r="P579" s="16" t="s">
        <v>402</v>
      </c>
      <c r="Q579" s="20" t="n">
        <v>46289</v>
      </c>
      <c r="R579" s="16" t="s">
        <v>2165</v>
      </c>
      <c r="S579" s="16" t="s">
        <v>404</v>
      </c>
      <c r="T579" s="17"/>
      <c r="U579" s="21" t="n">
        <v>1</v>
      </c>
      <c r="V579" s="21" t="n">
        <v>1</v>
      </c>
      <c r="W579" s="22" t="n">
        <v>5.1</v>
      </c>
      <c r="X579" s="16" t="s">
        <v>335</v>
      </c>
      <c r="Y579" s="16" t="s">
        <v>338</v>
      </c>
      <c r="Z579" s="16" t="s">
        <v>465</v>
      </c>
      <c r="AA579" s="16"/>
      <c r="AB579" s="23"/>
      <c r="AC579" s="17"/>
      <c r="AD579" s="16" t="s">
        <v>466</v>
      </c>
      <c r="AE579" s="16"/>
      <c r="AF579" s="16" t="str">
        <f aca="false">IF(COUNTIF(لیست_سفید!$A$2:$A$21,B579)&gt;0,"بله","خیر")</f>
        <v>بله</v>
      </c>
      <c r="AG579" s="24" t="n">
        <f aca="false">IF(H579="","",IF(AD579="فیش مفقودی",تنظیمات!$B$6,(INT(I579/1440)*تنظیمات!$B$5+IF(MOD(I579,1440)&lt;=تنظیمات!$B$2,0,MIN(تنظیمات!$B$5,تنظیمات!$B$3+MAX(0,ROUNDUP((MOD(I579,1440)-60)/60,0))*تنظیمات!$B$4)))*INDEX(تعرفه!$B$2:$B$7,MATCH(AD579,تعرفه!$A$2:$A$7,0))))</f>
        <v>0</v>
      </c>
      <c r="AH579" s="24" t="n">
        <v>0</v>
      </c>
      <c r="AI579" s="24" t="n">
        <f aca="false">IF(AG579="","",AH579-AG579)</f>
        <v>0</v>
      </c>
      <c r="AJ579" s="21" t="n">
        <v>0</v>
      </c>
      <c r="AK579" s="21" t="n">
        <v>0</v>
      </c>
      <c r="AL579" s="16" t="s">
        <v>335</v>
      </c>
      <c r="AM579" s="16"/>
      <c r="AN579" s="16" t="s">
        <v>340</v>
      </c>
      <c r="AO579" s="16" t="s">
        <v>340</v>
      </c>
      <c r="AP579" s="16" t="s">
        <v>335</v>
      </c>
      <c r="AQ579" s="16"/>
      <c r="AR579" s="21" t="n">
        <f aca="false">IF(AND(T579&lt;&gt;"",H579&lt;&gt;""),IF(AND((T579-H579)*86400&gt;=0,(T579-H579)*86400&lt;تنظیمات!$B$13),1,0),0)</f>
        <v>0</v>
      </c>
      <c r="AS579" s="21" t="n">
        <f aca="false">IF(Z579="پوز",IF(OR(AB579="",COUNTIF(پوزها!$A$2:$A$5,AA579)=0),1,0),0)</f>
        <v>0</v>
      </c>
      <c r="AT579" s="21" t="n">
        <f aca="false">IF(AI579="",0,IF(AI579&gt;0,1,0))</f>
        <v>0</v>
      </c>
      <c r="AU579" s="21" t="n">
        <f aca="false">IF(AI579="",0,IF(AI579&lt;0,1,0))</f>
        <v>0</v>
      </c>
      <c r="AV579" s="21" t="n">
        <f aca="false">IF(U579&gt;V579,1,0)</f>
        <v>0</v>
      </c>
      <c r="AW579" s="21" t="n">
        <f aca="false">IF(OR(W579&gt;تنظیمات!$B$8,X579="بله"),1,0)</f>
        <v>0</v>
      </c>
      <c r="AX579" s="21" t="n">
        <f aca="false">IF(AND(N579="بله",L579&gt;تنظیمات!$B$9),1,0)</f>
        <v>0</v>
      </c>
      <c r="AY579" s="21" t="n">
        <f aca="false">IF(Y579="معکوس",1,0)</f>
        <v>0</v>
      </c>
      <c r="AZ579" s="21" t="n">
        <f aca="false">IF(ABS(AJ579)&gt;تنظیمات!$B$10,1,0)</f>
        <v>0</v>
      </c>
      <c r="BA579" s="21" t="n">
        <f aca="false">IF(AND(OR(AD579="رایگان/VIP",AD579="جانباز"),AF579="خیر"),1,0)</f>
        <v>0</v>
      </c>
      <c r="BB579" s="21" t="n">
        <f aca="false">IF(AE579="",0,IF(COUNTIF($AE$2:$AE$1001,AE579)&gt;1,1,0))</f>
        <v>0</v>
      </c>
      <c r="BC579" s="21" t="n">
        <f aca="false">IF(AND(H579="",I579&gt;تنظیمات!$B$12*60,AM579="خالی"),1,0)</f>
        <v>0</v>
      </c>
      <c r="BD579" s="21" t="n">
        <f aca="false">IF(AND(AP579="بله",I579&lt;تنظیمات!$B$14,AO579="خیر"),1,0)</f>
        <v>0</v>
      </c>
      <c r="BE579" s="21" t="n">
        <f aca="false">IF(AN579="خیر",1,0)</f>
        <v>0</v>
      </c>
      <c r="BF579" s="21" t="n">
        <f aca="false">IF(AND(AD579="فیش مفقودی",AQ579="بله",I579&gt;تنظیمات!$B$12*60),1,0)</f>
        <v>0</v>
      </c>
      <c r="BG579" s="21" t="n">
        <f aca="false">IF(AND(AK579&gt;تنظیمات!$B$11,AL579="بله"),1,0)</f>
        <v>0</v>
      </c>
      <c r="BH579" s="21" t="n">
        <f aca="false">MIN(100,AR579*تنظیمات!$B$21+AS579*تنظیمات!$B$22+AT579*تنظیمات!$B$23+AU579*تنظیمات!$B$24+AV579*تنظیمات!$B$25+AW579*تنظیمات!$B$26+AX579*تنظیمات!$B$27+AY579*تنظیمات!$B$28+AZ579*تنظیمات!$B$29+BA579*تنظیمات!$B$30+BB579*تنظیمات!$B$31+BC579*تنظیمات!$B$32+BD579*تنظیمات!$B$33+BE579*تنظیمات!$B$34+BF579*تنظیمات!$B$35+BG579*تنظیمات!$B$36)</f>
        <v>0</v>
      </c>
      <c r="BI579" s="16" t="str">
        <f aca="false">IF(BH579&gt;=60,"بحرانی",IF(BH579&gt;=30,"مشکوک",IF(BH579&gt;0,"هشدار","عادی")))</f>
        <v>عادی</v>
      </c>
      <c r="BJ579" s="16" t="s">
        <v>338</v>
      </c>
    </row>
    <row r="580" customFormat="false" ht="15" hidden="false" customHeight="false" outlineLevel="0" collapsed="false">
      <c r="A580" s="16" t="s">
        <v>2166</v>
      </c>
      <c r="B580" s="16" t="s">
        <v>1387</v>
      </c>
      <c r="C580" s="16"/>
      <c r="D580" s="16" t="s">
        <v>508</v>
      </c>
      <c r="E580" s="16" t="s">
        <v>345</v>
      </c>
      <c r="F580" s="16" t="s">
        <v>333</v>
      </c>
      <c r="G580" s="17" t="n">
        <v>46289.2484375</v>
      </c>
      <c r="H580" s="17" t="n">
        <v>46289.2824652778</v>
      </c>
      <c r="I580" s="18" t="n">
        <f aca="false">IF(H580="",ROUND((تنظیمات!$B$7-G580)*1440,0),ROUND((H580-G580)*1440,0))</f>
        <v>49</v>
      </c>
      <c r="J580" s="16" t="s">
        <v>346</v>
      </c>
      <c r="K580" s="16" t="s">
        <v>410</v>
      </c>
      <c r="L580" s="19" t="n">
        <v>0.898</v>
      </c>
      <c r="M580" s="19" t="n">
        <v>0.924</v>
      </c>
      <c r="N580" s="16" t="s">
        <v>335</v>
      </c>
      <c r="O580" s="16" t="s">
        <v>411</v>
      </c>
      <c r="P580" s="16" t="s">
        <v>402</v>
      </c>
      <c r="Q580" s="20" t="n">
        <v>46289</v>
      </c>
      <c r="R580" s="16" t="s">
        <v>2167</v>
      </c>
      <c r="S580" s="16" t="s">
        <v>404</v>
      </c>
      <c r="T580" s="17"/>
      <c r="U580" s="21" t="n">
        <v>1</v>
      </c>
      <c r="V580" s="21" t="n">
        <v>1</v>
      </c>
      <c r="W580" s="22" t="n">
        <v>5.6</v>
      </c>
      <c r="X580" s="16" t="s">
        <v>335</v>
      </c>
      <c r="Y580" s="16" t="s">
        <v>338</v>
      </c>
      <c r="Z580" s="16" t="s">
        <v>405</v>
      </c>
      <c r="AA580" s="16"/>
      <c r="AB580" s="23"/>
      <c r="AC580" s="17"/>
      <c r="AD580" s="16" t="s">
        <v>338</v>
      </c>
      <c r="AE580" s="16"/>
      <c r="AF580" s="16" t="str">
        <f aca="false">IF(COUNTIF(لیست_سفید!$A$2:$A$21,B580)&gt;0,"بله","خیر")</f>
        <v>خیر</v>
      </c>
      <c r="AG580" s="24" t="n">
        <f aca="false">IF(H580="","",IF(AD580="فیش مفقودی",تنظیمات!$B$6,(INT(I580/1440)*تنظیمات!$B$5+IF(MOD(I580,1440)&lt;=تنظیمات!$B$2,0,MIN(تنظیمات!$B$5,تنظیمات!$B$3+MAX(0,ROUNDUP((MOD(I580,1440)-60)/60,0))*تنظیمات!$B$4)))*INDEX(تعرفه!$B$2:$B$7,MATCH(AD580,تعرفه!$A$2:$A$7,0))))</f>
        <v>20000</v>
      </c>
      <c r="AH580" s="24" t="n">
        <v>20000</v>
      </c>
      <c r="AI580" s="24" t="n">
        <f aca="false">IF(AG580="","",AH580-AG580)</f>
        <v>0</v>
      </c>
      <c r="AJ580" s="21" t="n">
        <v>2</v>
      </c>
      <c r="AK580" s="21" t="n">
        <v>0</v>
      </c>
      <c r="AL580" s="16" t="s">
        <v>335</v>
      </c>
      <c r="AM580" s="16"/>
      <c r="AN580" s="16" t="s">
        <v>340</v>
      </c>
      <c r="AO580" s="16" t="s">
        <v>340</v>
      </c>
      <c r="AP580" s="16" t="s">
        <v>335</v>
      </c>
      <c r="AQ580" s="16"/>
      <c r="AR580" s="21" t="n">
        <f aca="false">IF(AND(T580&lt;&gt;"",H580&lt;&gt;""),IF(AND((T580-H580)*86400&gt;=0,(T580-H580)*86400&lt;تنظیمات!$B$13),1,0),0)</f>
        <v>0</v>
      </c>
      <c r="AS580" s="21" t="n">
        <f aca="false">IF(Z580="پوز",IF(OR(AB580="",COUNTIF(پوزها!$A$2:$A$5,AA580)=0),1,0),0)</f>
        <v>0</v>
      </c>
      <c r="AT580" s="21" t="n">
        <f aca="false">IF(AI580="",0,IF(AI580&gt;0,1,0))</f>
        <v>0</v>
      </c>
      <c r="AU580" s="21" t="n">
        <f aca="false">IF(AI580="",0,IF(AI580&lt;0,1,0))</f>
        <v>0</v>
      </c>
      <c r="AV580" s="21" t="n">
        <f aca="false">IF(U580&gt;V580,1,0)</f>
        <v>0</v>
      </c>
      <c r="AW580" s="21" t="n">
        <f aca="false">IF(OR(W580&gt;تنظیمات!$B$8,X580="بله"),1,0)</f>
        <v>0</v>
      </c>
      <c r="AX580" s="21" t="n">
        <f aca="false">IF(AND(N580="بله",L580&gt;تنظیمات!$B$9),1,0)</f>
        <v>0</v>
      </c>
      <c r="AY580" s="21" t="n">
        <f aca="false">IF(Y580="معکوس",1,0)</f>
        <v>0</v>
      </c>
      <c r="AZ580" s="21" t="n">
        <f aca="false">IF(ABS(AJ580)&gt;تنظیمات!$B$10,1,0)</f>
        <v>0</v>
      </c>
      <c r="BA580" s="21" t="n">
        <f aca="false">IF(AND(OR(AD580="رایگان/VIP",AD580="جانباز"),AF580="خیر"),1,0)</f>
        <v>0</v>
      </c>
      <c r="BB580" s="21" t="n">
        <f aca="false">IF(AE580="",0,IF(COUNTIF($AE$2:$AE$1001,AE580)&gt;1,1,0))</f>
        <v>0</v>
      </c>
      <c r="BC580" s="21" t="n">
        <f aca="false">IF(AND(H580="",I580&gt;تنظیمات!$B$12*60,AM580="خالی"),1,0)</f>
        <v>0</v>
      </c>
      <c r="BD580" s="21" t="n">
        <f aca="false">IF(AND(AP580="بله",I580&lt;تنظیمات!$B$14,AO580="خیر"),1,0)</f>
        <v>0</v>
      </c>
      <c r="BE580" s="21" t="n">
        <f aca="false">IF(AN580="خیر",1,0)</f>
        <v>0</v>
      </c>
      <c r="BF580" s="21" t="n">
        <f aca="false">IF(AND(AD580="فیش مفقودی",AQ580="بله",I580&gt;تنظیمات!$B$12*60),1,0)</f>
        <v>0</v>
      </c>
      <c r="BG580" s="21" t="n">
        <f aca="false">IF(AND(AK580&gt;تنظیمات!$B$11,AL580="بله"),1,0)</f>
        <v>0</v>
      </c>
      <c r="BH580" s="21" t="n">
        <f aca="false">MIN(100,AR580*تنظیمات!$B$21+AS580*تنظیمات!$B$22+AT580*تنظیمات!$B$23+AU580*تنظیمات!$B$24+AV580*تنظیمات!$B$25+AW580*تنظیمات!$B$26+AX580*تنظیمات!$B$27+AY580*تنظیمات!$B$28+AZ580*تنظیمات!$B$29+BA580*تنظیمات!$B$30+BB580*تنظیمات!$B$31+BC580*تنظیمات!$B$32+BD580*تنظیمات!$B$33+BE580*تنظیمات!$B$34+BF580*تنظیمات!$B$35+BG580*تنظیمات!$B$36)</f>
        <v>0</v>
      </c>
      <c r="BI580" s="16" t="str">
        <f aca="false">IF(BH580&gt;=60,"بحرانی",IF(BH580&gt;=30,"مشکوک",IF(BH580&gt;0,"هشدار","عادی")))</f>
        <v>عادی</v>
      </c>
      <c r="BJ580" s="16" t="s">
        <v>338</v>
      </c>
    </row>
    <row r="581" customFormat="false" ht="15" hidden="false" customHeight="false" outlineLevel="0" collapsed="false">
      <c r="A581" s="16" t="s">
        <v>2168</v>
      </c>
      <c r="B581" s="16" t="s">
        <v>498</v>
      </c>
      <c r="C581" s="16"/>
      <c r="D581" s="16" t="s">
        <v>344</v>
      </c>
      <c r="E581" s="16" t="s">
        <v>390</v>
      </c>
      <c r="F581" s="16" t="s">
        <v>333</v>
      </c>
      <c r="G581" s="17" t="n">
        <v>46289.2530324074</v>
      </c>
      <c r="H581" s="17" t="n">
        <v>46289.3926157407</v>
      </c>
      <c r="I581" s="18" t="n">
        <f aca="false">IF(H581="",ROUND((تنظیمات!$B$7-G581)*1440,0),ROUND((H581-G581)*1440,0))</f>
        <v>201</v>
      </c>
      <c r="J581" s="16" t="s">
        <v>334</v>
      </c>
      <c r="K581" s="16" t="s">
        <v>400</v>
      </c>
      <c r="L581" s="19" t="n">
        <v>0.911</v>
      </c>
      <c r="M581" s="19" t="n">
        <v>0.904</v>
      </c>
      <c r="N581" s="16" t="s">
        <v>335</v>
      </c>
      <c r="O581" s="16" t="s">
        <v>441</v>
      </c>
      <c r="P581" s="16" t="s">
        <v>402</v>
      </c>
      <c r="Q581" s="20" t="n">
        <v>46289</v>
      </c>
      <c r="R581" s="16" t="s">
        <v>2169</v>
      </c>
      <c r="S581" s="16" t="s">
        <v>404</v>
      </c>
      <c r="T581" s="17"/>
      <c r="U581" s="21" t="n">
        <v>1</v>
      </c>
      <c r="V581" s="21" t="n">
        <v>1</v>
      </c>
      <c r="W581" s="22" t="n">
        <v>5</v>
      </c>
      <c r="X581" s="16" t="s">
        <v>335</v>
      </c>
      <c r="Y581" s="16" t="s">
        <v>338</v>
      </c>
      <c r="Z581" s="16" t="s">
        <v>413</v>
      </c>
      <c r="AA581" s="16" t="s">
        <v>427</v>
      </c>
      <c r="AB581" s="23" t="s">
        <v>2170</v>
      </c>
      <c r="AC581" s="17" t="n">
        <v>46289.3915740741</v>
      </c>
      <c r="AD581" s="16" t="s">
        <v>338</v>
      </c>
      <c r="AE581" s="16"/>
      <c r="AF581" s="16" t="str">
        <f aca="false">IF(COUNTIF(لیست_سفید!$A$2:$A$21,B581)&gt;0,"بله","خیر")</f>
        <v>خیر</v>
      </c>
      <c r="AG581" s="24" t="n">
        <f aca="false">IF(H581="","",IF(AD581="فیش مفقودی",تنظیمات!$B$6,(INT(I581/1440)*تنظیمات!$B$5+IF(MOD(I581,1440)&lt;=تنظیمات!$B$2,0,MIN(تنظیمات!$B$5,تنظیمات!$B$3+MAX(0,ROUNDUP((MOD(I581,1440)-60)/60,0))*تنظیمات!$B$4)))*INDEX(تعرفه!$B$2:$B$7,MATCH(AD581,تعرفه!$A$2:$A$7,0))))</f>
        <v>62000</v>
      </c>
      <c r="AH581" s="24" t="n">
        <v>62000</v>
      </c>
      <c r="AI581" s="24" t="n">
        <f aca="false">IF(AG581="","",AH581-AG581)</f>
        <v>0</v>
      </c>
      <c r="AJ581" s="21" t="n">
        <v>0</v>
      </c>
      <c r="AK581" s="21" t="n">
        <v>0</v>
      </c>
      <c r="AL581" s="16" t="s">
        <v>335</v>
      </c>
      <c r="AM581" s="16"/>
      <c r="AN581" s="16" t="s">
        <v>340</v>
      </c>
      <c r="AO581" s="16" t="s">
        <v>340</v>
      </c>
      <c r="AP581" s="16" t="s">
        <v>335</v>
      </c>
      <c r="AQ581" s="16"/>
      <c r="AR581" s="21" t="n">
        <f aca="false">IF(AND(T581&lt;&gt;"",H581&lt;&gt;""),IF(AND((T581-H581)*86400&gt;=0,(T581-H581)*86400&lt;تنظیمات!$B$13),1,0),0)</f>
        <v>0</v>
      </c>
      <c r="AS581" s="21" t="n">
        <f aca="false">IF(Z581="پوز",IF(OR(AB581="",COUNTIF(پوزها!$A$2:$A$5,AA581)=0),1,0),0)</f>
        <v>0</v>
      </c>
      <c r="AT581" s="21" t="n">
        <f aca="false">IF(AI581="",0,IF(AI581&gt;0,1,0))</f>
        <v>0</v>
      </c>
      <c r="AU581" s="21" t="n">
        <f aca="false">IF(AI581="",0,IF(AI581&lt;0,1,0))</f>
        <v>0</v>
      </c>
      <c r="AV581" s="21" t="n">
        <f aca="false">IF(U581&gt;V581,1,0)</f>
        <v>0</v>
      </c>
      <c r="AW581" s="21" t="n">
        <f aca="false">IF(OR(W581&gt;تنظیمات!$B$8,X581="بله"),1,0)</f>
        <v>0</v>
      </c>
      <c r="AX581" s="21" t="n">
        <f aca="false">IF(AND(N581="بله",L581&gt;تنظیمات!$B$9),1,0)</f>
        <v>0</v>
      </c>
      <c r="AY581" s="21" t="n">
        <f aca="false">IF(Y581="معکوس",1,0)</f>
        <v>0</v>
      </c>
      <c r="AZ581" s="21" t="n">
        <f aca="false">IF(ABS(AJ581)&gt;تنظیمات!$B$10,1,0)</f>
        <v>0</v>
      </c>
      <c r="BA581" s="21" t="n">
        <f aca="false">IF(AND(OR(AD581="رایگان/VIP",AD581="جانباز"),AF581="خیر"),1,0)</f>
        <v>0</v>
      </c>
      <c r="BB581" s="21" t="n">
        <f aca="false">IF(AE581="",0,IF(COUNTIF($AE$2:$AE$1001,AE581)&gt;1,1,0))</f>
        <v>0</v>
      </c>
      <c r="BC581" s="21" t="n">
        <f aca="false">IF(AND(H581="",I581&gt;تنظیمات!$B$12*60,AM581="خالی"),1,0)</f>
        <v>0</v>
      </c>
      <c r="BD581" s="21" t="n">
        <f aca="false">IF(AND(AP581="بله",I581&lt;تنظیمات!$B$14,AO581="خیر"),1,0)</f>
        <v>0</v>
      </c>
      <c r="BE581" s="21" t="n">
        <f aca="false">IF(AN581="خیر",1,0)</f>
        <v>0</v>
      </c>
      <c r="BF581" s="21" t="n">
        <f aca="false">IF(AND(AD581="فیش مفقودی",AQ581="بله",I581&gt;تنظیمات!$B$12*60),1,0)</f>
        <v>0</v>
      </c>
      <c r="BG581" s="21" t="n">
        <f aca="false">IF(AND(AK581&gt;تنظیمات!$B$11,AL581="بله"),1,0)</f>
        <v>0</v>
      </c>
      <c r="BH581" s="21" t="n">
        <f aca="false">MIN(100,AR581*تنظیمات!$B$21+AS581*تنظیمات!$B$22+AT581*تنظیمات!$B$23+AU581*تنظیمات!$B$24+AV581*تنظیمات!$B$25+AW581*تنظیمات!$B$26+AX581*تنظیمات!$B$27+AY581*تنظیمات!$B$28+AZ581*تنظیمات!$B$29+BA581*تنظیمات!$B$30+BB581*تنظیمات!$B$31+BC581*تنظیمات!$B$32+BD581*تنظیمات!$B$33+BE581*تنظیمات!$B$34+BF581*تنظیمات!$B$35+BG581*تنظیمات!$B$36)</f>
        <v>0</v>
      </c>
      <c r="BI581" s="16" t="str">
        <f aca="false">IF(BH581&gt;=60,"بحرانی",IF(BH581&gt;=30,"مشکوک",IF(BH581&gt;0,"هشدار","عادی")))</f>
        <v>عادی</v>
      </c>
      <c r="BJ581" s="16" t="s">
        <v>338</v>
      </c>
    </row>
    <row r="582" customFormat="false" ht="15" hidden="false" customHeight="false" outlineLevel="0" collapsed="false">
      <c r="A582" s="16" t="s">
        <v>2171</v>
      </c>
      <c r="B582" s="16" t="s">
        <v>1605</v>
      </c>
      <c r="C582" s="16"/>
      <c r="D582" s="16" t="s">
        <v>331</v>
      </c>
      <c r="E582" s="16" t="s">
        <v>345</v>
      </c>
      <c r="F582" s="16" t="s">
        <v>333</v>
      </c>
      <c r="G582" s="17" t="n">
        <v>46289.2669212963</v>
      </c>
      <c r="H582" s="17" t="n">
        <v>46289.4356712963</v>
      </c>
      <c r="I582" s="18" t="n">
        <f aca="false">IF(H582="",ROUND((تنظیمات!$B$7-G582)*1440,0),ROUND((H582-G582)*1440,0))</f>
        <v>243</v>
      </c>
      <c r="J582" s="16" t="s">
        <v>346</v>
      </c>
      <c r="K582" s="16" t="s">
        <v>410</v>
      </c>
      <c r="L582" s="19" t="n">
        <v>0.939</v>
      </c>
      <c r="M582" s="19" t="n">
        <v>0.954</v>
      </c>
      <c r="N582" s="16" t="s">
        <v>335</v>
      </c>
      <c r="O582" s="16" t="s">
        <v>411</v>
      </c>
      <c r="P582" s="16" t="s">
        <v>402</v>
      </c>
      <c r="Q582" s="20" t="n">
        <v>46289</v>
      </c>
      <c r="R582" s="16" t="s">
        <v>2172</v>
      </c>
      <c r="S582" s="16" t="s">
        <v>404</v>
      </c>
      <c r="T582" s="17"/>
      <c r="U582" s="21" t="n">
        <v>1</v>
      </c>
      <c r="V582" s="21" t="n">
        <v>1</v>
      </c>
      <c r="W582" s="22" t="n">
        <v>5.5</v>
      </c>
      <c r="X582" s="16" t="s">
        <v>335</v>
      </c>
      <c r="Y582" s="16" t="s">
        <v>338</v>
      </c>
      <c r="Z582" s="16" t="s">
        <v>443</v>
      </c>
      <c r="AA582" s="16"/>
      <c r="AB582" s="23"/>
      <c r="AC582" s="17"/>
      <c r="AD582" s="16" t="s">
        <v>444</v>
      </c>
      <c r="AE582" s="16"/>
      <c r="AF582" s="16" t="str">
        <f aca="false">IF(COUNTIF(لیست_سفید!$A$2:$A$21,B582)&gt;0,"بله","خیر")</f>
        <v>خیر</v>
      </c>
      <c r="AG582" s="24" t="n">
        <f aca="false">IF(H582="","",IF(AD582="فیش مفقودی",تنظیمات!$B$6,(INT(I582/1440)*تنظیمات!$B$5+IF(MOD(I582,1440)&lt;=تنظیمات!$B$2,0,MIN(تنظیمات!$B$5,تنظیمات!$B$3+MAX(0,ROUNDUP((MOD(I582,1440)-60)/60,0))*تنظیمات!$B$4)))*INDEX(تعرفه!$B$2:$B$7,MATCH(AD582,تعرفه!$A$2:$A$7,0))))</f>
        <v>0</v>
      </c>
      <c r="AH582" s="24" t="n">
        <v>0</v>
      </c>
      <c r="AI582" s="24" t="n">
        <f aca="false">IF(AG582="","",AH582-AG582)</f>
        <v>0</v>
      </c>
      <c r="AJ582" s="21" t="n">
        <v>0</v>
      </c>
      <c r="AK582" s="21" t="n">
        <v>0</v>
      </c>
      <c r="AL582" s="16" t="s">
        <v>335</v>
      </c>
      <c r="AM582" s="16"/>
      <c r="AN582" s="16" t="s">
        <v>340</v>
      </c>
      <c r="AO582" s="16" t="s">
        <v>340</v>
      </c>
      <c r="AP582" s="16" t="s">
        <v>335</v>
      </c>
      <c r="AQ582" s="16"/>
      <c r="AR582" s="21" t="n">
        <f aca="false">IF(AND(T582&lt;&gt;"",H582&lt;&gt;""),IF(AND((T582-H582)*86400&gt;=0,(T582-H582)*86400&lt;تنظیمات!$B$13),1,0),0)</f>
        <v>0</v>
      </c>
      <c r="AS582" s="21" t="n">
        <f aca="false">IF(Z582="پوز",IF(OR(AB582="",COUNTIF(پوزها!$A$2:$A$5,AA582)=0),1,0),0)</f>
        <v>0</v>
      </c>
      <c r="AT582" s="21" t="n">
        <f aca="false">IF(AI582="",0,IF(AI582&gt;0,1,0))</f>
        <v>0</v>
      </c>
      <c r="AU582" s="21" t="n">
        <f aca="false">IF(AI582="",0,IF(AI582&lt;0,1,0))</f>
        <v>0</v>
      </c>
      <c r="AV582" s="21" t="n">
        <f aca="false">IF(U582&gt;V582,1,0)</f>
        <v>0</v>
      </c>
      <c r="AW582" s="21" t="n">
        <f aca="false">IF(OR(W582&gt;تنظیمات!$B$8,X582="بله"),1,0)</f>
        <v>0</v>
      </c>
      <c r="AX582" s="21" t="n">
        <f aca="false">IF(AND(N582="بله",L582&gt;تنظیمات!$B$9),1,0)</f>
        <v>0</v>
      </c>
      <c r="AY582" s="21" t="n">
        <f aca="false">IF(Y582="معکوس",1,0)</f>
        <v>0</v>
      </c>
      <c r="AZ582" s="21" t="n">
        <f aca="false">IF(ABS(AJ582)&gt;تنظیمات!$B$10,1,0)</f>
        <v>0</v>
      </c>
      <c r="BA582" s="21" t="n">
        <f aca="false">IF(AND(OR(AD582="رایگان/VIP",AD582="جانباز"),AF582="خیر"),1,0)</f>
        <v>0</v>
      </c>
      <c r="BB582" s="21" t="n">
        <f aca="false">IF(AE582="",0,IF(COUNTIF($AE$2:$AE$1001,AE582)&gt;1,1,0))</f>
        <v>0</v>
      </c>
      <c r="BC582" s="21" t="n">
        <f aca="false">IF(AND(H582="",I582&gt;تنظیمات!$B$12*60,AM582="خالی"),1,0)</f>
        <v>0</v>
      </c>
      <c r="BD582" s="21" t="n">
        <f aca="false">IF(AND(AP582="بله",I582&lt;تنظیمات!$B$14,AO582="خیر"),1,0)</f>
        <v>0</v>
      </c>
      <c r="BE582" s="21" t="n">
        <f aca="false">IF(AN582="خیر",1,0)</f>
        <v>0</v>
      </c>
      <c r="BF582" s="21" t="n">
        <f aca="false">IF(AND(AD582="فیش مفقودی",AQ582="بله",I582&gt;تنظیمات!$B$12*60),1,0)</f>
        <v>0</v>
      </c>
      <c r="BG582" s="21" t="n">
        <f aca="false">IF(AND(AK582&gt;تنظیمات!$B$11,AL582="بله"),1,0)</f>
        <v>0</v>
      </c>
      <c r="BH582" s="21" t="n">
        <f aca="false">MIN(100,AR582*تنظیمات!$B$21+AS582*تنظیمات!$B$22+AT582*تنظیمات!$B$23+AU582*تنظیمات!$B$24+AV582*تنظیمات!$B$25+AW582*تنظیمات!$B$26+AX582*تنظیمات!$B$27+AY582*تنظیمات!$B$28+AZ582*تنظیمات!$B$29+BA582*تنظیمات!$B$30+BB582*تنظیمات!$B$31+BC582*تنظیمات!$B$32+BD582*تنظیمات!$B$33+BE582*تنظیمات!$B$34+BF582*تنظیمات!$B$35+BG582*تنظیمات!$B$36)</f>
        <v>0</v>
      </c>
      <c r="BI582" s="16" t="str">
        <f aca="false">IF(BH582&gt;=60,"بحرانی",IF(BH582&gt;=30,"مشکوک",IF(BH582&gt;0,"هشدار","عادی")))</f>
        <v>عادی</v>
      </c>
      <c r="BJ582" s="16" t="s">
        <v>338</v>
      </c>
    </row>
    <row r="583" customFormat="false" ht="15" hidden="false" customHeight="false" outlineLevel="0" collapsed="false">
      <c r="A583" s="16" t="s">
        <v>2173</v>
      </c>
      <c r="B583" s="16" t="s">
        <v>2174</v>
      </c>
      <c r="C583" s="16"/>
      <c r="D583" s="16" t="s">
        <v>418</v>
      </c>
      <c r="E583" s="16" t="s">
        <v>363</v>
      </c>
      <c r="F583" s="16" t="s">
        <v>333</v>
      </c>
      <c r="G583" s="17" t="n">
        <v>46289.2753356482</v>
      </c>
      <c r="H583" s="17" t="n">
        <v>46289.3600578704</v>
      </c>
      <c r="I583" s="18" t="n">
        <f aca="false">IF(H583="",ROUND((تنظیمات!$B$7-G583)*1440,0),ROUND((H583-G583)*1440,0))</f>
        <v>122</v>
      </c>
      <c r="J583" s="16" t="s">
        <v>346</v>
      </c>
      <c r="K583" s="16" t="s">
        <v>410</v>
      </c>
      <c r="L583" s="19" t="n">
        <v>0.995</v>
      </c>
      <c r="M583" s="19" t="n">
        <v>0.911</v>
      </c>
      <c r="N583" s="16" t="s">
        <v>335</v>
      </c>
      <c r="O583" s="16" t="s">
        <v>411</v>
      </c>
      <c r="P583" s="16" t="s">
        <v>402</v>
      </c>
      <c r="Q583" s="20" t="n">
        <v>46289</v>
      </c>
      <c r="R583" s="16" t="s">
        <v>2175</v>
      </c>
      <c r="S583" s="16" t="s">
        <v>404</v>
      </c>
      <c r="T583" s="17"/>
      <c r="U583" s="21" t="n">
        <v>1</v>
      </c>
      <c r="V583" s="21" t="n">
        <v>1</v>
      </c>
      <c r="W583" s="22" t="n">
        <v>6.6</v>
      </c>
      <c r="X583" s="16" t="s">
        <v>335</v>
      </c>
      <c r="Y583" s="16" t="s">
        <v>338</v>
      </c>
      <c r="Z583" s="16" t="s">
        <v>413</v>
      </c>
      <c r="AA583" s="16" t="s">
        <v>414</v>
      </c>
      <c r="AB583" s="23" t="s">
        <v>2176</v>
      </c>
      <c r="AC583" s="17" t="n">
        <v>46289.3592708333</v>
      </c>
      <c r="AD583" s="16" t="s">
        <v>338</v>
      </c>
      <c r="AE583" s="16"/>
      <c r="AF583" s="16" t="str">
        <f aca="false">IF(COUNTIF(لیست_سفید!$A$2:$A$21,B583)&gt;0,"بله","خیر")</f>
        <v>خیر</v>
      </c>
      <c r="AG583" s="24" t="n">
        <f aca="false">IF(H583="","",IF(AD583="فیش مفقودی",تنظیمات!$B$6,(INT(I583/1440)*تنظیمات!$B$5+IF(MOD(I583,1440)&lt;=تنظیمات!$B$2,0,MIN(تنظیمات!$B$5,تنظیمات!$B$3+MAX(0,ROUNDUP((MOD(I583,1440)-60)/60,0))*تنظیمات!$B$4)))*INDEX(تعرفه!$B$2:$B$7,MATCH(AD583,تعرفه!$A$2:$A$7,0))))</f>
        <v>48000</v>
      </c>
      <c r="AH583" s="24" t="n">
        <v>48000</v>
      </c>
      <c r="AI583" s="24" t="n">
        <f aca="false">IF(AG583="","",AH583-AG583)</f>
        <v>0</v>
      </c>
      <c r="AJ583" s="21" t="n">
        <v>0</v>
      </c>
      <c r="AK583" s="21" t="n">
        <v>0</v>
      </c>
      <c r="AL583" s="16" t="s">
        <v>335</v>
      </c>
      <c r="AM583" s="16"/>
      <c r="AN583" s="16" t="s">
        <v>340</v>
      </c>
      <c r="AO583" s="16" t="s">
        <v>340</v>
      </c>
      <c r="AP583" s="16" t="s">
        <v>335</v>
      </c>
      <c r="AQ583" s="16"/>
      <c r="AR583" s="21" t="n">
        <f aca="false">IF(AND(T583&lt;&gt;"",H583&lt;&gt;""),IF(AND((T583-H583)*86400&gt;=0,(T583-H583)*86400&lt;تنظیمات!$B$13),1,0),0)</f>
        <v>0</v>
      </c>
      <c r="AS583" s="21" t="n">
        <f aca="false">IF(Z583="پوز",IF(OR(AB583="",COUNTIF(پوزها!$A$2:$A$5,AA583)=0),1,0),0)</f>
        <v>0</v>
      </c>
      <c r="AT583" s="21" t="n">
        <f aca="false">IF(AI583="",0,IF(AI583&gt;0,1,0))</f>
        <v>0</v>
      </c>
      <c r="AU583" s="21" t="n">
        <f aca="false">IF(AI583="",0,IF(AI583&lt;0,1,0))</f>
        <v>0</v>
      </c>
      <c r="AV583" s="21" t="n">
        <f aca="false">IF(U583&gt;V583,1,0)</f>
        <v>0</v>
      </c>
      <c r="AW583" s="21" t="n">
        <f aca="false">IF(OR(W583&gt;تنظیمات!$B$8,X583="بله"),1,0)</f>
        <v>0</v>
      </c>
      <c r="AX583" s="21" t="n">
        <f aca="false">IF(AND(N583="بله",L583&gt;تنظیمات!$B$9),1,0)</f>
        <v>0</v>
      </c>
      <c r="AY583" s="21" t="n">
        <f aca="false">IF(Y583="معکوس",1,0)</f>
        <v>0</v>
      </c>
      <c r="AZ583" s="21" t="n">
        <f aca="false">IF(ABS(AJ583)&gt;تنظیمات!$B$10,1,0)</f>
        <v>0</v>
      </c>
      <c r="BA583" s="21" t="n">
        <f aca="false">IF(AND(OR(AD583="رایگان/VIP",AD583="جانباز"),AF583="خیر"),1,0)</f>
        <v>0</v>
      </c>
      <c r="BB583" s="21" t="n">
        <f aca="false">IF(AE583="",0,IF(COUNTIF($AE$2:$AE$1001,AE583)&gt;1,1,0))</f>
        <v>0</v>
      </c>
      <c r="BC583" s="21" t="n">
        <f aca="false">IF(AND(H583="",I583&gt;تنظیمات!$B$12*60,AM583="خالی"),1,0)</f>
        <v>0</v>
      </c>
      <c r="BD583" s="21" t="n">
        <f aca="false">IF(AND(AP583="بله",I583&lt;تنظیمات!$B$14,AO583="خیر"),1,0)</f>
        <v>0</v>
      </c>
      <c r="BE583" s="21" t="n">
        <f aca="false">IF(AN583="خیر",1,0)</f>
        <v>0</v>
      </c>
      <c r="BF583" s="21" t="n">
        <f aca="false">IF(AND(AD583="فیش مفقودی",AQ583="بله",I583&gt;تنظیمات!$B$12*60),1,0)</f>
        <v>0</v>
      </c>
      <c r="BG583" s="21" t="n">
        <f aca="false">IF(AND(AK583&gt;تنظیمات!$B$11,AL583="بله"),1,0)</f>
        <v>0</v>
      </c>
      <c r="BH583" s="21" t="n">
        <f aca="false">MIN(100,AR583*تنظیمات!$B$21+AS583*تنظیمات!$B$22+AT583*تنظیمات!$B$23+AU583*تنظیمات!$B$24+AV583*تنظیمات!$B$25+AW583*تنظیمات!$B$26+AX583*تنظیمات!$B$27+AY583*تنظیمات!$B$28+AZ583*تنظیمات!$B$29+BA583*تنظیمات!$B$30+BB583*تنظیمات!$B$31+BC583*تنظیمات!$B$32+BD583*تنظیمات!$B$33+BE583*تنظیمات!$B$34+BF583*تنظیمات!$B$35+BG583*تنظیمات!$B$36)</f>
        <v>0</v>
      </c>
      <c r="BI583" s="16" t="str">
        <f aca="false">IF(BH583&gt;=60,"بحرانی",IF(BH583&gt;=30,"مشکوک",IF(BH583&gt;0,"هشدار","عادی")))</f>
        <v>عادی</v>
      </c>
      <c r="BJ583" s="16" t="s">
        <v>338</v>
      </c>
    </row>
    <row r="584" customFormat="false" ht="15" hidden="false" customHeight="false" outlineLevel="0" collapsed="false">
      <c r="A584" s="16" t="s">
        <v>2177</v>
      </c>
      <c r="B584" s="16" t="s">
        <v>839</v>
      </c>
      <c r="C584" s="16"/>
      <c r="D584" s="16" t="s">
        <v>431</v>
      </c>
      <c r="E584" s="16" t="s">
        <v>375</v>
      </c>
      <c r="F584" s="16" t="s">
        <v>333</v>
      </c>
      <c r="G584" s="17" t="n">
        <v>46289.2757986111</v>
      </c>
      <c r="H584" s="17" t="n">
        <v>46289.7362152778</v>
      </c>
      <c r="I584" s="18" t="n">
        <f aca="false">IF(H584="",ROUND((تنظیمات!$B$7-G584)*1440,0),ROUND((H584-G584)*1440,0))</f>
        <v>663</v>
      </c>
      <c r="J584" s="16" t="s">
        <v>334</v>
      </c>
      <c r="K584" s="16" t="s">
        <v>410</v>
      </c>
      <c r="L584" s="19" t="n">
        <v>0.995</v>
      </c>
      <c r="M584" s="19" t="n">
        <v>0.919</v>
      </c>
      <c r="N584" s="16" t="s">
        <v>335</v>
      </c>
      <c r="O584" s="16" t="s">
        <v>419</v>
      </c>
      <c r="P584" s="16" t="s">
        <v>420</v>
      </c>
      <c r="Q584" s="20" t="n">
        <v>46289</v>
      </c>
      <c r="R584" s="16" t="s">
        <v>2178</v>
      </c>
      <c r="S584" s="16" t="s">
        <v>404</v>
      </c>
      <c r="T584" s="17"/>
      <c r="U584" s="21" t="n">
        <v>1</v>
      </c>
      <c r="V584" s="21" t="n">
        <v>1</v>
      </c>
      <c r="W584" s="22" t="n">
        <v>5.5</v>
      </c>
      <c r="X584" s="16" t="s">
        <v>335</v>
      </c>
      <c r="Y584" s="16" t="s">
        <v>338</v>
      </c>
      <c r="Z584" s="16" t="s">
        <v>413</v>
      </c>
      <c r="AA584" s="16" t="s">
        <v>414</v>
      </c>
      <c r="AB584" s="23" t="s">
        <v>2179</v>
      </c>
      <c r="AC584" s="17" t="n">
        <v>46289.7357291667</v>
      </c>
      <c r="AD584" s="16" t="s">
        <v>338</v>
      </c>
      <c r="AE584" s="16"/>
      <c r="AF584" s="16" t="str">
        <f aca="false">IF(COUNTIF(لیست_سفید!$A$2:$A$21,B584)&gt;0,"بله","خیر")</f>
        <v>خیر</v>
      </c>
      <c r="AG584" s="24" t="n">
        <f aca="false">IF(H584="","",IF(AD584="فیش مفقودی",تنظیمات!$B$6,(INT(I584/1440)*تنظیمات!$B$5+IF(MOD(I584,1440)&lt;=تنظیمات!$B$2,0,MIN(تنظیمات!$B$5,تنظیمات!$B$3+MAX(0,ROUNDUP((MOD(I584,1440)-60)/60,0))*تنظیمات!$B$4)))*INDEX(تعرفه!$B$2:$B$7,MATCH(AD584,تعرفه!$A$2:$A$7,0))))</f>
        <v>174000</v>
      </c>
      <c r="AH584" s="24" t="n">
        <v>174000</v>
      </c>
      <c r="AI584" s="24" t="n">
        <f aca="false">IF(AG584="","",AH584-AG584)</f>
        <v>0</v>
      </c>
      <c r="AJ584" s="21" t="n">
        <v>0</v>
      </c>
      <c r="AK584" s="21" t="n">
        <v>0</v>
      </c>
      <c r="AL584" s="16" t="s">
        <v>335</v>
      </c>
      <c r="AM584" s="16"/>
      <c r="AN584" s="16" t="s">
        <v>340</v>
      </c>
      <c r="AO584" s="16" t="s">
        <v>340</v>
      </c>
      <c r="AP584" s="16" t="s">
        <v>335</v>
      </c>
      <c r="AQ584" s="16"/>
      <c r="AR584" s="21" t="n">
        <f aca="false">IF(AND(T584&lt;&gt;"",H584&lt;&gt;""),IF(AND((T584-H584)*86400&gt;=0,(T584-H584)*86400&lt;تنظیمات!$B$13),1,0),0)</f>
        <v>0</v>
      </c>
      <c r="AS584" s="21" t="n">
        <f aca="false">IF(Z584="پوز",IF(OR(AB584="",COUNTIF(پوزها!$A$2:$A$5,AA584)=0),1,0),0)</f>
        <v>0</v>
      </c>
      <c r="AT584" s="21" t="n">
        <f aca="false">IF(AI584="",0,IF(AI584&gt;0,1,0))</f>
        <v>0</v>
      </c>
      <c r="AU584" s="21" t="n">
        <f aca="false">IF(AI584="",0,IF(AI584&lt;0,1,0))</f>
        <v>0</v>
      </c>
      <c r="AV584" s="21" t="n">
        <f aca="false">IF(U584&gt;V584,1,0)</f>
        <v>0</v>
      </c>
      <c r="AW584" s="21" t="n">
        <f aca="false">IF(OR(W584&gt;تنظیمات!$B$8,X584="بله"),1,0)</f>
        <v>0</v>
      </c>
      <c r="AX584" s="21" t="n">
        <f aca="false">IF(AND(N584="بله",L584&gt;تنظیمات!$B$9),1,0)</f>
        <v>0</v>
      </c>
      <c r="AY584" s="21" t="n">
        <f aca="false">IF(Y584="معکوس",1,0)</f>
        <v>0</v>
      </c>
      <c r="AZ584" s="21" t="n">
        <f aca="false">IF(ABS(AJ584)&gt;تنظیمات!$B$10,1,0)</f>
        <v>0</v>
      </c>
      <c r="BA584" s="21" t="n">
        <f aca="false">IF(AND(OR(AD584="رایگان/VIP",AD584="جانباز"),AF584="خیر"),1,0)</f>
        <v>0</v>
      </c>
      <c r="BB584" s="21" t="n">
        <f aca="false">IF(AE584="",0,IF(COUNTIF($AE$2:$AE$1001,AE584)&gt;1,1,0))</f>
        <v>0</v>
      </c>
      <c r="BC584" s="21" t="n">
        <f aca="false">IF(AND(H584="",I584&gt;تنظیمات!$B$12*60,AM584="خالی"),1,0)</f>
        <v>0</v>
      </c>
      <c r="BD584" s="21" t="n">
        <f aca="false">IF(AND(AP584="بله",I584&lt;تنظیمات!$B$14,AO584="خیر"),1,0)</f>
        <v>0</v>
      </c>
      <c r="BE584" s="21" t="n">
        <f aca="false">IF(AN584="خیر",1,0)</f>
        <v>0</v>
      </c>
      <c r="BF584" s="21" t="n">
        <f aca="false">IF(AND(AD584="فیش مفقودی",AQ584="بله",I584&gt;تنظیمات!$B$12*60),1,0)</f>
        <v>0</v>
      </c>
      <c r="BG584" s="21" t="n">
        <f aca="false">IF(AND(AK584&gt;تنظیمات!$B$11,AL584="بله"),1,0)</f>
        <v>0</v>
      </c>
      <c r="BH584" s="21" t="n">
        <f aca="false">MIN(100,AR584*تنظیمات!$B$21+AS584*تنظیمات!$B$22+AT584*تنظیمات!$B$23+AU584*تنظیمات!$B$24+AV584*تنظیمات!$B$25+AW584*تنظیمات!$B$26+AX584*تنظیمات!$B$27+AY584*تنظیمات!$B$28+AZ584*تنظیمات!$B$29+BA584*تنظیمات!$B$30+BB584*تنظیمات!$B$31+BC584*تنظیمات!$B$32+BD584*تنظیمات!$B$33+BE584*تنظیمات!$B$34+BF584*تنظیمات!$B$35+BG584*تنظیمات!$B$36)</f>
        <v>0</v>
      </c>
      <c r="BI584" s="16" t="str">
        <f aca="false">IF(BH584&gt;=60,"بحرانی",IF(BH584&gt;=30,"مشکوک",IF(BH584&gt;0,"هشدار","عادی")))</f>
        <v>عادی</v>
      </c>
      <c r="BJ584" s="16" t="s">
        <v>338</v>
      </c>
    </row>
    <row r="585" customFormat="false" ht="15" hidden="false" customHeight="false" outlineLevel="0" collapsed="false">
      <c r="A585" s="16" t="s">
        <v>2180</v>
      </c>
      <c r="B585" s="16" t="s">
        <v>522</v>
      </c>
      <c r="C585" s="16"/>
      <c r="D585" s="16" t="s">
        <v>523</v>
      </c>
      <c r="E585" s="16" t="s">
        <v>351</v>
      </c>
      <c r="F585" s="16" t="s">
        <v>333</v>
      </c>
      <c r="G585" s="17" t="n">
        <v>46289.278275463</v>
      </c>
      <c r="H585" s="17" t="n">
        <v>46289.5824421296</v>
      </c>
      <c r="I585" s="18" t="n">
        <f aca="false">IF(H585="",ROUND((تنظیمات!$B$7-G585)*1440,0),ROUND((H585-G585)*1440,0))</f>
        <v>438</v>
      </c>
      <c r="J585" s="16" t="s">
        <v>334</v>
      </c>
      <c r="K585" s="16" t="s">
        <v>400</v>
      </c>
      <c r="L585" s="19" t="n">
        <v>0.905</v>
      </c>
      <c r="M585" s="19" t="n">
        <v>0.981</v>
      </c>
      <c r="N585" s="16" t="s">
        <v>335</v>
      </c>
      <c r="O585" s="16" t="s">
        <v>441</v>
      </c>
      <c r="P585" s="16" t="s">
        <v>402</v>
      </c>
      <c r="Q585" s="20" t="n">
        <v>46289</v>
      </c>
      <c r="R585" s="16" t="s">
        <v>2181</v>
      </c>
      <c r="S585" s="16" t="s">
        <v>404</v>
      </c>
      <c r="T585" s="17"/>
      <c r="U585" s="21" t="n">
        <v>1</v>
      </c>
      <c r="V585" s="21" t="n">
        <v>1</v>
      </c>
      <c r="W585" s="22" t="n">
        <v>2.5</v>
      </c>
      <c r="X585" s="16" t="s">
        <v>335</v>
      </c>
      <c r="Y585" s="16" t="s">
        <v>338</v>
      </c>
      <c r="Z585" s="16" t="s">
        <v>443</v>
      </c>
      <c r="AA585" s="16"/>
      <c r="AB585" s="23"/>
      <c r="AC585" s="17"/>
      <c r="AD585" s="16" t="s">
        <v>444</v>
      </c>
      <c r="AE585" s="16"/>
      <c r="AF585" s="16" t="str">
        <f aca="false">IF(COUNTIF(لیست_سفید!$A$2:$A$21,B585)&gt;0,"بله","خیر")</f>
        <v>خیر</v>
      </c>
      <c r="AG585" s="24" t="n">
        <f aca="false">IF(H585="","",IF(AD585="فیش مفقودی",تنظیمات!$B$6,(INT(I585/1440)*تنظیمات!$B$5+IF(MOD(I585,1440)&lt;=تنظیمات!$B$2,0,MIN(تنظیمات!$B$5,تنظیمات!$B$3+MAX(0,ROUNDUP((MOD(I585,1440)-60)/60,0))*تنظیمات!$B$4)))*INDEX(تعرفه!$B$2:$B$7,MATCH(AD585,تعرفه!$A$2:$A$7,0))))</f>
        <v>0</v>
      </c>
      <c r="AH585" s="24" t="n">
        <v>0</v>
      </c>
      <c r="AI585" s="24" t="n">
        <f aca="false">IF(AG585="","",AH585-AG585)</f>
        <v>0</v>
      </c>
      <c r="AJ585" s="21" t="n">
        <v>1</v>
      </c>
      <c r="AK585" s="21" t="n">
        <v>0</v>
      </c>
      <c r="AL585" s="16" t="s">
        <v>335</v>
      </c>
      <c r="AM585" s="16"/>
      <c r="AN585" s="16" t="s">
        <v>340</v>
      </c>
      <c r="AO585" s="16" t="s">
        <v>340</v>
      </c>
      <c r="AP585" s="16" t="s">
        <v>335</v>
      </c>
      <c r="AQ585" s="16"/>
      <c r="AR585" s="21" t="n">
        <f aca="false">IF(AND(T585&lt;&gt;"",H585&lt;&gt;""),IF(AND((T585-H585)*86400&gt;=0,(T585-H585)*86400&lt;تنظیمات!$B$13),1,0),0)</f>
        <v>0</v>
      </c>
      <c r="AS585" s="21" t="n">
        <f aca="false">IF(Z585="پوز",IF(OR(AB585="",COUNTIF(پوزها!$A$2:$A$5,AA585)=0),1,0),0)</f>
        <v>0</v>
      </c>
      <c r="AT585" s="21" t="n">
        <f aca="false">IF(AI585="",0,IF(AI585&gt;0,1,0))</f>
        <v>0</v>
      </c>
      <c r="AU585" s="21" t="n">
        <f aca="false">IF(AI585="",0,IF(AI585&lt;0,1,0))</f>
        <v>0</v>
      </c>
      <c r="AV585" s="21" t="n">
        <f aca="false">IF(U585&gt;V585,1,0)</f>
        <v>0</v>
      </c>
      <c r="AW585" s="21" t="n">
        <f aca="false">IF(OR(W585&gt;تنظیمات!$B$8,X585="بله"),1,0)</f>
        <v>0</v>
      </c>
      <c r="AX585" s="21" t="n">
        <f aca="false">IF(AND(N585="بله",L585&gt;تنظیمات!$B$9),1,0)</f>
        <v>0</v>
      </c>
      <c r="AY585" s="21" t="n">
        <f aca="false">IF(Y585="معکوس",1,0)</f>
        <v>0</v>
      </c>
      <c r="AZ585" s="21" t="n">
        <f aca="false">IF(ABS(AJ585)&gt;تنظیمات!$B$10,1,0)</f>
        <v>0</v>
      </c>
      <c r="BA585" s="21" t="n">
        <f aca="false">IF(AND(OR(AD585="رایگان/VIP",AD585="جانباز"),AF585="خیر"),1,0)</f>
        <v>0</v>
      </c>
      <c r="BB585" s="21" t="n">
        <f aca="false">IF(AE585="",0,IF(COUNTIF($AE$2:$AE$1001,AE585)&gt;1,1,0))</f>
        <v>0</v>
      </c>
      <c r="BC585" s="21" t="n">
        <f aca="false">IF(AND(H585="",I585&gt;تنظیمات!$B$12*60,AM585="خالی"),1,0)</f>
        <v>0</v>
      </c>
      <c r="BD585" s="21" t="n">
        <f aca="false">IF(AND(AP585="بله",I585&lt;تنظیمات!$B$14,AO585="خیر"),1,0)</f>
        <v>0</v>
      </c>
      <c r="BE585" s="21" t="n">
        <f aca="false">IF(AN585="خیر",1,0)</f>
        <v>0</v>
      </c>
      <c r="BF585" s="21" t="n">
        <f aca="false">IF(AND(AD585="فیش مفقودی",AQ585="بله",I585&gt;تنظیمات!$B$12*60),1,0)</f>
        <v>0</v>
      </c>
      <c r="BG585" s="21" t="n">
        <f aca="false">IF(AND(AK585&gt;تنظیمات!$B$11,AL585="بله"),1,0)</f>
        <v>0</v>
      </c>
      <c r="BH585" s="21" t="n">
        <f aca="false">MIN(100,AR585*تنظیمات!$B$21+AS585*تنظیمات!$B$22+AT585*تنظیمات!$B$23+AU585*تنظیمات!$B$24+AV585*تنظیمات!$B$25+AW585*تنظیمات!$B$26+AX585*تنظیمات!$B$27+AY585*تنظیمات!$B$28+AZ585*تنظیمات!$B$29+BA585*تنظیمات!$B$30+BB585*تنظیمات!$B$31+BC585*تنظیمات!$B$32+BD585*تنظیمات!$B$33+BE585*تنظیمات!$B$34+BF585*تنظیمات!$B$35+BG585*تنظیمات!$B$36)</f>
        <v>0</v>
      </c>
      <c r="BI585" s="16" t="str">
        <f aca="false">IF(BH585&gt;=60,"بحرانی",IF(BH585&gt;=30,"مشکوک",IF(BH585&gt;0,"هشدار","عادی")))</f>
        <v>عادی</v>
      </c>
      <c r="BJ585" s="16" t="s">
        <v>338</v>
      </c>
    </row>
    <row r="586" customFormat="false" ht="15" hidden="false" customHeight="false" outlineLevel="0" collapsed="false">
      <c r="A586" s="16" t="s">
        <v>2182</v>
      </c>
      <c r="B586" s="16" t="s">
        <v>430</v>
      </c>
      <c r="C586" s="16"/>
      <c r="D586" s="16" t="s">
        <v>431</v>
      </c>
      <c r="E586" s="16" t="s">
        <v>363</v>
      </c>
      <c r="F586" s="16" t="s">
        <v>333</v>
      </c>
      <c r="G586" s="17" t="n">
        <v>46289.2859259259</v>
      </c>
      <c r="H586" s="17" t="n">
        <v>46289.3512037037</v>
      </c>
      <c r="I586" s="18" t="n">
        <f aca="false">IF(H586="",ROUND((تنظیمات!$B$7-G586)*1440,0),ROUND((H586-G586)*1440,0))</f>
        <v>94</v>
      </c>
      <c r="J586" s="16" t="s">
        <v>334</v>
      </c>
      <c r="K586" s="16" t="s">
        <v>410</v>
      </c>
      <c r="L586" s="19" t="n">
        <v>0.94</v>
      </c>
      <c r="M586" s="19" t="n">
        <v>0.994</v>
      </c>
      <c r="N586" s="16" t="s">
        <v>335</v>
      </c>
      <c r="O586" s="16" t="s">
        <v>411</v>
      </c>
      <c r="P586" s="16" t="s">
        <v>402</v>
      </c>
      <c r="Q586" s="20" t="n">
        <v>46289</v>
      </c>
      <c r="R586" s="16" t="s">
        <v>2183</v>
      </c>
      <c r="S586" s="16" t="s">
        <v>404</v>
      </c>
      <c r="T586" s="17"/>
      <c r="U586" s="21" t="n">
        <v>1</v>
      </c>
      <c r="V586" s="21" t="n">
        <v>1</v>
      </c>
      <c r="W586" s="22" t="n">
        <v>5.2</v>
      </c>
      <c r="X586" s="16" t="s">
        <v>335</v>
      </c>
      <c r="Y586" s="16" t="s">
        <v>338</v>
      </c>
      <c r="Z586" s="16" t="s">
        <v>413</v>
      </c>
      <c r="AA586" s="16" t="s">
        <v>414</v>
      </c>
      <c r="AB586" s="23" t="s">
        <v>2184</v>
      </c>
      <c r="AC586" s="17" t="n">
        <v>46289.3508564815</v>
      </c>
      <c r="AD586" s="16" t="s">
        <v>338</v>
      </c>
      <c r="AE586" s="16"/>
      <c r="AF586" s="16" t="str">
        <f aca="false">IF(COUNTIF(لیست_سفید!$A$2:$A$21,B586)&gt;0,"بله","خیر")</f>
        <v>خیر</v>
      </c>
      <c r="AG586" s="24" t="n">
        <f aca="false">IF(H586="","",IF(AD586="فیش مفقودی",تنظیمات!$B$6,(INT(I586/1440)*تنظیمات!$B$5+IF(MOD(I586,1440)&lt;=تنظیمات!$B$2,0,MIN(تنظیمات!$B$5,تنظیمات!$B$3+MAX(0,ROUNDUP((MOD(I586,1440)-60)/60,0))*تنظیمات!$B$4)))*INDEX(تعرفه!$B$2:$B$7,MATCH(AD586,تعرفه!$A$2:$A$7,0))))</f>
        <v>34000</v>
      </c>
      <c r="AH586" s="24" t="n">
        <v>34000</v>
      </c>
      <c r="AI586" s="24" t="n">
        <f aca="false">IF(AG586="","",AH586-AG586)</f>
        <v>0</v>
      </c>
      <c r="AJ586" s="21" t="n">
        <v>-4</v>
      </c>
      <c r="AK586" s="21" t="n">
        <v>0</v>
      </c>
      <c r="AL586" s="16" t="s">
        <v>335</v>
      </c>
      <c r="AM586" s="16"/>
      <c r="AN586" s="16" t="s">
        <v>340</v>
      </c>
      <c r="AO586" s="16" t="s">
        <v>340</v>
      </c>
      <c r="AP586" s="16" t="s">
        <v>335</v>
      </c>
      <c r="AQ586" s="16"/>
      <c r="AR586" s="21" t="n">
        <f aca="false">IF(AND(T586&lt;&gt;"",H586&lt;&gt;""),IF(AND((T586-H586)*86400&gt;=0,(T586-H586)*86400&lt;تنظیمات!$B$13),1,0),0)</f>
        <v>0</v>
      </c>
      <c r="AS586" s="21" t="n">
        <f aca="false">IF(Z586="پوز",IF(OR(AB586="",COUNTIF(پوزها!$A$2:$A$5,AA586)=0),1,0),0)</f>
        <v>0</v>
      </c>
      <c r="AT586" s="21" t="n">
        <f aca="false">IF(AI586="",0,IF(AI586&gt;0,1,0))</f>
        <v>0</v>
      </c>
      <c r="AU586" s="21" t="n">
        <f aca="false">IF(AI586="",0,IF(AI586&lt;0,1,0))</f>
        <v>0</v>
      </c>
      <c r="AV586" s="21" t="n">
        <f aca="false">IF(U586&gt;V586,1,0)</f>
        <v>0</v>
      </c>
      <c r="AW586" s="21" t="n">
        <f aca="false">IF(OR(W586&gt;تنظیمات!$B$8,X586="بله"),1,0)</f>
        <v>0</v>
      </c>
      <c r="AX586" s="21" t="n">
        <f aca="false">IF(AND(N586="بله",L586&gt;تنظیمات!$B$9),1,0)</f>
        <v>0</v>
      </c>
      <c r="AY586" s="21" t="n">
        <f aca="false">IF(Y586="معکوس",1,0)</f>
        <v>0</v>
      </c>
      <c r="AZ586" s="21" t="n">
        <f aca="false">IF(ABS(AJ586)&gt;تنظیمات!$B$10,1,0)</f>
        <v>0</v>
      </c>
      <c r="BA586" s="21" t="n">
        <f aca="false">IF(AND(OR(AD586="رایگان/VIP",AD586="جانباز"),AF586="خیر"),1,0)</f>
        <v>0</v>
      </c>
      <c r="BB586" s="21" t="n">
        <f aca="false">IF(AE586="",0,IF(COUNTIF($AE$2:$AE$1001,AE586)&gt;1,1,0))</f>
        <v>0</v>
      </c>
      <c r="BC586" s="21" t="n">
        <f aca="false">IF(AND(H586="",I586&gt;تنظیمات!$B$12*60,AM586="خالی"),1,0)</f>
        <v>0</v>
      </c>
      <c r="BD586" s="21" t="n">
        <f aca="false">IF(AND(AP586="بله",I586&lt;تنظیمات!$B$14,AO586="خیر"),1,0)</f>
        <v>0</v>
      </c>
      <c r="BE586" s="21" t="n">
        <f aca="false">IF(AN586="خیر",1,0)</f>
        <v>0</v>
      </c>
      <c r="BF586" s="21" t="n">
        <f aca="false">IF(AND(AD586="فیش مفقودی",AQ586="بله",I586&gt;تنظیمات!$B$12*60),1,0)</f>
        <v>0</v>
      </c>
      <c r="BG586" s="21" t="n">
        <f aca="false">IF(AND(AK586&gt;تنظیمات!$B$11,AL586="بله"),1,0)</f>
        <v>0</v>
      </c>
      <c r="BH586" s="21" t="n">
        <f aca="false">MIN(100,AR586*تنظیمات!$B$21+AS586*تنظیمات!$B$22+AT586*تنظیمات!$B$23+AU586*تنظیمات!$B$24+AV586*تنظیمات!$B$25+AW586*تنظیمات!$B$26+AX586*تنظیمات!$B$27+AY586*تنظیمات!$B$28+AZ586*تنظیمات!$B$29+BA586*تنظیمات!$B$30+BB586*تنظیمات!$B$31+BC586*تنظیمات!$B$32+BD586*تنظیمات!$B$33+BE586*تنظیمات!$B$34+BF586*تنظیمات!$B$35+BG586*تنظیمات!$B$36)</f>
        <v>0</v>
      </c>
      <c r="BI586" s="16" t="str">
        <f aca="false">IF(BH586&gt;=60,"بحرانی",IF(BH586&gt;=30,"مشکوک",IF(BH586&gt;0,"هشدار","عادی")))</f>
        <v>عادی</v>
      </c>
      <c r="BJ586" s="16" t="s">
        <v>338</v>
      </c>
    </row>
    <row r="587" customFormat="false" ht="15" hidden="false" customHeight="false" outlineLevel="0" collapsed="false">
      <c r="A587" s="16" t="s">
        <v>2185</v>
      </c>
      <c r="B587" s="16" t="s">
        <v>2186</v>
      </c>
      <c r="C587" s="16"/>
      <c r="D587" s="16" t="s">
        <v>508</v>
      </c>
      <c r="E587" s="16" t="s">
        <v>390</v>
      </c>
      <c r="F587" s="16" t="s">
        <v>333</v>
      </c>
      <c r="G587" s="17" t="n">
        <v>46289.3093865741</v>
      </c>
      <c r="H587" s="17" t="n">
        <v>46289.4378587963</v>
      </c>
      <c r="I587" s="18" t="n">
        <f aca="false">IF(H587="",ROUND((تنظیمات!$B$7-G587)*1440,0),ROUND((H587-G587)*1440,0))</f>
        <v>185</v>
      </c>
      <c r="J587" s="16" t="s">
        <v>334</v>
      </c>
      <c r="K587" s="16" t="s">
        <v>410</v>
      </c>
      <c r="L587" s="19" t="n">
        <v>0.873</v>
      </c>
      <c r="M587" s="19" t="n">
        <v>0.904</v>
      </c>
      <c r="N587" s="16" t="s">
        <v>335</v>
      </c>
      <c r="O587" s="16" t="s">
        <v>411</v>
      </c>
      <c r="P587" s="16" t="s">
        <v>402</v>
      </c>
      <c r="Q587" s="20" t="n">
        <v>46289</v>
      </c>
      <c r="R587" s="16" t="s">
        <v>2187</v>
      </c>
      <c r="S587" s="16" t="s">
        <v>404</v>
      </c>
      <c r="T587" s="17"/>
      <c r="U587" s="21" t="n">
        <v>1</v>
      </c>
      <c r="V587" s="21" t="n">
        <v>1</v>
      </c>
      <c r="W587" s="22" t="n">
        <v>3.2</v>
      </c>
      <c r="X587" s="16" t="s">
        <v>335</v>
      </c>
      <c r="Y587" s="16" t="s">
        <v>338</v>
      </c>
      <c r="Z587" s="16" t="s">
        <v>413</v>
      </c>
      <c r="AA587" s="16" t="s">
        <v>414</v>
      </c>
      <c r="AB587" s="23" t="s">
        <v>2188</v>
      </c>
      <c r="AC587" s="17" t="n">
        <v>46289.4371064815</v>
      </c>
      <c r="AD587" s="16" t="s">
        <v>338</v>
      </c>
      <c r="AE587" s="16"/>
      <c r="AF587" s="16" t="str">
        <f aca="false">IF(COUNTIF(لیست_سفید!$A$2:$A$21,B587)&gt;0,"بله","خیر")</f>
        <v>خیر</v>
      </c>
      <c r="AG587" s="24" t="n">
        <f aca="false">IF(H587="","",IF(AD587="فیش مفقودی",تنظیمات!$B$6,(INT(I587/1440)*تنظیمات!$B$5+IF(MOD(I587,1440)&lt;=تنظیمات!$B$2,0,MIN(تنظیمات!$B$5,تنظیمات!$B$3+MAX(0,ROUNDUP((MOD(I587,1440)-60)/60,0))*تنظیمات!$B$4)))*INDEX(تعرفه!$B$2:$B$7,MATCH(AD587,تعرفه!$A$2:$A$7,0))))</f>
        <v>62000</v>
      </c>
      <c r="AH587" s="24" t="n">
        <v>62000</v>
      </c>
      <c r="AI587" s="24" t="n">
        <f aca="false">IF(AG587="","",AH587-AG587)</f>
        <v>0</v>
      </c>
      <c r="AJ587" s="21" t="n">
        <v>0</v>
      </c>
      <c r="AK587" s="21" t="n">
        <v>0</v>
      </c>
      <c r="AL587" s="16" t="s">
        <v>335</v>
      </c>
      <c r="AM587" s="16"/>
      <c r="AN587" s="16" t="s">
        <v>340</v>
      </c>
      <c r="AO587" s="16" t="s">
        <v>340</v>
      </c>
      <c r="AP587" s="16" t="s">
        <v>335</v>
      </c>
      <c r="AQ587" s="16"/>
      <c r="AR587" s="21" t="n">
        <f aca="false">IF(AND(T587&lt;&gt;"",H587&lt;&gt;""),IF(AND((T587-H587)*86400&gt;=0,(T587-H587)*86400&lt;تنظیمات!$B$13),1,0),0)</f>
        <v>0</v>
      </c>
      <c r="AS587" s="21" t="n">
        <f aca="false">IF(Z587="پوز",IF(OR(AB587="",COUNTIF(پوزها!$A$2:$A$5,AA587)=0),1,0),0)</f>
        <v>0</v>
      </c>
      <c r="AT587" s="21" t="n">
        <f aca="false">IF(AI587="",0,IF(AI587&gt;0,1,0))</f>
        <v>0</v>
      </c>
      <c r="AU587" s="21" t="n">
        <f aca="false">IF(AI587="",0,IF(AI587&lt;0,1,0))</f>
        <v>0</v>
      </c>
      <c r="AV587" s="21" t="n">
        <f aca="false">IF(U587&gt;V587,1,0)</f>
        <v>0</v>
      </c>
      <c r="AW587" s="21" t="n">
        <f aca="false">IF(OR(W587&gt;تنظیمات!$B$8,X587="بله"),1,0)</f>
        <v>0</v>
      </c>
      <c r="AX587" s="21" t="n">
        <f aca="false">IF(AND(N587="بله",L587&gt;تنظیمات!$B$9),1,0)</f>
        <v>0</v>
      </c>
      <c r="AY587" s="21" t="n">
        <f aca="false">IF(Y587="معکوس",1,0)</f>
        <v>0</v>
      </c>
      <c r="AZ587" s="21" t="n">
        <f aca="false">IF(ABS(AJ587)&gt;تنظیمات!$B$10,1,0)</f>
        <v>0</v>
      </c>
      <c r="BA587" s="21" t="n">
        <f aca="false">IF(AND(OR(AD587="رایگان/VIP",AD587="جانباز"),AF587="خیر"),1,0)</f>
        <v>0</v>
      </c>
      <c r="BB587" s="21" t="n">
        <f aca="false">IF(AE587="",0,IF(COUNTIF($AE$2:$AE$1001,AE587)&gt;1,1,0))</f>
        <v>0</v>
      </c>
      <c r="BC587" s="21" t="n">
        <f aca="false">IF(AND(H587="",I587&gt;تنظیمات!$B$12*60,AM587="خالی"),1,0)</f>
        <v>0</v>
      </c>
      <c r="BD587" s="21" t="n">
        <f aca="false">IF(AND(AP587="بله",I587&lt;تنظیمات!$B$14,AO587="خیر"),1,0)</f>
        <v>0</v>
      </c>
      <c r="BE587" s="21" t="n">
        <f aca="false">IF(AN587="خیر",1,0)</f>
        <v>0</v>
      </c>
      <c r="BF587" s="21" t="n">
        <f aca="false">IF(AND(AD587="فیش مفقودی",AQ587="بله",I587&gt;تنظیمات!$B$12*60),1,0)</f>
        <v>0</v>
      </c>
      <c r="BG587" s="21" t="n">
        <f aca="false">IF(AND(AK587&gt;تنظیمات!$B$11,AL587="بله"),1,0)</f>
        <v>0</v>
      </c>
      <c r="BH587" s="21" t="n">
        <f aca="false">MIN(100,AR587*تنظیمات!$B$21+AS587*تنظیمات!$B$22+AT587*تنظیمات!$B$23+AU587*تنظیمات!$B$24+AV587*تنظیمات!$B$25+AW587*تنظیمات!$B$26+AX587*تنظیمات!$B$27+AY587*تنظیمات!$B$28+AZ587*تنظیمات!$B$29+BA587*تنظیمات!$B$30+BB587*تنظیمات!$B$31+BC587*تنظیمات!$B$32+BD587*تنظیمات!$B$33+BE587*تنظیمات!$B$34+BF587*تنظیمات!$B$35+BG587*تنظیمات!$B$36)</f>
        <v>0</v>
      </c>
      <c r="BI587" s="16" t="str">
        <f aca="false">IF(BH587&gt;=60,"بحرانی",IF(BH587&gt;=30,"مشکوک",IF(BH587&gt;0,"هشدار","عادی")))</f>
        <v>عادی</v>
      </c>
      <c r="BJ587" s="16" t="s">
        <v>338</v>
      </c>
    </row>
    <row r="588" customFormat="false" ht="15" hidden="false" customHeight="false" outlineLevel="0" collapsed="false">
      <c r="A588" s="16" t="s">
        <v>2189</v>
      </c>
      <c r="B588" s="16" t="s">
        <v>1614</v>
      </c>
      <c r="C588" s="16"/>
      <c r="D588" s="16" t="s">
        <v>331</v>
      </c>
      <c r="E588" s="16" t="s">
        <v>363</v>
      </c>
      <c r="F588" s="16" t="s">
        <v>333</v>
      </c>
      <c r="G588" s="17" t="n">
        <v>46289.3159027778</v>
      </c>
      <c r="H588" s="17" t="n">
        <v>46289.6867361111</v>
      </c>
      <c r="I588" s="18" t="n">
        <f aca="false">IF(H588="",ROUND((تنظیمات!$B$7-G588)*1440,0),ROUND((H588-G588)*1440,0))</f>
        <v>534</v>
      </c>
      <c r="J588" s="16" t="s">
        <v>334</v>
      </c>
      <c r="K588" s="16" t="s">
        <v>400</v>
      </c>
      <c r="L588" s="19" t="n">
        <v>0.953</v>
      </c>
      <c r="M588" s="19" t="n">
        <v>0.929</v>
      </c>
      <c r="N588" s="16" t="s">
        <v>335</v>
      </c>
      <c r="O588" s="16" t="s">
        <v>401</v>
      </c>
      <c r="P588" s="16" t="s">
        <v>420</v>
      </c>
      <c r="Q588" s="20" t="n">
        <v>46289</v>
      </c>
      <c r="R588" s="16" t="s">
        <v>2190</v>
      </c>
      <c r="S588" s="16" t="s">
        <v>404</v>
      </c>
      <c r="T588" s="17"/>
      <c r="U588" s="21" t="n">
        <v>1</v>
      </c>
      <c r="V588" s="21" t="n">
        <v>1</v>
      </c>
      <c r="W588" s="22" t="n">
        <v>7.6</v>
      </c>
      <c r="X588" s="16" t="s">
        <v>335</v>
      </c>
      <c r="Y588" s="16" t="s">
        <v>338</v>
      </c>
      <c r="Z588" s="16" t="s">
        <v>443</v>
      </c>
      <c r="AA588" s="16"/>
      <c r="AB588" s="23"/>
      <c r="AC588" s="17"/>
      <c r="AD588" s="16" t="s">
        <v>444</v>
      </c>
      <c r="AE588" s="16"/>
      <c r="AF588" s="16" t="str">
        <f aca="false">IF(COUNTIF(لیست_سفید!$A$2:$A$21,B588)&gt;0,"بله","خیر")</f>
        <v>خیر</v>
      </c>
      <c r="AG588" s="24" t="n">
        <f aca="false">IF(H588="","",IF(AD588="فیش مفقودی",تنظیمات!$B$6,(INT(I588/1440)*تنظیمات!$B$5+IF(MOD(I588,1440)&lt;=تنظیمات!$B$2,0,MIN(تنظیمات!$B$5,تنظیمات!$B$3+MAX(0,ROUNDUP((MOD(I588,1440)-60)/60,0))*تنظیمات!$B$4)))*INDEX(تعرفه!$B$2:$B$7,MATCH(AD588,تعرفه!$A$2:$A$7,0))))</f>
        <v>0</v>
      </c>
      <c r="AH588" s="24" t="n">
        <v>0</v>
      </c>
      <c r="AI588" s="24" t="n">
        <f aca="false">IF(AG588="","",AH588-AG588)</f>
        <v>0</v>
      </c>
      <c r="AJ588" s="21" t="n">
        <v>-5</v>
      </c>
      <c r="AK588" s="21" t="n">
        <v>0</v>
      </c>
      <c r="AL588" s="16" t="s">
        <v>335</v>
      </c>
      <c r="AM588" s="16"/>
      <c r="AN588" s="16" t="s">
        <v>340</v>
      </c>
      <c r="AO588" s="16" t="s">
        <v>340</v>
      </c>
      <c r="AP588" s="16" t="s">
        <v>335</v>
      </c>
      <c r="AQ588" s="16"/>
      <c r="AR588" s="21" t="n">
        <f aca="false">IF(AND(T588&lt;&gt;"",H588&lt;&gt;""),IF(AND((T588-H588)*86400&gt;=0,(T588-H588)*86400&lt;تنظیمات!$B$13),1,0),0)</f>
        <v>0</v>
      </c>
      <c r="AS588" s="21" t="n">
        <f aca="false">IF(Z588="پوز",IF(OR(AB588="",COUNTIF(پوزها!$A$2:$A$5,AA588)=0),1,0),0)</f>
        <v>0</v>
      </c>
      <c r="AT588" s="21" t="n">
        <f aca="false">IF(AI588="",0,IF(AI588&gt;0,1,0))</f>
        <v>0</v>
      </c>
      <c r="AU588" s="21" t="n">
        <f aca="false">IF(AI588="",0,IF(AI588&lt;0,1,0))</f>
        <v>0</v>
      </c>
      <c r="AV588" s="21" t="n">
        <f aca="false">IF(U588&gt;V588,1,0)</f>
        <v>0</v>
      </c>
      <c r="AW588" s="21" t="n">
        <f aca="false">IF(OR(W588&gt;تنظیمات!$B$8,X588="بله"),1,0)</f>
        <v>0</v>
      </c>
      <c r="AX588" s="21" t="n">
        <f aca="false">IF(AND(N588="بله",L588&gt;تنظیمات!$B$9),1,0)</f>
        <v>0</v>
      </c>
      <c r="AY588" s="21" t="n">
        <f aca="false">IF(Y588="معکوس",1,0)</f>
        <v>0</v>
      </c>
      <c r="AZ588" s="21" t="n">
        <f aca="false">IF(ABS(AJ588)&gt;تنظیمات!$B$10,1,0)</f>
        <v>0</v>
      </c>
      <c r="BA588" s="21" t="n">
        <f aca="false">IF(AND(OR(AD588="رایگان/VIP",AD588="جانباز"),AF588="خیر"),1,0)</f>
        <v>0</v>
      </c>
      <c r="BB588" s="21" t="n">
        <f aca="false">IF(AE588="",0,IF(COUNTIF($AE$2:$AE$1001,AE588)&gt;1,1,0))</f>
        <v>0</v>
      </c>
      <c r="BC588" s="21" t="n">
        <f aca="false">IF(AND(H588="",I588&gt;تنظیمات!$B$12*60,AM588="خالی"),1,0)</f>
        <v>0</v>
      </c>
      <c r="BD588" s="21" t="n">
        <f aca="false">IF(AND(AP588="بله",I588&lt;تنظیمات!$B$14,AO588="خیر"),1,0)</f>
        <v>0</v>
      </c>
      <c r="BE588" s="21" t="n">
        <f aca="false">IF(AN588="خیر",1,0)</f>
        <v>0</v>
      </c>
      <c r="BF588" s="21" t="n">
        <f aca="false">IF(AND(AD588="فیش مفقودی",AQ588="بله",I588&gt;تنظیمات!$B$12*60),1,0)</f>
        <v>0</v>
      </c>
      <c r="BG588" s="21" t="n">
        <f aca="false">IF(AND(AK588&gt;تنظیمات!$B$11,AL588="بله"),1,0)</f>
        <v>0</v>
      </c>
      <c r="BH588" s="21" t="n">
        <f aca="false">MIN(100,AR588*تنظیمات!$B$21+AS588*تنظیمات!$B$22+AT588*تنظیمات!$B$23+AU588*تنظیمات!$B$24+AV588*تنظیمات!$B$25+AW588*تنظیمات!$B$26+AX588*تنظیمات!$B$27+AY588*تنظیمات!$B$28+AZ588*تنظیمات!$B$29+BA588*تنظیمات!$B$30+BB588*تنظیمات!$B$31+BC588*تنظیمات!$B$32+BD588*تنظیمات!$B$33+BE588*تنظیمات!$B$34+BF588*تنظیمات!$B$35+BG588*تنظیمات!$B$36)</f>
        <v>0</v>
      </c>
      <c r="BI588" s="16" t="str">
        <f aca="false">IF(BH588&gt;=60,"بحرانی",IF(BH588&gt;=30,"مشکوک",IF(BH588&gt;0,"هشدار","عادی")))</f>
        <v>عادی</v>
      </c>
      <c r="BJ588" s="16" t="s">
        <v>338</v>
      </c>
    </row>
    <row r="589" customFormat="false" ht="15" hidden="false" customHeight="false" outlineLevel="0" collapsed="false">
      <c r="A589" s="16" t="s">
        <v>2191</v>
      </c>
      <c r="B589" s="16" t="s">
        <v>2186</v>
      </c>
      <c r="C589" s="16"/>
      <c r="D589" s="16" t="s">
        <v>508</v>
      </c>
      <c r="E589" s="16" t="s">
        <v>390</v>
      </c>
      <c r="F589" s="16" t="s">
        <v>333</v>
      </c>
      <c r="G589" s="17" t="n">
        <v>46289.3182407407</v>
      </c>
      <c r="H589" s="17" t="n">
        <v>46289.4237962963</v>
      </c>
      <c r="I589" s="18" t="n">
        <f aca="false">IF(H589="",ROUND((تنظیمات!$B$7-G589)*1440,0),ROUND((H589-G589)*1440,0))</f>
        <v>152</v>
      </c>
      <c r="J589" s="16" t="s">
        <v>346</v>
      </c>
      <c r="K589" s="16" t="s">
        <v>400</v>
      </c>
      <c r="L589" s="19" t="n">
        <v>0.926</v>
      </c>
      <c r="M589" s="19" t="n">
        <v>0.929</v>
      </c>
      <c r="N589" s="16" t="s">
        <v>335</v>
      </c>
      <c r="O589" s="16" t="s">
        <v>441</v>
      </c>
      <c r="P589" s="16" t="s">
        <v>402</v>
      </c>
      <c r="Q589" s="20" t="n">
        <v>46289</v>
      </c>
      <c r="R589" s="16" t="s">
        <v>2192</v>
      </c>
      <c r="S589" s="16" t="s">
        <v>404</v>
      </c>
      <c r="T589" s="17"/>
      <c r="U589" s="21" t="n">
        <v>1</v>
      </c>
      <c r="V589" s="21" t="n">
        <v>1</v>
      </c>
      <c r="W589" s="22" t="n">
        <v>6.7</v>
      </c>
      <c r="X589" s="16" t="s">
        <v>335</v>
      </c>
      <c r="Y589" s="16" t="s">
        <v>338</v>
      </c>
      <c r="Z589" s="16" t="s">
        <v>413</v>
      </c>
      <c r="AA589" s="16" t="s">
        <v>427</v>
      </c>
      <c r="AB589" s="23" t="s">
        <v>2193</v>
      </c>
      <c r="AC589" s="17" t="n">
        <v>46289.423275463</v>
      </c>
      <c r="AD589" s="16" t="s">
        <v>338</v>
      </c>
      <c r="AE589" s="16"/>
      <c r="AF589" s="16" t="str">
        <f aca="false">IF(COUNTIF(لیست_سفید!$A$2:$A$21,B589)&gt;0,"بله","خیر")</f>
        <v>خیر</v>
      </c>
      <c r="AG589" s="24" t="n">
        <f aca="false">IF(H589="","",IF(AD589="فیش مفقودی",تنظیمات!$B$6,(INT(I589/1440)*تنظیمات!$B$5+IF(MOD(I589,1440)&lt;=تنظیمات!$B$2,0,MIN(تنظیمات!$B$5,تنظیمات!$B$3+MAX(0,ROUNDUP((MOD(I589,1440)-60)/60,0))*تنظیمات!$B$4)))*INDEX(تعرفه!$B$2:$B$7,MATCH(AD589,تعرفه!$A$2:$A$7,0))))</f>
        <v>48000</v>
      </c>
      <c r="AH589" s="24" t="n">
        <v>48000</v>
      </c>
      <c r="AI589" s="24" t="n">
        <f aca="false">IF(AG589="","",AH589-AG589)</f>
        <v>0</v>
      </c>
      <c r="AJ589" s="21" t="n">
        <v>3</v>
      </c>
      <c r="AK589" s="21" t="n">
        <v>0</v>
      </c>
      <c r="AL589" s="16" t="s">
        <v>335</v>
      </c>
      <c r="AM589" s="16"/>
      <c r="AN589" s="16" t="s">
        <v>340</v>
      </c>
      <c r="AO589" s="16" t="s">
        <v>340</v>
      </c>
      <c r="AP589" s="16" t="s">
        <v>335</v>
      </c>
      <c r="AQ589" s="16"/>
      <c r="AR589" s="21" t="n">
        <f aca="false">IF(AND(T589&lt;&gt;"",H589&lt;&gt;""),IF(AND((T589-H589)*86400&gt;=0,(T589-H589)*86400&lt;تنظیمات!$B$13),1,0),0)</f>
        <v>0</v>
      </c>
      <c r="AS589" s="21" t="n">
        <f aca="false">IF(Z589="پوز",IF(OR(AB589="",COUNTIF(پوزها!$A$2:$A$5,AA589)=0),1,0),0)</f>
        <v>0</v>
      </c>
      <c r="AT589" s="21" t="n">
        <f aca="false">IF(AI589="",0,IF(AI589&gt;0,1,0))</f>
        <v>0</v>
      </c>
      <c r="AU589" s="21" t="n">
        <f aca="false">IF(AI589="",0,IF(AI589&lt;0,1,0))</f>
        <v>0</v>
      </c>
      <c r="AV589" s="21" t="n">
        <f aca="false">IF(U589&gt;V589,1,0)</f>
        <v>0</v>
      </c>
      <c r="AW589" s="21" t="n">
        <f aca="false">IF(OR(W589&gt;تنظیمات!$B$8,X589="بله"),1,0)</f>
        <v>0</v>
      </c>
      <c r="AX589" s="21" t="n">
        <f aca="false">IF(AND(N589="بله",L589&gt;تنظیمات!$B$9),1,0)</f>
        <v>0</v>
      </c>
      <c r="AY589" s="21" t="n">
        <f aca="false">IF(Y589="معکوس",1,0)</f>
        <v>0</v>
      </c>
      <c r="AZ589" s="21" t="n">
        <f aca="false">IF(ABS(AJ589)&gt;تنظیمات!$B$10,1,0)</f>
        <v>0</v>
      </c>
      <c r="BA589" s="21" t="n">
        <f aca="false">IF(AND(OR(AD589="رایگان/VIP",AD589="جانباز"),AF589="خیر"),1,0)</f>
        <v>0</v>
      </c>
      <c r="BB589" s="21" t="n">
        <f aca="false">IF(AE589="",0,IF(COUNTIF($AE$2:$AE$1001,AE589)&gt;1,1,0))</f>
        <v>0</v>
      </c>
      <c r="BC589" s="21" t="n">
        <f aca="false">IF(AND(H589="",I589&gt;تنظیمات!$B$12*60,AM589="خالی"),1,0)</f>
        <v>0</v>
      </c>
      <c r="BD589" s="21" t="n">
        <f aca="false">IF(AND(AP589="بله",I589&lt;تنظیمات!$B$14,AO589="خیر"),1,0)</f>
        <v>0</v>
      </c>
      <c r="BE589" s="21" t="n">
        <f aca="false">IF(AN589="خیر",1,0)</f>
        <v>0</v>
      </c>
      <c r="BF589" s="21" t="n">
        <f aca="false">IF(AND(AD589="فیش مفقودی",AQ589="بله",I589&gt;تنظیمات!$B$12*60),1,0)</f>
        <v>0</v>
      </c>
      <c r="BG589" s="21" t="n">
        <f aca="false">IF(AND(AK589&gt;تنظیمات!$B$11,AL589="بله"),1,0)</f>
        <v>0</v>
      </c>
      <c r="BH589" s="21" t="n">
        <f aca="false">MIN(100,AR589*تنظیمات!$B$21+AS589*تنظیمات!$B$22+AT589*تنظیمات!$B$23+AU589*تنظیمات!$B$24+AV589*تنظیمات!$B$25+AW589*تنظیمات!$B$26+AX589*تنظیمات!$B$27+AY589*تنظیمات!$B$28+AZ589*تنظیمات!$B$29+BA589*تنظیمات!$B$30+BB589*تنظیمات!$B$31+BC589*تنظیمات!$B$32+BD589*تنظیمات!$B$33+BE589*تنظیمات!$B$34+BF589*تنظیمات!$B$35+BG589*تنظیمات!$B$36)</f>
        <v>0</v>
      </c>
      <c r="BI589" s="16" t="str">
        <f aca="false">IF(BH589&gt;=60,"بحرانی",IF(BH589&gt;=30,"مشکوک",IF(BH589&gt;0,"هشدار","عادی")))</f>
        <v>عادی</v>
      </c>
      <c r="BJ589" s="16" t="s">
        <v>338</v>
      </c>
    </row>
    <row r="590" customFormat="false" ht="15" hidden="false" customHeight="false" outlineLevel="0" collapsed="false">
      <c r="A590" s="16" t="s">
        <v>2194</v>
      </c>
      <c r="B590" s="16" t="s">
        <v>718</v>
      </c>
      <c r="C590" s="16"/>
      <c r="D590" s="16" t="s">
        <v>418</v>
      </c>
      <c r="E590" s="16" t="s">
        <v>390</v>
      </c>
      <c r="F590" s="16" t="s">
        <v>333</v>
      </c>
      <c r="G590" s="17" t="n">
        <v>46289.3249768519</v>
      </c>
      <c r="H590" s="17" t="n">
        <v>46289.3617824074</v>
      </c>
      <c r="I590" s="18" t="n">
        <f aca="false">IF(H590="",ROUND((تنظیمات!$B$7-G590)*1440,0),ROUND((H590-G590)*1440,0))</f>
        <v>53</v>
      </c>
      <c r="J590" s="16" t="s">
        <v>346</v>
      </c>
      <c r="K590" s="16" t="s">
        <v>410</v>
      </c>
      <c r="L590" s="19" t="n">
        <v>0.958</v>
      </c>
      <c r="M590" s="19" t="n">
        <v>0.885</v>
      </c>
      <c r="N590" s="16" t="s">
        <v>335</v>
      </c>
      <c r="O590" s="16" t="s">
        <v>411</v>
      </c>
      <c r="P590" s="16" t="s">
        <v>402</v>
      </c>
      <c r="Q590" s="20" t="n">
        <v>46289</v>
      </c>
      <c r="R590" s="16" t="s">
        <v>2195</v>
      </c>
      <c r="S590" s="16" t="s">
        <v>404</v>
      </c>
      <c r="T590" s="17"/>
      <c r="U590" s="21" t="n">
        <v>1</v>
      </c>
      <c r="V590" s="21" t="n">
        <v>1</v>
      </c>
      <c r="W590" s="22" t="n">
        <v>4.7</v>
      </c>
      <c r="X590" s="16" t="s">
        <v>335</v>
      </c>
      <c r="Y590" s="16" t="s">
        <v>338</v>
      </c>
      <c r="Z590" s="16" t="s">
        <v>413</v>
      </c>
      <c r="AA590" s="16" t="s">
        <v>414</v>
      </c>
      <c r="AB590" s="23" t="s">
        <v>2196</v>
      </c>
      <c r="AC590" s="17" t="n">
        <v>46289.3609953704</v>
      </c>
      <c r="AD590" s="16" t="s">
        <v>338</v>
      </c>
      <c r="AE590" s="16"/>
      <c r="AF590" s="16" t="str">
        <f aca="false">IF(COUNTIF(لیست_سفید!$A$2:$A$21,B590)&gt;0,"بله","خیر")</f>
        <v>خیر</v>
      </c>
      <c r="AG590" s="24" t="n">
        <f aca="false">IF(H590="","",IF(AD590="فیش مفقودی",تنظیمات!$B$6,(INT(I590/1440)*تنظیمات!$B$5+IF(MOD(I590,1440)&lt;=تنظیمات!$B$2,0,MIN(تنظیمات!$B$5,تنظیمات!$B$3+MAX(0,ROUNDUP((MOD(I590,1440)-60)/60,0))*تنظیمات!$B$4)))*INDEX(تعرفه!$B$2:$B$7,MATCH(AD590,تعرفه!$A$2:$A$7,0))))</f>
        <v>20000</v>
      </c>
      <c r="AH590" s="24" t="n">
        <v>20000</v>
      </c>
      <c r="AI590" s="24" t="n">
        <f aca="false">IF(AG590="","",AH590-AG590)</f>
        <v>0</v>
      </c>
      <c r="AJ590" s="21" t="n">
        <v>1</v>
      </c>
      <c r="AK590" s="21" t="n">
        <v>0</v>
      </c>
      <c r="AL590" s="16" t="s">
        <v>335</v>
      </c>
      <c r="AM590" s="16"/>
      <c r="AN590" s="16" t="s">
        <v>340</v>
      </c>
      <c r="AO590" s="16" t="s">
        <v>340</v>
      </c>
      <c r="AP590" s="16" t="s">
        <v>335</v>
      </c>
      <c r="AQ590" s="16"/>
      <c r="AR590" s="21" t="n">
        <f aca="false">IF(AND(T590&lt;&gt;"",H590&lt;&gt;""),IF(AND((T590-H590)*86400&gt;=0,(T590-H590)*86400&lt;تنظیمات!$B$13),1,0),0)</f>
        <v>0</v>
      </c>
      <c r="AS590" s="21" t="n">
        <f aca="false">IF(Z590="پوز",IF(OR(AB590="",COUNTIF(پوزها!$A$2:$A$5,AA590)=0),1,0),0)</f>
        <v>0</v>
      </c>
      <c r="AT590" s="21" t="n">
        <f aca="false">IF(AI590="",0,IF(AI590&gt;0,1,0))</f>
        <v>0</v>
      </c>
      <c r="AU590" s="21" t="n">
        <f aca="false">IF(AI590="",0,IF(AI590&lt;0,1,0))</f>
        <v>0</v>
      </c>
      <c r="AV590" s="21" t="n">
        <f aca="false">IF(U590&gt;V590,1,0)</f>
        <v>0</v>
      </c>
      <c r="AW590" s="21" t="n">
        <f aca="false">IF(OR(W590&gt;تنظیمات!$B$8,X590="بله"),1,0)</f>
        <v>0</v>
      </c>
      <c r="AX590" s="21" t="n">
        <f aca="false">IF(AND(N590="بله",L590&gt;تنظیمات!$B$9),1,0)</f>
        <v>0</v>
      </c>
      <c r="AY590" s="21" t="n">
        <f aca="false">IF(Y590="معکوس",1,0)</f>
        <v>0</v>
      </c>
      <c r="AZ590" s="21" t="n">
        <f aca="false">IF(ABS(AJ590)&gt;تنظیمات!$B$10,1,0)</f>
        <v>0</v>
      </c>
      <c r="BA590" s="21" t="n">
        <f aca="false">IF(AND(OR(AD590="رایگان/VIP",AD590="جانباز"),AF590="خیر"),1,0)</f>
        <v>0</v>
      </c>
      <c r="BB590" s="21" t="n">
        <f aca="false">IF(AE590="",0,IF(COUNTIF($AE$2:$AE$1001,AE590)&gt;1,1,0))</f>
        <v>0</v>
      </c>
      <c r="BC590" s="21" t="n">
        <f aca="false">IF(AND(H590="",I590&gt;تنظیمات!$B$12*60,AM590="خالی"),1,0)</f>
        <v>0</v>
      </c>
      <c r="BD590" s="21" t="n">
        <f aca="false">IF(AND(AP590="بله",I590&lt;تنظیمات!$B$14,AO590="خیر"),1,0)</f>
        <v>0</v>
      </c>
      <c r="BE590" s="21" t="n">
        <f aca="false">IF(AN590="خیر",1,0)</f>
        <v>0</v>
      </c>
      <c r="BF590" s="21" t="n">
        <f aca="false">IF(AND(AD590="فیش مفقودی",AQ590="بله",I590&gt;تنظیمات!$B$12*60),1,0)</f>
        <v>0</v>
      </c>
      <c r="BG590" s="21" t="n">
        <f aca="false">IF(AND(AK590&gt;تنظیمات!$B$11,AL590="بله"),1,0)</f>
        <v>0</v>
      </c>
      <c r="BH590" s="21" t="n">
        <f aca="false">MIN(100,AR590*تنظیمات!$B$21+AS590*تنظیمات!$B$22+AT590*تنظیمات!$B$23+AU590*تنظیمات!$B$24+AV590*تنظیمات!$B$25+AW590*تنظیمات!$B$26+AX590*تنظیمات!$B$27+AY590*تنظیمات!$B$28+AZ590*تنظیمات!$B$29+BA590*تنظیمات!$B$30+BB590*تنظیمات!$B$31+BC590*تنظیمات!$B$32+BD590*تنظیمات!$B$33+BE590*تنظیمات!$B$34+BF590*تنظیمات!$B$35+BG590*تنظیمات!$B$36)</f>
        <v>0</v>
      </c>
      <c r="BI590" s="16" t="str">
        <f aca="false">IF(BH590&gt;=60,"بحرانی",IF(BH590&gt;=30,"مشکوک",IF(BH590&gt;0,"هشدار","عادی")))</f>
        <v>عادی</v>
      </c>
      <c r="BJ590" s="16" t="s">
        <v>338</v>
      </c>
    </row>
    <row r="591" customFormat="false" ht="15" hidden="false" customHeight="false" outlineLevel="0" collapsed="false">
      <c r="A591" s="16" t="s">
        <v>2197</v>
      </c>
      <c r="B591" s="16" t="s">
        <v>823</v>
      </c>
      <c r="C591" s="16"/>
      <c r="D591" s="16" t="s">
        <v>331</v>
      </c>
      <c r="E591" s="16" t="s">
        <v>345</v>
      </c>
      <c r="F591" s="16" t="s">
        <v>333</v>
      </c>
      <c r="G591" s="17" t="n">
        <v>46289.325162037</v>
      </c>
      <c r="H591" s="17" t="n">
        <v>46289.7529398148</v>
      </c>
      <c r="I591" s="18" t="n">
        <f aca="false">IF(H591="",ROUND((تنظیمات!$B$7-G591)*1440,0),ROUND((H591-G591)*1440,0))</f>
        <v>616</v>
      </c>
      <c r="J591" s="16" t="s">
        <v>334</v>
      </c>
      <c r="K591" s="16" t="s">
        <v>410</v>
      </c>
      <c r="L591" s="19" t="n">
        <v>0.957</v>
      </c>
      <c r="M591" s="19" t="n">
        <v>0.878</v>
      </c>
      <c r="N591" s="16" t="s">
        <v>335</v>
      </c>
      <c r="O591" s="16" t="s">
        <v>419</v>
      </c>
      <c r="P591" s="16" t="s">
        <v>420</v>
      </c>
      <c r="Q591" s="20" t="n">
        <v>46289</v>
      </c>
      <c r="R591" s="16" t="s">
        <v>2198</v>
      </c>
      <c r="S591" s="16" t="s">
        <v>404</v>
      </c>
      <c r="T591" s="17"/>
      <c r="U591" s="21" t="n">
        <v>1</v>
      </c>
      <c r="V591" s="21" t="n">
        <v>1</v>
      </c>
      <c r="W591" s="22" t="n">
        <v>4.1</v>
      </c>
      <c r="X591" s="16" t="s">
        <v>335</v>
      </c>
      <c r="Y591" s="16" t="s">
        <v>338</v>
      </c>
      <c r="Z591" s="16" t="s">
        <v>405</v>
      </c>
      <c r="AA591" s="16"/>
      <c r="AB591" s="23"/>
      <c r="AC591" s="17"/>
      <c r="AD591" s="16" t="s">
        <v>338</v>
      </c>
      <c r="AE591" s="16"/>
      <c r="AF591" s="16" t="str">
        <f aca="false">IF(COUNTIF(لیست_سفید!$A$2:$A$21,B591)&gt;0,"بله","خیر")</f>
        <v>خیر</v>
      </c>
      <c r="AG591" s="24" t="n">
        <f aca="false">IF(H591="","",IF(AD591="فیش مفقودی",تنظیمات!$B$6,(INT(I591/1440)*تنظیمات!$B$5+IF(MOD(I591,1440)&lt;=تنظیمات!$B$2,0,MIN(تنظیمات!$B$5,تنظیمات!$B$3+MAX(0,ROUNDUP((MOD(I591,1440)-60)/60,0))*تنظیمات!$B$4)))*INDEX(تعرفه!$B$2:$B$7,MATCH(AD591,تعرفه!$A$2:$A$7,0))))</f>
        <v>160000</v>
      </c>
      <c r="AH591" s="24" t="n">
        <v>160000</v>
      </c>
      <c r="AI591" s="24" t="n">
        <f aca="false">IF(AG591="","",AH591-AG591)</f>
        <v>0</v>
      </c>
      <c r="AJ591" s="21" t="n">
        <v>0</v>
      </c>
      <c r="AK591" s="21" t="n">
        <v>0</v>
      </c>
      <c r="AL591" s="16" t="s">
        <v>335</v>
      </c>
      <c r="AM591" s="16"/>
      <c r="AN591" s="16" t="s">
        <v>340</v>
      </c>
      <c r="AO591" s="16" t="s">
        <v>340</v>
      </c>
      <c r="AP591" s="16" t="s">
        <v>335</v>
      </c>
      <c r="AQ591" s="16"/>
      <c r="AR591" s="21" t="n">
        <f aca="false">IF(AND(T591&lt;&gt;"",H591&lt;&gt;""),IF(AND((T591-H591)*86400&gt;=0,(T591-H591)*86400&lt;تنظیمات!$B$13),1,0),0)</f>
        <v>0</v>
      </c>
      <c r="AS591" s="21" t="n">
        <f aca="false">IF(Z591="پوز",IF(OR(AB591="",COUNTIF(پوزها!$A$2:$A$5,AA591)=0),1,0),0)</f>
        <v>0</v>
      </c>
      <c r="AT591" s="21" t="n">
        <f aca="false">IF(AI591="",0,IF(AI591&gt;0,1,0))</f>
        <v>0</v>
      </c>
      <c r="AU591" s="21" t="n">
        <f aca="false">IF(AI591="",0,IF(AI591&lt;0,1,0))</f>
        <v>0</v>
      </c>
      <c r="AV591" s="21" t="n">
        <f aca="false">IF(U591&gt;V591,1,0)</f>
        <v>0</v>
      </c>
      <c r="AW591" s="21" t="n">
        <f aca="false">IF(OR(W591&gt;تنظیمات!$B$8,X591="بله"),1,0)</f>
        <v>0</v>
      </c>
      <c r="AX591" s="21" t="n">
        <f aca="false">IF(AND(N591="بله",L591&gt;تنظیمات!$B$9),1,0)</f>
        <v>0</v>
      </c>
      <c r="AY591" s="21" t="n">
        <f aca="false">IF(Y591="معکوس",1,0)</f>
        <v>0</v>
      </c>
      <c r="AZ591" s="21" t="n">
        <f aca="false">IF(ABS(AJ591)&gt;تنظیمات!$B$10,1,0)</f>
        <v>0</v>
      </c>
      <c r="BA591" s="21" t="n">
        <f aca="false">IF(AND(OR(AD591="رایگان/VIP",AD591="جانباز"),AF591="خیر"),1,0)</f>
        <v>0</v>
      </c>
      <c r="BB591" s="21" t="n">
        <f aca="false">IF(AE591="",0,IF(COUNTIF($AE$2:$AE$1001,AE591)&gt;1,1,0))</f>
        <v>0</v>
      </c>
      <c r="BC591" s="21" t="n">
        <f aca="false">IF(AND(H591="",I591&gt;تنظیمات!$B$12*60,AM591="خالی"),1,0)</f>
        <v>0</v>
      </c>
      <c r="BD591" s="21" t="n">
        <f aca="false">IF(AND(AP591="بله",I591&lt;تنظیمات!$B$14,AO591="خیر"),1,0)</f>
        <v>0</v>
      </c>
      <c r="BE591" s="21" t="n">
        <f aca="false">IF(AN591="خیر",1,0)</f>
        <v>0</v>
      </c>
      <c r="BF591" s="21" t="n">
        <f aca="false">IF(AND(AD591="فیش مفقودی",AQ591="بله",I591&gt;تنظیمات!$B$12*60),1,0)</f>
        <v>0</v>
      </c>
      <c r="BG591" s="21" t="n">
        <f aca="false">IF(AND(AK591&gt;تنظیمات!$B$11,AL591="بله"),1,0)</f>
        <v>0</v>
      </c>
      <c r="BH591" s="21" t="n">
        <f aca="false">MIN(100,AR591*تنظیمات!$B$21+AS591*تنظیمات!$B$22+AT591*تنظیمات!$B$23+AU591*تنظیمات!$B$24+AV591*تنظیمات!$B$25+AW591*تنظیمات!$B$26+AX591*تنظیمات!$B$27+AY591*تنظیمات!$B$28+AZ591*تنظیمات!$B$29+BA591*تنظیمات!$B$30+BB591*تنظیمات!$B$31+BC591*تنظیمات!$B$32+BD591*تنظیمات!$B$33+BE591*تنظیمات!$B$34+BF591*تنظیمات!$B$35+BG591*تنظیمات!$B$36)</f>
        <v>0</v>
      </c>
      <c r="BI591" s="16" t="str">
        <f aca="false">IF(BH591&gt;=60,"بحرانی",IF(BH591&gt;=30,"مشکوک",IF(BH591&gt;0,"هشدار","عادی")))</f>
        <v>عادی</v>
      </c>
      <c r="BJ591" s="16" t="s">
        <v>338</v>
      </c>
    </row>
    <row r="592" customFormat="false" ht="15" hidden="false" customHeight="false" outlineLevel="0" collapsed="false">
      <c r="A592" s="16" t="s">
        <v>2199</v>
      </c>
      <c r="B592" s="16" t="s">
        <v>594</v>
      </c>
      <c r="C592" s="16"/>
      <c r="D592" s="16" t="s">
        <v>431</v>
      </c>
      <c r="E592" s="16" t="s">
        <v>375</v>
      </c>
      <c r="F592" s="16" t="s">
        <v>333</v>
      </c>
      <c r="G592" s="17" t="n">
        <v>46289.3328009259</v>
      </c>
      <c r="H592" s="17" t="n">
        <v>46289.4216898148</v>
      </c>
      <c r="I592" s="18" t="n">
        <f aca="false">IF(H592="",ROUND((تنظیمات!$B$7-G592)*1440,0),ROUND((H592-G592)*1440,0))</f>
        <v>128</v>
      </c>
      <c r="J592" s="16" t="s">
        <v>334</v>
      </c>
      <c r="K592" s="16" t="s">
        <v>410</v>
      </c>
      <c r="L592" s="19" t="n">
        <v>0.995</v>
      </c>
      <c r="M592" s="19" t="n">
        <v>0.953</v>
      </c>
      <c r="N592" s="16" t="s">
        <v>335</v>
      </c>
      <c r="O592" s="16" t="s">
        <v>411</v>
      </c>
      <c r="P592" s="16" t="s">
        <v>402</v>
      </c>
      <c r="Q592" s="20" t="n">
        <v>46289</v>
      </c>
      <c r="R592" s="16" t="s">
        <v>2200</v>
      </c>
      <c r="S592" s="16" t="s">
        <v>404</v>
      </c>
      <c r="T592" s="17"/>
      <c r="U592" s="21" t="n">
        <v>1</v>
      </c>
      <c r="V592" s="21" t="n">
        <v>1</v>
      </c>
      <c r="W592" s="22" t="n">
        <v>4.8</v>
      </c>
      <c r="X592" s="16" t="s">
        <v>335</v>
      </c>
      <c r="Y592" s="16" t="s">
        <v>338</v>
      </c>
      <c r="Z592" s="16" t="s">
        <v>413</v>
      </c>
      <c r="AA592" s="16" t="s">
        <v>414</v>
      </c>
      <c r="AB592" s="23" t="s">
        <v>2201</v>
      </c>
      <c r="AC592" s="17" t="n">
        <v>46289.4210763889</v>
      </c>
      <c r="AD592" s="16" t="s">
        <v>338</v>
      </c>
      <c r="AE592" s="16"/>
      <c r="AF592" s="16" t="str">
        <f aca="false">IF(COUNTIF(لیست_سفید!$A$2:$A$21,B592)&gt;0,"بله","خیر")</f>
        <v>خیر</v>
      </c>
      <c r="AG592" s="24" t="n">
        <f aca="false">IF(H592="","",IF(AD592="فیش مفقودی",تنظیمات!$B$6,(INT(I592/1440)*تنظیمات!$B$5+IF(MOD(I592,1440)&lt;=تنظیمات!$B$2,0,MIN(تنظیمات!$B$5,تنظیمات!$B$3+MAX(0,ROUNDUP((MOD(I592,1440)-60)/60,0))*تنظیمات!$B$4)))*INDEX(تعرفه!$B$2:$B$7,MATCH(AD592,تعرفه!$A$2:$A$7,0))))</f>
        <v>48000</v>
      </c>
      <c r="AH592" s="24" t="n">
        <v>48000</v>
      </c>
      <c r="AI592" s="24" t="n">
        <f aca="false">IF(AG592="","",AH592-AG592)</f>
        <v>0</v>
      </c>
      <c r="AJ592" s="21" t="n">
        <v>3</v>
      </c>
      <c r="AK592" s="21" t="n">
        <v>0</v>
      </c>
      <c r="AL592" s="16" t="s">
        <v>335</v>
      </c>
      <c r="AM592" s="16"/>
      <c r="AN592" s="16" t="s">
        <v>340</v>
      </c>
      <c r="AO592" s="16" t="s">
        <v>340</v>
      </c>
      <c r="AP592" s="16" t="s">
        <v>335</v>
      </c>
      <c r="AQ592" s="16"/>
      <c r="AR592" s="21" t="n">
        <f aca="false">IF(AND(T592&lt;&gt;"",H592&lt;&gt;""),IF(AND((T592-H592)*86400&gt;=0,(T592-H592)*86400&lt;تنظیمات!$B$13),1,0),0)</f>
        <v>0</v>
      </c>
      <c r="AS592" s="21" t="n">
        <f aca="false">IF(Z592="پوز",IF(OR(AB592="",COUNTIF(پوزها!$A$2:$A$5,AA592)=0),1,0),0)</f>
        <v>0</v>
      </c>
      <c r="AT592" s="21" t="n">
        <f aca="false">IF(AI592="",0,IF(AI592&gt;0,1,0))</f>
        <v>0</v>
      </c>
      <c r="AU592" s="21" t="n">
        <f aca="false">IF(AI592="",0,IF(AI592&lt;0,1,0))</f>
        <v>0</v>
      </c>
      <c r="AV592" s="21" t="n">
        <f aca="false">IF(U592&gt;V592,1,0)</f>
        <v>0</v>
      </c>
      <c r="AW592" s="21" t="n">
        <f aca="false">IF(OR(W592&gt;تنظیمات!$B$8,X592="بله"),1,0)</f>
        <v>0</v>
      </c>
      <c r="AX592" s="21" t="n">
        <f aca="false">IF(AND(N592="بله",L592&gt;تنظیمات!$B$9),1,0)</f>
        <v>0</v>
      </c>
      <c r="AY592" s="21" t="n">
        <f aca="false">IF(Y592="معکوس",1,0)</f>
        <v>0</v>
      </c>
      <c r="AZ592" s="21" t="n">
        <f aca="false">IF(ABS(AJ592)&gt;تنظیمات!$B$10,1,0)</f>
        <v>0</v>
      </c>
      <c r="BA592" s="21" t="n">
        <f aca="false">IF(AND(OR(AD592="رایگان/VIP",AD592="جانباز"),AF592="خیر"),1,0)</f>
        <v>0</v>
      </c>
      <c r="BB592" s="21" t="n">
        <f aca="false">IF(AE592="",0,IF(COUNTIF($AE$2:$AE$1001,AE592)&gt;1,1,0))</f>
        <v>0</v>
      </c>
      <c r="BC592" s="21" t="n">
        <f aca="false">IF(AND(H592="",I592&gt;تنظیمات!$B$12*60,AM592="خالی"),1,0)</f>
        <v>0</v>
      </c>
      <c r="BD592" s="21" t="n">
        <f aca="false">IF(AND(AP592="بله",I592&lt;تنظیمات!$B$14,AO592="خیر"),1,0)</f>
        <v>0</v>
      </c>
      <c r="BE592" s="21" t="n">
        <f aca="false">IF(AN592="خیر",1,0)</f>
        <v>0</v>
      </c>
      <c r="BF592" s="21" t="n">
        <f aca="false">IF(AND(AD592="فیش مفقودی",AQ592="بله",I592&gt;تنظیمات!$B$12*60),1,0)</f>
        <v>0</v>
      </c>
      <c r="BG592" s="21" t="n">
        <f aca="false">IF(AND(AK592&gt;تنظیمات!$B$11,AL592="بله"),1,0)</f>
        <v>0</v>
      </c>
      <c r="BH592" s="21" t="n">
        <f aca="false">MIN(100,AR592*تنظیمات!$B$21+AS592*تنظیمات!$B$22+AT592*تنظیمات!$B$23+AU592*تنظیمات!$B$24+AV592*تنظیمات!$B$25+AW592*تنظیمات!$B$26+AX592*تنظیمات!$B$27+AY592*تنظیمات!$B$28+AZ592*تنظیمات!$B$29+BA592*تنظیمات!$B$30+BB592*تنظیمات!$B$31+BC592*تنظیمات!$B$32+BD592*تنظیمات!$B$33+BE592*تنظیمات!$B$34+BF592*تنظیمات!$B$35+BG592*تنظیمات!$B$36)</f>
        <v>0</v>
      </c>
      <c r="BI592" s="16" t="str">
        <f aca="false">IF(BH592&gt;=60,"بحرانی",IF(BH592&gt;=30,"مشکوک",IF(BH592&gt;0,"هشدار","عادی")))</f>
        <v>عادی</v>
      </c>
      <c r="BJ592" s="16" t="s">
        <v>338</v>
      </c>
    </row>
    <row r="593" customFormat="false" ht="15" hidden="false" customHeight="false" outlineLevel="0" collapsed="false">
      <c r="A593" s="16" t="s">
        <v>2202</v>
      </c>
      <c r="B593" s="16" t="s">
        <v>759</v>
      </c>
      <c r="C593" s="16"/>
      <c r="D593" s="16" t="s">
        <v>382</v>
      </c>
      <c r="E593" s="16" t="s">
        <v>363</v>
      </c>
      <c r="F593" s="16" t="s">
        <v>333</v>
      </c>
      <c r="G593" s="17" t="n">
        <v>46289.3453356482</v>
      </c>
      <c r="H593" s="17" t="n">
        <v>46289.7370023148</v>
      </c>
      <c r="I593" s="18" t="n">
        <f aca="false">IF(H593="",ROUND((تنظیمات!$B$7-G593)*1440,0),ROUND((H593-G593)*1440,0))</f>
        <v>564</v>
      </c>
      <c r="J593" s="16" t="s">
        <v>346</v>
      </c>
      <c r="K593" s="16" t="s">
        <v>400</v>
      </c>
      <c r="L593" s="19" t="n">
        <v>0.946</v>
      </c>
      <c r="M593" s="19" t="n">
        <v>0.938</v>
      </c>
      <c r="N593" s="16" t="s">
        <v>335</v>
      </c>
      <c r="O593" s="16" t="s">
        <v>401</v>
      </c>
      <c r="P593" s="16" t="s">
        <v>420</v>
      </c>
      <c r="Q593" s="20" t="n">
        <v>46289</v>
      </c>
      <c r="R593" s="16" t="s">
        <v>2203</v>
      </c>
      <c r="S593" s="16" t="s">
        <v>404</v>
      </c>
      <c r="T593" s="17"/>
      <c r="U593" s="21" t="n">
        <v>1</v>
      </c>
      <c r="V593" s="21" t="n">
        <v>1</v>
      </c>
      <c r="W593" s="22" t="n">
        <v>5.7</v>
      </c>
      <c r="X593" s="16" t="s">
        <v>335</v>
      </c>
      <c r="Y593" s="16" t="s">
        <v>338</v>
      </c>
      <c r="Z593" s="16" t="s">
        <v>443</v>
      </c>
      <c r="AA593" s="16"/>
      <c r="AB593" s="23"/>
      <c r="AC593" s="17"/>
      <c r="AD593" s="16" t="s">
        <v>444</v>
      </c>
      <c r="AE593" s="16"/>
      <c r="AF593" s="16" t="str">
        <f aca="false">IF(COUNTIF(لیست_سفید!$A$2:$A$21,B593)&gt;0,"بله","خیر")</f>
        <v>خیر</v>
      </c>
      <c r="AG593" s="24" t="n">
        <f aca="false">IF(H593="","",IF(AD593="فیش مفقودی",تنظیمات!$B$6,(INT(I593/1440)*تنظیمات!$B$5+IF(MOD(I593,1440)&lt;=تنظیمات!$B$2,0,MIN(تنظیمات!$B$5,تنظیمات!$B$3+MAX(0,ROUNDUP((MOD(I593,1440)-60)/60,0))*تنظیمات!$B$4)))*INDEX(تعرفه!$B$2:$B$7,MATCH(AD593,تعرفه!$A$2:$A$7,0))))</f>
        <v>0</v>
      </c>
      <c r="AH593" s="24" t="n">
        <v>0</v>
      </c>
      <c r="AI593" s="24" t="n">
        <f aca="false">IF(AG593="","",AH593-AG593)</f>
        <v>0</v>
      </c>
      <c r="AJ593" s="21" t="n">
        <v>-5</v>
      </c>
      <c r="AK593" s="21" t="n">
        <v>0</v>
      </c>
      <c r="AL593" s="16" t="s">
        <v>335</v>
      </c>
      <c r="AM593" s="16"/>
      <c r="AN593" s="16" t="s">
        <v>340</v>
      </c>
      <c r="AO593" s="16" t="s">
        <v>340</v>
      </c>
      <c r="AP593" s="16" t="s">
        <v>335</v>
      </c>
      <c r="AQ593" s="16"/>
      <c r="AR593" s="21" t="n">
        <f aca="false">IF(AND(T593&lt;&gt;"",H593&lt;&gt;""),IF(AND((T593-H593)*86400&gt;=0,(T593-H593)*86400&lt;تنظیمات!$B$13),1,0),0)</f>
        <v>0</v>
      </c>
      <c r="AS593" s="21" t="n">
        <f aca="false">IF(Z593="پوز",IF(OR(AB593="",COUNTIF(پوزها!$A$2:$A$5,AA593)=0),1,0),0)</f>
        <v>0</v>
      </c>
      <c r="AT593" s="21" t="n">
        <f aca="false">IF(AI593="",0,IF(AI593&gt;0,1,0))</f>
        <v>0</v>
      </c>
      <c r="AU593" s="21" t="n">
        <f aca="false">IF(AI593="",0,IF(AI593&lt;0,1,0))</f>
        <v>0</v>
      </c>
      <c r="AV593" s="21" t="n">
        <f aca="false">IF(U593&gt;V593,1,0)</f>
        <v>0</v>
      </c>
      <c r="AW593" s="21" t="n">
        <f aca="false">IF(OR(W593&gt;تنظیمات!$B$8,X593="بله"),1,0)</f>
        <v>0</v>
      </c>
      <c r="AX593" s="21" t="n">
        <f aca="false">IF(AND(N593="بله",L593&gt;تنظیمات!$B$9),1,0)</f>
        <v>0</v>
      </c>
      <c r="AY593" s="21" t="n">
        <f aca="false">IF(Y593="معکوس",1,0)</f>
        <v>0</v>
      </c>
      <c r="AZ593" s="21" t="n">
        <f aca="false">IF(ABS(AJ593)&gt;تنظیمات!$B$10,1,0)</f>
        <v>0</v>
      </c>
      <c r="BA593" s="21" t="n">
        <f aca="false">IF(AND(OR(AD593="رایگان/VIP",AD593="جانباز"),AF593="خیر"),1,0)</f>
        <v>0</v>
      </c>
      <c r="BB593" s="21" t="n">
        <f aca="false">IF(AE593="",0,IF(COUNTIF($AE$2:$AE$1001,AE593)&gt;1,1,0))</f>
        <v>0</v>
      </c>
      <c r="BC593" s="21" t="n">
        <f aca="false">IF(AND(H593="",I593&gt;تنظیمات!$B$12*60,AM593="خالی"),1,0)</f>
        <v>0</v>
      </c>
      <c r="BD593" s="21" t="n">
        <f aca="false">IF(AND(AP593="بله",I593&lt;تنظیمات!$B$14,AO593="خیر"),1,0)</f>
        <v>0</v>
      </c>
      <c r="BE593" s="21" t="n">
        <f aca="false">IF(AN593="خیر",1,0)</f>
        <v>0</v>
      </c>
      <c r="BF593" s="21" t="n">
        <f aca="false">IF(AND(AD593="فیش مفقودی",AQ593="بله",I593&gt;تنظیمات!$B$12*60),1,0)</f>
        <v>0</v>
      </c>
      <c r="BG593" s="21" t="n">
        <f aca="false">IF(AND(AK593&gt;تنظیمات!$B$11,AL593="بله"),1,0)</f>
        <v>0</v>
      </c>
      <c r="BH593" s="21" t="n">
        <f aca="false">MIN(100,AR593*تنظیمات!$B$21+AS593*تنظیمات!$B$22+AT593*تنظیمات!$B$23+AU593*تنظیمات!$B$24+AV593*تنظیمات!$B$25+AW593*تنظیمات!$B$26+AX593*تنظیمات!$B$27+AY593*تنظیمات!$B$28+AZ593*تنظیمات!$B$29+BA593*تنظیمات!$B$30+BB593*تنظیمات!$B$31+BC593*تنظیمات!$B$32+BD593*تنظیمات!$B$33+BE593*تنظیمات!$B$34+BF593*تنظیمات!$B$35+BG593*تنظیمات!$B$36)</f>
        <v>0</v>
      </c>
      <c r="BI593" s="16" t="str">
        <f aca="false">IF(BH593&gt;=60,"بحرانی",IF(BH593&gt;=30,"مشکوک",IF(BH593&gt;0,"هشدار","عادی")))</f>
        <v>عادی</v>
      </c>
      <c r="BJ593" s="16" t="s">
        <v>338</v>
      </c>
    </row>
    <row r="594" customFormat="false" ht="15" hidden="false" customHeight="false" outlineLevel="0" collapsed="false">
      <c r="A594" s="16" t="s">
        <v>2204</v>
      </c>
      <c r="B594" s="16" t="s">
        <v>941</v>
      </c>
      <c r="C594" s="16"/>
      <c r="D594" s="16" t="s">
        <v>531</v>
      </c>
      <c r="E594" s="16" t="s">
        <v>375</v>
      </c>
      <c r="F594" s="16" t="s">
        <v>333</v>
      </c>
      <c r="G594" s="17" t="n">
        <v>46289.3530671296</v>
      </c>
      <c r="H594" s="17" t="n">
        <v>46289.7072337963</v>
      </c>
      <c r="I594" s="18" t="n">
        <f aca="false">IF(H594="",ROUND((تنظیمات!$B$7-G594)*1440,0),ROUND((H594-G594)*1440,0))</f>
        <v>510</v>
      </c>
      <c r="J594" s="16" t="s">
        <v>346</v>
      </c>
      <c r="K594" s="16" t="s">
        <v>400</v>
      </c>
      <c r="L594" s="19" t="n">
        <v>0.938</v>
      </c>
      <c r="M594" s="19" t="n">
        <v>0.96</v>
      </c>
      <c r="N594" s="16" t="s">
        <v>335</v>
      </c>
      <c r="O594" s="16" t="s">
        <v>401</v>
      </c>
      <c r="P594" s="16" t="s">
        <v>420</v>
      </c>
      <c r="Q594" s="20" t="n">
        <v>46289</v>
      </c>
      <c r="R594" s="16" t="s">
        <v>2205</v>
      </c>
      <c r="S594" s="16" t="s">
        <v>404</v>
      </c>
      <c r="T594" s="17"/>
      <c r="U594" s="21" t="n">
        <v>1</v>
      </c>
      <c r="V594" s="21" t="n">
        <v>1</v>
      </c>
      <c r="W594" s="22" t="n">
        <v>4.8</v>
      </c>
      <c r="X594" s="16" t="s">
        <v>335</v>
      </c>
      <c r="Y594" s="16" t="s">
        <v>338</v>
      </c>
      <c r="Z594" s="16" t="s">
        <v>443</v>
      </c>
      <c r="AA594" s="16"/>
      <c r="AB594" s="23"/>
      <c r="AC594" s="17"/>
      <c r="AD594" s="16" t="s">
        <v>444</v>
      </c>
      <c r="AE594" s="16"/>
      <c r="AF594" s="16" t="str">
        <f aca="false">IF(COUNTIF(لیست_سفید!$A$2:$A$21,B594)&gt;0,"بله","خیر")</f>
        <v>خیر</v>
      </c>
      <c r="AG594" s="24" t="n">
        <f aca="false">IF(H594="","",IF(AD594="فیش مفقودی",تنظیمات!$B$6,(INT(I594/1440)*تنظیمات!$B$5+IF(MOD(I594,1440)&lt;=تنظیمات!$B$2,0,MIN(تنظیمات!$B$5,تنظیمات!$B$3+MAX(0,ROUNDUP((MOD(I594,1440)-60)/60,0))*تنظیمات!$B$4)))*INDEX(تعرفه!$B$2:$B$7,MATCH(AD594,تعرفه!$A$2:$A$7,0))))</f>
        <v>0</v>
      </c>
      <c r="AH594" s="24" t="n">
        <v>0</v>
      </c>
      <c r="AI594" s="24" t="n">
        <f aca="false">IF(AG594="","",AH594-AG594)</f>
        <v>0</v>
      </c>
      <c r="AJ594" s="21" t="n">
        <v>1</v>
      </c>
      <c r="AK594" s="21" t="n">
        <v>0</v>
      </c>
      <c r="AL594" s="16" t="s">
        <v>335</v>
      </c>
      <c r="AM594" s="16"/>
      <c r="AN594" s="16" t="s">
        <v>340</v>
      </c>
      <c r="AO594" s="16" t="s">
        <v>340</v>
      </c>
      <c r="AP594" s="16" t="s">
        <v>335</v>
      </c>
      <c r="AQ594" s="16"/>
      <c r="AR594" s="21" t="n">
        <f aca="false">IF(AND(T594&lt;&gt;"",H594&lt;&gt;""),IF(AND((T594-H594)*86400&gt;=0,(T594-H594)*86400&lt;تنظیمات!$B$13),1,0),0)</f>
        <v>0</v>
      </c>
      <c r="AS594" s="21" t="n">
        <f aca="false">IF(Z594="پوز",IF(OR(AB594="",COUNTIF(پوزها!$A$2:$A$5,AA594)=0),1,0),0)</f>
        <v>0</v>
      </c>
      <c r="AT594" s="21" t="n">
        <f aca="false">IF(AI594="",0,IF(AI594&gt;0,1,0))</f>
        <v>0</v>
      </c>
      <c r="AU594" s="21" t="n">
        <f aca="false">IF(AI594="",0,IF(AI594&lt;0,1,0))</f>
        <v>0</v>
      </c>
      <c r="AV594" s="21" t="n">
        <f aca="false">IF(U594&gt;V594,1,0)</f>
        <v>0</v>
      </c>
      <c r="AW594" s="21" t="n">
        <f aca="false">IF(OR(W594&gt;تنظیمات!$B$8,X594="بله"),1,0)</f>
        <v>0</v>
      </c>
      <c r="AX594" s="21" t="n">
        <f aca="false">IF(AND(N594="بله",L594&gt;تنظیمات!$B$9),1,0)</f>
        <v>0</v>
      </c>
      <c r="AY594" s="21" t="n">
        <f aca="false">IF(Y594="معکوس",1,0)</f>
        <v>0</v>
      </c>
      <c r="AZ594" s="21" t="n">
        <f aca="false">IF(ABS(AJ594)&gt;تنظیمات!$B$10,1,0)</f>
        <v>0</v>
      </c>
      <c r="BA594" s="21" t="n">
        <f aca="false">IF(AND(OR(AD594="رایگان/VIP",AD594="جانباز"),AF594="خیر"),1,0)</f>
        <v>0</v>
      </c>
      <c r="BB594" s="21" t="n">
        <f aca="false">IF(AE594="",0,IF(COUNTIF($AE$2:$AE$1001,AE594)&gt;1,1,0))</f>
        <v>0</v>
      </c>
      <c r="BC594" s="21" t="n">
        <f aca="false">IF(AND(H594="",I594&gt;تنظیمات!$B$12*60,AM594="خالی"),1,0)</f>
        <v>0</v>
      </c>
      <c r="BD594" s="21" t="n">
        <f aca="false">IF(AND(AP594="بله",I594&lt;تنظیمات!$B$14,AO594="خیر"),1,0)</f>
        <v>0</v>
      </c>
      <c r="BE594" s="21" t="n">
        <f aca="false">IF(AN594="خیر",1,0)</f>
        <v>0</v>
      </c>
      <c r="BF594" s="21" t="n">
        <f aca="false">IF(AND(AD594="فیش مفقودی",AQ594="بله",I594&gt;تنظیمات!$B$12*60),1,0)</f>
        <v>0</v>
      </c>
      <c r="BG594" s="21" t="n">
        <f aca="false">IF(AND(AK594&gt;تنظیمات!$B$11,AL594="بله"),1,0)</f>
        <v>0</v>
      </c>
      <c r="BH594" s="21" t="n">
        <f aca="false">MIN(100,AR594*تنظیمات!$B$21+AS594*تنظیمات!$B$22+AT594*تنظیمات!$B$23+AU594*تنظیمات!$B$24+AV594*تنظیمات!$B$25+AW594*تنظیمات!$B$26+AX594*تنظیمات!$B$27+AY594*تنظیمات!$B$28+AZ594*تنظیمات!$B$29+BA594*تنظیمات!$B$30+BB594*تنظیمات!$B$31+BC594*تنظیمات!$B$32+BD594*تنظیمات!$B$33+BE594*تنظیمات!$B$34+BF594*تنظیمات!$B$35+BG594*تنظیمات!$B$36)</f>
        <v>0</v>
      </c>
      <c r="BI594" s="16" t="str">
        <f aca="false">IF(BH594&gt;=60,"بحرانی",IF(BH594&gt;=30,"مشکوک",IF(BH594&gt;0,"هشدار","عادی")))</f>
        <v>عادی</v>
      </c>
      <c r="BJ594" s="16" t="s">
        <v>338</v>
      </c>
    </row>
    <row r="595" customFormat="false" ht="15" hidden="false" customHeight="false" outlineLevel="0" collapsed="false">
      <c r="A595" s="16" t="s">
        <v>2206</v>
      </c>
      <c r="B595" s="16" t="s">
        <v>2207</v>
      </c>
      <c r="C595" s="16"/>
      <c r="D595" s="16" t="s">
        <v>508</v>
      </c>
      <c r="E595" s="16" t="s">
        <v>351</v>
      </c>
      <c r="F595" s="16" t="s">
        <v>333</v>
      </c>
      <c r="G595" s="17" t="n">
        <v>46289.3531828704</v>
      </c>
      <c r="H595" s="17" t="n">
        <v>46289.3629050926</v>
      </c>
      <c r="I595" s="18" t="n">
        <f aca="false">IF(H595="",ROUND((تنظیمات!$B$7-G595)*1440,0),ROUND((H595-G595)*1440,0))</f>
        <v>14</v>
      </c>
      <c r="J595" s="16" t="s">
        <v>334</v>
      </c>
      <c r="K595" s="16" t="s">
        <v>400</v>
      </c>
      <c r="L595" s="19" t="n">
        <v>0.941</v>
      </c>
      <c r="M595" s="19" t="n">
        <v>0.962</v>
      </c>
      <c r="N595" s="16" t="s">
        <v>335</v>
      </c>
      <c r="O595" s="16" t="s">
        <v>441</v>
      </c>
      <c r="P595" s="16" t="s">
        <v>402</v>
      </c>
      <c r="Q595" s="20" t="n">
        <v>46289</v>
      </c>
      <c r="R595" s="16" t="s">
        <v>2208</v>
      </c>
      <c r="S595" s="16" t="s">
        <v>404</v>
      </c>
      <c r="T595" s="17"/>
      <c r="U595" s="21" t="n">
        <v>1</v>
      </c>
      <c r="V595" s="21" t="n">
        <v>1</v>
      </c>
      <c r="W595" s="22" t="n">
        <v>6.4</v>
      </c>
      <c r="X595" s="16" t="s">
        <v>335</v>
      </c>
      <c r="Y595" s="16" t="s">
        <v>338</v>
      </c>
      <c r="Z595" s="16" t="s">
        <v>405</v>
      </c>
      <c r="AA595" s="16"/>
      <c r="AB595" s="23"/>
      <c r="AC595" s="17"/>
      <c r="AD595" s="16" t="s">
        <v>338</v>
      </c>
      <c r="AE595" s="16"/>
      <c r="AF595" s="16" t="str">
        <f aca="false">IF(COUNTIF(لیست_سفید!$A$2:$A$21,B595)&gt;0,"بله","خیر")</f>
        <v>خیر</v>
      </c>
      <c r="AG595" s="24" t="n">
        <f aca="false">IF(H595="","",IF(AD595="فیش مفقودی",تنظیمات!$B$6,(INT(I595/1440)*تنظیمات!$B$5+IF(MOD(I595,1440)&lt;=تنظیمات!$B$2,0,MIN(تنظیمات!$B$5,تنظیمات!$B$3+MAX(0,ROUNDUP((MOD(I595,1440)-60)/60,0))*تنظیمات!$B$4)))*INDEX(تعرفه!$B$2:$B$7,MATCH(AD595,تعرفه!$A$2:$A$7,0))))</f>
        <v>20000</v>
      </c>
      <c r="AH595" s="24" t="n">
        <v>20000</v>
      </c>
      <c r="AI595" s="24" t="n">
        <f aca="false">IF(AG595="","",AH595-AG595)</f>
        <v>0</v>
      </c>
      <c r="AJ595" s="21" t="n">
        <v>0</v>
      </c>
      <c r="AK595" s="21" t="n">
        <v>0</v>
      </c>
      <c r="AL595" s="16" t="s">
        <v>335</v>
      </c>
      <c r="AM595" s="16"/>
      <c r="AN595" s="16" t="s">
        <v>340</v>
      </c>
      <c r="AO595" s="16" t="s">
        <v>340</v>
      </c>
      <c r="AP595" s="16" t="s">
        <v>335</v>
      </c>
      <c r="AQ595" s="16"/>
      <c r="AR595" s="21" t="n">
        <f aca="false">IF(AND(T595&lt;&gt;"",H595&lt;&gt;""),IF(AND((T595-H595)*86400&gt;=0,(T595-H595)*86400&lt;تنظیمات!$B$13),1,0),0)</f>
        <v>0</v>
      </c>
      <c r="AS595" s="21" t="n">
        <f aca="false">IF(Z595="پوز",IF(OR(AB595="",COUNTIF(پوزها!$A$2:$A$5,AA595)=0),1,0),0)</f>
        <v>0</v>
      </c>
      <c r="AT595" s="21" t="n">
        <f aca="false">IF(AI595="",0,IF(AI595&gt;0,1,0))</f>
        <v>0</v>
      </c>
      <c r="AU595" s="21" t="n">
        <f aca="false">IF(AI595="",0,IF(AI595&lt;0,1,0))</f>
        <v>0</v>
      </c>
      <c r="AV595" s="21" t="n">
        <f aca="false">IF(U595&gt;V595,1,0)</f>
        <v>0</v>
      </c>
      <c r="AW595" s="21" t="n">
        <f aca="false">IF(OR(W595&gt;تنظیمات!$B$8,X595="بله"),1,0)</f>
        <v>0</v>
      </c>
      <c r="AX595" s="21" t="n">
        <f aca="false">IF(AND(N595="بله",L595&gt;تنظیمات!$B$9),1,0)</f>
        <v>0</v>
      </c>
      <c r="AY595" s="21" t="n">
        <f aca="false">IF(Y595="معکوس",1,0)</f>
        <v>0</v>
      </c>
      <c r="AZ595" s="21" t="n">
        <f aca="false">IF(ABS(AJ595)&gt;تنظیمات!$B$10,1,0)</f>
        <v>0</v>
      </c>
      <c r="BA595" s="21" t="n">
        <f aca="false">IF(AND(OR(AD595="رایگان/VIP",AD595="جانباز"),AF595="خیر"),1,0)</f>
        <v>0</v>
      </c>
      <c r="BB595" s="21" t="n">
        <f aca="false">IF(AE595="",0,IF(COUNTIF($AE$2:$AE$1001,AE595)&gt;1,1,0))</f>
        <v>0</v>
      </c>
      <c r="BC595" s="21" t="n">
        <f aca="false">IF(AND(H595="",I595&gt;تنظیمات!$B$12*60,AM595="خالی"),1,0)</f>
        <v>0</v>
      </c>
      <c r="BD595" s="21" t="n">
        <f aca="false">IF(AND(AP595="بله",I595&lt;تنظیمات!$B$14,AO595="خیر"),1,0)</f>
        <v>0</v>
      </c>
      <c r="BE595" s="21" t="n">
        <f aca="false">IF(AN595="خیر",1,0)</f>
        <v>0</v>
      </c>
      <c r="BF595" s="21" t="n">
        <f aca="false">IF(AND(AD595="فیش مفقودی",AQ595="بله",I595&gt;تنظیمات!$B$12*60),1,0)</f>
        <v>0</v>
      </c>
      <c r="BG595" s="21" t="n">
        <f aca="false">IF(AND(AK595&gt;تنظیمات!$B$11,AL595="بله"),1,0)</f>
        <v>0</v>
      </c>
      <c r="BH595" s="21" t="n">
        <f aca="false">MIN(100,AR595*تنظیمات!$B$21+AS595*تنظیمات!$B$22+AT595*تنظیمات!$B$23+AU595*تنظیمات!$B$24+AV595*تنظیمات!$B$25+AW595*تنظیمات!$B$26+AX595*تنظیمات!$B$27+AY595*تنظیمات!$B$28+AZ595*تنظیمات!$B$29+BA595*تنظیمات!$B$30+BB595*تنظیمات!$B$31+BC595*تنظیمات!$B$32+BD595*تنظیمات!$B$33+BE595*تنظیمات!$B$34+BF595*تنظیمات!$B$35+BG595*تنظیمات!$B$36)</f>
        <v>0</v>
      </c>
      <c r="BI595" s="16" t="str">
        <f aca="false">IF(BH595&gt;=60,"بحرانی",IF(BH595&gt;=30,"مشکوک",IF(BH595&gt;0,"هشدار","عادی")))</f>
        <v>عادی</v>
      </c>
      <c r="BJ595" s="16" t="s">
        <v>338</v>
      </c>
    </row>
    <row r="596" customFormat="false" ht="15" hidden="false" customHeight="false" outlineLevel="0" collapsed="false">
      <c r="A596" s="16" t="s">
        <v>2209</v>
      </c>
      <c r="B596" s="16" t="s">
        <v>2210</v>
      </c>
      <c r="C596" s="16" t="s">
        <v>2211</v>
      </c>
      <c r="D596" s="16" t="s">
        <v>386</v>
      </c>
      <c r="E596" s="16" t="s">
        <v>332</v>
      </c>
      <c r="F596" s="16" t="s">
        <v>333</v>
      </c>
      <c r="G596" s="17" t="n">
        <v>46289.3760300926</v>
      </c>
      <c r="H596" s="17" t="n">
        <v>46289.4315856482</v>
      </c>
      <c r="I596" s="18" t="n">
        <f aca="false">IF(H596="",ROUND((تنظیمات!$B$7-G596)*1440,0),ROUND((H596-G596)*1440,0))</f>
        <v>80</v>
      </c>
      <c r="J596" s="16" t="s">
        <v>346</v>
      </c>
      <c r="K596" s="16" t="s">
        <v>400</v>
      </c>
      <c r="L596" s="19" t="n">
        <v>0.586</v>
      </c>
      <c r="M596" s="19" t="n">
        <v>0.947</v>
      </c>
      <c r="N596" s="16" t="s">
        <v>340</v>
      </c>
      <c r="O596" s="16" t="s">
        <v>441</v>
      </c>
      <c r="P596" s="16" t="s">
        <v>402</v>
      </c>
      <c r="Q596" s="20" t="n">
        <v>46289</v>
      </c>
      <c r="R596" s="16" t="s">
        <v>2212</v>
      </c>
      <c r="S596" s="16" t="s">
        <v>404</v>
      </c>
      <c r="T596" s="17"/>
      <c r="U596" s="21" t="n">
        <v>1</v>
      </c>
      <c r="V596" s="21" t="n">
        <v>1</v>
      </c>
      <c r="W596" s="22" t="n">
        <v>6.3</v>
      </c>
      <c r="X596" s="16" t="s">
        <v>335</v>
      </c>
      <c r="Y596" s="16" t="s">
        <v>338</v>
      </c>
      <c r="Z596" s="16" t="s">
        <v>405</v>
      </c>
      <c r="AA596" s="16"/>
      <c r="AB596" s="23"/>
      <c r="AC596" s="17"/>
      <c r="AD596" s="16" t="s">
        <v>338</v>
      </c>
      <c r="AE596" s="16"/>
      <c r="AF596" s="16" t="str">
        <f aca="false">IF(COUNTIF(لیست_سفید!$A$2:$A$21,B596)&gt;0,"بله","خیر")</f>
        <v>خیر</v>
      </c>
      <c r="AG596" s="24" t="n">
        <f aca="false">IF(H596="","",IF(AD596="فیش مفقودی",تنظیمات!$B$6,(INT(I596/1440)*تنظیمات!$B$5+IF(MOD(I596,1440)&lt;=تنظیمات!$B$2,0,MIN(تنظیمات!$B$5,تنظیمات!$B$3+MAX(0,ROUNDUP((MOD(I596,1440)-60)/60,0))*تنظیمات!$B$4)))*INDEX(تعرفه!$B$2:$B$7,MATCH(AD596,تعرفه!$A$2:$A$7,0))))</f>
        <v>34000</v>
      </c>
      <c r="AH596" s="24" t="n">
        <v>34000</v>
      </c>
      <c r="AI596" s="24" t="n">
        <f aca="false">IF(AG596="","",AH596-AG596)</f>
        <v>0</v>
      </c>
      <c r="AJ596" s="21" t="n">
        <v>-4</v>
      </c>
      <c r="AK596" s="21" t="n">
        <v>0</v>
      </c>
      <c r="AL596" s="16" t="s">
        <v>335</v>
      </c>
      <c r="AM596" s="16"/>
      <c r="AN596" s="16" t="s">
        <v>340</v>
      </c>
      <c r="AO596" s="16" t="s">
        <v>340</v>
      </c>
      <c r="AP596" s="16" t="s">
        <v>335</v>
      </c>
      <c r="AQ596" s="16"/>
      <c r="AR596" s="21" t="n">
        <f aca="false">IF(AND(T596&lt;&gt;"",H596&lt;&gt;""),IF(AND((T596-H596)*86400&gt;=0,(T596-H596)*86400&lt;تنظیمات!$B$13),1,0),0)</f>
        <v>0</v>
      </c>
      <c r="AS596" s="21" t="n">
        <f aca="false">IF(Z596="پوز",IF(OR(AB596="",COUNTIF(پوزها!$A$2:$A$5,AA596)=0),1,0),0)</f>
        <v>0</v>
      </c>
      <c r="AT596" s="21" t="n">
        <f aca="false">IF(AI596="",0,IF(AI596&gt;0,1,0))</f>
        <v>0</v>
      </c>
      <c r="AU596" s="21" t="n">
        <f aca="false">IF(AI596="",0,IF(AI596&lt;0,1,0))</f>
        <v>0</v>
      </c>
      <c r="AV596" s="21" t="n">
        <f aca="false">IF(U596&gt;V596,1,0)</f>
        <v>0</v>
      </c>
      <c r="AW596" s="21" t="n">
        <f aca="false">IF(OR(W596&gt;تنظیمات!$B$8,X596="بله"),1,0)</f>
        <v>0</v>
      </c>
      <c r="AX596" s="21" t="n">
        <f aca="false">IF(AND(N596="بله",L596&gt;تنظیمات!$B$9),1,0)</f>
        <v>0</v>
      </c>
      <c r="AY596" s="21" t="n">
        <f aca="false">IF(Y596="معکوس",1,0)</f>
        <v>0</v>
      </c>
      <c r="AZ596" s="21" t="n">
        <f aca="false">IF(ABS(AJ596)&gt;تنظیمات!$B$10,1,0)</f>
        <v>0</v>
      </c>
      <c r="BA596" s="21" t="n">
        <f aca="false">IF(AND(OR(AD596="رایگان/VIP",AD596="جانباز"),AF596="خیر"),1,0)</f>
        <v>0</v>
      </c>
      <c r="BB596" s="21" t="n">
        <f aca="false">IF(AE596="",0,IF(COUNTIF($AE$2:$AE$1001,AE596)&gt;1,1,0))</f>
        <v>0</v>
      </c>
      <c r="BC596" s="21" t="n">
        <f aca="false">IF(AND(H596="",I596&gt;تنظیمات!$B$12*60,AM596="خالی"),1,0)</f>
        <v>0</v>
      </c>
      <c r="BD596" s="21" t="n">
        <f aca="false">IF(AND(AP596="بله",I596&lt;تنظیمات!$B$14,AO596="خیر"),1,0)</f>
        <v>0</v>
      </c>
      <c r="BE596" s="21" t="n">
        <f aca="false">IF(AN596="خیر",1,0)</f>
        <v>0</v>
      </c>
      <c r="BF596" s="21" t="n">
        <f aca="false">IF(AND(AD596="فیش مفقودی",AQ596="بله",I596&gt;تنظیمات!$B$12*60),1,0)</f>
        <v>0</v>
      </c>
      <c r="BG596" s="21" t="n">
        <f aca="false">IF(AND(AK596&gt;تنظیمات!$B$11,AL596="بله"),1,0)</f>
        <v>0</v>
      </c>
      <c r="BH596" s="21" t="n">
        <f aca="false">MIN(100,AR596*تنظیمات!$B$21+AS596*تنظیمات!$B$22+AT596*تنظیمات!$B$23+AU596*تنظیمات!$B$24+AV596*تنظیمات!$B$25+AW596*تنظیمات!$B$26+AX596*تنظیمات!$B$27+AY596*تنظیمات!$B$28+AZ596*تنظیمات!$B$29+BA596*تنظیمات!$B$30+BB596*تنظیمات!$B$31+BC596*تنظیمات!$B$32+BD596*تنظیمات!$B$33+BE596*تنظیمات!$B$34+BF596*تنظیمات!$B$35+BG596*تنظیمات!$B$36)</f>
        <v>0</v>
      </c>
      <c r="BI596" s="16" t="str">
        <f aca="false">IF(BH596&gt;=60,"بحرانی",IF(BH596&gt;=30,"مشکوک",IF(BH596&gt;0,"هشدار","عادی")))</f>
        <v>عادی</v>
      </c>
      <c r="BJ596" s="16" t="s">
        <v>338</v>
      </c>
    </row>
    <row r="597" customFormat="false" ht="15" hidden="false" customHeight="false" outlineLevel="0" collapsed="false">
      <c r="A597" s="16" t="s">
        <v>2213</v>
      </c>
      <c r="B597" s="16" t="s">
        <v>2062</v>
      </c>
      <c r="C597" s="16"/>
      <c r="D597" s="16" t="s">
        <v>508</v>
      </c>
      <c r="E597" s="16" t="s">
        <v>390</v>
      </c>
      <c r="F597" s="16" t="s">
        <v>333</v>
      </c>
      <c r="G597" s="17" t="n">
        <v>46289.3902083333</v>
      </c>
      <c r="H597" s="17" t="n">
        <v>46289.5721527778</v>
      </c>
      <c r="I597" s="18" t="n">
        <f aca="false">IF(H597="",ROUND((تنظیمات!$B$7-G597)*1440,0),ROUND((H597-G597)*1440,0))</f>
        <v>262</v>
      </c>
      <c r="J597" s="16" t="s">
        <v>334</v>
      </c>
      <c r="K597" s="16" t="s">
        <v>410</v>
      </c>
      <c r="L597" s="19" t="n">
        <v>0.901</v>
      </c>
      <c r="M597" s="19" t="n">
        <v>0.945</v>
      </c>
      <c r="N597" s="16" t="s">
        <v>335</v>
      </c>
      <c r="O597" s="16" t="s">
        <v>411</v>
      </c>
      <c r="P597" s="16" t="s">
        <v>402</v>
      </c>
      <c r="Q597" s="20" t="n">
        <v>46289</v>
      </c>
      <c r="R597" s="16" t="s">
        <v>2214</v>
      </c>
      <c r="S597" s="16" t="s">
        <v>404</v>
      </c>
      <c r="T597" s="17"/>
      <c r="U597" s="21" t="n">
        <v>1</v>
      </c>
      <c r="V597" s="21" t="n">
        <v>1</v>
      </c>
      <c r="W597" s="22" t="n">
        <v>4.9</v>
      </c>
      <c r="X597" s="16" t="s">
        <v>335</v>
      </c>
      <c r="Y597" s="16" t="s">
        <v>338</v>
      </c>
      <c r="Z597" s="16" t="s">
        <v>413</v>
      </c>
      <c r="AA597" s="16" t="s">
        <v>414</v>
      </c>
      <c r="AB597" s="23" t="s">
        <v>2215</v>
      </c>
      <c r="AC597" s="17" t="n">
        <v>46289.5712962963</v>
      </c>
      <c r="AD597" s="16" t="s">
        <v>338</v>
      </c>
      <c r="AE597" s="16"/>
      <c r="AF597" s="16" t="str">
        <f aca="false">IF(COUNTIF(لیست_سفید!$A$2:$A$21,B597)&gt;0,"بله","خیر")</f>
        <v>خیر</v>
      </c>
      <c r="AG597" s="24" t="n">
        <f aca="false">IF(H597="","",IF(AD597="فیش مفقودی",تنظیمات!$B$6,(INT(I597/1440)*تنظیمات!$B$5+IF(MOD(I597,1440)&lt;=تنظیمات!$B$2,0,MIN(تنظیمات!$B$5,تنظیمات!$B$3+MAX(0,ROUNDUP((MOD(I597,1440)-60)/60,0))*تنظیمات!$B$4)))*INDEX(تعرفه!$B$2:$B$7,MATCH(AD597,تعرفه!$A$2:$A$7,0))))</f>
        <v>76000</v>
      </c>
      <c r="AH597" s="24" t="n">
        <v>76000</v>
      </c>
      <c r="AI597" s="24" t="n">
        <f aca="false">IF(AG597="","",AH597-AG597)</f>
        <v>0</v>
      </c>
      <c r="AJ597" s="21" t="n">
        <v>-2</v>
      </c>
      <c r="AK597" s="21" t="n">
        <v>38</v>
      </c>
      <c r="AL597" s="16" t="s">
        <v>335</v>
      </c>
      <c r="AM597" s="16"/>
      <c r="AN597" s="16" t="s">
        <v>340</v>
      </c>
      <c r="AO597" s="16" t="s">
        <v>340</v>
      </c>
      <c r="AP597" s="16" t="s">
        <v>335</v>
      </c>
      <c r="AQ597" s="16"/>
      <c r="AR597" s="21" t="n">
        <f aca="false">IF(AND(T597&lt;&gt;"",H597&lt;&gt;""),IF(AND((T597-H597)*86400&gt;=0,(T597-H597)*86400&lt;تنظیمات!$B$13),1,0),0)</f>
        <v>0</v>
      </c>
      <c r="AS597" s="21" t="n">
        <f aca="false">IF(Z597="پوز",IF(OR(AB597="",COUNTIF(پوزها!$A$2:$A$5,AA597)=0),1,0),0)</f>
        <v>0</v>
      </c>
      <c r="AT597" s="21" t="n">
        <f aca="false">IF(AI597="",0,IF(AI597&gt;0,1,0))</f>
        <v>0</v>
      </c>
      <c r="AU597" s="21" t="n">
        <f aca="false">IF(AI597="",0,IF(AI597&lt;0,1,0))</f>
        <v>0</v>
      </c>
      <c r="AV597" s="21" t="n">
        <f aca="false">IF(U597&gt;V597,1,0)</f>
        <v>0</v>
      </c>
      <c r="AW597" s="21" t="n">
        <f aca="false">IF(OR(W597&gt;تنظیمات!$B$8,X597="بله"),1,0)</f>
        <v>0</v>
      </c>
      <c r="AX597" s="21" t="n">
        <f aca="false">IF(AND(N597="بله",L597&gt;تنظیمات!$B$9),1,0)</f>
        <v>0</v>
      </c>
      <c r="AY597" s="21" t="n">
        <f aca="false">IF(Y597="معکوس",1,0)</f>
        <v>0</v>
      </c>
      <c r="AZ597" s="21" t="n">
        <f aca="false">IF(ABS(AJ597)&gt;تنظیمات!$B$10,1,0)</f>
        <v>0</v>
      </c>
      <c r="BA597" s="21" t="n">
        <f aca="false">IF(AND(OR(AD597="رایگان/VIP",AD597="جانباز"),AF597="خیر"),1,0)</f>
        <v>0</v>
      </c>
      <c r="BB597" s="21" t="n">
        <f aca="false">IF(AE597="",0,IF(COUNTIF($AE$2:$AE$1001,AE597)&gt;1,1,0))</f>
        <v>0</v>
      </c>
      <c r="BC597" s="21" t="n">
        <f aca="false">IF(AND(H597="",I597&gt;تنظیمات!$B$12*60,AM597="خالی"),1,0)</f>
        <v>0</v>
      </c>
      <c r="BD597" s="21" t="n">
        <f aca="false">IF(AND(AP597="بله",I597&lt;تنظیمات!$B$14,AO597="خیر"),1,0)</f>
        <v>0</v>
      </c>
      <c r="BE597" s="21" t="n">
        <f aca="false">IF(AN597="خیر",1,0)</f>
        <v>0</v>
      </c>
      <c r="BF597" s="21" t="n">
        <f aca="false">IF(AND(AD597="فیش مفقودی",AQ597="بله",I597&gt;تنظیمات!$B$12*60),1,0)</f>
        <v>0</v>
      </c>
      <c r="BG597" s="21" t="n">
        <f aca="false">IF(AND(AK597&gt;تنظیمات!$B$11,AL597="بله"),1,0)</f>
        <v>0</v>
      </c>
      <c r="BH597" s="21" t="n">
        <f aca="false">MIN(100,AR597*تنظیمات!$B$21+AS597*تنظیمات!$B$22+AT597*تنظیمات!$B$23+AU597*تنظیمات!$B$24+AV597*تنظیمات!$B$25+AW597*تنظیمات!$B$26+AX597*تنظیمات!$B$27+AY597*تنظیمات!$B$28+AZ597*تنظیمات!$B$29+BA597*تنظیمات!$B$30+BB597*تنظیمات!$B$31+BC597*تنظیمات!$B$32+BD597*تنظیمات!$B$33+BE597*تنظیمات!$B$34+BF597*تنظیمات!$B$35+BG597*تنظیمات!$B$36)</f>
        <v>0</v>
      </c>
      <c r="BI597" s="16" t="str">
        <f aca="false">IF(BH597&gt;=60,"بحرانی",IF(BH597&gt;=30,"مشکوک",IF(BH597&gt;0,"هشدار","عادی")))</f>
        <v>عادی</v>
      </c>
      <c r="BJ597" s="16" t="s">
        <v>338</v>
      </c>
    </row>
    <row r="598" customFormat="false" ht="15" hidden="false" customHeight="false" outlineLevel="0" collapsed="false">
      <c r="A598" s="16" t="s">
        <v>2216</v>
      </c>
      <c r="B598" s="16" t="s">
        <v>2217</v>
      </c>
      <c r="C598" s="16"/>
      <c r="D598" s="16" t="s">
        <v>382</v>
      </c>
      <c r="E598" s="16" t="s">
        <v>375</v>
      </c>
      <c r="F598" s="16" t="s">
        <v>333</v>
      </c>
      <c r="G598" s="17" t="n">
        <v>46289.4031597222</v>
      </c>
      <c r="H598" s="17" t="n">
        <v>46289.6219097222</v>
      </c>
      <c r="I598" s="18" t="n">
        <f aca="false">IF(H598="",ROUND((تنظیمات!$B$7-G598)*1440,0),ROUND((H598-G598)*1440,0))</f>
        <v>315</v>
      </c>
      <c r="J598" s="16" t="s">
        <v>334</v>
      </c>
      <c r="K598" s="16" t="s">
        <v>400</v>
      </c>
      <c r="L598" s="19" t="n">
        <v>0.934</v>
      </c>
      <c r="M598" s="19" t="n">
        <v>0.995</v>
      </c>
      <c r="N598" s="16" t="s">
        <v>335</v>
      </c>
      <c r="O598" s="16" t="s">
        <v>401</v>
      </c>
      <c r="P598" s="16" t="s">
        <v>420</v>
      </c>
      <c r="Q598" s="20" t="n">
        <v>46289</v>
      </c>
      <c r="R598" s="16" t="s">
        <v>2218</v>
      </c>
      <c r="S598" s="16" t="s">
        <v>404</v>
      </c>
      <c r="T598" s="17"/>
      <c r="U598" s="21" t="n">
        <v>1</v>
      </c>
      <c r="V598" s="21" t="n">
        <v>1</v>
      </c>
      <c r="W598" s="22" t="n">
        <v>4.2</v>
      </c>
      <c r="X598" s="16" t="s">
        <v>335</v>
      </c>
      <c r="Y598" s="16" t="s">
        <v>338</v>
      </c>
      <c r="Z598" s="16" t="s">
        <v>465</v>
      </c>
      <c r="AA598" s="16"/>
      <c r="AB598" s="23"/>
      <c r="AC598" s="17"/>
      <c r="AD598" s="16" t="s">
        <v>466</v>
      </c>
      <c r="AE598" s="16"/>
      <c r="AF598" s="16" t="str">
        <f aca="false">IF(COUNTIF(لیست_سفید!$A$2:$A$21,B598)&gt;0,"بله","خیر")</f>
        <v>بله</v>
      </c>
      <c r="AG598" s="24" t="n">
        <f aca="false">IF(H598="","",IF(AD598="فیش مفقودی",تنظیمات!$B$6,(INT(I598/1440)*تنظیمات!$B$5+IF(MOD(I598,1440)&lt;=تنظیمات!$B$2,0,MIN(تنظیمات!$B$5,تنظیمات!$B$3+MAX(0,ROUNDUP((MOD(I598,1440)-60)/60,0))*تنظیمات!$B$4)))*INDEX(تعرفه!$B$2:$B$7,MATCH(AD598,تعرفه!$A$2:$A$7,0))))</f>
        <v>0</v>
      </c>
      <c r="AH598" s="24" t="n">
        <v>0</v>
      </c>
      <c r="AI598" s="24" t="n">
        <f aca="false">IF(AG598="","",AH598-AG598)</f>
        <v>0</v>
      </c>
      <c r="AJ598" s="21" t="n">
        <v>0</v>
      </c>
      <c r="AK598" s="21" t="n">
        <v>0</v>
      </c>
      <c r="AL598" s="16" t="s">
        <v>335</v>
      </c>
      <c r="AM598" s="16"/>
      <c r="AN598" s="16" t="s">
        <v>340</v>
      </c>
      <c r="AO598" s="16" t="s">
        <v>340</v>
      </c>
      <c r="AP598" s="16" t="s">
        <v>335</v>
      </c>
      <c r="AQ598" s="16"/>
      <c r="AR598" s="21" t="n">
        <f aca="false">IF(AND(T598&lt;&gt;"",H598&lt;&gt;""),IF(AND((T598-H598)*86400&gt;=0,(T598-H598)*86400&lt;تنظیمات!$B$13),1,0),0)</f>
        <v>0</v>
      </c>
      <c r="AS598" s="21" t="n">
        <f aca="false">IF(Z598="پوز",IF(OR(AB598="",COUNTIF(پوزها!$A$2:$A$5,AA598)=0),1,0),0)</f>
        <v>0</v>
      </c>
      <c r="AT598" s="21" t="n">
        <f aca="false">IF(AI598="",0,IF(AI598&gt;0,1,0))</f>
        <v>0</v>
      </c>
      <c r="AU598" s="21" t="n">
        <f aca="false">IF(AI598="",0,IF(AI598&lt;0,1,0))</f>
        <v>0</v>
      </c>
      <c r="AV598" s="21" t="n">
        <f aca="false">IF(U598&gt;V598,1,0)</f>
        <v>0</v>
      </c>
      <c r="AW598" s="21" t="n">
        <f aca="false">IF(OR(W598&gt;تنظیمات!$B$8,X598="بله"),1,0)</f>
        <v>0</v>
      </c>
      <c r="AX598" s="21" t="n">
        <f aca="false">IF(AND(N598="بله",L598&gt;تنظیمات!$B$9),1,0)</f>
        <v>0</v>
      </c>
      <c r="AY598" s="21" t="n">
        <f aca="false">IF(Y598="معکوس",1,0)</f>
        <v>0</v>
      </c>
      <c r="AZ598" s="21" t="n">
        <f aca="false">IF(ABS(AJ598)&gt;تنظیمات!$B$10,1,0)</f>
        <v>0</v>
      </c>
      <c r="BA598" s="21" t="n">
        <f aca="false">IF(AND(OR(AD598="رایگان/VIP",AD598="جانباز"),AF598="خیر"),1,0)</f>
        <v>0</v>
      </c>
      <c r="BB598" s="21" t="n">
        <f aca="false">IF(AE598="",0,IF(COUNTIF($AE$2:$AE$1001,AE598)&gt;1,1,0))</f>
        <v>0</v>
      </c>
      <c r="BC598" s="21" t="n">
        <f aca="false">IF(AND(H598="",I598&gt;تنظیمات!$B$12*60,AM598="خالی"),1,0)</f>
        <v>0</v>
      </c>
      <c r="BD598" s="21" t="n">
        <f aca="false">IF(AND(AP598="بله",I598&lt;تنظیمات!$B$14,AO598="خیر"),1,0)</f>
        <v>0</v>
      </c>
      <c r="BE598" s="21" t="n">
        <f aca="false">IF(AN598="خیر",1,0)</f>
        <v>0</v>
      </c>
      <c r="BF598" s="21" t="n">
        <f aca="false">IF(AND(AD598="فیش مفقودی",AQ598="بله",I598&gt;تنظیمات!$B$12*60),1,0)</f>
        <v>0</v>
      </c>
      <c r="BG598" s="21" t="n">
        <f aca="false">IF(AND(AK598&gt;تنظیمات!$B$11,AL598="بله"),1,0)</f>
        <v>0</v>
      </c>
      <c r="BH598" s="21" t="n">
        <f aca="false">MIN(100,AR598*تنظیمات!$B$21+AS598*تنظیمات!$B$22+AT598*تنظیمات!$B$23+AU598*تنظیمات!$B$24+AV598*تنظیمات!$B$25+AW598*تنظیمات!$B$26+AX598*تنظیمات!$B$27+AY598*تنظیمات!$B$28+AZ598*تنظیمات!$B$29+BA598*تنظیمات!$B$30+BB598*تنظیمات!$B$31+BC598*تنظیمات!$B$32+BD598*تنظیمات!$B$33+BE598*تنظیمات!$B$34+BF598*تنظیمات!$B$35+BG598*تنظیمات!$B$36)</f>
        <v>0</v>
      </c>
      <c r="BI598" s="16" t="str">
        <f aca="false">IF(BH598&gt;=60,"بحرانی",IF(BH598&gt;=30,"مشکوک",IF(BH598&gt;0,"هشدار","عادی")))</f>
        <v>عادی</v>
      </c>
      <c r="BJ598" s="16" t="s">
        <v>338</v>
      </c>
    </row>
    <row r="599" customFormat="false" ht="15" hidden="false" customHeight="false" outlineLevel="0" collapsed="false">
      <c r="A599" s="16" t="s">
        <v>2219</v>
      </c>
      <c r="B599" s="16" t="s">
        <v>2220</v>
      </c>
      <c r="C599" s="16"/>
      <c r="D599" s="16" t="s">
        <v>450</v>
      </c>
      <c r="E599" s="16" t="s">
        <v>390</v>
      </c>
      <c r="F599" s="16" t="s">
        <v>333</v>
      </c>
      <c r="G599" s="17" t="n">
        <v>46289.4108449074</v>
      </c>
      <c r="H599" s="17" t="n">
        <v>46289.5219560185</v>
      </c>
      <c r="I599" s="18" t="n">
        <f aca="false">IF(H599="",ROUND((تنظیمات!$B$7-G599)*1440,0),ROUND((H599-G599)*1440,0))</f>
        <v>160</v>
      </c>
      <c r="J599" s="16" t="s">
        <v>346</v>
      </c>
      <c r="K599" s="16" t="s">
        <v>410</v>
      </c>
      <c r="L599" s="19" t="n">
        <v>0.904</v>
      </c>
      <c r="M599" s="19" t="n">
        <v>0.947</v>
      </c>
      <c r="N599" s="16" t="s">
        <v>335</v>
      </c>
      <c r="O599" s="16" t="s">
        <v>411</v>
      </c>
      <c r="P599" s="16" t="s">
        <v>402</v>
      </c>
      <c r="Q599" s="20" t="n">
        <v>46289</v>
      </c>
      <c r="R599" s="16" t="s">
        <v>2221</v>
      </c>
      <c r="S599" s="16" t="s">
        <v>404</v>
      </c>
      <c r="T599" s="17"/>
      <c r="U599" s="21" t="n">
        <v>1</v>
      </c>
      <c r="V599" s="21" t="n">
        <v>1</v>
      </c>
      <c r="W599" s="22" t="n">
        <v>6.3</v>
      </c>
      <c r="X599" s="16" t="s">
        <v>335</v>
      </c>
      <c r="Y599" s="16" t="s">
        <v>338</v>
      </c>
      <c r="Z599" s="16" t="s">
        <v>413</v>
      </c>
      <c r="AA599" s="16" t="s">
        <v>414</v>
      </c>
      <c r="AB599" s="23" t="s">
        <v>2222</v>
      </c>
      <c r="AC599" s="17" t="n">
        <v>46289.5214351852</v>
      </c>
      <c r="AD599" s="16" t="s">
        <v>338</v>
      </c>
      <c r="AE599" s="16"/>
      <c r="AF599" s="16" t="str">
        <f aca="false">IF(COUNTIF(لیست_سفید!$A$2:$A$21,B599)&gt;0,"بله","خیر")</f>
        <v>خیر</v>
      </c>
      <c r="AG599" s="24" t="n">
        <f aca="false">IF(H599="","",IF(AD599="فیش مفقودی",تنظیمات!$B$6,(INT(I599/1440)*تنظیمات!$B$5+IF(MOD(I599,1440)&lt;=تنظیمات!$B$2,0,MIN(تنظیمات!$B$5,تنظیمات!$B$3+MAX(0,ROUNDUP((MOD(I599,1440)-60)/60,0))*تنظیمات!$B$4)))*INDEX(تعرفه!$B$2:$B$7,MATCH(AD599,تعرفه!$A$2:$A$7,0))))</f>
        <v>48000</v>
      </c>
      <c r="AH599" s="24" t="n">
        <v>48000</v>
      </c>
      <c r="AI599" s="24" t="n">
        <f aca="false">IF(AG599="","",AH599-AG599)</f>
        <v>0</v>
      </c>
      <c r="AJ599" s="21" t="n">
        <v>-3</v>
      </c>
      <c r="AK599" s="21" t="n">
        <v>0</v>
      </c>
      <c r="AL599" s="16" t="s">
        <v>335</v>
      </c>
      <c r="AM599" s="16"/>
      <c r="AN599" s="16" t="s">
        <v>340</v>
      </c>
      <c r="AO599" s="16" t="s">
        <v>340</v>
      </c>
      <c r="AP599" s="16" t="s">
        <v>335</v>
      </c>
      <c r="AQ599" s="16"/>
      <c r="AR599" s="21" t="n">
        <f aca="false">IF(AND(T599&lt;&gt;"",H599&lt;&gt;""),IF(AND((T599-H599)*86400&gt;=0,(T599-H599)*86400&lt;تنظیمات!$B$13),1,0),0)</f>
        <v>0</v>
      </c>
      <c r="AS599" s="21" t="n">
        <f aca="false">IF(Z599="پوز",IF(OR(AB599="",COUNTIF(پوزها!$A$2:$A$5,AA599)=0),1,0),0)</f>
        <v>0</v>
      </c>
      <c r="AT599" s="21" t="n">
        <f aca="false">IF(AI599="",0,IF(AI599&gt;0,1,0))</f>
        <v>0</v>
      </c>
      <c r="AU599" s="21" t="n">
        <f aca="false">IF(AI599="",0,IF(AI599&lt;0,1,0))</f>
        <v>0</v>
      </c>
      <c r="AV599" s="21" t="n">
        <f aca="false">IF(U599&gt;V599,1,0)</f>
        <v>0</v>
      </c>
      <c r="AW599" s="21" t="n">
        <f aca="false">IF(OR(W599&gt;تنظیمات!$B$8,X599="بله"),1,0)</f>
        <v>0</v>
      </c>
      <c r="AX599" s="21" t="n">
        <f aca="false">IF(AND(N599="بله",L599&gt;تنظیمات!$B$9),1,0)</f>
        <v>0</v>
      </c>
      <c r="AY599" s="21" t="n">
        <f aca="false">IF(Y599="معکوس",1,0)</f>
        <v>0</v>
      </c>
      <c r="AZ599" s="21" t="n">
        <f aca="false">IF(ABS(AJ599)&gt;تنظیمات!$B$10,1,0)</f>
        <v>0</v>
      </c>
      <c r="BA599" s="21" t="n">
        <f aca="false">IF(AND(OR(AD599="رایگان/VIP",AD599="جانباز"),AF599="خیر"),1,0)</f>
        <v>0</v>
      </c>
      <c r="BB599" s="21" t="n">
        <f aca="false">IF(AE599="",0,IF(COUNTIF($AE$2:$AE$1001,AE599)&gt;1,1,0))</f>
        <v>0</v>
      </c>
      <c r="BC599" s="21" t="n">
        <f aca="false">IF(AND(H599="",I599&gt;تنظیمات!$B$12*60,AM599="خالی"),1,0)</f>
        <v>0</v>
      </c>
      <c r="BD599" s="21" t="n">
        <f aca="false">IF(AND(AP599="بله",I599&lt;تنظیمات!$B$14,AO599="خیر"),1,0)</f>
        <v>0</v>
      </c>
      <c r="BE599" s="21" t="n">
        <f aca="false">IF(AN599="خیر",1,0)</f>
        <v>0</v>
      </c>
      <c r="BF599" s="21" t="n">
        <f aca="false">IF(AND(AD599="فیش مفقودی",AQ599="بله",I599&gt;تنظیمات!$B$12*60),1,0)</f>
        <v>0</v>
      </c>
      <c r="BG599" s="21" t="n">
        <f aca="false">IF(AND(AK599&gt;تنظیمات!$B$11,AL599="بله"),1,0)</f>
        <v>0</v>
      </c>
      <c r="BH599" s="21" t="n">
        <f aca="false">MIN(100,AR599*تنظیمات!$B$21+AS599*تنظیمات!$B$22+AT599*تنظیمات!$B$23+AU599*تنظیمات!$B$24+AV599*تنظیمات!$B$25+AW599*تنظیمات!$B$26+AX599*تنظیمات!$B$27+AY599*تنظیمات!$B$28+AZ599*تنظیمات!$B$29+BA599*تنظیمات!$B$30+BB599*تنظیمات!$B$31+BC599*تنظیمات!$B$32+BD599*تنظیمات!$B$33+BE599*تنظیمات!$B$34+BF599*تنظیمات!$B$35+BG599*تنظیمات!$B$36)</f>
        <v>0</v>
      </c>
      <c r="BI599" s="16" t="str">
        <f aca="false">IF(BH599&gt;=60,"بحرانی",IF(BH599&gt;=30,"مشکوک",IF(BH599&gt;0,"هشدار","عادی")))</f>
        <v>عادی</v>
      </c>
      <c r="BJ599" s="16" t="s">
        <v>338</v>
      </c>
    </row>
    <row r="600" customFormat="false" ht="15" hidden="false" customHeight="false" outlineLevel="0" collapsed="false">
      <c r="A600" s="16" t="s">
        <v>2223</v>
      </c>
      <c r="B600" s="16" t="s">
        <v>2224</v>
      </c>
      <c r="C600" s="16"/>
      <c r="D600" s="16" t="s">
        <v>374</v>
      </c>
      <c r="E600" s="16" t="s">
        <v>345</v>
      </c>
      <c r="F600" s="16" t="s">
        <v>359</v>
      </c>
      <c r="G600" s="17" t="n">
        <v>46289.4114351852</v>
      </c>
      <c r="H600" s="17" t="n">
        <v>46289.5176851852</v>
      </c>
      <c r="I600" s="18" t="n">
        <f aca="false">IF(H600="",ROUND((تنظیمات!$B$7-G600)*1440,0),ROUND((H600-G600)*1440,0))</f>
        <v>153</v>
      </c>
      <c r="J600" s="16" t="s">
        <v>346</v>
      </c>
      <c r="K600" s="16" t="s">
        <v>400</v>
      </c>
      <c r="L600" s="19" t="n">
        <v>0.98</v>
      </c>
      <c r="M600" s="19" t="n">
        <v>0.995</v>
      </c>
      <c r="N600" s="16" t="s">
        <v>335</v>
      </c>
      <c r="O600" s="16" t="s">
        <v>441</v>
      </c>
      <c r="P600" s="16" t="s">
        <v>402</v>
      </c>
      <c r="Q600" s="20" t="n">
        <v>46289</v>
      </c>
      <c r="R600" s="16" t="s">
        <v>2225</v>
      </c>
      <c r="S600" s="16" t="s">
        <v>404</v>
      </c>
      <c r="T600" s="17"/>
      <c r="U600" s="21" t="n">
        <v>1</v>
      </c>
      <c r="V600" s="21" t="n">
        <v>1</v>
      </c>
      <c r="W600" s="22" t="n">
        <v>4.2</v>
      </c>
      <c r="X600" s="16" t="s">
        <v>335</v>
      </c>
      <c r="Y600" s="16" t="s">
        <v>338</v>
      </c>
      <c r="Z600" s="16" t="s">
        <v>413</v>
      </c>
      <c r="AA600" s="16" t="s">
        <v>427</v>
      </c>
      <c r="AB600" s="23" t="s">
        <v>2226</v>
      </c>
      <c r="AC600" s="17" t="n">
        <v>46289.5167824074</v>
      </c>
      <c r="AD600" s="16" t="s">
        <v>481</v>
      </c>
      <c r="AE600" s="16" t="s">
        <v>2227</v>
      </c>
      <c r="AF600" s="16" t="str">
        <f aca="false">IF(COUNTIF(لیست_سفید!$A$2:$A$21,B600)&gt;0,"بله","خیر")</f>
        <v>خیر</v>
      </c>
      <c r="AG600" s="24" t="n">
        <f aca="false">IF(H600="","",IF(AD600="فیش مفقودی",تنظیمات!$B$6,(INT(I600/1440)*تنظیمات!$B$5+IF(MOD(I600,1440)&lt;=تنظیمات!$B$2,0,MIN(تنظیمات!$B$5,تنظیمات!$B$3+MAX(0,ROUNDUP((MOD(I600,1440)-60)/60,0))*تنظیمات!$B$4)))*INDEX(تعرفه!$B$2:$B$7,MATCH(AD600,تعرفه!$A$2:$A$7,0))))</f>
        <v>24000</v>
      </c>
      <c r="AH600" s="24" t="n">
        <v>24000</v>
      </c>
      <c r="AI600" s="24" t="n">
        <f aca="false">IF(AG600="","",AH600-AG600)</f>
        <v>0</v>
      </c>
      <c r="AJ600" s="21" t="n">
        <v>-1</v>
      </c>
      <c r="AK600" s="21" t="n">
        <v>0</v>
      </c>
      <c r="AL600" s="16" t="s">
        <v>335</v>
      </c>
      <c r="AM600" s="16"/>
      <c r="AN600" s="16" t="s">
        <v>340</v>
      </c>
      <c r="AO600" s="16" t="s">
        <v>340</v>
      </c>
      <c r="AP600" s="16" t="s">
        <v>335</v>
      </c>
      <c r="AQ600" s="16"/>
      <c r="AR600" s="21" t="n">
        <f aca="false">IF(AND(T600&lt;&gt;"",H600&lt;&gt;""),IF(AND((T600-H600)*86400&gt;=0,(T600-H600)*86400&lt;تنظیمات!$B$13),1,0),0)</f>
        <v>0</v>
      </c>
      <c r="AS600" s="21" t="n">
        <f aca="false">IF(Z600="پوز",IF(OR(AB600="",COUNTIF(پوزها!$A$2:$A$5,AA600)=0),1,0),0)</f>
        <v>0</v>
      </c>
      <c r="AT600" s="21" t="n">
        <f aca="false">IF(AI600="",0,IF(AI600&gt;0,1,0))</f>
        <v>0</v>
      </c>
      <c r="AU600" s="21" t="n">
        <f aca="false">IF(AI600="",0,IF(AI600&lt;0,1,0))</f>
        <v>0</v>
      </c>
      <c r="AV600" s="21" t="n">
        <f aca="false">IF(U600&gt;V600,1,0)</f>
        <v>0</v>
      </c>
      <c r="AW600" s="21" t="n">
        <f aca="false">IF(OR(W600&gt;تنظیمات!$B$8,X600="بله"),1,0)</f>
        <v>0</v>
      </c>
      <c r="AX600" s="21" t="n">
        <f aca="false">IF(AND(N600="بله",L600&gt;تنظیمات!$B$9),1,0)</f>
        <v>0</v>
      </c>
      <c r="AY600" s="21" t="n">
        <f aca="false">IF(Y600="معکوس",1,0)</f>
        <v>0</v>
      </c>
      <c r="AZ600" s="21" t="n">
        <f aca="false">IF(ABS(AJ600)&gt;تنظیمات!$B$10,1,0)</f>
        <v>0</v>
      </c>
      <c r="BA600" s="21" t="n">
        <f aca="false">IF(AND(OR(AD600="رایگان/VIP",AD600="جانباز"),AF600="خیر"),1,0)</f>
        <v>0</v>
      </c>
      <c r="BB600" s="21" t="n">
        <f aca="false">IF(AE600="",0,IF(COUNTIF($AE$2:$AE$1001,AE600)&gt;1,1,0))</f>
        <v>0</v>
      </c>
      <c r="BC600" s="21" t="n">
        <f aca="false">IF(AND(H600="",I600&gt;تنظیمات!$B$12*60,AM600="خالی"),1,0)</f>
        <v>0</v>
      </c>
      <c r="BD600" s="21" t="n">
        <f aca="false">IF(AND(AP600="بله",I600&lt;تنظیمات!$B$14,AO600="خیر"),1,0)</f>
        <v>0</v>
      </c>
      <c r="BE600" s="21" t="n">
        <f aca="false">IF(AN600="خیر",1,0)</f>
        <v>0</v>
      </c>
      <c r="BF600" s="21" t="n">
        <f aca="false">IF(AND(AD600="فیش مفقودی",AQ600="بله",I600&gt;تنظیمات!$B$12*60),1,0)</f>
        <v>0</v>
      </c>
      <c r="BG600" s="21" t="n">
        <f aca="false">IF(AND(AK600&gt;تنظیمات!$B$11,AL600="بله"),1,0)</f>
        <v>0</v>
      </c>
      <c r="BH600" s="21" t="n">
        <f aca="false">MIN(100,AR600*تنظیمات!$B$21+AS600*تنظیمات!$B$22+AT600*تنظیمات!$B$23+AU600*تنظیمات!$B$24+AV600*تنظیمات!$B$25+AW600*تنظیمات!$B$26+AX600*تنظیمات!$B$27+AY600*تنظیمات!$B$28+AZ600*تنظیمات!$B$29+BA600*تنظیمات!$B$30+BB600*تنظیمات!$B$31+BC600*تنظیمات!$B$32+BD600*تنظیمات!$B$33+BE600*تنظیمات!$B$34+BF600*تنظیمات!$B$35+BG600*تنظیمات!$B$36)</f>
        <v>0</v>
      </c>
      <c r="BI600" s="16" t="str">
        <f aca="false">IF(BH600&gt;=60,"بحرانی",IF(BH600&gt;=30,"مشکوک",IF(BH600&gt;0,"هشدار","عادی")))</f>
        <v>عادی</v>
      </c>
      <c r="BJ600" s="16" t="s">
        <v>338</v>
      </c>
    </row>
    <row r="601" customFormat="false" ht="15" hidden="false" customHeight="false" outlineLevel="0" collapsed="false">
      <c r="A601" s="16" t="s">
        <v>2228</v>
      </c>
      <c r="B601" s="16" t="s">
        <v>1038</v>
      </c>
      <c r="C601" s="16"/>
      <c r="D601" s="16" t="s">
        <v>431</v>
      </c>
      <c r="E601" s="16" t="s">
        <v>375</v>
      </c>
      <c r="F601" s="16" t="s">
        <v>333</v>
      </c>
      <c r="G601" s="17" t="n">
        <v>46289.4181018519</v>
      </c>
      <c r="H601" s="17" t="n">
        <v>46289.8062962963</v>
      </c>
      <c r="I601" s="18" t="n">
        <f aca="false">IF(H601="",ROUND((تنظیمات!$B$7-G601)*1440,0),ROUND((H601-G601)*1440,0))</f>
        <v>559</v>
      </c>
      <c r="J601" s="16" t="s">
        <v>346</v>
      </c>
      <c r="K601" s="16" t="s">
        <v>410</v>
      </c>
      <c r="L601" s="19" t="n">
        <v>0.95</v>
      </c>
      <c r="M601" s="19" t="n">
        <v>0.987</v>
      </c>
      <c r="N601" s="16" t="s">
        <v>335</v>
      </c>
      <c r="O601" s="16" t="s">
        <v>419</v>
      </c>
      <c r="P601" s="16" t="s">
        <v>420</v>
      </c>
      <c r="Q601" s="20" t="n">
        <v>46289</v>
      </c>
      <c r="R601" s="16" t="s">
        <v>2229</v>
      </c>
      <c r="S601" s="16" t="s">
        <v>404</v>
      </c>
      <c r="T601" s="17"/>
      <c r="U601" s="21" t="n">
        <v>1</v>
      </c>
      <c r="V601" s="21" t="n">
        <v>1</v>
      </c>
      <c r="W601" s="22" t="n">
        <v>4.8</v>
      </c>
      <c r="X601" s="16" t="s">
        <v>335</v>
      </c>
      <c r="Y601" s="16" t="s">
        <v>338</v>
      </c>
      <c r="Z601" s="16" t="s">
        <v>413</v>
      </c>
      <c r="AA601" s="16" t="s">
        <v>414</v>
      </c>
      <c r="AB601" s="23" t="s">
        <v>2230</v>
      </c>
      <c r="AC601" s="17" t="n">
        <v>46289.805625</v>
      </c>
      <c r="AD601" s="16" t="s">
        <v>338</v>
      </c>
      <c r="AE601" s="16"/>
      <c r="AF601" s="16" t="str">
        <f aca="false">IF(COUNTIF(لیست_سفید!$A$2:$A$21,B601)&gt;0,"بله","خیر")</f>
        <v>خیر</v>
      </c>
      <c r="AG601" s="24" t="n">
        <f aca="false">IF(H601="","",IF(AD601="فیش مفقودی",تنظیمات!$B$6,(INT(I601/1440)*تنظیمات!$B$5+IF(MOD(I601,1440)&lt;=تنظیمات!$B$2,0,MIN(تنظیمات!$B$5,تنظیمات!$B$3+MAX(0,ROUNDUP((MOD(I601,1440)-60)/60,0))*تنظیمات!$B$4)))*INDEX(تعرفه!$B$2:$B$7,MATCH(AD601,تعرفه!$A$2:$A$7,0))))</f>
        <v>146000</v>
      </c>
      <c r="AH601" s="24" t="n">
        <v>146000</v>
      </c>
      <c r="AI601" s="24" t="n">
        <f aca="false">IF(AG601="","",AH601-AG601)</f>
        <v>0</v>
      </c>
      <c r="AJ601" s="21" t="n">
        <v>1</v>
      </c>
      <c r="AK601" s="21" t="n">
        <v>0</v>
      </c>
      <c r="AL601" s="16" t="s">
        <v>335</v>
      </c>
      <c r="AM601" s="16"/>
      <c r="AN601" s="16" t="s">
        <v>340</v>
      </c>
      <c r="AO601" s="16" t="s">
        <v>340</v>
      </c>
      <c r="AP601" s="16" t="s">
        <v>335</v>
      </c>
      <c r="AQ601" s="16"/>
      <c r="AR601" s="21" t="n">
        <f aca="false">IF(AND(T601&lt;&gt;"",H601&lt;&gt;""),IF(AND((T601-H601)*86400&gt;=0,(T601-H601)*86400&lt;تنظیمات!$B$13),1,0),0)</f>
        <v>0</v>
      </c>
      <c r="AS601" s="21" t="n">
        <f aca="false">IF(Z601="پوز",IF(OR(AB601="",COUNTIF(پوزها!$A$2:$A$5,AA601)=0),1,0),0)</f>
        <v>0</v>
      </c>
      <c r="AT601" s="21" t="n">
        <f aca="false">IF(AI601="",0,IF(AI601&gt;0,1,0))</f>
        <v>0</v>
      </c>
      <c r="AU601" s="21" t="n">
        <f aca="false">IF(AI601="",0,IF(AI601&lt;0,1,0))</f>
        <v>0</v>
      </c>
      <c r="AV601" s="21" t="n">
        <f aca="false">IF(U601&gt;V601,1,0)</f>
        <v>0</v>
      </c>
      <c r="AW601" s="21" t="n">
        <f aca="false">IF(OR(W601&gt;تنظیمات!$B$8,X601="بله"),1,0)</f>
        <v>0</v>
      </c>
      <c r="AX601" s="21" t="n">
        <f aca="false">IF(AND(N601="بله",L601&gt;تنظیمات!$B$9),1,0)</f>
        <v>0</v>
      </c>
      <c r="AY601" s="21" t="n">
        <f aca="false">IF(Y601="معکوس",1,0)</f>
        <v>0</v>
      </c>
      <c r="AZ601" s="21" t="n">
        <f aca="false">IF(ABS(AJ601)&gt;تنظیمات!$B$10,1,0)</f>
        <v>0</v>
      </c>
      <c r="BA601" s="21" t="n">
        <f aca="false">IF(AND(OR(AD601="رایگان/VIP",AD601="جانباز"),AF601="خیر"),1,0)</f>
        <v>0</v>
      </c>
      <c r="BB601" s="21" t="n">
        <f aca="false">IF(AE601="",0,IF(COUNTIF($AE$2:$AE$1001,AE601)&gt;1,1,0))</f>
        <v>0</v>
      </c>
      <c r="BC601" s="21" t="n">
        <f aca="false">IF(AND(H601="",I601&gt;تنظیمات!$B$12*60,AM601="خالی"),1,0)</f>
        <v>0</v>
      </c>
      <c r="BD601" s="21" t="n">
        <f aca="false">IF(AND(AP601="بله",I601&lt;تنظیمات!$B$14,AO601="خیر"),1,0)</f>
        <v>0</v>
      </c>
      <c r="BE601" s="21" t="n">
        <f aca="false">IF(AN601="خیر",1,0)</f>
        <v>0</v>
      </c>
      <c r="BF601" s="21" t="n">
        <f aca="false">IF(AND(AD601="فیش مفقودی",AQ601="بله",I601&gt;تنظیمات!$B$12*60),1,0)</f>
        <v>0</v>
      </c>
      <c r="BG601" s="21" t="n">
        <f aca="false">IF(AND(AK601&gt;تنظیمات!$B$11,AL601="بله"),1,0)</f>
        <v>0</v>
      </c>
      <c r="BH601" s="21" t="n">
        <f aca="false">MIN(100,AR601*تنظیمات!$B$21+AS601*تنظیمات!$B$22+AT601*تنظیمات!$B$23+AU601*تنظیمات!$B$24+AV601*تنظیمات!$B$25+AW601*تنظیمات!$B$26+AX601*تنظیمات!$B$27+AY601*تنظیمات!$B$28+AZ601*تنظیمات!$B$29+BA601*تنظیمات!$B$30+BB601*تنظیمات!$B$31+BC601*تنظیمات!$B$32+BD601*تنظیمات!$B$33+BE601*تنظیمات!$B$34+BF601*تنظیمات!$B$35+BG601*تنظیمات!$B$36)</f>
        <v>0</v>
      </c>
      <c r="BI601" s="16" t="str">
        <f aca="false">IF(BH601&gt;=60,"بحرانی",IF(BH601&gt;=30,"مشکوک",IF(BH601&gt;0,"هشدار","عادی")))</f>
        <v>عادی</v>
      </c>
      <c r="BJ601" s="16" t="s">
        <v>338</v>
      </c>
    </row>
    <row r="602" customFormat="false" ht="15" hidden="false" customHeight="false" outlineLevel="0" collapsed="false">
      <c r="A602" s="16" t="s">
        <v>2231</v>
      </c>
      <c r="B602" s="16" t="s">
        <v>570</v>
      </c>
      <c r="C602" s="16"/>
      <c r="D602" s="16" t="s">
        <v>386</v>
      </c>
      <c r="E602" s="16" t="s">
        <v>390</v>
      </c>
      <c r="F602" s="16" t="s">
        <v>333</v>
      </c>
      <c r="G602" s="17" t="n">
        <v>46289.418287037</v>
      </c>
      <c r="H602" s="17" t="n">
        <v>46289.718287037</v>
      </c>
      <c r="I602" s="18" t="n">
        <f aca="false">IF(H602="",ROUND((تنظیمات!$B$7-G602)*1440,0),ROUND((H602-G602)*1440,0))</f>
        <v>432</v>
      </c>
      <c r="J602" s="16" t="s">
        <v>334</v>
      </c>
      <c r="K602" s="16" t="s">
        <v>400</v>
      </c>
      <c r="L602" s="19" t="n">
        <v>0.985</v>
      </c>
      <c r="M602" s="19" t="n">
        <v>0.995</v>
      </c>
      <c r="N602" s="16" t="s">
        <v>335</v>
      </c>
      <c r="O602" s="16" t="s">
        <v>401</v>
      </c>
      <c r="P602" s="16" t="s">
        <v>420</v>
      </c>
      <c r="Q602" s="20" t="n">
        <v>46289</v>
      </c>
      <c r="R602" s="16" t="s">
        <v>2232</v>
      </c>
      <c r="S602" s="16" t="s">
        <v>404</v>
      </c>
      <c r="T602" s="17"/>
      <c r="U602" s="21" t="n">
        <v>1</v>
      </c>
      <c r="V602" s="21" t="n">
        <v>1</v>
      </c>
      <c r="W602" s="22" t="n">
        <v>5.9</v>
      </c>
      <c r="X602" s="16" t="s">
        <v>335</v>
      </c>
      <c r="Y602" s="16" t="s">
        <v>338</v>
      </c>
      <c r="Z602" s="16" t="s">
        <v>443</v>
      </c>
      <c r="AA602" s="16"/>
      <c r="AB602" s="23"/>
      <c r="AC602" s="17"/>
      <c r="AD602" s="16" t="s">
        <v>444</v>
      </c>
      <c r="AE602" s="16"/>
      <c r="AF602" s="16" t="str">
        <f aca="false">IF(COUNTIF(لیست_سفید!$A$2:$A$21,B602)&gt;0,"بله","خیر")</f>
        <v>خیر</v>
      </c>
      <c r="AG602" s="24" t="n">
        <f aca="false">IF(H602="","",IF(AD602="فیش مفقودی",تنظیمات!$B$6,(INT(I602/1440)*تنظیمات!$B$5+IF(MOD(I602,1440)&lt;=تنظیمات!$B$2,0,MIN(تنظیمات!$B$5,تنظیمات!$B$3+MAX(0,ROUNDUP((MOD(I602,1440)-60)/60,0))*تنظیمات!$B$4)))*INDEX(تعرفه!$B$2:$B$7,MATCH(AD602,تعرفه!$A$2:$A$7,0))))</f>
        <v>0</v>
      </c>
      <c r="AH602" s="24" t="n">
        <v>0</v>
      </c>
      <c r="AI602" s="24" t="n">
        <f aca="false">IF(AG602="","",AH602-AG602)</f>
        <v>0</v>
      </c>
      <c r="AJ602" s="21" t="n">
        <v>4</v>
      </c>
      <c r="AK602" s="21" t="n">
        <v>0</v>
      </c>
      <c r="AL602" s="16" t="s">
        <v>335</v>
      </c>
      <c r="AM602" s="16"/>
      <c r="AN602" s="16" t="s">
        <v>340</v>
      </c>
      <c r="AO602" s="16" t="s">
        <v>340</v>
      </c>
      <c r="AP602" s="16" t="s">
        <v>335</v>
      </c>
      <c r="AQ602" s="16"/>
      <c r="AR602" s="21" t="n">
        <f aca="false">IF(AND(T602&lt;&gt;"",H602&lt;&gt;""),IF(AND((T602-H602)*86400&gt;=0,(T602-H602)*86400&lt;تنظیمات!$B$13),1,0),0)</f>
        <v>0</v>
      </c>
      <c r="AS602" s="21" t="n">
        <f aca="false">IF(Z602="پوز",IF(OR(AB602="",COUNTIF(پوزها!$A$2:$A$5,AA602)=0),1,0),0)</f>
        <v>0</v>
      </c>
      <c r="AT602" s="21" t="n">
        <f aca="false">IF(AI602="",0,IF(AI602&gt;0,1,0))</f>
        <v>0</v>
      </c>
      <c r="AU602" s="21" t="n">
        <f aca="false">IF(AI602="",0,IF(AI602&lt;0,1,0))</f>
        <v>0</v>
      </c>
      <c r="AV602" s="21" t="n">
        <f aca="false">IF(U602&gt;V602,1,0)</f>
        <v>0</v>
      </c>
      <c r="AW602" s="21" t="n">
        <f aca="false">IF(OR(W602&gt;تنظیمات!$B$8,X602="بله"),1,0)</f>
        <v>0</v>
      </c>
      <c r="AX602" s="21" t="n">
        <f aca="false">IF(AND(N602="بله",L602&gt;تنظیمات!$B$9),1,0)</f>
        <v>0</v>
      </c>
      <c r="AY602" s="21" t="n">
        <f aca="false">IF(Y602="معکوس",1,0)</f>
        <v>0</v>
      </c>
      <c r="AZ602" s="21" t="n">
        <f aca="false">IF(ABS(AJ602)&gt;تنظیمات!$B$10,1,0)</f>
        <v>0</v>
      </c>
      <c r="BA602" s="21" t="n">
        <f aca="false">IF(AND(OR(AD602="رایگان/VIP",AD602="جانباز"),AF602="خیر"),1,0)</f>
        <v>0</v>
      </c>
      <c r="BB602" s="21" t="n">
        <f aca="false">IF(AE602="",0,IF(COUNTIF($AE$2:$AE$1001,AE602)&gt;1,1,0))</f>
        <v>0</v>
      </c>
      <c r="BC602" s="21" t="n">
        <f aca="false">IF(AND(H602="",I602&gt;تنظیمات!$B$12*60,AM602="خالی"),1,0)</f>
        <v>0</v>
      </c>
      <c r="BD602" s="21" t="n">
        <f aca="false">IF(AND(AP602="بله",I602&lt;تنظیمات!$B$14,AO602="خیر"),1,0)</f>
        <v>0</v>
      </c>
      <c r="BE602" s="21" t="n">
        <f aca="false">IF(AN602="خیر",1,0)</f>
        <v>0</v>
      </c>
      <c r="BF602" s="21" t="n">
        <f aca="false">IF(AND(AD602="فیش مفقودی",AQ602="بله",I602&gt;تنظیمات!$B$12*60),1,0)</f>
        <v>0</v>
      </c>
      <c r="BG602" s="21" t="n">
        <f aca="false">IF(AND(AK602&gt;تنظیمات!$B$11,AL602="بله"),1,0)</f>
        <v>0</v>
      </c>
      <c r="BH602" s="21" t="n">
        <f aca="false">MIN(100,AR602*تنظیمات!$B$21+AS602*تنظیمات!$B$22+AT602*تنظیمات!$B$23+AU602*تنظیمات!$B$24+AV602*تنظیمات!$B$25+AW602*تنظیمات!$B$26+AX602*تنظیمات!$B$27+AY602*تنظیمات!$B$28+AZ602*تنظیمات!$B$29+BA602*تنظیمات!$B$30+BB602*تنظیمات!$B$31+BC602*تنظیمات!$B$32+BD602*تنظیمات!$B$33+BE602*تنظیمات!$B$34+BF602*تنظیمات!$B$35+BG602*تنظیمات!$B$36)</f>
        <v>0</v>
      </c>
      <c r="BI602" s="16" t="str">
        <f aca="false">IF(BH602&gt;=60,"بحرانی",IF(BH602&gt;=30,"مشکوک",IF(BH602&gt;0,"هشدار","عادی")))</f>
        <v>عادی</v>
      </c>
      <c r="BJ602" s="16" t="s">
        <v>338</v>
      </c>
    </row>
    <row r="603" customFormat="false" ht="15" hidden="false" customHeight="false" outlineLevel="0" collapsed="false">
      <c r="A603" s="16" t="s">
        <v>2233</v>
      </c>
      <c r="B603" s="16" t="s">
        <v>2128</v>
      </c>
      <c r="C603" s="16" t="s">
        <v>2234</v>
      </c>
      <c r="D603" s="16" t="s">
        <v>450</v>
      </c>
      <c r="E603" s="16" t="s">
        <v>332</v>
      </c>
      <c r="F603" s="16" t="s">
        <v>333</v>
      </c>
      <c r="G603" s="17" t="n">
        <v>46289.4255208333</v>
      </c>
      <c r="H603" s="17" t="n">
        <v>46289.4331597222</v>
      </c>
      <c r="I603" s="18" t="n">
        <f aca="false">IF(H603="",ROUND((تنظیمات!$B$7-G603)*1440,0),ROUND((H603-G603)*1440,0))</f>
        <v>11</v>
      </c>
      <c r="J603" s="16" t="s">
        <v>346</v>
      </c>
      <c r="K603" s="16" t="s">
        <v>400</v>
      </c>
      <c r="L603" s="19" t="n">
        <v>0.669</v>
      </c>
      <c r="M603" s="19" t="n">
        <v>0.989</v>
      </c>
      <c r="N603" s="16" t="s">
        <v>340</v>
      </c>
      <c r="O603" s="16" t="s">
        <v>441</v>
      </c>
      <c r="P603" s="16" t="s">
        <v>402</v>
      </c>
      <c r="Q603" s="20" t="n">
        <v>46289</v>
      </c>
      <c r="R603" s="16" t="s">
        <v>2235</v>
      </c>
      <c r="S603" s="16" t="s">
        <v>404</v>
      </c>
      <c r="T603" s="17"/>
      <c r="U603" s="21" t="n">
        <v>1</v>
      </c>
      <c r="V603" s="21" t="n">
        <v>1</v>
      </c>
      <c r="W603" s="22" t="n">
        <v>6.6</v>
      </c>
      <c r="X603" s="16" t="s">
        <v>335</v>
      </c>
      <c r="Y603" s="16" t="s">
        <v>338</v>
      </c>
      <c r="Z603" s="16" t="s">
        <v>413</v>
      </c>
      <c r="AA603" s="16" t="s">
        <v>427</v>
      </c>
      <c r="AB603" s="23" t="s">
        <v>2236</v>
      </c>
      <c r="AC603" s="17" t="n">
        <v>46289.4321412037</v>
      </c>
      <c r="AD603" s="16" t="s">
        <v>338</v>
      </c>
      <c r="AE603" s="16"/>
      <c r="AF603" s="16" t="str">
        <f aca="false">IF(COUNTIF(لیست_سفید!$A$2:$A$21,B603)&gt;0,"بله","خیر")</f>
        <v>خیر</v>
      </c>
      <c r="AG603" s="24" t="n">
        <f aca="false">IF(H603="","",IF(AD603="فیش مفقودی",تنظیمات!$B$6,(INT(I603/1440)*تنظیمات!$B$5+IF(MOD(I603,1440)&lt;=تنظیمات!$B$2,0,MIN(تنظیمات!$B$5,تنظیمات!$B$3+MAX(0,ROUNDUP((MOD(I603,1440)-60)/60,0))*تنظیمات!$B$4)))*INDEX(تعرفه!$B$2:$B$7,MATCH(AD603,تعرفه!$A$2:$A$7,0))))</f>
        <v>20000</v>
      </c>
      <c r="AH603" s="24" t="n">
        <v>20000</v>
      </c>
      <c r="AI603" s="24" t="n">
        <f aca="false">IF(AG603="","",AH603-AG603)</f>
        <v>0</v>
      </c>
      <c r="AJ603" s="21" t="n">
        <v>-1</v>
      </c>
      <c r="AK603" s="21" t="n">
        <v>0</v>
      </c>
      <c r="AL603" s="16" t="s">
        <v>335</v>
      </c>
      <c r="AM603" s="16"/>
      <c r="AN603" s="16" t="s">
        <v>340</v>
      </c>
      <c r="AO603" s="16" t="s">
        <v>340</v>
      </c>
      <c r="AP603" s="16" t="s">
        <v>335</v>
      </c>
      <c r="AQ603" s="16"/>
      <c r="AR603" s="21" t="n">
        <f aca="false">IF(AND(T603&lt;&gt;"",H603&lt;&gt;""),IF(AND((T603-H603)*86400&gt;=0,(T603-H603)*86400&lt;تنظیمات!$B$13),1,0),0)</f>
        <v>0</v>
      </c>
      <c r="AS603" s="21" t="n">
        <f aca="false">IF(Z603="پوز",IF(OR(AB603="",COUNTIF(پوزها!$A$2:$A$5,AA603)=0),1,0),0)</f>
        <v>0</v>
      </c>
      <c r="AT603" s="21" t="n">
        <f aca="false">IF(AI603="",0,IF(AI603&gt;0,1,0))</f>
        <v>0</v>
      </c>
      <c r="AU603" s="21" t="n">
        <f aca="false">IF(AI603="",0,IF(AI603&lt;0,1,0))</f>
        <v>0</v>
      </c>
      <c r="AV603" s="21" t="n">
        <f aca="false">IF(U603&gt;V603,1,0)</f>
        <v>0</v>
      </c>
      <c r="AW603" s="21" t="n">
        <f aca="false">IF(OR(W603&gt;تنظیمات!$B$8,X603="بله"),1,0)</f>
        <v>0</v>
      </c>
      <c r="AX603" s="21" t="n">
        <f aca="false">IF(AND(N603="بله",L603&gt;تنظیمات!$B$9),1,0)</f>
        <v>0</v>
      </c>
      <c r="AY603" s="21" t="n">
        <f aca="false">IF(Y603="معکوس",1,0)</f>
        <v>0</v>
      </c>
      <c r="AZ603" s="21" t="n">
        <f aca="false">IF(ABS(AJ603)&gt;تنظیمات!$B$10,1,0)</f>
        <v>0</v>
      </c>
      <c r="BA603" s="21" t="n">
        <f aca="false">IF(AND(OR(AD603="رایگان/VIP",AD603="جانباز"),AF603="خیر"),1,0)</f>
        <v>0</v>
      </c>
      <c r="BB603" s="21" t="n">
        <f aca="false">IF(AE603="",0,IF(COUNTIF($AE$2:$AE$1001,AE603)&gt;1,1,0))</f>
        <v>0</v>
      </c>
      <c r="BC603" s="21" t="n">
        <f aca="false">IF(AND(H603="",I603&gt;تنظیمات!$B$12*60,AM603="خالی"),1,0)</f>
        <v>0</v>
      </c>
      <c r="BD603" s="21" t="n">
        <f aca="false">IF(AND(AP603="بله",I603&lt;تنظیمات!$B$14,AO603="خیر"),1,0)</f>
        <v>0</v>
      </c>
      <c r="BE603" s="21" t="n">
        <f aca="false">IF(AN603="خیر",1,0)</f>
        <v>0</v>
      </c>
      <c r="BF603" s="21" t="n">
        <f aca="false">IF(AND(AD603="فیش مفقودی",AQ603="بله",I603&gt;تنظیمات!$B$12*60),1,0)</f>
        <v>0</v>
      </c>
      <c r="BG603" s="21" t="n">
        <f aca="false">IF(AND(AK603&gt;تنظیمات!$B$11,AL603="بله"),1,0)</f>
        <v>0</v>
      </c>
      <c r="BH603" s="21" t="n">
        <f aca="false">MIN(100,AR603*تنظیمات!$B$21+AS603*تنظیمات!$B$22+AT603*تنظیمات!$B$23+AU603*تنظیمات!$B$24+AV603*تنظیمات!$B$25+AW603*تنظیمات!$B$26+AX603*تنظیمات!$B$27+AY603*تنظیمات!$B$28+AZ603*تنظیمات!$B$29+BA603*تنظیمات!$B$30+BB603*تنظیمات!$B$31+BC603*تنظیمات!$B$32+BD603*تنظیمات!$B$33+BE603*تنظیمات!$B$34+BF603*تنظیمات!$B$35+BG603*تنظیمات!$B$36)</f>
        <v>0</v>
      </c>
      <c r="BI603" s="16" t="str">
        <f aca="false">IF(BH603&gt;=60,"بحرانی",IF(BH603&gt;=30,"مشکوک",IF(BH603&gt;0,"هشدار","عادی")))</f>
        <v>عادی</v>
      </c>
      <c r="BJ603" s="16" t="s">
        <v>338</v>
      </c>
    </row>
    <row r="604" customFormat="false" ht="15" hidden="false" customHeight="false" outlineLevel="0" collapsed="false">
      <c r="A604" s="16" t="s">
        <v>2237</v>
      </c>
      <c r="B604" s="16" t="s">
        <v>2238</v>
      </c>
      <c r="C604" s="16"/>
      <c r="D604" s="16" t="s">
        <v>531</v>
      </c>
      <c r="E604" s="16" t="s">
        <v>332</v>
      </c>
      <c r="F604" s="16" t="s">
        <v>333</v>
      </c>
      <c r="G604" s="17" t="n">
        <v>46289.4266087963</v>
      </c>
      <c r="H604" s="17" t="n">
        <v>46289.7161921296</v>
      </c>
      <c r="I604" s="18" t="n">
        <f aca="false">IF(H604="",ROUND((تنظیمات!$B$7-G604)*1440,0),ROUND((H604-G604)*1440,0))</f>
        <v>417</v>
      </c>
      <c r="J604" s="16" t="s">
        <v>334</v>
      </c>
      <c r="K604" s="16" t="s">
        <v>410</v>
      </c>
      <c r="L604" s="19" t="n">
        <v>0.94</v>
      </c>
      <c r="M604" s="19" t="n">
        <v>0.935</v>
      </c>
      <c r="N604" s="16" t="s">
        <v>335</v>
      </c>
      <c r="O604" s="16" t="s">
        <v>419</v>
      </c>
      <c r="P604" s="16" t="s">
        <v>420</v>
      </c>
      <c r="Q604" s="20" t="n">
        <v>46289</v>
      </c>
      <c r="R604" s="16" t="s">
        <v>2239</v>
      </c>
      <c r="S604" s="16" t="s">
        <v>404</v>
      </c>
      <c r="T604" s="17"/>
      <c r="U604" s="21" t="n">
        <v>1</v>
      </c>
      <c r="V604" s="21" t="n">
        <v>1</v>
      </c>
      <c r="W604" s="22" t="n">
        <v>6.7</v>
      </c>
      <c r="X604" s="16" t="s">
        <v>335</v>
      </c>
      <c r="Y604" s="16" t="s">
        <v>338</v>
      </c>
      <c r="Z604" s="16" t="s">
        <v>465</v>
      </c>
      <c r="AA604" s="16"/>
      <c r="AB604" s="23"/>
      <c r="AC604" s="17"/>
      <c r="AD604" s="16" t="s">
        <v>466</v>
      </c>
      <c r="AE604" s="16"/>
      <c r="AF604" s="16" t="str">
        <f aca="false">IF(COUNTIF(لیست_سفید!$A$2:$A$21,B604)&gt;0,"بله","خیر")</f>
        <v>بله</v>
      </c>
      <c r="AG604" s="24" t="n">
        <f aca="false">IF(H604="","",IF(AD604="فیش مفقودی",تنظیمات!$B$6,(INT(I604/1440)*تنظیمات!$B$5+IF(MOD(I604,1440)&lt;=تنظیمات!$B$2,0,MIN(تنظیمات!$B$5,تنظیمات!$B$3+MAX(0,ROUNDUP((MOD(I604,1440)-60)/60,0))*تنظیمات!$B$4)))*INDEX(تعرفه!$B$2:$B$7,MATCH(AD604,تعرفه!$A$2:$A$7,0))))</f>
        <v>0</v>
      </c>
      <c r="AH604" s="24" t="n">
        <v>0</v>
      </c>
      <c r="AI604" s="24" t="n">
        <f aca="false">IF(AG604="","",AH604-AG604)</f>
        <v>0</v>
      </c>
      <c r="AJ604" s="21" t="n">
        <v>1</v>
      </c>
      <c r="AK604" s="21" t="n">
        <v>0</v>
      </c>
      <c r="AL604" s="16" t="s">
        <v>335</v>
      </c>
      <c r="AM604" s="16"/>
      <c r="AN604" s="16" t="s">
        <v>340</v>
      </c>
      <c r="AO604" s="16" t="s">
        <v>340</v>
      </c>
      <c r="AP604" s="16" t="s">
        <v>335</v>
      </c>
      <c r="AQ604" s="16"/>
      <c r="AR604" s="21" t="n">
        <f aca="false">IF(AND(T604&lt;&gt;"",H604&lt;&gt;""),IF(AND((T604-H604)*86400&gt;=0,(T604-H604)*86400&lt;تنظیمات!$B$13),1,0),0)</f>
        <v>0</v>
      </c>
      <c r="AS604" s="21" t="n">
        <f aca="false">IF(Z604="پوز",IF(OR(AB604="",COUNTIF(پوزها!$A$2:$A$5,AA604)=0),1,0),0)</f>
        <v>0</v>
      </c>
      <c r="AT604" s="21" t="n">
        <f aca="false">IF(AI604="",0,IF(AI604&gt;0,1,0))</f>
        <v>0</v>
      </c>
      <c r="AU604" s="21" t="n">
        <f aca="false">IF(AI604="",0,IF(AI604&lt;0,1,0))</f>
        <v>0</v>
      </c>
      <c r="AV604" s="21" t="n">
        <f aca="false">IF(U604&gt;V604,1,0)</f>
        <v>0</v>
      </c>
      <c r="AW604" s="21" t="n">
        <f aca="false">IF(OR(W604&gt;تنظیمات!$B$8,X604="بله"),1,0)</f>
        <v>0</v>
      </c>
      <c r="AX604" s="21" t="n">
        <f aca="false">IF(AND(N604="بله",L604&gt;تنظیمات!$B$9),1,0)</f>
        <v>0</v>
      </c>
      <c r="AY604" s="21" t="n">
        <f aca="false">IF(Y604="معکوس",1,0)</f>
        <v>0</v>
      </c>
      <c r="AZ604" s="21" t="n">
        <f aca="false">IF(ABS(AJ604)&gt;تنظیمات!$B$10,1,0)</f>
        <v>0</v>
      </c>
      <c r="BA604" s="21" t="n">
        <f aca="false">IF(AND(OR(AD604="رایگان/VIP",AD604="جانباز"),AF604="خیر"),1,0)</f>
        <v>0</v>
      </c>
      <c r="BB604" s="21" t="n">
        <f aca="false">IF(AE604="",0,IF(COUNTIF($AE$2:$AE$1001,AE604)&gt;1,1,0))</f>
        <v>0</v>
      </c>
      <c r="BC604" s="21" t="n">
        <f aca="false">IF(AND(H604="",I604&gt;تنظیمات!$B$12*60,AM604="خالی"),1,0)</f>
        <v>0</v>
      </c>
      <c r="BD604" s="21" t="n">
        <f aca="false">IF(AND(AP604="بله",I604&lt;تنظیمات!$B$14,AO604="خیر"),1,0)</f>
        <v>0</v>
      </c>
      <c r="BE604" s="21" t="n">
        <f aca="false">IF(AN604="خیر",1,0)</f>
        <v>0</v>
      </c>
      <c r="BF604" s="21" t="n">
        <f aca="false">IF(AND(AD604="فیش مفقودی",AQ604="بله",I604&gt;تنظیمات!$B$12*60),1,0)</f>
        <v>0</v>
      </c>
      <c r="BG604" s="21" t="n">
        <f aca="false">IF(AND(AK604&gt;تنظیمات!$B$11,AL604="بله"),1,0)</f>
        <v>0</v>
      </c>
      <c r="BH604" s="21" t="n">
        <f aca="false">MIN(100,AR604*تنظیمات!$B$21+AS604*تنظیمات!$B$22+AT604*تنظیمات!$B$23+AU604*تنظیمات!$B$24+AV604*تنظیمات!$B$25+AW604*تنظیمات!$B$26+AX604*تنظیمات!$B$27+AY604*تنظیمات!$B$28+AZ604*تنظیمات!$B$29+BA604*تنظیمات!$B$30+BB604*تنظیمات!$B$31+BC604*تنظیمات!$B$32+BD604*تنظیمات!$B$33+BE604*تنظیمات!$B$34+BF604*تنظیمات!$B$35+BG604*تنظیمات!$B$36)</f>
        <v>0</v>
      </c>
      <c r="BI604" s="16" t="str">
        <f aca="false">IF(BH604&gt;=60,"بحرانی",IF(BH604&gt;=30,"مشکوک",IF(BH604&gt;0,"هشدار","عادی")))</f>
        <v>عادی</v>
      </c>
      <c r="BJ604" s="16" t="s">
        <v>338</v>
      </c>
    </row>
    <row r="605" customFormat="false" ht="15" hidden="false" customHeight="false" outlineLevel="0" collapsed="false">
      <c r="A605" s="16" t="s">
        <v>2240</v>
      </c>
      <c r="B605" s="16" t="s">
        <v>1894</v>
      </c>
      <c r="C605" s="16"/>
      <c r="D605" s="16" t="s">
        <v>531</v>
      </c>
      <c r="E605" s="16" t="s">
        <v>351</v>
      </c>
      <c r="F605" s="16" t="s">
        <v>333</v>
      </c>
      <c r="G605" s="17" t="n">
        <v>46289.4438888889</v>
      </c>
      <c r="H605" s="17" t="n">
        <v>46289.4758333333</v>
      </c>
      <c r="I605" s="18" t="n">
        <f aca="false">IF(H605="",ROUND((تنظیمات!$B$7-G605)*1440,0),ROUND((H605-G605)*1440,0))</f>
        <v>46</v>
      </c>
      <c r="J605" s="16" t="s">
        <v>334</v>
      </c>
      <c r="K605" s="16" t="s">
        <v>410</v>
      </c>
      <c r="L605" s="19" t="n">
        <v>0.897</v>
      </c>
      <c r="M605" s="19" t="n">
        <v>0.907</v>
      </c>
      <c r="N605" s="16" t="s">
        <v>335</v>
      </c>
      <c r="O605" s="16" t="s">
        <v>411</v>
      </c>
      <c r="P605" s="16" t="s">
        <v>402</v>
      </c>
      <c r="Q605" s="20" t="n">
        <v>46289</v>
      </c>
      <c r="R605" s="16" t="s">
        <v>2241</v>
      </c>
      <c r="S605" s="16" t="s">
        <v>404</v>
      </c>
      <c r="T605" s="17"/>
      <c r="U605" s="21" t="n">
        <v>1</v>
      </c>
      <c r="V605" s="21" t="n">
        <v>1</v>
      </c>
      <c r="W605" s="22" t="n">
        <v>5.5</v>
      </c>
      <c r="X605" s="16" t="s">
        <v>335</v>
      </c>
      <c r="Y605" s="16" t="s">
        <v>338</v>
      </c>
      <c r="Z605" s="16" t="s">
        <v>413</v>
      </c>
      <c r="AA605" s="16" t="s">
        <v>414</v>
      </c>
      <c r="AB605" s="23" t="s">
        <v>2242</v>
      </c>
      <c r="AC605" s="17" t="n">
        <v>46289.4751157407</v>
      </c>
      <c r="AD605" s="16" t="s">
        <v>338</v>
      </c>
      <c r="AE605" s="16"/>
      <c r="AF605" s="16" t="str">
        <f aca="false">IF(COUNTIF(لیست_سفید!$A$2:$A$21,B605)&gt;0,"بله","خیر")</f>
        <v>خیر</v>
      </c>
      <c r="AG605" s="24" t="n">
        <f aca="false">IF(H605="","",IF(AD605="فیش مفقودی",تنظیمات!$B$6,(INT(I605/1440)*تنظیمات!$B$5+IF(MOD(I605,1440)&lt;=تنظیمات!$B$2,0,MIN(تنظیمات!$B$5,تنظیمات!$B$3+MAX(0,ROUNDUP((MOD(I605,1440)-60)/60,0))*تنظیمات!$B$4)))*INDEX(تعرفه!$B$2:$B$7,MATCH(AD605,تعرفه!$A$2:$A$7,0))))</f>
        <v>20000</v>
      </c>
      <c r="AH605" s="24" t="n">
        <v>20000</v>
      </c>
      <c r="AI605" s="24" t="n">
        <f aca="false">IF(AG605="","",AH605-AG605)</f>
        <v>0</v>
      </c>
      <c r="AJ605" s="21" t="n">
        <v>2</v>
      </c>
      <c r="AK605" s="21" t="n">
        <v>0</v>
      </c>
      <c r="AL605" s="16" t="s">
        <v>335</v>
      </c>
      <c r="AM605" s="16"/>
      <c r="AN605" s="16" t="s">
        <v>340</v>
      </c>
      <c r="AO605" s="16" t="s">
        <v>340</v>
      </c>
      <c r="AP605" s="16" t="s">
        <v>335</v>
      </c>
      <c r="AQ605" s="16"/>
      <c r="AR605" s="21" t="n">
        <f aca="false">IF(AND(T605&lt;&gt;"",H605&lt;&gt;""),IF(AND((T605-H605)*86400&gt;=0,(T605-H605)*86400&lt;تنظیمات!$B$13),1,0),0)</f>
        <v>0</v>
      </c>
      <c r="AS605" s="21" t="n">
        <f aca="false">IF(Z605="پوز",IF(OR(AB605="",COUNTIF(پوزها!$A$2:$A$5,AA605)=0),1,0),0)</f>
        <v>0</v>
      </c>
      <c r="AT605" s="21" t="n">
        <f aca="false">IF(AI605="",0,IF(AI605&gt;0,1,0))</f>
        <v>0</v>
      </c>
      <c r="AU605" s="21" t="n">
        <f aca="false">IF(AI605="",0,IF(AI605&lt;0,1,0))</f>
        <v>0</v>
      </c>
      <c r="AV605" s="21" t="n">
        <f aca="false">IF(U605&gt;V605,1,0)</f>
        <v>0</v>
      </c>
      <c r="AW605" s="21" t="n">
        <f aca="false">IF(OR(W605&gt;تنظیمات!$B$8,X605="بله"),1,0)</f>
        <v>0</v>
      </c>
      <c r="AX605" s="21" t="n">
        <f aca="false">IF(AND(N605="بله",L605&gt;تنظیمات!$B$9),1,0)</f>
        <v>0</v>
      </c>
      <c r="AY605" s="21" t="n">
        <f aca="false">IF(Y605="معکوس",1,0)</f>
        <v>0</v>
      </c>
      <c r="AZ605" s="21" t="n">
        <f aca="false">IF(ABS(AJ605)&gt;تنظیمات!$B$10,1,0)</f>
        <v>0</v>
      </c>
      <c r="BA605" s="21" t="n">
        <f aca="false">IF(AND(OR(AD605="رایگان/VIP",AD605="جانباز"),AF605="خیر"),1,0)</f>
        <v>0</v>
      </c>
      <c r="BB605" s="21" t="n">
        <f aca="false">IF(AE605="",0,IF(COUNTIF($AE$2:$AE$1001,AE605)&gt;1,1,0))</f>
        <v>0</v>
      </c>
      <c r="BC605" s="21" t="n">
        <f aca="false">IF(AND(H605="",I605&gt;تنظیمات!$B$12*60,AM605="خالی"),1,0)</f>
        <v>0</v>
      </c>
      <c r="BD605" s="21" t="n">
        <f aca="false">IF(AND(AP605="بله",I605&lt;تنظیمات!$B$14,AO605="خیر"),1,0)</f>
        <v>0</v>
      </c>
      <c r="BE605" s="21" t="n">
        <f aca="false">IF(AN605="خیر",1,0)</f>
        <v>0</v>
      </c>
      <c r="BF605" s="21" t="n">
        <f aca="false">IF(AND(AD605="فیش مفقودی",AQ605="بله",I605&gt;تنظیمات!$B$12*60),1,0)</f>
        <v>0</v>
      </c>
      <c r="BG605" s="21" t="n">
        <f aca="false">IF(AND(AK605&gt;تنظیمات!$B$11,AL605="بله"),1,0)</f>
        <v>0</v>
      </c>
      <c r="BH605" s="21" t="n">
        <f aca="false">MIN(100,AR605*تنظیمات!$B$21+AS605*تنظیمات!$B$22+AT605*تنظیمات!$B$23+AU605*تنظیمات!$B$24+AV605*تنظیمات!$B$25+AW605*تنظیمات!$B$26+AX605*تنظیمات!$B$27+AY605*تنظیمات!$B$28+AZ605*تنظیمات!$B$29+BA605*تنظیمات!$B$30+BB605*تنظیمات!$B$31+BC605*تنظیمات!$B$32+BD605*تنظیمات!$B$33+BE605*تنظیمات!$B$34+BF605*تنظیمات!$B$35+BG605*تنظیمات!$B$36)</f>
        <v>0</v>
      </c>
      <c r="BI605" s="16" t="str">
        <f aca="false">IF(BH605&gt;=60,"بحرانی",IF(BH605&gt;=30,"مشکوک",IF(BH605&gt;0,"هشدار","عادی")))</f>
        <v>عادی</v>
      </c>
      <c r="BJ605" s="16" t="s">
        <v>338</v>
      </c>
    </row>
    <row r="606" customFormat="false" ht="15" hidden="false" customHeight="false" outlineLevel="0" collapsed="false">
      <c r="A606" s="16" t="s">
        <v>2243</v>
      </c>
      <c r="B606" s="16" t="s">
        <v>1807</v>
      </c>
      <c r="C606" s="16"/>
      <c r="D606" s="16" t="s">
        <v>370</v>
      </c>
      <c r="E606" s="16" t="s">
        <v>375</v>
      </c>
      <c r="F606" s="16" t="s">
        <v>333</v>
      </c>
      <c r="G606" s="17" t="n">
        <v>46289.4451851852</v>
      </c>
      <c r="H606" s="17" t="n">
        <v>46289.4715740741</v>
      </c>
      <c r="I606" s="18" t="n">
        <f aca="false">IF(H606="",ROUND((تنظیمات!$B$7-G606)*1440,0),ROUND((H606-G606)*1440,0))</f>
        <v>38</v>
      </c>
      <c r="J606" s="16" t="s">
        <v>334</v>
      </c>
      <c r="K606" s="16" t="s">
        <v>410</v>
      </c>
      <c r="L606" s="19" t="n">
        <v>0.932</v>
      </c>
      <c r="M606" s="19" t="n">
        <v>0.949</v>
      </c>
      <c r="N606" s="16" t="s">
        <v>335</v>
      </c>
      <c r="O606" s="16" t="s">
        <v>411</v>
      </c>
      <c r="P606" s="16" t="s">
        <v>402</v>
      </c>
      <c r="Q606" s="20" t="n">
        <v>46289</v>
      </c>
      <c r="R606" s="16" t="s">
        <v>2244</v>
      </c>
      <c r="S606" s="16" t="s">
        <v>404</v>
      </c>
      <c r="T606" s="17"/>
      <c r="U606" s="21" t="n">
        <v>1</v>
      </c>
      <c r="V606" s="21" t="n">
        <v>1</v>
      </c>
      <c r="W606" s="22" t="n">
        <v>5.7</v>
      </c>
      <c r="X606" s="16" t="s">
        <v>335</v>
      </c>
      <c r="Y606" s="16" t="s">
        <v>338</v>
      </c>
      <c r="Z606" s="16" t="s">
        <v>413</v>
      </c>
      <c r="AA606" s="16" t="s">
        <v>414</v>
      </c>
      <c r="AB606" s="23" t="s">
        <v>2245</v>
      </c>
      <c r="AC606" s="17" t="n">
        <v>46289.470775463</v>
      </c>
      <c r="AD606" s="16" t="s">
        <v>338</v>
      </c>
      <c r="AE606" s="16"/>
      <c r="AF606" s="16" t="str">
        <f aca="false">IF(COUNTIF(لیست_سفید!$A$2:$A$21,B606)&gt;0,"بله","خیر")</f>
        <v>خیر</v>
      </c>
      <c r="AG606" s="24" t="n">
        <f aca="false">IF(H606="","",IF(AD606="فیش مفقودی",تنظیمات!$B$6,(INT(I606/1440)*تنظیمات!$B$5+IF(MOD(I606,1440)&lt;=تنظیمات!$B$2,0,MIN(تنظیمات!$B$5,تنظیمات!$B$3+MAX(0,ROUNDUP((MOD(I606,1440)-60)/60,0))*تنظیمات!$B$4)))*INDEX(تعرفه!$B$2:$B$7,MATCH(AD606,تعرفه!$A$2:$A$7,0))))</f>
        <v>20000</v>
      </c>
      <c r="AH606" s="24" t="n">
        <v>20000</v>
      </c>
      <c r="AI606" s="24" t="n">
        <f aca="false">IF(AG606="","",AH606-AG606)</f>
        <v>0</v>
      </c>
      <c r="AJ606" s="21" t="n">
        <v>-2</v>
      </c>
      <c r="AK606" s="21" t="n">
        <v>0</v>
      </c>
      <c r="AL606" s="16" t="s">
        <v>335</v>
      </c>
      <c r="AM606" s="16"/>
      <c r="AN606" s="16" t="s">
        <v>340</v>
      </c>
      <c r="AO606" s="16" t="s">
        <v>340</v>
      </c>
      <c r="AP606" s="16" t="s">
        <v>335</v>
      </c>
      <c r="AQ606" s="16"/>
      <c r="AR606" s="21" t="n">
        <f aca="false">IF(AND(T606&lt;&gt;"",H606&lt;&gt;""),IF(AND((T606-H606)*86400&gt;=0,(T606-H606)*86400&lt;تنظیمات!$B$13),1,0),0)</f>
        <v>0</v>
      </c>
      <c r="AS606" s="21" t="n">
        <f aca="false">IF(Z606="پوز",IF(OR(AB606="",COUNTIF(پوزها!$A$2:$A$5,AA606)=0),1,0),0)</f>
        <v>0</v>
      </c>
      <c r="AT606" s="21" t="n">
        <f aca="false">IF(AI606="",0,IF(AI606&gt;0,1,0))</f>
        <v>0</v>
      </c>
      <c r="AU606" s="21" t="n">
        <f aca="false">IF(AI606="",0,IF(AI606&lt;0,1,0))</f>
        <v>0</v>
      </c>
      <c r="AV606" s="21" t="n">
        <f aca="false">IF(U606&gt;V606,1,0)</f>
        <v>0</v>
      </c>
      <c r="AW606" s="21" t="n">
        <f aca="false">IF(OR(W606&gt;تنظیمات!$B$8,X606="بله"),1,0)</f>
        <v>0</v>
      </c>
      <c r="AX606" s="21" t="n">
        <f aca="false">IF(AND(N606="بله",L606&gt;تنظیمات!$B$9),1,0)</f>
        <v>0</v>
      </c>
      <c r="AY606" s="21" t="n">
        <f aca="false">IF(Y606="معکوس",1,0)</f>
        <v>0</v>
      </c>
      <c r="AZ606" s="21" t="n">
        <f aca="false">IF(ABS(AJ606)&gt;تنظیمات!$B$10,1,0)</f>
        <v>0</v>
      </c>
      <c r="BA606" s="21" t="n">
        <f aca="false">IF(AND(OR(AD606="رایگان/VIP",AD606="جانباز"),AF606="خیر"),1,0)</f>
        <v>0</v>
      </c>
      <c r="BB606" s="21" t="n">
        <f aca="false">IF(AE606="",0,IF(COUNTIF($AE$2:$AE$1001,AE606)&gt;1,1,0))</f>
        <v>0</v>
      </c>
      <c r="BC606" s="21" t="n">
        <f aca="false">IF(AND(H606="",I606&gt;تنظیمات!$B$12*60,AM606="خالی"),1,0)</f>
        <v>0</v>
      </c>
      <c r="BD606" s="21" t="n">
        <f aca="false">IF(AND(AP606="بله",I606&lt;تنظیمات!$B$14,AO606="خیر"),1,0)</f>
        <v>0</v>
      </c>
      <c r="BE606" s="21" t="n">
        <f aca="false">IF(AN606="خیر",1,0)</f>
        <v>0</v>
      </c>
      <c r="BF606" s="21" t="n">
        <f aca="false">IF(AND(AD606="فیش مفقودی",AQ606="بله",I606&gt;تنظیمات!$B$12*60),1,0)</f>
        <v>0</v>
      </c>
      <c r="BG606" s="21" t="n">
        <f aca="false">IF(AND(AK606&gt;تنظیمات!$B$11,AL606="بله"),1,0)</f>
        <v>0</v>
      </c>
      <c r="BH606" s="21" t="n">
        <f aca="false">MIN(100,AR606*تنظیمات!$B$21+AS606*تنظیمات!$B$22+AT606*تنظیمات!$B$23+AU606*تنظیمات!$B$24+AV606*تنظیمات!$B$25+AW606*تنظیمات!$B$26+AX606*تنظیمات!$B$27+AY606*تنظیمات!$B$28+AZ606*تنظیمات!$B$29+BA606*تنظیمات!$B$30+BB606*تنظیمات!$B$31+BC606*تنظیمات!$B$32+BD606*تنظیمات!$B$33+BE606*تنظیمات!$B$34+BF606*تنظیمات!$B$35+BG606*تنظیمات!$B$36)</f>
        <v>0</v>
      </c>
      <c r="BI606" s="16" t="str">
        <f aca="false">IF(BH606&gt;=60,"بحرانی",IF(BH606&gt;=30,"مشکوک",IF(BH606&gt;0,"هشدار","عادی")))</f>
        <v>عادی</v>
      </c>
      <c r="BJ606" s="16" t="s">
        <v>338</v>
      </c>
    </row>
    <row r="607" customFormat="false" ht="15" hidden="false" customHeight="false" outlineLevel="0" collapsed="false">
      <c r="A607" s="16" t="s">
        <v>2246</v>
      </c>
      <c r="B607" s="16" t="s">
        <v>567</v>
      </c>
      <c r="C607" s="16"/>
      <c r="D607" s="16" t="s">
        <v>331</v>
      </c>
      <c r="E607" s="16" t="s">
        <v>390</v>
      </c>
      <c r="F607" s="16" t="s">
        <v>333</v>
      </c>
      <c r="G607" s="17" t="n">
        <v>46289.4526851852</v>
      </c>
      <c r="H607" s="17" t="n">
        <v>46289.7735185185</v>
      </c>
      <c r="I607" s="18" t="n">
        <f aca="false">IF(H607="",ROUND((تنظیمات!$B$7-G607)*1440,0),ROUND((H607-G607)*1440,0))</f>
        <v>462</v>
      </c>
      <c r="J607" s="16" t="s">
        <v>334</v>
      </c>
      <c r="K607" s="16" t="s">
        <v>410</v>
      </c>
      <c r="L607" s="19" t="n">
        <v>0.964</v>
      </c>
      <c r="M607" s="19" t="n">
        <v>0.987</v>
      </c>
      <c r="N607" s="16" t="s">
        <v>335</v>
      </c>
      <c r="O607" s="16" t="s">
        <v>419</v>
      </c>
      <c r="P607" s="16" t="s">
        <v>420</v>
      </c>
      <c r="Q607" s="20" t="n">
        <v>46289</v>
      </c>
      <c r="R607" s="16" t="s">
        <v>2247</v>
      </c>
      <c r="S607" s="16" t="s">
        <v>404</v>
      </c>
      <c r="T607" s="17"/>
      <c r="U607" s="21" t="n">
        <v>1</v>
      </c>
      <c r="V607" s="21" t="n">
        <v>1</v>
      </c>
      <c r="W607" s="22" t="n">
        <v>4.9</v>
      </c>
      <c r="X607" s="16" t="s">
        <v>335</v>
      </c>
      <c r="Y607" s="16" t="s">
        <v>338</v>
      </c>
      <c r="Z607" s="16" t="s">
        <v>465</v>
      </c>
      <c r="AA607" s="16"/>
      <c r="AB607" s="23"/>
      <c r="AC607" s="17"/>
      <c r="AD607" s="16" t="s">
        <v>466</v>
      </c>
      <c r="AE607" s="16"/>
      <c r="AF607" s="16" t="str">
        <f aca="false">IF(COUNTIF(لیست_سفید!$A$2:$A$21,B607)&gt;0,"بله","خیر")</f>
        <v>بله</v>
      </c>
      <c r="AG607" s="24" t="n">
        <f aca="false">IF(H607="","",IF(AD607="فیش مفقودی",تنظیمات!$B$6,(INT(I607/1440)*تنظیمات!$B$5+IF(MOD(I607,1440)&lt;=تنظیمات!$B$2,0,MIN(تنظیمات!$B$5,تنظیمات!$B$3+MAX(0,ROUNDUP((MOD(I607,1440)-60)/60,0))*تنظیمات!$B$4)))*INDEX(تعرفه!$B$2:$B$7,MATCH(AD607,تعرفه!$A$2:$A$7,0))))</f>
        <v>0</v>
      </c>
      <c r="AH607" s="24" t="n">
        <v>0</v>
      </c>
      <c r="AI607" s="24" t="n">
        <f aca="false">IF(AG607="","",AH607-AG607)</f>
        <v>0</v>
      </c>
      <c r="AJ607" s="21" t="n">
        <v>2</v>
      </c>
      <c r="AK607" s="21" t="n">
        <v>0</v>
      </c>
      <c r="AL607" s="16" t="s">
        <v>335</v>
      </c>
      <c r="AM607" s="16"/>
      <c r="AN607" s="16" t="s">
        <v>340</v>
      </c>
      <c r="AO607" s="16" t="s">
        <v>340</v>
      </c>
      <c r="AP607" s="16" t="s">
        <v>335</v>
      </c>
      <c r="AQ607" s="16"/>
      <c r="AR607" s="21" t="n">
        <f aca="false">IF(AND(T607&lt;&gt;"",H607&lt;&gt;""),IF(AND((T607-H607)*86400&gt;=0,(T607-H607)*86400&lt;تنظیمات!$B$13),1,0),0)</f>
        <v>0</v>
      </c>
      <c r="AS607" s="21" t="n">
        <f aca="false">IF(Z607="پوز",IF(OR(AB607="",COUNTIF(پوزها!$A$2:$A$5,AA607)=0),1,0),0)</f>
        <v>0</v>
      </c>
      <c r="AT607" s="21" t="n">
        <f aca="false">IF(AI607="",0,IF(AI607&gt;0,1,0))</f>
        <v>0</v>
      </c>
      <c r="AU607" s="21" t="n">
        <f aca="false">IF(AI607="",0,IF(AI607&lt;0,1,0))</f>
        <v>0</v>
      </c>
      <c r="AV607" s="21" t="n">
        <f aca="false">IF(U607&gt;V607,1,0)</f>
        <v>0</v>
      </c>
      <c r="AW607" s="21" t="n">
        <f aca="false">IF(OR(W607&gt;تنظیمات!$B$8,X607="بله"),1,0)</f>
        <v>0</v>
      </c>
      <c r="AX607" s="21" t="n">
        <f aca="false">IF(AND(N607="بله",L607&gt;تنظیمات!$B$9),1,0)</f>
        <v>0</v>
      </c>
      <c r="AY607" s="21" t="n">
        <f aca="false">IF(Y607="معکوس",1,0)</f>
        <v>0</v>
      </c>
      <c r="AZ607" s="21" t="n">
        <f aca="false">IF(ABS(AJ607)&gt;تنظیمات!$B$10,1,0)</f>
        <v>0</v>
      </c>
      <c r="BA607" s="21" t="n">
        <f aca="false">IF(AND(OR(AD607="رایگان/VIP",AD607="جانباز"),AF607="خیر"),1,0)</f>
        <v>0</v>
      </c>
      <c r="BB607" s="21" t="n">
        <f aca="false">IF(AE607="",0,IF(COUNTIF($AE$2:$AE$1001,AE607)&gt;1,1,0))</f>
        <v>0</v>
      </c>
      <c r="BC607" s="21" t="n">
        <f aca="false">IF(AND(H607="",I607&gt;تنظیمات!$B$12*60,AM607="خالی"),1,0)</f>
        <v>0</v>
      </c>
      <c r="BD607" s="21" t="n">
        <f aca="false">IF(AND(AP607="بله",I607&lt;تنظیمات!$B$14,AO607="خیر"),1,0)</f>
        <v>0</v>
      </c>
      <c r="BE607" s="21" t="n">
        <f aca="false">IF(AN607="خیر",1,0)</f>
        <v>0</v>
      </c>
      <c r="BF607" s="21" t="n">
        <f aca="false">IF(AND(AD607="فیش مفقودی",AQ607="بله",I607&gt;تنظیمات!$B$12*60),1,0)</f>
        <v>0</v>
      </c>
      <c r="BG607" s="21" t="n">
        <f aca="false">IF(AND(AK607&gt;تنظیمات!$B$11,AL607="بله"),1,0)</f>
        <v>0</v>
      </c>
      <c r="BH607" s="21" t="n">
        <f aca="false">MIN(100,AR607*تنظیمات!$B$21+AS607*تنظیمات!$B$22+AT607*تنظیمات!$B$23+AU607*تنظیمات!$B$24+AV607*تنظیمات!$B$25+AW607*تنظیمات!$B$26+AX607*تنظیمات!$B$27+AY607*تنظیمات!$B$28+AZ607*تنظیمات!$B$29+BA607*تنظیمات!$B$30+BB607*تنظیمات!$B$31+BC607*تنظیمات!$B$32+BD607*تنظیمات!$B$33+BE607*تنظیمات!$B$34+BF607*تنظیمات!$B$35+BG607*تنظیمات!$B$36)</f>
        <v>0</v>
      </c>
      <c r="BI607" s="16" t="str">
        <f aca="false">IF(BH607&gt;=60,"بحرانی",IF(BH607&gt;=30,"مشکوک",IF(BH607&gt;0,"هشدار","عادی")))</f>
        <v>عادی</v>
      </c>
      <c r="BJ607" s="16" t="s">
        <v>338</v>
      </c>
    </row>
    <row r="608" customFormat="false" ht="15" hidden="false" customHeight="false" outlineLevel="0" collapsed="false">
      <c r="A608" s="16" t="s">
        <v>2248</v>
      </c>
      <c r="B608" s="16" t="s">
        <v>1694</v>
      </c>
      <c r="C608" s="16"/>
      <c r="D608" s="16" t="s">
        <v>382</v>
      </c>
      <c r="E608" s="16" t="s">
        <v>375</v>
      </c>
      <c r="F608" s="16" t="s">
        <v>333</v>
      </c>
      <c r="G608" s="17" t="n">
        <v>46289.469537037</v>
      </c>
      <c r="H608" s="17" t="n">
        <v>46289.5605092593</v>
      </c>
      <c r="I608" s="18" t="n">
        <f aca="false">IF(H608="",ROUND((تنظیمات!$B$7-G608)*1440,0),ROUND((H608-G608)*1440,0))</f>
        <v>131</v>
      </c>
      <c r="J608" s="16" t="s">
        <v>346</v>
      </c>
      <c r="K608" s="16" t="s">
        <v>410</v>
      </c>
      <c r="L608" s="19" t="n">
        <v>0.928</v>
      </c>
      <c r="M608" s="19" t="n">
        <v>0.926</v>
      </c>
      <c r="N608" s="16" t="s">
        <v>335</v>
      </c>
      <c r="O608" s="16" t="s">
        <v>411</v>
      </c>
      <c r="P608" s="16" t="s">
        <v>402</v>
      </c>
      <c r="Q608" s="20" t="n">
        <v>46289</v>
      </c>
      <c r="R608" s="16" t="s">
        <v>2249</v>
      </c>
      <c r="S608" s="16" t="s">
        <v>452</v>
      </c>
      <c r="T608" s="17" t="n">
        <v>46289.5553009259</v>
      </c>
      <c r="U608" s="21" t="n">
        <v>1</v>
      </c>
      <c r="V608" s="21" t="n">
        <v>1</v>
      </c>
      <c r="W608" s="22" t="n">
        <v>3.9</v>
      </c>
      <c r="X608" s="16" t="s">
        <v>335</v>
      </c>
      <c r="Y608" s="16" t="s">
        <v>338</v>
      </c>
      <c r="Z608" s="16" t="s">
        <v>405</v>
      </c>
      <c r="AA608" s="16"/>
      <c r="AB608" s="23"/>
      <c r="AC608" s="17"/>
      <c r="AD608" s="16" t="s">
        <v>338</v>
      </c>
      <c r="AE608" s="16"/>
      <c r="AF608" s="16" t="str">
        <f aca="false">IF(COUNTIF(لیست_سفید!$A$2:$A$21,B608)&gt;0,"بله","خیر")</f>
        <v>خیر</v>
      </c>
      <c r="AG608" s="24" t="n">
        <f aca="false">IF(H608="","",IF(AD608="فیش مفقودی",تنظیمات!$B$6,(INT(I608/1440)*تنظیمات!$B$5+IF(MOD(I608,1440)&lt;=تنظیمات!$B$2,0,MIN(تنظیمات!$B$5,تنظیمات!$B$3+MAX(0,ROUNDUP((MOD(I608,1440)-60)/60,0))*تنظیمات!$B$4)))*INDEX(تعرفه!$B$2:$B$7,MATCH(AD608,تعرفه!$A$2:$A$7,0))))</f>
        <v>48000</v>
      </c>
      <c r="AH608" s="24" t="n">
        <v>48000</v>
      </c>
      <c r="AI608" s="24" t="n">
        <f aca="false">IF(AG608="","",AH608-AG608)</f>
        <v>0</v>
      </c>
      <c r="AJ608" s="21" t="n">
        <v>1</v>
      </c>
      <c r="AK608" s="21" t="n">
        <v>0</v>
      </c>
      <c r="AL608" s="16" t="s">
        <v>335</v>
      </c>
      <c r="AM608" s="16"/>
      <c r="AN608" s="16" t="s">
        <v>340</v>
      </c>
      <c r="AO608" s="16" t="s">
        <v>340</v>
      </c>
      <c r="AP608" s="16" t="s">
        <v>335</v>
      </c>
      <c r="AQ608" s="16"/>
      <c r="AR608" s="21" t="n">
        <f aca="false">IF(AND(T608&lt;&gt;"",H608&lt;&gt;""),IF(AND((T608-H608)*86400&gt;=0,(T608-H608)*86400&lt;تنظیمات!$B$13),1,0),0)</f>
        <v>0</v>
      </c>
      <c r="AS608" s="21" t="n">
        <f aca="false">IF(Z608="پوز",IF(OR(AB608="",COUNTIF(پوزها!$A$2:$A$5,AA608)=0),1,0),0)</f>
        <v>0</v>
      </c>
      <c r="AT608" s="21" t="n">
        <f aca="false">IF(AI608="",0,IF(AI608&gt;0,1,0))</f>
        <v>0</v>
      </c>
      <c r="AU608" s="21" t="n">
        <f aca="false">IF(AI608="",0,IF(AI608&lt;0,1,0))</f>
        <v>0</v>
      </c>
      <c r="AV608" s="21" t="n">
        <f aca="false">IF(U608&gt;V608,1,0)</f>
        <v>0</v>
      </c>
      <c r="AW608" s="21" t="n">
        <f aca="false">IF(OR(W608&gt;تنظیمات!$B$8,X608="بله"),1,0)</f>
        <v>0</v>
      </c>
      <c r="AX608" s="21" t="n">
        <f aca="false">IF(AND(N608="بله",L608&gt;تنظیمات!$B$9),1,0)</f>
        <v>0</v>
      </c>
      <c r="AY608" s="21" t="n">
        <f aca="false">IF(Y608="معکوس",1,0)</f>
        <v>0</v>
      </c>
      <c r="AZ608" s="21" t="n">
        <f aca="false">IF(ABS(AJ608)&gt;تنظیمات!$B$10,1,0)</f>
        <v>0</v>
      </c>
      <c r="BA608" s="21" t="n">
        <f aca="false">IF(AND(OR(AD608="رایگان/VIP",AD608="جانباز"),AF608="خیر"),1,0)</f>
        <v>0</v>
      </c>
      <c r="BB608" s="21" t="n">
        <f aca="false">IF(AE608="",0,IF(COUNTIF($AE$2:$AE$1001,AE608)&gt;1,1,0))</f>
        <v>0</v>
      </c>
      <c r="BC608" s="21" t="n">
        <f aca="false">IF(AND(H608="",I608&gt;تنظیمات!$B$12*60,AM608="خالی"),1,0)</f>
        <v>0</v>
      </c>
      <c r="BD608" s="21" t="n">
        <f aca="false">IF(AND(AP608="بله",I608&lt;تنظیمات!$B$14,AO608="خیر"),1,0)</f>
        <v>0</v>
      </c>
      <c r="BE608" s="21" t="n">
        <f aca="false">IF(AN608="خیر",1,0)</f>
        <v>0</v>
      </c>
      <c r="BF608" s="21" t="n">
        <f aca="false">IF(AND(AD608="فیش مفقودی",AQ608="بله",I608&gt;تنظیمات!$B$12*60),1,0)</f>
        <v>0</v>
      </c>
      <c r="BG608" s="21" t="n">
        <f aca="false">IF(AND(AK608&gt;تنظیمات!$B$11,AL608="بله"),1,0)</f>
        <v>0</v>
      </c>
      <c r="BH608" s="21" t="n">
        <f aca="false">MIN(100,AR608*تنظیمات!$B$21+AS608*تنظیمات!$B$22+AT608*تنظیمات!$B$23+AU608*تنظیمات!$B$24+AV608*تنظیمات!$B$25+AW608*تنظیمات!$B$26+AX608*تنظیمات!$B$27+AY608*تنظیمات!$B$28+AZ608*تنظیمات!$B$29+BA608*تنظیمات!$B$30+BB608*تنظیمات!$B$31+BC608*تنظیمات!$B$32+BD608*تنظیمات!$B$33+BE608*تنظیمات!$B$34+BF608*تنظیمات!$B$35+BG608*تنظیمات!$B$36)</f>
        <v>0</v>
      </c>
      <c r="BI608" s="16" t="str">
        <f aca="false">IF(BH608&gt;=60,"بحرانی",IF(BH608&gt;=30,"مشکوک",IF(BH608&gt;0,"هشدار","عادی")))</f>
        <v>عادی</v>
      </c>
      <c r="BJ608" s="16" t="s">
        <v>338</v>
      </c>
    </row>
    <row r="609" customFormat="false" ht="15" hidden="false" customHeight="false" outlineLevel="0" collapsed="false">
      <c r="A609" s="16" t="s">
        <v>2250</v>
      </c>
      <c r="B609" s="16" t="s">
        <v>1333</v>
      </c>
      <c r="C609" s="16"/>
      <c r="D609" s="16" t="s">
        <v>382</v>
      </c>
      <c r="E609" s="16" t="s">
        <v>390</v>
      </c>
      <c r="F609" s="16" t="s">
        <v>333</v>
      </c>
      <c r="G609" s="17" t="n">
        <v>46289.4744791667</v>
      </c>
      <c r="H609" s="17" t="n">
        <v>46289.6230902778</v>
      </c>
      <c r="I609" s="18" t="n">
        <f aca="false">IF(H609="",ROUND((تنظیمات!$B$7-G609)*1440,0),ROUND((H609-G609)*1440,0))</f>
        <v>214</v>
      </c>
      <c r="J609" s="16" t="s">
        <v>346</v>
      </c>
      <c r="K609" s="16" t="s">
        <v>410</v>
      </c>
      <c r="L609" s="19" t="n">
        <v>0.92</v>
      </c>
      <c r="M609" s="19" t="n">
        <v>0.961</v>
      </c>
      <c r="N609" s="16" t="s">
        <v>335</v>
      </c>
      <c r="O609" s="16" t="s">
        <v>419</v>
      </c>
      <c r="P609" s="16" t="s">
        <v>420</v>
      </c>
      <c r="Q609" s="20" t="n">
        <v>46289</v>
      </c>
      <c r="R609" s="16" t="s">
        <v>2251</v>
      </c>
      <c r="S609" s="16" t="s">
        <v>404</v>
      </c>
      <c r="T609" s="17"/>
      <c r="U609" s="21" t="n">
        <v>1</v>
      </c>
      <c r="V609" s="21" t="n">
        <v>1</v>
      </c>
      <c r="W609" s="22" t="n">
        <v>3.9</v>
      </c>
      <c r="X609" s="16" t="s">
        <v>335</v>
      </c>
      <c r="Y609" s="16" t="s">
        <v>338</v>
      </c>
      <c r="Z609" s="16" t="s">
        <v>413</v>
      </c>
      <c r="AA609" s="16" t="s">
        <v>414</v>
      </c>
      <c r="AB609" s="23" t="s">
        <v>2252</v>
      </c>
      <c r="AC609" s="17" t="n">
        <v>46289.6224189815</v>
      </c>
      <c r="AD609" s="16" t="s">
        <v>338</v>
      </c>
      <c r="AE609" s="16"/>
      <c r="AF609" s="16" t="str">
        <f aca="false">IF(COUNTIF(لیست_سفید!$A$2:$A$21,B609)&gt;0,"بله","خیر")</f>
        <v>خیر</v>
      </c>
      <c r="AG609" s="24" t="n">
        <f aca="false">IF(H609="","",IF(AD609="فیش مفقودی",تنظیمات!$B$6,(INT(I609/1440)*تنظیمات!$B$5+IF(MOD(I609,1440)&lt;=تنظیمات!$B$2,0,MIN(تنظیمات!$B$5,تنظیمات!$B$3+MAX(0,ROUNDUP((MOD(I609,1440)-60)/60,0))*تنظیمات!$B$4)))*INDEX(تعرفه!$B$2:$B$7,MATCH(AD609,تعرفه!$A$2:$A$7,0))))</f>
        <v>62000</v>
      </c>
      <c r="AH609" s="24" t="n">
        <v>62000</v>
      </c>
      <c r="AI609" s="24" t="n">
        <f aca="false">IF(AG609="","",AH609-AG609)</f>
        <v>0</v>
      </c>
      <c r="AJ609" s="21" t="n">
        <v>0</v>
      </c>
      <c r="AK609" s="21" t="n">
        <v>0</v>
      </c>
      <c r="AL609" s="16" t="s">
        <v>335</v>
      </c>
      <c r="AM609" s="16"/>
      <c r="AN609" s="16" t="s">
        <v>340</v>
      </c>
      <c r="AO609" s="16" t="s">
        <v>340</v>
      </c>
      <c r="AP609" s="16" t="s">
        <v>335</v>
      </c>
      <c r="AQ609" s="16"/>
      <c r="AR609" s="21" t="n">
        <f aca="false">IF(AND(T609&lt;&gt;"",H609&lt;&gt;""),IF(AND((T609-H609)*86400&gt;=0,(T609-H609)*86400&lt;تنظیمات!$B$13),1,0),0)</f>
        <v>0</v>
      </c>
      <c r="AS609" s="21" t="n">
        <f aca="false">IF(Z609="پوز",IF(OR(AB609="",COUNTIF(پوزها!$A$2:$A$5,AA609)=0),1,0),0)</f>
        <v>0</v>
      </c>
      <c r="AT609" s="21" t="n">
        <f aca="false">IF(AI609="",0,IF(AI609&gt;0,1,0))</f>
        <v>0</v>
      </c>
      <c r="AU609" s="21" t="n">
        <f aca="false">IF(AI609="",0,IF(AI609&lt;0,1,0))</f>
        <v>0</v>
      </c>
      <c r="AV609" s="21" t="n">
        <f aca="false">IF(U609&gt;V609,1,0)</f>
        <v>0</v>
      </c>
      <c r="AW609" s="21" t="n">
        <f aca="false">IF(OR(W609&gt;تنظیمات!$B$8,X609="بله"),1,0)</f>
        <v>0</v>
      </c>
      <c r="AX609" s="21" t="n">
        <f aca="false">IF(AND(N609="بله",L609&gt;تنظیمات!$B$9),1,0)</f>
        <v>0</v>
      </c>
      <c r="AY609" s="21" t="n">
        <f aca="false">IF(Y609="معکوس",1,0)</f>
        <v>0</v>
      </c>
      <c r="AZ609" s="21" t="n">
        <f aca="false">IF(ABS(AJ609)&gt;تنظیمات!$B$10,1,0)</f>
        <v>0</v>
      </c>
      <c r="BA609" s="21" t="n">
        <f aca="false">IF(AND(OR(AD609="رایگان/VIP",AD609="جانباز"),AF609="خیر"),1,0)</f>
        <v>0</v>
      </c>
      <c r="BB609" s="21" t="n">
        <f aca="false">IF(AE609="",0,IF(COUNTIF($AE$2:$AE$1001,AE609)&gt;1,1,0))</f>
        <v>0</v>
      </c>
      <c r="BC609" s="21" t="n">
        <f aca="false">IF(AND(H609="",I609&gt;تنظیمات!$B$12*60,AM609="خالی"),1,0)</f>
        <v>0</v>
      </c>
      <c r="BD609" s="21" t="n">
        <f aca="false">IF(AND(AP609="بله",I609&lt;تنظیمات!$B$14,AO609="خیر"),1,0)</f>
        <v>0</v>
      </c>
      <c r="BE609" s="21" t="n">
        <f aca="false">IF(AN609="خیر",1,0)</f>
        <v>0</v>
      </c>
      <c r="BF609" s="21" t="n">
        <f aca="false">IF(AND(AD609="فیش مفقودی",AQ609="بله",I609&gt;تنظیمات!$B$12*60),1,0)</f>
        <v>0</v>
      </c>
      <c r="BG609" s="21" t="n">
        <f aca="false">IF(AND(AK609&gt;تنظیمات!$B$11,AL609="بله"),1,0)</f>
        <v>0</v>
      </c>
      <c r="BH609" s="21" t="n">
        <f aca="false">MIN(100,AR609*تنظیمات!$B$21+AS609*تنظیمات!$B$22+AT609*تنظیمات!$B$23+AU609*تنظیمات!$B$24+AV609*تنظیمات!$B$25+AW609*تنظیمات!$B$26+AX609*تنظیمات!$B$27+AY609*تنظیمات!$B$28+AZ609*تنظیمات!$B$29+BA609*تنظیمات!$B$30+BB609*تنظیمات!$B$31+BC609*تنظیمات!$B$32+BD609*تنظیمات!$B$33+BE609*تنظیمات!$B$34+BF609*تنظیمات!$B$35+BG609*تنظیمات!$B$36)</f>
        <v>0</v>
      </c>
      <c r="BI609" s="16" t="str">
        <f aca="false">IF(BH609&gt;=60,"بحرانی",IF(BH609&gt;=30,"مشکوک",IF(BH609&gt;0,"هشدار","عادی")))</f>
        <v>عادی</v>
      </c>
      <c r="BJ609" s="16" t="s">
        <v>338</v>
      </c>
    </row>
    <row r="610" customFormat="false" ht="15" hidden="false" customHeight="false" outlineLevel="0" collapsed="false">
      <c r="A610" s="16" t="s">
        <v>2253</v>
      </c>
      <c r="B610" s="16" t="s">
        <v>718</v>
      </c>
      <c r="C610" s="16"/>
      <c r="D610" s="16" t="s">
        <v>418</v>
      </c>
      <c r="E610" s="16" t="s">
        <v>390</v>
      </c>
      <c r="F610" s="16" t="s">
        <v>333</v>
      </c>
      <c r="G610" s="17" t="n">
        <v>46289.4834027778</v>
      </c>
      <c r="H610" s="17" t="n">
        <v>46289.4896527778</v>
      </c>
      <c r="I610" s="18" t="n">
        <f aca="false">IF(H610="",ROUND((تنظیمات!$B$7-G610)*1440,0),ROUND((H610-G610)*1440,0))</f>
        <v>9</v>
      </c>
      <c r="J610" s="16" t="s">
        <v>346</v>
      </c>
      <c r="K610" s="16" t="s">
        <v>400</v>
      </c>
      <c r="L610" s="19" t="n">
        <v>0.909</v>
      </c>
      <c r="M610" s="19" t="n">
        <v>0.951</v>
      </c>
      <c r="N610" s="16" t="s">
        <v>335</v>
      </c>
      <c r="O610" s="16" t="s">
        <v>441</v>
      </c>
      <c r="P610" s="16" t="s">
        <v>402</v>
      </c>
      <c r="Q610" s="20" t="n">
        <v>46289</v>
      </c>
      <c r="R610" s="16" t="s">
        <v>2254</v>
      </c>
      <c r="S610" s="16" t="s">
        <v>404</v>
      </c>
      <c r="T610" s="17"/>
      <c r="U610" s="21" t="n">
        <v>1</v>
      </c>
      <c r="V610" s="21" t="n">
        <v>1</v>
      </c>
      <c r="W610" s="22" t="n">
        <v>7.1</v>
      </c>
      <c r="X610" s="16" t="s">
        <v>335</v>
      </c>
      <c r="Y610" s="16" t="s">
        <v>338</v>
      </c>
      <c r="Z610" s="16" t="s">
        <v>628</v>
      </c>
      <c r="AA610" s="16"/>
      <c r="AB610" s="23"/>
      <c r="AC610" s="17"/>
      <c r="AD610" s="16" t="s">
        <v>338</v>
      </c>
      <c r="AE610" s="16"/>
      <c r="AF610" s="16" t="str">
        <f aca="false">IF(COUNTIF(لیست_سفید!$A$2:$A$21,B610)&gt;0,"بله","خیر")</f>
        <v>خیر</v>
      </c>
      <c r="AG610" s="24" t="n">
        <f aca="false">IF(H610="","",IF(AD610="فیش مفقودی",تنظیمات!$B$6,(INT(I610/1440)*تنظیمات!$B$5+IF(MOD(I610,1440)&lt;=تنظیمات!$B$2,0,MIN(تنظیمات!$B$5,تنظیمات!$B$3+MAX(0,ROUNDUP((MOD(I610,1440)-60)/60,0))*تنظیمات!$B$4)))*INDEX(تعرفه!$B$2:$B$7,MATCH(AD610,تعرفه!$A$2:$A$7,0))))</f>
        <v>0</v>
      </c>
      <c r="AH610" s="24" t="n">
        <v>0</v>
      </c>
      <c r="AI610" s="24" t="n">
        <f aca="false">IF(AG610="","",AH610-AG610)</f>
        <v>0</v>
      </c>
      <c r="AJ610" s="21" t="n">
        <v>0</v>
      </c>
      <c r="AK610" s="21" t="n">
        <v>59</v>
      </c>
      <c r="AL610" s="16" t="s">
        <v>335</v>
      </c>
      <c r="AM610" s="16"/>
      <c r="AN610" s="16" t="s">
        <v>340</v>
      </c>
      <c r="AO610" s="16" t="s">
        <v>340</v>
      </c>
      <c r="AP610" s="16" t="s">
        <v>335</v>
      </c>
      <c r="AQ610" s="16"/>
      <c r="AR610" s="21" t="n">
        <f aca="false">IF(AND(T610&lt;&gt;"",H610&lt;&gt;""),IF(AND((T610-H610)*86400&gt;=0,(T610-H610)*86400&lt;تنظیمات!$B$13),1,0),0)</f>
        <v>0</v>
      </c>
      <c r="AS610" s="21" t="n">
        <f aca="false">IF(Z610="پوز",IF(OR(AB610="",COUNTIF(پوزها!$A$2:$A$5,AA610)=0),1,0),0)</f>
        <v>0</v>
      </c>
      <c r="AT610" s="21" t="n">
        <f aca="false">IF(AI610="",0,IF(AI610&gt;0,1,0))</f>
        <v>0</v>
      </c>
      <c r="AU610" s="21" t="n">
        <f aca="false">IF(AI610="",0,IF(AI610&lt;0,1,0))</f>
        <v>0</v>
      </c>
      <c r="AV610" s="21" t="n">
        <f aca="false">IF(U610&gt;V610,1,0)</f>
        <v>0</v>
      </c>
      <c r="AW610" s="21" t="n">
        <f aca="false">IF(OR(W610&gt;تنظیمات!$B$8,X610="بله"),1,0)</f>
        <v>0</v>
      </c>
      <c r="AX610" s="21" t="n">
        <f aca="false">IF(AND(N610="بله",L610&gt;تنظیمات!$B$9),1,0)</f>
        <v>0</v>
      </c>
      <c r="AY610" s="21" t="n">
        <f aca="false">IF(Y610="معکوس",1,0)</f>
        <v>0</v>
      </c>
      <c r="AZ610" s="21" t="n">
        <f aca="false">IF(ABS(AJ610)&gt;تنظیمات!$B$10,1,0)</f>
        <v>0</v>
      </c>
      <c r="BA610" s="21" t="n">
        <f aca="false">IF(AND(OR(AD610="رایگان/VIP",AD610="جانباز"),AF610="خیر"),1,0)</f>
        <v>0</v>
      </c>
      <c r="BB610" s="21" t="n">
        <f aca="false">IF(AE610="",0,IF(COUNTIF($AE$2:$AE$1001,AE610)&gt;1,1,0))</f>
        <v>0</v>
      </c>
      <c r="BC610" s="21" t="n">
        <f aca="false">IF(AND(H610="",I610&gt;تنظیمات!$B$12*60,AM610="خالی"),1,0)</f>
        <v>0</v>
      </c>
      <c r="BD610" s="21" t="n">
        <f aca="false">IF(AND(AP610="بله",I610&lt;تنظیمات!$B$14,AO610="خیر"),1,0)</f>
        <v>0</v>
      </c>
      <c r="BE610" s="21" t="n">
        <f aca="false">IF(AN610="خیر",1,0)</f>
        <v>0</v>
      </c>
      <c r="BF610" s="21" t="n">
        <f aca="false">IF(AND(AD610="فیش مفقودی",AQ610="بله",I610&gt;تنظیمات!$B$12*60),1,0)</f>
        <v>0</v>
      </c>
      <c r="BG610" s="21" t="n">
        <f aca="false">IF(AND(AK610&gt;تنظیمات!$B$11,AL610="بله"),1,0)</f>
        <v>0</v>
      </c>
      <c r="BH610" s="21" t="n">
        <f aca="false">MIN(100,AR610*تنظیمات!$B$21+AS610*تنظیمات!$B$22+AT610*تنظیمات!$B$23+AU610*تنظیمات!$B$24+AV610*تنظیمات!$B$25+AW610*تنظیمات!$B$26+AX610*تنظیمات!$B$27+AY610*تنظیمات!$B$28+AZ610*تنظیمات!$B$29+BA610*تنظیمات!$B$30+BB610*تنظیمات!$B$31+BC610*تنظیمات!$B$32+BD610*تنظیمات!$B$33+BE610*تنظیمات!$B$34+BF610*تنظیمات!$B$35+BG610*تنظیمات!$B$36)</f>
        <v>0</v>
      </c>
      <c r="BI610" s="16" t="str">
        <f aca="false">IF(BH610&gt;=60,"بحرانی",IF(BH610&gt;=30,"مشکوک",IF(BH610&gt;0,"هشدار","عادی")))</f>
        <v>عادی</v>
      </c>
      <c r="BJ610" s="16" t="s">
        <v>338</v>
      </c>
    </row>
    <row r="611" customFormat="false" ht="15" hidden="false" customHeight="false" outlineLevel="0" collapsed="false">
      <c r="A611" s="16" t="s">
        <v>2255</v>
      </c>
      <c r="B611" s="16" t="s">
        <v>2256</v>
      </c>
      <c r="C611" s="16"/>
      <c r="D611" s="16" t="s">
        <v>344</v>
      </c>
      <c r="E611" s="16" t="s">
        <v>375</v>
      </c>
      <c r="F611" s="16" t="s">
        <v>333</v>
      </c>
      <c r="G611" s="17" t="n">
        <v>46289.4977199074</v>
      </c>
      <c r="H611" s="17"/>
      <c r="I611" s="18" t="n">
        <f aca="false">IF(H611="",ROUND((تنظیمات!$B$7-G611)*1440,0),ROUND((H611-G611)*1440,0))</f>
        <v>8283</v>
      </c>
      <c r="J611" s="16" t="s">
        <v>346</v>
      </c>
      <c r="K611" s="16"/>
      <c r="L611" s="19" t="n">
        <v>0.946</v>
      </c>
      <c r="M611" s="19"/>
      <c r="N611" s="16" t="s">
        <v>335</v>
      </c>
      <c r="O611" s="16"/>
      <c r="P611" s="16"/>
      <c r="Q611" s="20"/>
      <c r="R611" s="16" t="s">
        <v>2257</v>
      </c>
      <c r="S611" s="16" t="s">
        <v>337</v>
      </c>
      <c r="T611" s="17"/>
      <c r="U611" s="21" t="n">
        <v>1</v>
      </c>
      <c r="V611" s="21" t="n">
        <v>1</v>
      </c>
      <c r="W611" s="22" t="n">
        <v>4.8</v>
      </c>
      <c r="X611" s="16" t="s">
        <v>335</v>
      </c>
      <c r="Y611" s="16" t="s">
        <v>338</v>
      </c>
      <c r="Z611" s="16"/>
      <c r="AA611" s="16"/>
      <c r="AB611" s="23"/>
      <c r="AC611" s="17"/>
      <c r="AD611" s="16" t="s">
        <v>338</v>
      </c>
      <c r="AE611" s="16"/>
      <c r="AF611" s="16" t="str">
        <f aca="false">IF(COUNTIF(لیست_سفید!$A$2:$A$21,B611)&gt;0,"بله","خیر")</f>
        <v>خیر</v>
      </c>
      <c r="AG611" s="24" t="str">
        <f aca="false">IF(H611="","",IF(AD611="فیش مفقودی",تنظیمات!$B$6,(INT(I611/1440)*تنظیمات!$B$5+IF(MOD(I611,1440)&lt;=تنظیمات!$B$2,0,MIN(تنظیمات!$B$5,تنظیمات!$B$3+MAX(0,ROUNDUP((MOD(I611,1440)-60)/60,0))*تنظیمات!$B$4)))*INDEX(تعرفه!$B$2:$B$7,MATCH(AD611,تعرفه!$A$2:$A$7,0))))</f>
        <v/>
      </c>
      <c r="AH611" s="24"/>
      <c r="AI611" s="24" t="str">
        <f aca="false">IF(AG611="","",AH611-AG611)</f>
        <v/>
      </c>
      <c r="AJ611" s="21" t="n">
        <v>1</v>
      </c>
      <c r="AK611" s="21" t="n">
        <v>0</v>
      </c>
      <c r="AL611" s="16" t="s">
        <v>335</v>
      </c>
      <c r="AM611" s="16" t="s">
        <v>1704</v>
      </c>
      <c r="AN611" s="16" t="s">
        <v>340</v>
      </c>
      <c r="AO611" s="16" t="s">
        <v>340</v>
      </c>
      <c r="AP611" s="16" t="s">
        <v>335</v>
      </c>
      <c r="AQ611" s="16"/>
      <c r="AR611" s="21" t="n">
        <f aca="false">IF(AND(T611&lt;&gt;"",H611&lt;&gt;""),IF(AND((T611-H611)*86400&gt;=0,(T611-H611)*86400&lt;تنظیمات!$B$13),1,0),0)</f>
        <v>0</v>
      </c>
      <c r="AS611" s="21" t="n">
        <f aca="false">IF(Z611="پوز",IF(OR(AB611="",COUNTIF(پوزها!$A$2:$A$5,AA611)=0),1,0),0)</f>
        <v>0</v>
      </c>
      <c r="AT611" s="21" t="n">
        <f aca="false">IF(AI611="",0,IF(AI611&gt;0,1,0))</f>
        <v>0</v>
      </c>
      <c r="AU611" s="21" t="n">
        <f aca="false">IF(AI611="",0,IF(AI611&lt;0,1,0))</f>
        <v>0</v>
      </c>
      <c r="AV611" s="21" t="n">
        <f aca="false">IF(U611&gt;V611,1,0)</f>
        <v>0</v>
      </c>
      <c r="AW611" s="21" t="n">
        <f aca="false">IF(OR(W611&gt;تنظیمات!$B$8,X611="بله"),1,0)</f>
        <v>0</v>
      </c>
      <c r="AX611" s="21" t="n">
        <f aca="false">IF(AND(N611="بله",L611&gt;تنظیمات!$B$9),1,0)</f>
        <v>0</v>
      </c>
      <c r="AY611" s="21" t="n">
        <f aca="false">IF(Y611="معکوس",1,0)</f>
        <v>0</v>
      </c>
      <c r="AZ611" s="21" t="n">
        <f aca="false">IF(ABS(AJ611)&gt;تنظیمات!$B$10,1,0)</f>
        <v>0</v>
      </c>
      <c r="BA611" s="21" t="n">
        <f aca="false">IF(AND(OR(AD611="رایگان/VIP",AD611="جانباز"),AF611="خیر"),1,0)</f>
        <v>0</v>
      </c>
      <c r="BB611" s="21" t="n">
        <f aca="false">IF(AE611="",0,IF(COUNTIF($AE$2:$AE$1001,AE611)&gt;1,1,0))</f>
        <v>0</v>
      </c>
      <c r="BC611" s="21" t="n">
        <f aca="false">IF(AND(H611="",I611&gt;تنظیمات!$B$12*60,AM611="خالی"),1,0)</f>
        <v>0</v>
      </c>
      <c r="BD611" s="21" t="n">
        <f aca="false">IF(AND(AP611="بله",I611&lt;تنظیمات!$B$14,AO611="خیر"),1,0)</f>
        <v>0</v>
      </c>
      <c r="BE611" s="21" t="n">
        <f aca="false">IF(AN611="خیر",1,0)</f>
        <v>0</v>
      </c>
      <c r="BF611" s="21" t="n">
        <f aca="false">IF(AND(AD611="فیش مفقودی",AQ611="بله",I611&gt;تنظیمات!$B$12*60),1,0)</f>
        <v>0</v>
      </c>
      <c r="BG611" s="21" t="n">
        <f aca="false">IF(AND(AK611&gt;تنظیمات!$B$11,AL611="بله"),1,0)</f>
        <v>0</v>
      </c>
      <c r="BH611" s="21" t="n">
        <f aca="false">MIN(100,AR611*تنظیمات!$B$21+AS611*تنظیمات!$B$22+AT611*تنظیمات!$B$23+AU611*تنظیمات!$B$24+AV611*تنظیمات!$B$25+AW611*تنظیمات!$B$26+AX611*تنظیمات!$B$27+AY611*تنظیمات!$B$28+AZ611*تنظیمات!$B$29+BA611*تنظیمات!$B$30+BB611*تنظیمات!$B$31+BC611*تنظیمات!$B$32+BD611*تنظیمات!$B$33+BE611*تنظیمات!$B$34+BF611*تنظیمات!$B$35+BG611*تنظیمات!$B$36)</f>
        <v>0</v>
      </c>
      <c r="BI611" s="16" t="str">
        <f aca="false">IF(BH611&gt;=60,"بحرانی",IF(BH611&gt;=30,"مشکوک",IF(BH611&gt;0,"هشدار","عادی")))</f>
        <v>عادی</v>
      </c>
      <c r="BJ611" s="16" t="s">
        <v>338</v>
      </c>
    </row>
    <row r="612" customFormat="false" ht="15" hidden="false" customHeight="false" outlineLevel="0" collapsed="false">
      <c r="A612" s="16" t="s">
        <v>2258</v>
      </c>
      <c r="B612" s="16" t="s">
        <v>693</v>
      </c>
      <c r="C612" s="16"/>
      <c r="D612" s="16" t="s">
        <v>531</v>
      </c>
      <c r="E612" s="16" t="s">
        <v>390</v>
      </c>
      <c r="F612" s="16" t="s">
        <v>333</v>
      </c>
      <c r="G612" s="17" t="n">
        <v>46289.5208333333</v>
      </c>
      <c r="H612" s="17" t="n">
        <v>46289.5868055556</v>
      </c>
      <c r="I612" s="18" t="n">
        <f aca="false">IF(H612="",ROUND((تنظیمات!$B$7-G612)*1440,0),ROUND((H612-G612)*1440,0))</f>
        <v>95</v>
      </c>
      <c r="J612" s="16" t="s">
        <v>334</v>
      </c>
      <c r="K612" s="16" t="s">
        <v>410</v>
      </c>
      <c r="L612" s="19" t="n">
        <v>0.995</v>
      </c>
      <c r="M612" s="19" t="n">
        <v>0.919</v>
      </c>
      <c r="N612" s="16" t="s">
        <v>335</v>
      </c>
      <c r="O612" s="16" t="s">
        <v>419</v>
      </c>
      <c r="P612" s="16" t="s">
        <v>420</v>
      </c>
      <c r="Q612" s="20" t="n">
        <v>46289</v>
      </c>
      <c r="R612" s="16" t="s">
        <v>2259</v>
      </c>
      <c r="S612" s="16" t="s">
        <v>404</v>
      </c>
      <c r="T612" s="17"/>
      <c r="U612" s="21" t="n">
        <v>1</v>
      </c>
      <c r="V612" s="21" t="n">
        <v>1</v>
      </c>
      <c r="W612" s="22" t="n">
        <v>5.8</v>
      </c>
      <c r="X612" s="16" t="s">
        <v>335</v>
      </c>
      <c r="Y612" s="16" t="s">
        <v>338</v>
      </c>
      <c r="Z612" s="16" t="s">
        <v>413</v>
      </c>
      <c r="AA612" s="16" t="s">
        <v>414</v>
      </c>
      <c r="AB612" s="23" t="s">
        <v>2260</v>
      </c>
      <c r="AC612" s="17" t="n">
        <v>46289.5861574074</v>
      </c>
      <c r="AD612" s="16" t="s">
        <v>338</v>
      </c>
      <c r="AE612" s="16"/>
      <c r="AF612" s="16" t="str">
        <f aca="false">IF(COUNTIF(لیست_سفید!$A$2:$A$21,B612)&gt;0,"بله","خیر")</f>
        <v>خیر</v>
      </c>
      <c r="AG612" s="24" t="n">
        <f aca="false">IF(H612="","",IF(AD612="فیش مفقودی",تنظیمات!$B$6,(INT(I612/1440)*تنظیمات!$B$5+IF(MOD(I612,1440)&lt;=تنظیمات!$B$2,0,MIN(تنظیمات!$B$5,تنظیمات!$B$3+MAX(0,ROUNDUP((MOD(I612,1440)-60)/60,0))*تنظیمات!$B$4)))*INDEX(تعرفه!$B$2:$B$7,MATCH(AD612,تعرفه!$A$2:$A$7,0))))</f>
        <v>34000</v>
      </c>
      <c r="AH612" s="24" t="n">
        <v>34000</v>
      </c>
      <c r="AI612" s="24" t="n">
        <f aca="false">IF(AG612="","",AH612-AG612)</f>
        <v>0</v>
      </c>
      <c r="AJ612" s="21" t="n">
        <v>3</v>
      </c>
      <c r="AK612" s="21" t="n">
        <v>0</v>
      </c>
      <c r="AL612" s="16" t="s">
        <v>335</v>
      </c>
      <c r="AM612" s="16"/>
      <c r="AN612" s="16" t="s">
        <v>340</v>
      </c>
      <c r="AO612" s="16" t="s">
        <v>340</v>
      </c>
      <c r="AP612" s="16" t="s">
        <v>335</v>
      </c>
      <c r="AQ612" s="16"/>
      <c r="AR612" s="21" t="n">
        <f aca="false">IF(AND(T612&lt;&gt;"",H612&lt;&gt;""),IF(AND((T612-H612)*86400&gt;=0,(T612-H612)*86400&lt;تنظیمات!$B$13),1,0),0)</f>
        <v>0</v>
      </c>
      <c r="AS612" s="21" t="n">
        <f aca="false">IF(Z612="پوز",IF(OR(AB612="",COUNTIF(پوزها!$A$2:$A$5,AA612)=0),1,0),0)</f>
        <v>0</v>
      </c>
      <c r="AT612" s="21" t="n">
        <f aca="false">IF(AI612="",0,IF(AI612&gt;0,1,0))</f>
        <v>0</v>
      </c>
      <c r="AU612" s="21" t="n">
        <f aca="false">IF(AI612="",0,IF(AI612&lt;0,1,0))</f>
        <v>0</v>
      </c>
      <c r="AV612" s="21" t="n">
        <f aca="false">IF(U612&gt;V612,1,0)</f>
        <v>0</v>
      </c>
      <c r="AW612" s="21" t="n">
        <f aca="false">IF(OR(W612&gt;تنظیمات!$B$8,X612="بله"),1,0)</f>
        <v>0</v>
      </c>
      <c r="AX612" s="21" t="n">
        <f aca="false">IF(AND(N612="بله",L612&gt;تنظیمات!$B$9),1,0)</f>
        <v>0</v>
      </c>
      <c r="AY612" s="21" t="n">
        <f aca="false">IF(Y612="معکوس",1,0)</f>
        <v>0</v>
      </c>
      <c r="AZ612" s="21" t="n">
        <f aca="false">IF(ABS(AJ612)&gt;تنظیمات!$B$10,1,0)</f>
        <v>0</v>
      </c>
      <c r="BA612" s="21" t="n">
        <f aca="false">IF(AND(OR(AD612="رایگان/VIP",AD612="جانباز"),AF612="خیر"),1,0)</f>
        <v>0</v>
      </c>
      <c r="BB612" s="21" t="n">
        <f aca="false">IF(AE612="",0,IF(COUNTIF($AE$2:$AE$1001,AE612)&gt;1,1,0))</f>
        <v>0</v>
      </c>
      <c r="BC612" s="21" t="n">
        <f aca="false">IF(AND(H612="",I612&gt;تنظیمات!$B$12*60,AM612="خالی"),1,0)</f>
        <v>0</v>
      </c>
      <c r="BD612" s="21" t="n">
        <f aca="false">IF(AND(AP612="بله",I612&lt;تنظیمات!$B$14,AO612="خیر"),1,0)</f>
        <v>0</v>
      </c>
      <c r="BE612" s="21" t="n">
        <f aca="false">IF(AN612="خیر",1,0)</f>
        <v>0</v>
      </c>
      <c r="BF612" s="21" t="n">
        <f aca="false">IF(AND(AD612="فیش مفقودی",AQ612="بله",I612&gt;تنظیمات!$B$12*60),1,0)</f>
        <v>0</v>
      </c>
      <c r="BG612" s="21" t="n">
        <f aca="false">IF(AND(AK612&gt;تنظیمات!$B$11,AL612="بله"),1,0)</f>
        <v>0</v>
      </c>
      <c r="BH612" s="21" t="n">
        <f aca="false">MIN(100,AR612*تنظیمات!$B$21+AS612*تنظیمات!$B$22+AT612*تنظیمات!$B$23+AU612*تنظیمات!$B$24+AV612*تنظیمات!$B$25+AW612*تنظیمات!$B$26+AX612*تنظیمات!$B$27+AY612*تنظیمات!$B$28+AZ612*تنظیمات!$B$29+BA612*تنظیمات!$B$30+BB612*تنظیمات!$B$31+BC612*تنظیمات!$B$32+BD612*تنظیمات!$B$33+BE612*تنظیمات!$B$34+BF612*تنظیمات!$B$35+BG612*تنظیمات!$B$36)</f>
        <v>0</v>
      </c>
      <c r="BI612" s="16" t="str">
        <f aca="false">IF(BH612&gt;=60,"بحرانی",IF(BH612&gt;=30,"مشکوک",IF(BH612&gt;0,"هشدار","عادی")))</f>
        <v>عادی</v>
      </c>
      <c r="BJ612" s="16" t="s">
        <v>338</v>
      </c>
    </row>
    <row r="613" customFormat="false" ht="15" hidden="false" customHeight="false" outlineLevel="0" collapsed="false">
      <c r="A613" s="16" t="s">
        <v>2261</v>
      </c>
      <c r="B613" s="16" t="s">
        <v>773</v>
      </c>
      <c r="C613" s="16"/>
      <c r="D613" s="16" t="s">
        <v>431</v>
      </c>
      <c r="E613" s="16" t="s">
        <v>332</v>
      </c>
      <c r="F613" s="16" t="s">
        <v>333</v>
      </c>
      <c r="G613" s="17" t="n">
        <v>46289.5335069444</v>
      </c>
      <c r="H613" s="17" t="n">
        <v>46289.7647569445</v>
      </c>
      <c r="I613" s="18" t="n">
        <f aca="false">IF(H613="",ROUND((تنظیمات!$B$7-G613)*1440,0),ROUND((H613-G613)*1440,0))</f>
        <v>333</v>
      </c>
      <c r="J613" s="16" t="s">
        <v>346</v>
      </c>
      <c r="K613" s="16" t="s">
        <v>410</v>
      </c>
      <c r="L613" s="19" t="n">
        <v>0.926</v>
      </c>
      <c r="M613" s="19" t="n">
        <v>0.988</v>
      </c>
      <c r="N613" s="16" t="s">
        <v>335</v>
      </c>
      <c r="O613" s="16" t="s">
        <v>419</v>
      </c>
      <c r="P613" s="16" t="s">
        <v>420</v>
      </c>
      <c r="Q613" s="20" t="n">
        <v>46289</v>
      </c>
      <c r="R613" s="16" t="s">
        <v>2262</v>
      </c>
      <c r="S613" s="16" t="s">
        <v>404</v>
      </c>
      <c r="T613" s="17"/>
      <c r="U613" s="21" t="n">
        <v>1</v>
      </c>
      <c r="V613" s="21" t="n">
        <v>1</v>
      </c>
      <c r="W613" s="22" t="n">
        <v>5.7</v>
      </c>
      <c r="X613" s="16" t="s">
        <v>335</v>
      </c>
      <c r="Y613" s="16" t="s">
        <v>338</v>
      </c>
      <c r="Z613" s="16" t="s">
        <v>405</v>
      </c>
      <c r="AA613" s="16"/>
      <c r="AB613" s="23"/>
      <c r="AC613" s="17"/>
      <c r="AD613" s="16" t="s">
        <v>481</v>
      </c>
      <c r="AE613" s="16" t="s">
        <v>2263</v>
      </c>
      <c r="AF613" s="16" t="str">
        <f aca="false">IF(COUNTIF(لیست_سفید!$A$2:$A$21,B613)&gt;0,"بله","خیر")</f>
        <v>خیر</v>
      </c>
      <c r="AG613" s="24" t="n">
        <f aca="false">IF(H613="","",IF(AD613="فیش مفقودی",تنظیمات!$B$6,(INT(I613/1440)*تنظیمات!$B$5+IF(MOD(I613,1440)&lt;=تنظیمات!$B$2,0,MIN(تنظیمات!$B$5,تنظیمات!$B$3+MAX(0,ROUNDUP((MOD(I613,1440)-60)/60,0))*تنظیمات!$B$4)))*INDEX(تعرفه!$B$2:$B$7,MATCH(AD613,تعرفه!$A$2:$A$7,0))))</f>
        <v>45000</v>
      </c>
      <c r="AH613" s="24" t="n">
        <v>45000</v>
      </c>
      <c r="AI613" s="24" t="n">
        <f aca="false">IF(AG613="","",AH613-AG613)</f>
        <v>0</v>
      </c>
      <c r="AJ613" s="21" t="n">
        <v>0</v>
      </c>
      <c r="AK613" s="21" t="n">
        <v>0</v>
      </c>
      <c r="AL613" s="16" t="s">
        <v>335</v>
      </c>
      <c r="AM613" s="16"/>
      <c r="AN613" s="16" t="s">
        <v>340</v>
      </c>
      <c r="AO613" s="16" t="s">
        <v>340</v>
      </c>
      <c r="AP613" s="16" t="s">
        <v>335</v>
      </c>
      <c r="AQ613" s="16"/>
      <c r="AR613" s="21" t="n">
        <f aca="false">IF(AND(T613&lt;&gt;"",H613&lt;&gt;""),IF(AND((T613-H613)*86400&gt;=0,(T613-H613)*86400&lt;تنظیمات!$B$13),1,0),0)</f>
        <v>0</v>
      </c>
      <c r="AS613" s="21" t="n">
        <f aca="false">IF(Z613="پوز",IF(OR(AB613="",COUNTIF(پوزها!$A$2:$A$5,AA613)=0),1,0),0)</f>
        <v>0</v>
      </c>
      <c r="AT613" s="21" t="n">
        <f aca="false">IF(AI613="",0,IF(AI613&gt;0,1,0))</f>
        <v>0</v>
      </c>
      <c r="AU613" s="21" t="n">
        <f aca="false">IF(AI613="",0,IF(AI613&lt;0,1,0))</f>
        <v>0</v>
      </c>
      <c r="AV613" s="21" t="n">
        <f aca="false">IF(U613&gt;V613,1,0)</f>
        <v>0</v>
      </c>
      <c r="AW613" s="21" t="n">
        <f aca="false">IF(OR(W613&gt;تنظیمات!$B$8,X613="بله"),1,0)</f>
        <v>0</v>
      </c>
      <c r="AX613" s="21" t="n">
        <f aca="false">IF(AND(N613="بله",L613&gt;تنظیمات!$B$9),1,0)</f>
        <v>0</v>
      </c>
      <c r="AY613" s="21" t="n">
        <f aca="false">IF(Y613="معکوس",1,0)</f>
        <v>0</v>
      </c>
      <c r="AZ613" s="21" t="n">
        <f aca="false">IF(ABS(AJ613)&gt;تنظیمات!$B$10,1,0)</f>
        <v>0</v>
      </c>
      <c r="BA613" s="21" t="n">
        <f aca="false">IF(AND(OR(AD613="رایگان/VIP",AD613="جانباز"),AF613="خیر"),1,0)</f>
        <v>0</v>
      </c>
      <c r="BB613" s="21" t="n">
        <f aca="false">IF(AE613="",0,IF(COUNTIF($AE$2:$AE$1001,AE613)&gt;1,1,0))</f>
        <v>0</v>
      </c>
      <c r="BC613" s="21" t="n">
        <f aca="false">IF(AND(H613="",I613&gt;تنظیمات!$B$12*60,AM613="خالی"),1,0)</f>
        <v>0</v>
      </c>
      <c r="BD613" s="21" t="n">
        <f aca="false">IF(AND(AP613="بله",I613&lt;تنظیمات!$B$14,AO613="خیر"),1,0)</f>
        <v>0</v>
      </c>
      <c r="BE613" s="21" t="n">
        <f aca="false">IF(AN613="خیر",1,0)</f>
        <v>0</v>
      </c>
      <c r="BF613" s="21" t="n">
        <f aca="false">IF(AND(AD613="فیش مفقودی",AQ613="بله",I613&gt;تنظیمات!$B$12*60),1,0)</f>
        <v>0</v>
      </c>
      <c r="BG613" s="21" t="n">
        <f aca="false">IF(AND(AK613&gt;تنظیمات!$B$11,AL613="بله"),1,0)</f>
        <v>0</v>
      </c>
      <c r="BH613" s="21" t="n">
        <f aca="false">MIN(100,AR613*تنظیمات!$B$21+AS613*تنظیمات!$B$22+AT613*تنظیمات!$B$23+AU613*تنظیمات!$B$24+AV613*تنظیمات!$B$25+AW613*تنظیمات!$B$26+AX613*تنظیمات!$B$27+AY613*تنظیمات!$B$28+AZ613*تنظیمات!$B$29+BA613*تنظیمات!$B$30+BB613*تنظیمات!$B$31+BC613*تنظیمات!$B$32+BD613*تنظیمات!$B$33+BE613*تنظیمات!$B$34+BF613*تنظیمات!$B$35+BG613*تنظیمات!$B$36)</f>
        <v>0</v>
      </c>
      <c r="BI613" s="16" t="str">
        <f aca="false">IF(BH613&gt;=60,"بحرانی",IF(BH613&gt;=30,"مشکوک",IF(BH613&gt;0,"هشدار","عادی")))</f>
        <v>عادی</v>
      </c>
      <c r="BJ613" s="16" t="s">
        <v>338</v>
      </c>
    </row>
    <row r="614" customFormat="false" ht="15" hidden="false" customHeight="false" outlineLevel="0" collapsed="false">
      <c r="A614" s="16" t="s">
        <v>2264</v>
      </c>
      <c r="B614" s="16" t="s">
        <v>535</v>
      </c>
      <c r="C614" s="16"/>
      <c r="D614" s="16" t="s">
        <v>350</v>
      </c>
      <c r="E614" s="16" t="s">
        <v>351</v>
      </c>
      <c r="F614" s="16" t="s">
        <v>333</v>
      </c>
      <c r="G614" s="17" t="n">
        <v>46289.5422569444</v>
      </c>
      <c r="H614" s="17" t="n">
        <v>46289.6846180556</v>
      </c>
      <c r="I614" s="18" t="n">
        <f aca="false">IF(H614="",ROUND((تنظیمات!$B$7-G614)*1440,0),ROUND((H614-G614)*1440,0))</f>
        <v>205</v>
      </c>
      <c r="J614" s="16" t="s">
        <v>334</v>
      </c>
      <c r="K614" s="16" t="s">
        <v>410</v>
      </c>
      <c r="L614" s="19" t="n">
        <v>0.891</v>
      </c>
      <c r="M614" s="19" t="n">
        <v>0.955</v>
      </c>
      <c r="N614" s="16" t="s">
        <v>335</v>
      </c>
      <c r="O614" s="16" t="s">
        <v>419</v>
      </c>
      <c r="P614" s="16" t="s">
        <v>420</v>
      </c>
      <c r="Q614" s="20" t="n">
        <v>46289</v>
      </c>
      <c r="R614" s="16" t="s">
        <v>2265</v>
      </c>
      <c r="S614" s="16" t="s">
        <v>404</v>
      </c>
      <c r="T614" s="17"/>
      <c r="U614" s="21" t="n">
        <v>1</v>
      </c>
      <c r="V614" s="21" t="n">
        <v>1</v>
      </c>
      <c r="W614" s="22" t="n">
        <v>5.1</v>
      </c>
      <c r="X614" s="16" t="s">
        <v>335</v>
      </c>
      <c r="Y614" s="16" t="s">
        <v>338</v>
      </c>
      <c r="Z614" s="16" t="s">
        <v>405</v>
      </c>
      <c r="AA614" s="16"/>
      <c r="AB614" s="23"/>
      <c r="AC614" s="17"/>
      <c r="AD614" s="16" t="s">
        <v>338</v>
      </c>
      <c r="AE614" s="16"/>
      <c r="AF614" s="16" t="str">
        <f aca="false">IF(COUNTIF(لیست_سفید!$A$2:$A$21,B614)&gt;0,"بله","خیر")</f>
        <v>خیر</v>
      </c>
      <c r="AG614" s="24" t="n">
        <f aca="false">IF(H614="","",IF(AD614="فیش مفقودی",تنظیمات!$B$6,(INT(I614/1440)*تنظیمات!$B$5+IF(MOD(I614,1440)&lt;=تنظیمات!$B$2,0,MIN(تنظیمات!$B$5,تنظیمات!$B$3+MAX(0,ROUNDUP((MOD(I614,1440)-60)/60,0))*تنظیمات!$B$4)))*INDEX(تعرفه!$B$2:$B$7,MATCH(AD614,تعرفه!$A$2:$A$7,0))))</f>
        <v>62000</v>
      </c>
      <c r="AH614" s="24" t="n">
        <v>62000</v>
      </c>
      <c r="AI614" s="24" t="n">
        <f aca="false">IF(AG614="","",AH614-AG614)</f>
        <v>0</v>
      </c>
      <c r="AJ614" s="21" t="n">
        <v>-1</v>
      </c>
      <c r="AK614" s="21" t="n">
        <v>0</v>
      </c>
      <c r="AL614" s="16" t="s">
        <v>335</v>
      </c>
      <c r="AM614" s="16"/>
      <c r="AN614" s="16" t="s">
        <v>340</v>
      </c>
      <c r="AO614" s="16" t="s">
        <v>340</v>
      </c>
      <c r="AP614" s="16" t="s">
        <v>335</v>
      </c>
      <c r="AQ614" s="16"/>
      <c r="AR614" s="21" t="n">
        <f aca="false">IF(AND(T614&lt;&gt;"",H614&lt;&gt;""),IF(AND((T614-H614)*86400&gt;=0,(T614-H614)*86400&lt;تنظیمات!$B$13),1,0),0)</f>
        <v>0</v>
      </c>
      <c r="AS614" s="21" t="n">
        <f aca="false">IF(Z614="پوز",IF(OR(AB614="",COUNTIF(پوزها!$A$2:$A$5,AA614)=0),1,0),0)</f>
        <v>0</v>
      </c>
      <c r="AT614" s="21" t="n">
        <f aca="false">IF(AI614="",0,IF(AI614&gt;0,1,0))</f>
        <v>0</v>
      </c>
      <c r="AU614" s="21" t="n">
        <f aca="false">IF(AI614="",0,IF(AI614&lt;0,1,0))</f>
        <v>0</v>
      </c>
      <c r="AV614" s="21" t="n">
        <f aca="false">IF(U614&gt;V614,1,0)</f>
        <v>0</v>
      </c>
      <c r="AW614" s="21" t="n">
        <f aca="false">IF(OR(W614&gt;تنظیمات!$B$8,X614="بله"),1,0)</f>
        <v>0</v>
      </c>
      <c r="AX614" s="21" t="n">
        <f aca="false">IF(AND(N614="بله",L614&gt;تنظیمات!$B$9),1,0)</f>
        <v>0</v>
      </c>
      <c r="AY614" s="21" t="n">
        <f aca="false">IF(Y614="معکوس",1,0)</f>
        <v>0</v>
      </c>
      <c r="AZ614" s="21" t="n">
        <f aca="false">IF(ABS(AJ614)&gt;تنظیمات!$B$10,1,0)</f>
        <v>0</v>
      </c>
      <c r="BA614" s="21" t="n">
        <f aca="false">IF(AND(OR(AD614="رایگان/VIP",AD614="جانباز"),AF614="خیر"),1,0)</f>
        <v>0</v>
      </c>
      <c r="BB614" s="21" t="n">
        <f aca="false">IF(AE614="",0,IF(COUNTIF($AE$2:$AE$1001,AE614)&gt;1,1,0))</f>
        <v>0</v>
      </c>
      <c r="BC614" s="21" t="n">
        <f aca="false">IF(AND(H614="",I614&gt;تنظیمات!$B$12*60,AM614="خالی"),1,0)</f>
        <v>0</v>
      </c>
      <c r="BD614" s="21" t="n">
        <f aca="false">IF(AND(AP614="بله",I614&lt;تنظیمات!$B$14,AO614="خیر"),1,0)</f>
        <v>0</v>
      </c>
      <c r="BE614" s="21" t="n">
        <f aca="false">IF(AN614="خیر",1,0)</f>
        <v>0</v>
      </c>
      <c r="BF614" s="21" t="n">
        <f aca="false">IF(AND(AD614="فیش مفقودی",AQ614="بله",I614&gt;تنظیمات!$B$12*60),1,0)</f>
        <v>0</v>
      </c>
      <c r="BG614" s="21" t="n">
        <f aca="false">IF(AND(AK614&gt;تنظیمات!$B$11,AL614="بله"),1,0)</f>
        <v>0</v>
      </c>
      <c r="BH614" s="21" t="n">
        <f aca="false">MIN(100,AR614*تنظیمات!$B$21+AS614*تنظیمات!$B$22+AT614*تنظیمات!$B$23+AU614*تنظیمات!$B$24+AV614*تنظیمات!$B$25+AW614*تنظیمات!$B$26+AX614*تنظیمات!$B$27+AY614*تنظیمات!$B$28+AZ614*تنظیمات!$B$29+BA614*تنظیمات!$B$30+BB614*تنظیمات!$B$31+BC614*تنظیمات!$B$32+BD614*تنظیمات!$B$33+BE614*تنظیمات!$B$34+BF614*تنظیمات!$B$35+BG614*تنظیمات!$B$36)</f>
        <v>0</v>
      </c>
      <c r="BI614" s="16" t="str">
        <f aca="false">IF(BH614&gt;=60,"بحرانی",IF(BH614&gt;=30,"مشکوک",IF(BH614&gt;0,"هشدار","عادی")))</f>
        <v>عادی</v>
      </c>
      <c r="BJ614" s="16" t="s">
        <v>338</v>
      </c>
    </row>
    <row r="615" customFormat="false" ht="15" hidden="false" customHeight="false" outlineLevel="0" collapsed="false">
      <c r="A615" s="16" t="s">
        <v>2266</v>
      </c>
      <c r="B615" s="16" t="s">
        <v>1821</v>
      </c>
      <c r="C615" s="16"/>
      <c r="D615" s="16" t="s">
        <v>418</v>
      </c>
      <c r="E615" s="16" t="s">
        <v>345</v>
      </c>
      <c r="F615" s="16" t="s">
        <v>333</v>
      </c>
      <c r="G615" s="17" t="n">
        <v>46289.5433333333</v>
      </c>
      <c r="H615" s="17" t="n">
        <v>46289.61625</v>
      </c>
      <c r="I615" s="18" t="n">
        <f aca="false">IF(H615="",ROUND((تنظیمات!$B$7-G615)*1440,0),ROUND((H615-G615)*1440,0))</f>
        <v>105</v>
      </c>
      <c r="J615" s="16" t="s">
        <v>334</v>
      </c>
      <c r="K615" s="16" t="s">
        <v>410</v>
      </c>
      <c r="L615" s="19" t="n">
        <v>0.96</v>
      </c>
      <c r="M615" s="19" t="n">
        <v>0.907</v>
      </c>
      <c r="N615" s="16" t="s">
        <v>335</v>
      </c>
      <c r="O615" s="16" t="s">
        <v>419</v>
      </c>
      <c r="P615" s="16" t="s">
        <v>420</v>
      </c>
      <c r="Q615" s="20" t="n">
        <v>46289</v>
      </c>
      <c r="R615" s="16" t="s">
        <v>2267</v>
      </c>
      <c r="S615" s="16" t="s">
        <v>404</v>
      </c>
      <c r="T615" s="17"/>
      <c r="U615" s="21" t="n">
        <v>1</v>
      </c>
      <c r="V615" s="21" t="n">
        <v>1</v>
      </c>
      <c r="W615" s="22" t="n">
        <v>5.4</v>
      </c>
      <c r="X615" s="16" t="s">
        <v>335</v>
      </c>
      <c r="Y615" s="16" t="s">
        <v>338</v>
      </c>
      <c r="Z615" s="16" t="s">
        <v>413</v>
      </c>
      <c r="AA615" s="16" t="s">
        <v>414</v>
      </c>
      <c r="AB615" s="23" t="s">
        <v>2268</v>
      </c>
      <c r="AC615" s="17" t="n">
        <v>46289.6160185185</v>
      </c>
      <c r="AD615" s="16" t="s">
        <v>338</v>
      </c>
      <c r="AE615" s="16"/>
      <c r="AF615" s="16" t="str">
        <f aca="false">IF(COUNTIF(لیست_سفید!$A$2:$A$21,B615)&gt;0,"بله","خیر")</f>
        <v>خیر</v>
      </c>
      <c r="AG615" s="24" t="n">
        <f aca="false">IF(H615="","",IF(AD615="فیش مفقودی",تنظیمات!$B$6,(INT(I615/1440)*تنظیمات!$B$5+IF(MOD(I615,1440)&lt;=تنظیمات!$B$2,0,MIN(تنظیمات!$B$5,تنظیمات!$B$3+MAX(0,ROUNDUP((MOD(I615,1440)-60)/60,0))*تنظیمات!$B$4)))*INDEX(تعرفه!$B$2:$B$7,MATCH(AD615,تعرفه!$A$2:$A$7,0))))</f>
        <v>34000</v>
      </c>
      <c r="AH615" s="24" t="n">
        <v>34000</v>
      </c>
      <c r="AI615" s="24" t="n">
        <f aca="false">IF(AG615="","",AH615-AG615)</f>
        <v>0</v>
      </c>
      <c r="AJ615" s="21" t="n">
        <v>0</v>
      </c>
      <c r="AK615" s="21" t="n">
        <v>0</v>
      </c>
      <c r="AL615" s="16" t="s">
        <v>335</v>
      </c>
      <c r="AM615" s="16"/>
      <c r="AN615" s="16" t="s">
        <v>340</v>
      </c>
      <c r="AO615" s="16" t="s">
        <v>340</v>
      </c>
      <c r="AP615" s="16" t="s">
        <v>335</v>
      </c>
      <c r="AQ615" s="16"/>
      <c r="AR615" s="21" t="n">
        <f aca="false">IF(AND(T615&lt;&gt;"",H615&lt;&gt;""),IF(AND((T615-H615)*86400&gt;=0,(T615-H615)*86400&lt;تنظیمات!$B$13),1,0),0)</f>
        <v>0</v>
      </c>
      <c r="AS615" s="21" t="n">
        <f aca="false">IF(Z615="پوز",IF(OR(AB615="",COUNTIF(پوزها!$A$2:$A$5,AA615)=0),1,0),0)</f>
        <v>0</v>
      </c>
      <c r="AT615" s="21" t="n">
        <f aca="false">IF(AI615="",0,IF(AI615&gt;0,1,0))</f>
        <v>0</v>
      </c>
      <c r="AU615" s="21" t="n">
        <f aca="false">IF(AI615="",0,IF(AI615&lt;0,1,0))</f>
        <v>0</v>
      </c>
      <c r="AV615" s="21" t="n">
        <f aca="false">IF(U615&gt;V615,1,0)</f>
        <v>0</v>
      </c>
      <c r="AW615" s="21" t="n">
        <f aca="false">IF(OR(W615&gt;تنظیمات!$B$8,X615="بله"),1,0)</f>
        <v>0</v>
      </c>
      <c r="AX615" s="21" t="n">
        <f aca="false">IF(AND(N615="بله",L615&gt;تنظیمات!$B$9),1,0)</f>
        <v>0</v>
      </c>
      <c r="AY615" s="21" t="n">
        <f aca="false">IF(Y615="معکوس",1,0)</f>
        <v>0</v>
      </c>
      <c r="AZ615" s="21" t="n">
        <f aca="false">IF(ABS(AJ615)&gt;تنظیمات!$B$10,1,0)</f>
        <v>0</v>
      </c>
      <c r="BA615" s="21" t="n">
        <f aca="false">IF(AND(OR(AD615="رایگان/VIP",AD615="جانباز"),AF615="خیر"),1,0)</f>
        <v>0</v>
      </c>
      <c r="BB615" s="21" t="n">
        <f aca="false">IF(AE615="",0,IF(COUNTIF($AE$2:$AE$1001,AE615)&gt;1,1,0))</f>
        <v>0</v>
      </c>
      <c r="BC615" s="21" t="n">
        <f aca="false">IF(AND(H615="",I615&gt;تنظیمات!$B$12*60,AM615="خالی"),1,0)</f>
        <v>0</v>
      </c>
      <c r="BD615" s="21" t="n">
        <f aca="false">IF(AND(AP615="بله",I615&lt;تنظیمات!$B$14,AO615="خیر"),1,0)</f>
        <v>0</v>
      </c>
      <c r="BE615" s="21" t="n">
        <f aca="false">IF(AN615="خیر",1,0)</f>
        <v>0</v>
      </c>
      <c r="BF615" s="21" t="n">
        <f aca="false">IF(AND(AD615="فیش مفقودی",AQ615="بله",I615&gt;تنظیمات!$B$12*60),1,0)</f>
        <v>0</v>
      </c>
      <c r="BG615" s="21" t="n">
        <f aca="false">IF(AND(AK615&gt;تنظیمات!$B$11,AL615="بله"),1,0)</f>
        <v>0</v>
      </c>
      <c r="BH615" s="21" t="n">
        <f aca="false">MIN(100,AR615*تنظیمات!$B$21+AS615*تنظیمات!$B$22+AT615*تنظیمات!$B$23+AU615*تنظیمات!$B$24+AV615*تنظیمات!$B$25+AW615*تنظیمات!$B$26+AX615*تنظیمات!$B$27+AY615*تنظیمات!$B$28+AZ615*تنظیمات!$B$29+BA615*تنظیمات!$B$30+BB615*تنظیمات!$B$31+BC615*تنظیمات!$B$32+BD615*تنظیمات!$B$33+BE615*تنظیمات!$B$34+BF615*تنظیمات!$B$35+BG615*تنظیمات!$B$36)</f>
        <v>0</v>
      </c>
      <c r="BI615" s="16" t="str">
        <f aca="false">IF(BH615&gt;=60,"بحرانی",IF(BH615&gt;=30,"مشکوک",IF(BH615&gt;0,"هشدار","عادی")))</f>
        <v>عادی</v>
      </c>
      <c r="BJ615" s="16" t="s">
        <v>338</v>
      </c>
    </row>
    <row r="616" customFormat="false" ht="15" hidden="false" customHeight="false" outlineLevel="0" collapsed="false">
      <c r="A616" s="16" t="s">
        <v>2269</v>
      </c>
      <c r="B616" s="16" t="s">
        <v>1287</v>
      </c>
      <c r="C616" s="16"/>
      <c r="D616" s="16" t="s">
        <v>370</v>
      </c>
      <c r="E616" s="16" t="s">
        <v>345</v>
      </c>
      <c r="F616" s="16" t="s">
        <v>333</v>
      </c>
      <c r="G616" s="17" t="n">
        <v>46289.5625115741</v>
      </c>
      <c r="H616" s="17" t="n">
        <v>46289.6118171296</v>
      </c>
      <c r="I616" s="18" t="n">
        <f aca="false">IF(H616="",ROUND((تنظیمات!$B$7-G616)*1440,0),ROUND((H616-G616)*1440,0))</f>
        <v>71</v>
      </c>
      <c r="J616" s="16" t="s">
        <v>334</v>
      </c>
      <c r="K616" s="16" t="s">
        <v>400</v>
      </c>
      <c r="L616" s="19" t="n">
        <v>0.898</v>
      </c>
      <c r="M616" s="19" t="n">
        <v>0.979</v>
      </c>
      <c r="N616" s="16" t="s">
        <v>335</v>
      </c>
      <c r="O616" s="16" t="s">
        <v>401</v>
      </c>
      <c r="P616" s="16" t="s">
        <v>420</v>
      </c>
      <c r="Q616" s="20" t="n">
        <v>46289</v>
      </c>
      <c r="R616" s="16" t="s">
        <v>2270</v>
      </c>
      <c r="S616" s="16" t="s">
        <v>404</v>
      </c>
      <c r="T616" s="17"/>
      <c r="U616" s="21" t="n">
        <v>1</v>
      </c>
      <c r="V616" s="21" t="n">
        <v>1</v>
      </c>
      <c r="W616" s="22" t="n">
        <v>3.9</v>
      </c>
      <c r="X616" s="16" t="s">
        <v>335</v>
      </c>
      <c r="Y616" s="16" t="s">
        <v>338</v>
      </c>
      <c r="Z616" s="16" t="s">
        <v>413</v>
      </c>
      <c r="AA616" s="16" t="s">
        <v>427</v>
      </c>
      <c r="AB616" s="23" t="s">
        <v>2271</v>
      </c>
      <c r="AC616" s="17" t="n">
        <v>46289.6113657407</v>
      </c>
      <c r="AD616" s="16" t="s">
        <v>338</v>
      </c>
      <c r="AE616" s="16"/>
      <c r="AF616" s="16" t="str">
        <f aca="false">IF(COUNTIF(لیست_سفید!$A$2:$A$21,B616)&gt;0,"بله","خیر")</f>
        <v>خیر</v>
      </c>
      <c r="AG616" s="24" t="n">
        <f aca="false">IF(H616="","",IF(AD616="فیش مفقودی",تنظیمات!$B$6,(INT(I616/1440)*تنظیمات!$B$5+IF(MOD(I616,1440)&lt;=تنظیمات!$B$2,0,MIN(تنظیمات!$B$5,تنظیمات!$B$3+MAX(0,ROUNDUP((MOD(I616,1440)-60)/60,0))*تنظیمات!$B$4)))*INDEX(تعرفه!$B$2:$B$7,MATCH(AD616,تعرفه!$A$2:$A$7,0))))</f>
        <v>34000</v>
      </c>
      <c r="AH616" s="24" t="n">
        <v>34000</v>
      </c>
      <c r="AI616" s="24" t="n">
        <f aca="false">IF(AG616="","",AH616-AG616)</f>
        <v>0</v>
      </c>
      <c r="AJ616" s="21" t="n">
        <v>0</v>
      </c>
      <c r="AK616" s="21" t="n">
        <v>0</v>
      </c>
      <c r="AL616" s="16" t="s">
        <v>335</v>
      </c>
      <c r="AM616" s="16"/>
      <c r="AN616" s="16" t="s">
        <v>340</v>
      </c>
      <c r="AO616" s="16" t="s">
        <v>340</v>
      </c>
      <c r="AP616" s="16" t="s">
        <v>335</v>
      </c>
      <c r="AQ616" s="16"/>
      <c r="AR616" s="21" t="n">
        <f aca="false">IF(AND(T616&lt;&gt;"",H616&lt;&gt;""),IF(AND((T616-H616)*86400&gt;=0,(T616-H616)*86400&lt;تنظیمات!$B$13),1,0),0)</f>
        <v>0</v>
      </c>
      <c r="AS616" s="21" t="n">
        <f aca="false">IF(Z616="پوز",IF(OR(AB616="",COUNTIF(پوزها!$A$2:$A$5,AA616)=0),1,0),0)</f>
        <v>0</v>
      </c>
      <c r="AT616" s="21" t="n">
        <f aca="false">IF(AI616="",0,IF(AI616&gt;0,1,0))</f>
        <v>0</v>
      </c>
      <c r="AU616" s="21" t="n">
        <f aca="false">IF(AI616="",0,IF(AI616&lt;0,1,0))</f>
        <v>0</v>
      </c>
      <c r="AV616" s="21" t="n">
        <f aca="false">IF(U616&gt;V616,1,0)</f>
        <v>0</v>
      </c>
      <c r="AW616" s="21" t="n">
        <f aca="false">IF(OR(W616&gt;تنظیمات!$B$8,X616="بله"),1,0)</f>
        <v>0</v>
      </c>
      <c r="AX616" s="21" t="n">
        <f aca="false">IF(AND(N616="بله",L616&gt;تنظیمات!$B$9),1,0)</f>
        <v>0</v>
      </c>
      <c r="AY616" s="21" t="n">
        <f aca="false">IF(Y616="معکوس",1,0)</f>
        <v>0</v>
      </c>
      <c r="AZ616" s="21" t="n">
        <f aca="false">IF(ABS(AJ616)&gt;تنظیمات!$B$10,1,0)</f>
        <v>0</v>
      </c>
      <c r="BA616" s="21" t="n">
        <f aca="false">IF(AND(OR(AD616="رایگان/VIP",AD616="جانباز"),AF616="خیر"),1,0)</f>
        <v>0</v>
      </c>
      <c r="BB616" s="21" t="n">
        <f aca="false">IF(AE616="",0,IF(COUNTIF($AE$2:$AE$1001,AE616)&gt;1,1,0))</f>
        <v>0</v>
      </c>
      <c r="BC616" s="21" t="n">
        <f aca="false">IF(AND(H616="",I616&gt;تنظیمات!$B$12*60,AM616="خالی"),1,0)</f>
        <v>0</v>
      </c>
      <c r="BD616" s="21" t="n">
        <f aca="false">IF(AND(AP616="بله",I616&lt;تنظیمات!$B$14,AO616="خیر"),1,0)</f>
        <v>0</v>
      </c>
      <c r="BE616" s="21" t="n">
        <f aca="false">IF(AN616="خیر",1,0)</f>
        <v>0</v>
      </c>
      <c r="BF616" s="21" t="n">
        <f aca="false">IF(AND(AD616="فیش مفقودی",AQ616="بله",I616&gt;تنظیمات!$B$12*60),1,0)</f>
        <v>0</v>
      </c>
      <c r="BG616" s="21" t="n">
        <f aca="false">IF(AND(AK616&gt;تنظیمات!$B$11,AL616="بله"),1,0)</f>
        <v>0</v>
      </c>
      <c r="BH616" s="21" t="n">
        <f aca="false">MIN(100,AR616*تنظیمات!$B$21+AS616*تنظیمات!$B$22+AT616*تنظیمات!$B$23+AU616*تنظیمات!$B$24+AV616*تنظیمات!$B$25+AW616*تنظیمات!$B$26+AX616*تنظیمات!$B$27+AY616*تنظیمات!$B$28+AZ616*تنظیمات!$B$29+BA616*تنظیمات!$B$30+BB616*تنظیمات!$B$31+BC616*تنظیمات!$B$32+BD616*تنظیمات!$B$33+BE616*تنظیمات!$B$34+BF616*تنظیمات!$B$35+BG616*تنظیمات!$B$36)</f>
        <v>0</v>
      </c>
      <c r="BI616" s="16" t="str">
        <f aca="false">IF(BH616&gt;=60,"بحرانی",IF(BH616&gt;=30,"مشکوک",IF(BH616&gt;0,"هشدار","عادی")))</f>
        <v>عادی</v>
      </c>
      <c r="BJ616" s="16" t="s">
        <v>338</v>
      </c>
    </row>
    <row r="617" customFormat="false" ht="15" hidden="false" customHeight="false" outlineLevel="0" collapsed="false">
      <c r="A617" s="16" t="s">
        <v>2272</v>
      </c>
      <c r="B617" s="16" t="s">
        <v>848</v>
      </c>
      <c r="C617" s="16"/>
      <c r="D617" s="16" t="s">
        <v>450</v>
      </c>
      <c r="E617" s="16" t="s">
        <v>390</v>
      </c>
      <c r="F617" s="16" t="s">
        <v>333</v>
      </c>
      <c r="G617" s="17" t="n">
        <v>46289.567962963</v>
      </c>
      <c r="H617" s="17" t="n">
        <v>46289.5783796296</v>
      </c>
      <c r="I617" s="18" t="n">
        <f aca="false">IF(H617="",ROUND((تنظیمات!$B$7-G617)*1440,0),ROUND((H617-G617)*1440,0))</f>
        <v>15</v>
      </c>
      <c r="J617" s="16" t="s">
        <v>346</v>
      </c>
      <c r="K617" s="16" t="s">
        <v>410</v>
      </c>
      <c r="L617" s="19" t="n">
        <v>0.919</v>
      </c>
      <c r="M617" s="19" t="n">
        <v>0.905</v>
      </c>
      <c r="N617" s="16" t="s">
        <v>335</v>
      </c>
      <c r="O617" s="16" t="s">
        <v>411</v>
      </c>
      <c r="P617" s="16" t="s">
        <v>402</v>
      </c>
      <c r="Q617" s="20" t="n">
        <v>46289</v>
      </c>
      <c r="R617" s="16" t="s">
        <v>2273</v>
      </c>
      <c r="S617" s="16" t="s">
        <v>404</v>
      </c>
      <c r="T617" s="17"/>
      <c r="U617" s="21" t="n">
        <v>1</v>
      </c>
      <c r="V617" s="21" t="n">
        <v>1</v>
      </c>
      <c r="W617" s="22" t="n">
        <v>5.1</v>
      </c>
      <c r="X617" s="16" t="s">
        <v>335</v>
      </c>
      <c r="Y617" s="16" t="s">
        <v>338</v>
      </c>
      <c r="Z617" s="16" t="s">
        <v>413</v>
      </c>
      <c r="AA617" s="16" t="s">
        <v>414</v>
      </c>
      <c r="AB617" s="23" t="s">
        <v>2274</v>
      </c>
      <c r="AC617" s="17" t="n">
        <v>46289.5774189815</v>
      </c>
      <c r="AD617" s="16" t="s">
        <v>338</v>
      </c>
      <c r="AE617" s="16"/>
      <c r="AF617" s="16" t="str">
        <f aca="false">IF(COUNTIF(لیست_سفید!$A$2:$A$21,B617)&gt;0,"بله","خیر")</f>
        <v>خیر</v>
      </c>
      <c r="AG617" s="24" t="n">
        <f aca="false">IF(H617="","",IF(AD617="فیش مفقودی",تنظیمات!$B$6,(INT(I617/1440)*تنظیمات!$B$5+IF(MOD(I617,1440)&lt;=تنظیمات!$B$2,0,MIN(تنظیمات!$B$5,تنظیمات!$B$3+MAX(0,ROUNDUP((MOD(I617,1440)-60)/60,0))*تنظیمات!$B$4)))*INDEX(تعرفه!$B$2:$B$7,MATCH(AD617,تعرفه!$A$2:$A$7,0))))</f>
        <v>20000</v>
      </c>
      <c r="AH617" s="24" t="n">
        <v>20000</v>
      </c>
      <c r="AI617" s="24" t="n">
        <f aca="false">IF(AG617="","",AH617-AG617)</f>
        <v>0</v>
      </c>
      <c r="AJ617" s="21" t="n">
        <v>-1</v>
      </c>
      <c r="AK617" s="21" t="n">
        <v>0</v>
      </c>
      <c r="AL617" s="16" t="s">
        <v>335</v>
      </c>
      <c r="AM617" s="16"/>
      <c r="AN617" s="16" t="s">
        <v>340</v>
      </c>
      <c r="AO617" s="16" t="s">
        <v>340</v>
      </c>
      <c r="AP617" s="16" t="s">
        <v>335</v>
      </c>
      <c r="AQ617" s="16"/>
      <c r="AR617" s="21" t="n">
        <f aca="false">IF(AND(T617&lt;&gt;"",H617&lt;&gt;""),IF(AND((T617-H617)*86400&gt;=0,(T617-H617)*86400&lt;تنظیمات!$B$13),1,0),0)</f>
        <v>0</v>
      </c>
      <c r="AS617" s="21" t="n">
        <f aca="false">IF(Z617="پوز",IF(OR(AB617="",COUNTIF(پوزها!$A$2:$A$5,AA617)=0),1,0),0)</f>
        <v>0</v>
      </c>
      <c r="AT617" s="21" t="n">
        <f aca="false">IF(AI617="",0,IF(AI617&gt;0,1,0))</f>
        <v>0</v>
      </c>
      <c r="AU617" s="21" t="n">
        <f aca="false">IF(AI617="",0,IF(AI617&lt;0,1,0))</f>
        <v>0</v>
      </c>
      <c r="AV617" s="21" t="n">
        <f aca="false">IF(U617&gt;V617,1,0)</f>
        <v>0</v>
      </c>
      <c r="AW617" s="21" t="n">
        <f aca="false">IF(OR(W617&gt;تنظیمات!$B$8,X617="بله"),1,0)</f>
        <v>0</v>
      </c>
      <c r="AX617" s="21" t="n">
        <f aca="false">IF(AND(N617="بله",L617&gt;تنظیمات!$B$9),1,0)</f>
        <v>0</v>
      </c>
      <c r="AY617" s="21" t="n">
        <f aca="false">IF(Y617="معکوس",1,0)</f>
        <v>0</v>
      </c>
      <c r="AZ617" s="21" t="n">
        <f aca="false">IF(ABS(AJ617)&gt;تنظیمات!$B$10,1,0)</f>
        <v>0</v>
      </c>
      <c r="BA617" s="21" t="n">
        <f aca="false">IF(AND(OR(AD617="رایگان/VIP",AD617="جانباز"),AF617="خیر"),1,0)</f>
        <v>0</v>
      </c>
      <c r="BB617" s="21" t="n">
        <f aca="false">IF(AE617="",0,IF(COUNTIF($AE$2:$AE$1001,AE617)&gt;1,1,0))</f>
        <v>0</v>
      </c>
      <c r="BC617" s="21" t="n">
        <f aca="false">IF(AND(H617="",I617&gt;تنظیمات!$B$12*60,AM617="خالی"),1,0)</f>
        <v>0</v>
      </c>
      <c r="BD617" s="21" t="n">
        <f aca="false">IF(AND(AP617="بله",I617&lt;تنظیمات!$B$14,AO617="خیر"),1,0)</f>
        <v>0</v>
      </c>
      <c r="BE617" s="21" t="n">
        <f aca="false">IF(AN617="خیر",1,0)</f>
        <v>0</v>
      </c>
      <c r="BF617" s="21" t="n">
        <f aca="false">IF(AND(AD617="فیش مفقودی",AQ617="بله",I617&gt;تنظیمات!$B$12*60),1,0)</f>
        <v>0</v>
      </c>
      <c r="BG617" s="21" t="n">
        <f aca="false">IF(AND(AK617&gt;تنظیمات!$B$11,AL617="بله"),1,0)</f>
        <v>0</v>
      </c>
      <c r="BH617" s="21" t="n">
        <f aca="false">MIN(100,AR617*تنظیمات!$B$21+AS617*تنظیمات!$B$22+AT617*تنظیمات!$B$23+AU617*تنظیمات!$B$24+AV617*تنظیمات!$B$25+AW617*تنظیمات!$B$26+AX617*تنظیمات!$B$27+AY617*تنظیمات!$B$28+AZ617*تنظیمات!$B$29+BA617*تنظیمات!$B$30+BB617*تنظیمات!$B$31+BC617*تنظیمات!$B$32+BD617*تنظیمات!$B$33+BE617*تنظیمات!$B$34+BF617*تنظیمات!$B$35+BG617*تنظیمات!$B$36)</f>
        <v>0</v>
      </c>
      <c r="BI617" s="16" t="str">
        <f aca="false">IF(BH617&gt;=60,"بحرانی",IF(BH617&gt;=30,"مشکوک",IF(BH617&gt;0,"هشدار","عادی")))</f>
        <v>عادی</v>
      </c>
      <c r="BJ617" s="16" t="s">
        <v>338</v>
      </c>
    </row>
    <row r="618" customFormat="false" ht="15" hidden="false" customHeight="false" outlineLevel="0" collapsed="false">
      <c r="A618" s="16" t="s">
        <v>2275</v>
      </c>
      <c r="B618" s="16" t="s">
        <v>734</v>
      </c>
      <c r="C618" s="16"/>
      <c r="D618" s="16" t="s">
        <v>374</v>
      </c>
      <c r="E618" s="16" t="s">
        <v>345</v>
      </c>
      <c r="F618" s="16" t="s">
        <v>359</v>
      </c>
      <c r="G618" s="17" t="n">
        <v>46289.5719791667</v>
      </c>
      <c r="H618" s="17" t="n">
        <v>46289.6761458333</v>
      </c>
      <c r="I618" s="18" t="n">
        <f aca="false">IF(H618="",ROUND((تنظیمات!$B$7-G618)*1440,0),ROUND((H618-G618)*1440,0))</f>
        <v>150</v>
      </c>
      <c r="J618" s="16" t="s">
        <v>346</v>
      </c>
      <c r="K618" s="16" t="s">
        <v>410</v>
      </c>
      <c r="L618" s="19" t="n">
        <v>0.961</v>
      </c>
      <c r="M618" s="19" t="n">
        <v>0.978</v>
      </c>
      <c r="N618" s="16" t="s">
        <v>335</v>
      </c>
      <c r="O618" s="16" t="s">
        <v>419</v>
      </c>
      <c r="P618" s="16" t="s">
        <v>420</v>
      </c>
      <c r="Q618" s="20" t="n">
        <v>46289</v>
      </c>
      <c r="R618" s="16" t="s">
        <v>2276</v>
      </c>
      <c r="S618" s="16" t="s">
        <v>404</v>
      </c>
      <c r="T618" s="17"/>
      <c r="U618" s="21" t="n">
        <v>1</v>
      </c>
      <c r="V618" s="21" t="n">
        <v>1</v>
      </c>
      <c r="W618" s="22" t="n">
        <v>4.9</v>
      </c>
      <c r="X618" s="16" t="s">
        <v>335</v>
      </c>
      <c r="Y618" s="16" t="s">
        <v>338</v>
      </c>
      <c r="Z618" s="16" t="s">
        <v>405</v>
      </c>
      <c r="AA618" s="16"/>
      <c r="AB618" s="23"/>
      <c r="AC618" s="17"/>
      <c r="AD618" s="16" t="s">
        <v>481</v>
      </c>
      <c r="AE618" s="16" t="s">
        <v>2277</v>
      </c>
      <c r="AF618" s="16" t="str">
        <f aca="false">IF(COUNTIF(لیست_سفید!$A$2:$A$21,B618)&gt;0,"بله","خیر")</f>
        <v>خیر</v>
      </c>
      <c r="AG618" s="24" t="n">
        <f aca="false">IF(H618="","",IF(AD618="فیش مفقودی",تنظیمات!$B$6,(INT(I618/1440)*تنظیمات!$B$5+IF(MOD(I618,1440)&lt;=تنظیمات!$B$2,0,MIN(تنظیمات!$B$5,تنظیمات!$B$3+MAX(0,ROUNDUP((MOD(I618,1440)-60)/60,0))*تنظیمات!$B$4)))*INDEX(تعرفه!$B$2:$B$7,MATCH(AD618,تعرفه!$A$2:$A$7,0))))</f>
        <v>24000</v>
      </c>
      <c r="AH618" s="24" t="n">
        <v>24000</v>
      </c>
      <c r="AI618" s="24" t="n">
        <f aca="false">IF(AG618="","",AH618-AG618)</f>
        <v>0</v>
      </c>
      <c r="AJ618" s="21" t="n">
        <v>4</v>
      </c>
      <c r="AK618" s="21" t="n">
        <v>0</v>
      </c>
      <c r="AL618" s="16" t="s">
        <v>335</v>
      </c>
      <c r="AM618" s="16"/>
      <c r="AN618" s="16" t="s">
        <v>340</v>
      </c>
      <c r="AO618" s="16" t="s">
        <v>340</v>
      </c>
      <c r="AP618" s="16" t="s">
        <v>335</v>
      </c>
      <c r="AQ618" s="16"/>
      <c r="AR618" s="21" t="n">
        <f aca="false">IF(AND(T618&lt;&gt;"",H618&lt;&gt;""),IF(AND((T618-H618)*86400&gt;=0,(T618-H618)*86400&lt;تنظیمات!$B$13),1,0),0)</f>
        <v>0</v>
      </c>
      <c r="AS618" s="21" t="n">
        <f aca="false">IF(Z618="پوز",IF(OR(AB618="",COUNTIF(پوزها!$A$2:$A$5,AA618)=0),1,0),0)</f>
        <v>0</v>
      </c>
      <c r="AT618" s="21" t="n">
        <f aca="false">IF(AI618="",0,IF(AI618&gt;0,1,0))</f>
        <v>0</v>
      </c>
      <c r="AU618" s="21" t="n">
        <f aca="false">IF(AI618="",0,IF(AI618&lt;0,1,0))</f>
        <v>0</v>
      </c>
      <c r="AV618" s="21" t="n">
        <f aca="false">IF(U618&gt;V618,1,0)</f>
        <v>0</v>
      </c>
      <c r="AW618" s="21" t="n">
        <f aca="false">IF(OR(W618&gt;تنظیمات!$B$8,X618="بله"),1,0)</f>
        <v>0</v>
      </c>
      <c r="AX618" s="21" t="n">
        <f aca="false">IF(AND(N618="بله",L618&gt;تنظیمات!$B$9),1,0)</f>
        <v>0</v>
      </c>
      <c r="AY618" s="21" t="n">
        <f aca="false">IF(Y618="معکوس",1,0)</f>
        <v>0</v>
      </c>
      <c r="AZ618" s="21" t="n">
        <f aca="false">IF(ABS(AJ618)&gt;تنظیمات!$B$10,1,0)</f>
        <v>0</v>
      </c>
      <c r="BA618" s="21" t="n">
        <f aca="false">IF(AND(OR(AD618="رایگان/VIP",AD618="جانباز"),AF618="خیر"),1,0)</f>
        <v>0</v>
      </c>
      <c r="BB618" s="21" t="n">
        <f aca="false">IF(AE618="",0,IF(COUNTIF($AE$2:$AE$1001,AE618)&gt;1,1,0))</f>
        <v>0</v>
      </c>
      <c r="BC618" s="21" t="n">
        <f aca="false">IF(AND(H618="",I618&gt;تنظیمات!$B$12*60,AM618="خالی"),1,0)</f>
        <v>0</v>
      </c>
      <c r="BD618" s="21" t="n">
        <f aca="false">IF(AND(AP618="بله",I618&lt;تنظیمات!$B$14,AO618="خیر"),1,0)</f>
        <v>0</v>
      </c>
      <c r="BE618" s="21" t="n">
        <f aca="false">IF(AN618="خیر",1,0)</f>
        <v>0</v>
      </c>
      <c r="BF618" s="21" t="n">
        <f aca="false">IF(AND(AD618="فیش مفقودی",AQ618="بله",I618&gt;تنظیمات!$B$12*60),1,0)</f>
        <v>0</v>
      </c>
      <c r="BG618" s="21" t="n">
        <f aca="false">IF(AND(AK618&gt;تنظیمات!$B$11,AL618="بله"),1,0)</f>
        <v>0</v>
      </c>
      <c r="BH618" s="21" t="n">
        <f aca="false">MIN(100,AR618*تنظیمات!$B$21+AS618*تنظیمات!$B$22+AT618*تنظیمات!$B$23+AU618*تنظیمات!$B$24+AV618*تنظیمات!$B$25+AW618*تنظیمات!$B$26+AX618*تنظیمات!$B$27+AY618*تنظیمات!$B$28+AZ618*تنظیمات!$B$29+BA618*تنظیمات!$B$30+BB618*تنظیمات!$B$31+BC618*تنظیمات!$B$32+BD618*تنظیمات!$B$33+BE618*تنظیمات!$B$34+BF618*تنظیمات!$B$35+BG618*تنظیمات!$B$36)</f>
        <v>0</v>
      </c>
      <c r="BI618" s="16" t="str">
        <f aca="false">IF(BH618&gt;=60,"بحرانی",IF(BH618&gt;=30,"مشکوک",IF(BH618&gt;0,"هشدار","عادی")))</f>
        <v>عادی</v>
      </c>
      <c r="BJ618" s="16" t="s">
        <v>338</v>
      </c>
    </row>
    <row r="619" customFormat="false" ht="15" hidden="false" customHeight="false" outlineLevel="0" collapsed="false">
      <c r="A619" s="16" t="s">
        <v>2278</v>
      </c>
      <c r="B619" s="16" t="s">
        <v>669</v>
      </c>
      <c r="C619" s="16"/>
      <c r="D619" s="16" t="s">
        <v>508</v>
      </c>
      <c r="E619" s="16" t="s">
        <v>390</v>
      </c>
      <c r="F619" s="16" t="s">
        <v>333</v>
      </c>
      <c r="G619" s="17" t="n">
        <v>46289.5802199074</v>
      </c>
      <c r="H619" s="17" t="n">
        <v>46289.8760532407</v>
      </c>
      <c r="I619" s="18" t="n">
        <f aca="false">IF(H619="",ROUND((تنظیمات!$B$7-G619)*1440,0),ROUND((H619-G619)*1440,0))</f>
        <v>426</v>
      </c>
      <c r="J619" s="16" t="s">
        <v>346</v>
      </c>
      <c r="K619" s="16" t="s">
        <v>410</v>
      </c>
      <c r="L619" s="19" t="n">
        <v>0.94</v>
      </c>
      <c r="M619" s="19" t="n">
        <v>0.967</v>
      </c>
      <c r="N619" s="16" t="s">
        <v>335</v>
      </c>
      <c r="O619" s="16" t="s">
        <v>419</v>
      </c>
      <c r="P619" s="16" t="s">
        <v>420</v>
      </c>
      <c r="Q619" s="20" t="n">
        <v>46289</v>
      </c>
      <c r="R619" s="16" t="s">
        <v>2279</v>
      </c>
      <c r="S619" s="16" t="s">
        <v>404</v>
      </c>
      <c r="T619" s="17"/>
      <c r="U619" s="21" t="n">
        <v>1</v>
      </c>
      <c r="V619" s="21" t="n">
        <v>1</v>
      </c>
      <c r="W619" s="22" t="n">
        <v>6.7</v>
      </c>
      <c r="X619" s="16" t="s">
        <v>335</v>
      </c>
      <c r="Y619" s="16" t="s">
        <v>338</v>
      </c>
      <c r="Z619" s="16" t="s">
        <v>413</v>
      </c>
      <c r="AA619" s="16" t="s">
        <v>414</v>
      </c>
      <c r="AB619" s="23" t="s">
        <v>2280</v>
      </c>
      <c r="AC619" s="17" t="n">
        <v>46289.8756712963</v>
      </c>
      <c r="AD619" s="16" t="s">
        <v>481</v>
      </c>
      <c r="AE619" s="16" t="s">
        <v>2281</v>
      </c>
      <c r="AF619" s="16" t="str">
        <f aca="false">IF(COUNTIF(لیست_سفید!$A$2:$A$21,B619)&gt;0,"بله","خیر")</f>
        <v>خیر</v>
      </c>
      <c r="AG619" s="24" t="n">
        <f aca="false">IF(H619="","",IF(AD619="فیش مفقودی",تنظیمات!$B$6,(INT(I619/1440)*تنظیمات!$B$5+IF(MOD(I619,1440)&lt;=تنظیمات!$B$2,0,MIN(تنظیمات!$B$5,تنظیمات!$B$3+MAX(0,ROUNDUP((MOD(I619,1440)-60)/60,0))*تنظیمات!$B$4)))*INDEX(تعرفه!$B$2:$B$7,MATCH(AD619,تعرفه!$A$2:$A$7,0))))</f>
        <v>59000</v>
      </c>
      <c r="AH619" s="24" t="n">
        <v>59000</v>
      </c>
      <c r="AI619" s="24" t="n">
        <f aca="false">IF(AG619="","",AH619-AG619)</f>
        <v>0</v>
      </c>
      <c r="AJ619" s="21" t="n">
        <v>0</v>
      </c>
      <c r="AK619" s="21" t="n">
        <v>0</v>
      </c>
      <c r="AL619" s="16" t="s">
        <v>335</v>
      </c>
      <c r="AM619" s="16"/>
      <c r="AN619" s="16" t="s">
        <v>340</v>
      </c>
      <c r="AO619" s="16" t="s">
        <v>340</v>
      </c>
      <c r="AP619" s="16" t="s">
        <v>335</v>
      </c>
      <c r="AQ619" s="16"/>
      <c r="AR619" s="21" t="n">
        <f aca="false">IF(AND(T619&lt;&gt;"",H619&lt;&gt;""),IF(AND((T619-H619)*86400&gt;=0,(T619-H619)*86400&lt;تنظیمات!$B$13),1,0),0)</f>
        <v>0</v>
      </c>
      <c r="AS619" s="21" t="n">
        <f aca="false">IF(Z619="پوز",IF(OR(AB619="",COUNTIF(پوزها!$A$2:$A$5,AA619)=0),1,0),0)</f>
        <v>0</v>
      </c>
      <c r="AT619" s="21" t="n">
        <f aca="false">IF(AI619="",0,IF(AI619&gt;0,1,0))</f>
        <v>0</v>
      </c>
      <c r="AU619" s="21" t="n">
        <f aca="false">IF(AI619="",0,IF(AI619&lt;0,1,0))</f>
        <v>0</v>
      </c>
      <c r="AV619" s="21" t="n">
        <f aca="false">IF(U619&gt;V619,1,0)</f>
        <v>0</v>
      </c>
      <c r="AW619" s="21" t="n">
        <f aca="false">IF(OR(W619&gt;تنظیمات!$B$8,X619="بله"),1,0)</f>
        <v>0</v>
      </c>
      <c r="AX619" s="21" t="n">
        <f aca="false">IF(AND(N619="بله",L619&gt;تنظیمات!$B$9),1,0)</f>
        <v>0</v>
      </c>
      <c r="AY619" s="21" t="n">
        <f aca="false">IF(Y619="معکوس",1,0)</f>
        <v>0</v>
      </c>
      <c r="AZ619" s="21" t="n">
        <f aca="false">IF(ABS(AJ619)&gt;تنظیمات!$B$10,1,0)</f>
        <v>0</v>
      </c>
      <c r="BA619" s="21" t="n">
        <f aca="false">IF(AND(OR(AD619="رایگان/VIP",AD619="جانباز"),AF619="خیر"),1,0)</f>
        <v>0</v>
      </c>
      <c r="BB619" s="21" t="n">
        <f aca="false">IF(AE619="",0,IF(COUNTIF($AE$2:$AE$1001,AE619)&gt;1,1,0))</f>
        <v>0</v>
      </c>
      <c r="BC619" s="21" t="n">
        <f aca="false">IF(AND(H619="",I619&gt;تنظیمات!$B$12*60,AM619="خالی"),1,0)</f>
        <v>0</v>
      </c>
      <c r="BD619" s="21" t="n">
        <f aca="false">IF(AND(AP619="بله",I619&lt;تنظیمات!$B$14,AO619="خیر"),1,0)</f>
        <v>0</v>
      </c>
      <c r="BE619" s="21" t="n">
        <f aca="false">IF(AN619="خیر",1,0)</f>
        <v>0</v>
      </c>
      <c r="BF619" s="21" t="n">
        <f aca="false">IF(AND(AD619="فیش مفقودی",AQ619="بله",I619&gt;تنظیمات!$B$12*60),1,0)</f>
        <v>0</v>
      </c>
      <c r="BG619" s="21" t="n">
        <f aca="false">IF(AND(AK619&gt;تنظیمات!$B$11,AL619="بله"),1,0)</f>
        <v>0</v>
      </c>
      <c r="BH619" s="21" t="n">
        <f aca="false">MIN(100,AR619*تنظیمات!$B$21+AS619*تنظیمات!$B$22+AT619*تنظیمات!$B$23+AU619*تنظیمات!$B$24+AV619*تنظیمات!$B$25+AW619*تنظیمات!$B$26+AX619*تنظیمات!$B$27+AY619*تنظیمات!$B$28+AZ619*تنظیمات!$B$29+BA619*تنظیمات!$B$30+BB619*تنظیمات!$B$31+BC619*تنظیمات!$B$32+BD619*تنظیمات!$B$33+BE619*تنظیمات!$B$34+BF619*تنظیمات!$B$35+BG619*تنظیمات!$B$36)</f>
        <v>0</v>
      </c>
      <c r="BI619" s="16" t="str">
        <f aca="false">IF(BH619&gt;=60,"بحرانی",IF(BH619&gt;=30,"مشکوک",IF(BH619&gt;0,"هشدار","عادی")))</f>
        <v>عادی</v>
      </c>
      <c r="BJ619" s="16" t="s">
        <v>338</v>
      </c>
    </row>
    <row r="620" customFormat="false" ht="15" hidden="false" customHeight="false" outlineLevel="0" collapsed="false">
      <c r="A620" s="16" t="s">
        <v>2282</v>
      </c>
      <c r="B620" s="16" t="s">
        <v>2283</v>
      </c>
      <c r="C620" s="16"/>
      <c r="D620" s="16" t="s">
        <v>382</v>
      </c>
      <c r="E620" s="16" t="s">
        <v>351</v>
      </c>
      <c r="F620" s="16" t="s">
        <v>333</v>
      </c>
      <c r="G620" s="17" t="n">
        <v>46289.5973263889</v>
      </c>
      <c r="H620" s="17" t="n">
        <v>46289.6445486111</v>
      </c>
      <c r="I620" s="18" t="n">
        <f aca="false">IF(H620="",ROUND((تنظیمات!$B$7-G620)*1440,0),ROUND((H620-G620)*1440,0))</f>
        <v>68</v>
      </c>
      <c r="J620" s="16" t="s">
        <v>346</v>
      </c>
      <c r="K620" s="16" t="s">
        <v>400</v>
      </c>
      <c r="L620" s="19" t="n">
        <v>0.995</v>
      </c>
      <c r="M620" s="19" t="n">
        <v>0.983</v>
      </c>
      <c r="N620" s="16" t="s">
        <v>335</v>
      </c>
      <c r="O620" s="16" t="s">
        <v>401</v>
      </c>
      <c r="P620" s="16" t="s">
        <v>420</v>
      </c>
      <c r="Q620" s="20" t="n">
        <v>46289</v>
      </c>
      <c r="R620" s="16" t="s">
        <v>2284</v>
      </c>
      <c r="S620" s="16" t="s">
        <v>404</v>
      </c>
      <c r="T620" s="17"/>
      <c r="U620" s="21" t="n">
        <v>1</v>
      </c>
      <c r="V620" s="21" t="n">
        <v>1</v>
      </c>
      <c r="W620" s="22" t="n">
        <v>6.7</v>
      </c>
      <c r="X620" s="16" t="s">
        <v>335</v>
      </c>
      <c r="Y620" s="16" t="s">
        <v>338</v>
      </c>
      <c r="Z620" s="16" t="s">
        <v>405</v>
      </c>
      <c r="AA620" s="16"/>
      <c r="AB620" s="23"/>
      <c r="AC620" s="17"/>
      <c r="AD620" s="16" t="s">
        <v>338</v>
      </c>
      <c r="AE620" s="16"/>
      <c r="AF620" s="16" t="str">
        <f aca="false">IF(COUNTIF(لیست_سفید!$A$2:$A$21,B620)&gt;0,"بله","خیر")</f>
        <v>خیر</v>
      </c>
      <c r="AG620" s="24" t="n">
        <f aca="false">IF(H620="","",IF(AD620="فیش مفقودی",تنظیمات!$B$6,(INT(I620/1440)*تنظیمات!$B$5+IF(MOD(I620,1440)&lt;=تنظیمات!$B$2,0,MIN(تنظیمات!$B$5,تنظیمات!$B$3+MAX(0,ROUNDUP((MOD(I620,1440)-60)/60,0))*تنظیمات!$B$4)))*INDEX(تعرفه!$B$2:$B$7,MATCH(AD620,تعرفه!$A$2:$A$7,0))))</f>
        <v>34000</v>
      </c>
      <c r="AH620" s="24" t="n">
        <v>11000</v>
      </c>
      <c r="AI620" s="24" t="n">
        <f aca="false">IF(AG620="","",AH620-AG620)</f>
        <v>-23000</v>
      </c>
      <c r="AJ620" s="21" t="n">
        <v>0</v>
      </c>
      <c r="AK620" s="21" t="n">
        <v>0</v>
      </c>
      <c r="AL620" s="16" t="s">
        <v>335</v>
      </c>
      <c r="AM620" s="16"/>
      <c r="AN620" s="16" t="s">
        <v>340</v>
      </c>
      <c r="AO620" s="16" t="s">
        <v>340</v>
      </c>
      <c r="AP620" s="16" t="s">
        <v>335</v>
      </c>
      <c r="AQ620" s="16"/>
      <c r="AR620" s="21" t="n">
        <f aca="false">IF(AND(T620&lt;&gt;"",H620&lt;&gt;""),IF(AND((T620-H620)*86400&gt;=0,(T620-H620)*86400&lt;تنظیمات!$B$13),1,0),0)</f>
        <v>0</v>
      </c>
      <c r="AS620" s="21" t="n">
        <f aca="false">IF(Z620="پوز",IF(OR(AB620="",COUNTIF(پوزها!$A$2:$A$5,AA620)=0),1,0),0)</f>
        <v>0</v>
      </c>
      <c r="AT620" s="21" t="n">
        <f aca="false">IF(AI620="",0,IF(AI620&gt;0,1,0))</f>
        <v>0</v>
      </c>
      <c r="AU620" s="21" t="n">
        <f aca="false">IF(AI620="",0,IF(AI620&lt;0,1,0))</f>
        <v>1</v>
      </c>
      <c r="AV620" s="21" t="n">
        <f aca="false">IF(U620&gt;V620,1,0)</f>
        <v>0</v>
      </c>
      <c r="AW620" s="21" t="n">
        <f aca="false">IF(OR(W620&gt;تنظیمات!$B$8,X620="بله"),1,0)</f>
        <v>0</v>
      </c>
      <c r="AX620" s="21" t="n">
        <f aca="false">IF(AND(N620="بله",L620&gt;تنظیمات!$B$9),1,0)</f>
        <v>0</v>
      </c>
      <c r="AY620" s="21" t="n">
        <f aca="false">IF(Y620="معکوس",1,0)</f>
        <v>0</v>
      </c>
      <c r="AZ620" s="21" t="n">
        <f aca="false">IF(ABS(AJ620)&gt;تنظیمات!$B$10,1,0)</f>
        <v>0</v>
      </c>
      <c r="BA620" s="21" t="n">
        <f aca="false">IF(AND(OR(AD620="رایگان/VIP",AD620="جانباز"),AF620="خیر"),1,0)</f>
        <v>0</v>
      </c>
      <c r="BB620" s="21" t="n">
        <f aca="false">IF(AE620="",0,IF(COUNTIF($AE$2:$AE$1001,AE620)&gt;1,1,0))</f>
        <v>0</v>
      </c>
      <c r="BC620" s="21" t="n">
        <f aca="false">IF(AND(H620="",I620&gt;تنظیمات!$B$12*60,AM620="خالی"),1,0)</f>
        <v>0</v>
      </c>
      <c r="BD620" s="21" t="n">
        <f aca="false">IF(AND(AP620="بله",I620&lt;تنظیمات!$B$14,AO620="خیر"),1,0)</f>
        <v>0</v>
      </c>
      <c r="BE620" s="21" t="n">
        <f aca="false">IF(AN620="خیر",1,0)</f>
        <v>0</v>
      </c>
      <c r="BF620" s="21" t="n">
        <f aca="false">IF(AND(AD620="فیش مفقودی",AQ620="بله",I620&gt;تنظیمات!$B$12*60),1,0)</f>
        <v>0</v>
      </c>
      <c r="BG620" s="21" t="n">
        <f aca="false">IF(AND(AK620&gt;تنظیمات!$B$11,AL620="بله"),1,0)</f>
        <v>0</v>
      </c>
      <c r="BH620" s="21" t="n">
        <f aca="false">MIN(100,AR620*تنظیمات!$B$21+AS620*تنظیمات!$B$22+AT620*تنظیمات!$B$23+AU620*تنظیمات!$B$24+AV620*تنظیمات!$B$25+AW620*تنظیمات!$B$26+AX620*تنظیمات!$B$27+AY620*تنظیمات!$B$28+AZ620*تنظیمات!$B$29+BA620*تنظیمات!$B$30+BB620*تنظیمات!$B$31+BC620*تنظیمات!$B$32+BD620*تنظیمات!$B$33+BE620*تنظیمات!$B$34+BF620*تنظیمات!$B$35+BG620*تنظیمات!$B$36)</f>
        <v>25</v>
      </c>
      <c r="BI620" s="16" t="str">
        <f aca="false">IF(BH620&gt;=60,"بحرانی",IF(BH620&gt;=30,"مشکوک",IF(BH620&gt;0,"هشدار","عادی")))</f>
        <v>هشدار</v>
      </c>
      <c r="BJ620" s="16" t="s">
        <v>610</v>
      </c>
    </row>
    <row r="621" customFormat="false" ht="15" hidden="false" customHeight="false" outlineLevel="0" collapsed="false">
      <c r="A621" s="16" t="s">
        <v>2285</v>
      </c>
      <c r="B621" s="16" t="s">
        <v>686</v>
      </c>
      <c r="C621" s="16"/>
      <c r="D621" s="16" t="s">
        <v>531</v>
      </c>
      <c r="E621" s="16" t="s">
        <v>332</v>
      </c>
      <c r="F621" s="16" t="s">
        <v>333</v>
      </c>
      <c r="G621" s="17" t="n">
        <v>46289.6056134259</v>
      </c>
      <c r="H621" s="17" t="n">
        <v>46289.6076967593</v>
      </c>
      <c r="I621" s="18" t="n">
        <f aca="false">IF(H621="",ROUND((تنظیمات!$B$7-G621)*1440,0),ROUND((H621-G621)*1440,0))</f>
        <v>3</v>
      </c>
      <c r="J621" s="16" t="s">
        <v>346</v>
      </c>
      <c r="K621" s="16" t="s">
        <v>400</v>
      </c>
      <c r="L621" s="19" t="n">
        <v>0.963</v>
      </c>
      <c r="M621" s="19" t="n">
        <v>0.902</v>
      </c>
      <c r="N621" s="16" t="s">
        <v>335</v>
      </c>
      <c r="O621" s="16" t="s">
        <v>401</v>
      </c>
      <c r="P621" s="16" t="s">
        <v>420</v>
      </c>
      <c r="Q621" s="20" t="n">
        <v>46289</v>
      </c>
      <c r="R621" s="16" t="s">
        <v>2286</v>
      </c>
      <c r="S621" s="16" t="s">
        <v>404</v>
      </c>
      <c r="T621" s="17"/>
      <c r="U621" s="21" t="n">
        <v>1</v>
      </c>
      <c r="V621" s="21" t="n">
        <v>1</v>
      </c>
      <c r="W621" s="22" t="n">
        <v>6</v>
      </c>
      <c r="X621" s="16" t="s">
        <v>335</v>
      </c>
      <c r="Y621" s="16" t="s">
        <v>338</v>
      </c>
      <c r="Z621" s="16" t="s">
        <v>628</v>
      </c>
      <c r="AA621" s="16"/>
      <c r="AB621" s="23"/>
      <c r="AC621" s="17"/>
      <c r="AD621" s="16" t="s">
        <v>338</v>
      </c>
      <c r="AE621" s="16"/>
      <c r="AF621" s="16" t="str">
        <f aca="false">IF(COUNTIF(لیست_سفید!$A$2:$A$21,B621)&gt;0,"بله","خیر")</f>
        <v>خیر</v>
      </c>
      <c r="AG621" s="24" t="n">
        <f aca="false">IF(H621="","",IF(AD621="فیش مفقودی",تنظیمات!$B$6,(INT(I621/1440)*تنظیمات!$B$5+IF(MOD(I621,1440)&lt;=تنظیمات!$B$2,0,MIN(تنظیمات!$B$5,تنظیمات!$B$3+MAX(0,ROUNDUP((MOD(I621,1440)-60)/60,0))*تنظیمات!$B$4)))*INDEX(تعرفه!$B$2:$B$7,MATCH(AD621,تعرفه!$A$2:$A$7,0))))</f>
        <v>0</v>
      </c>
      <c r="AH621" s="24" t="n">
        <v>0</v>
      </c>
      <c r="AI621" s="24" t="n">
        <f aca="false">IF(AG621="","",AH621-AG621)</f>
        <v>0</v>
      </c>
      <c r="AJ621" s="21" t="n">
        <v>-2</v>
      </c>
      <c r="AK621" s="21" t="n">
        <v>0</v>
      </c>
      <c r="AL621" s="16" t="s">
        <v>335</v>
      </c>
      <c r="AM621" s="16"/>
      <c r="AN621" s="16" t="s">
        <v>340</v>
      </c>
      <c r="AO621" s="16" t="s">
        <v>340</v>
      </c>
      <c r="AP621" s="16" t="s">
        <v>335</v>
      </c>
      <c r="AQ621" s="16"/>
      <c r="AR621" s="21" t="n">
        <f aca="false">IF(AND(T621&lt;&gt;"",H621&lt;&gt;""),IF(AND((T621-H621)*86400&gt;=0,(T621-H621)*86400&lt;تنظیمات!$B$13),1,0),0)</f>
        <v>0</v>
      </c>
      <c r="AS621" s="21" t="n">
        <f aca="false">IF(Z621="پوز",IF(OR(AB621="",COUNTIF(پوزها!$A$2:$A$5,AA621)=0),1,0),0)</f>
        <v>0</v>
      </c>
      <c r="AT621" s="21" t="n">
        <f aca="false">IF(AI621="",0,IF(AI621&gt;0,1,0))</f>
        <v>0</v>
      </c>
      <c r="AU621" s="21" t="n">
        <f aca="false">IF(AI621="",0,IF(AI621&lt;0,1,0))</f>
        <v>0</v>
      </c>
      <c r="AV621" s="21" t="n">
        <f aca="false">IF(U621&gt;V621,1,0)</f>
        <v>0</v>
      </c>
      <c r="AW621" s="21" t="n">
        <f aca="false">IF(OR(W621&gt;تنظیمات!$B$8,X621="بله"),1,0)</f>
        <v>0</v>
      </c>
      <c r="AX621" s="21" t="n">
        <f aca="false">IF(AND(N621="بله",L621&gt;تنظیمات!$B$9),1,0)</f>
        <v>0</v>
      </c>
      <c r="AY621" s="21" t="n">
        <f aca="false">IF(Y621="معکوس",1,0)</f>
        <v>0</v>
      </c>
      <c r="AZ621" s="21" t="n">
        <f aca="false">IF(ABS(AJ621)&gt;تنظیمات!$B$10,1,0)</f>
        <v>0</v>
      </c>
      <c r="BA621" s="21" t="n">
        <f aca="false">IF(AND(OR(AD621="رایگان/VIP",AD621="جانباز"),AF621="خیر"),1,0)</f>
        <v>0</v>
      </c>
      <c r="BB621" s="21" t="n">
        <f aca="false">IF(AE621="",0,IF(COUNTIF($AE$2:$AE$1001,AE621)&gt;1,1,0))</f>
        <v>0</v>
      </c>
      <c r="BC621" s="21" t="n">
        <f aca="false">IF(AND(H621="",I621&gt;تنظیمات!$B$12*60,AM621="خالی"),1,0)</f>
        <v>0</v>
      </c>
      <c r="BD621" s="21" t="n">
        <f aca="false">IF(AND(AP621="بله",I621&lt;تنظیمات!$B$14,AO621="خیر"),1,0)</f>
        <v>0</v>
      </c>
      <c r="BE621" s="21" t="n">
        <f aca="false">IF(AN621="خیر",1,0)</f>
        <v>0</v>
      </c>
      <c r="BF621" s="21" t="n">
        <f aca="false">IF(AND(AD621="فیش مفقودی",AQ621="بله",I621&gt;تنظیمات!$B$12*60),1,0)</f>
        <v>0</v>
      </c>
      <c r="BG621" s="21" t="n">
        <f aca="false">IF(AND(AK621&gt;تنظیمات!$B$11,AL621="بله"),1,0)</f>
        <v>0</v>
      </c>
      <c r="BH621" s="21" t="n">
        <f aca="false">MIN(100,AR621*تنظیمات!$B$21+AS621*تنظیمات!$B$22+AT621*تنظیمات!$B$23+AU621*تنظیمات!$B$24+AV621*تنظیمات!$B$25+AW621*تنظیمات!$B$26+AX621*تنظیمات!$B$27+AY621*تنظیمات!$B$28+AZ621*تنظیمات!$B$29+BA621*تنظیمات!$B$30+BB621*تنظیمات!$B$31+BC621*تنظیمات!$B$32+BD621*تنظیمات!$B$33+BE621*تنظیمات!$B$34+BF621*تنظیمات!$B$35+BG621*تنظیمات!$B$36)</f>
        <v>0</v>
      </c>
      <c r="BI621" s="16" t="str">
        <f aca="false">IF(BH621&gt;=60,"بحرانی",IF(BH621&gt;=30,"مشکوک",IF(BH621&gt;0,"هشدار","عادی")))</f>
        <v>عادی</v>
      </c>
      <c r="BJ621" s="16" t="s">
        <v>629</v>
      </c>
    </row>
    <row r="622" customFormat="false" ht="15" hidden="false" customHeight="false" outlineLevel="0" collapsed="false">
      <c r="A622" s="16" t="s">
        <v>2287</v>
      </c>
      <c r="B622" s="16" t="s">
        <v>2288</v>
      </c>
      <c r="C622" s="16"/>
      <c r="D622" s="16" t="s">
        <v>508</v>
      </c>
      <c r="E622" s="16" t="s">
        <v>345</v>
      </c>
      <c r="F622" s="16" t="s">
        <v>333</v>
      </c>
      <c r="G622" s="17" t="n">
        <v>46289.6103125</v>
      </c>
      <c r="H622" s="17" t="n">
        <v>46289.7248958333</v>
      </c>
      <c r="I622" s="18" t="n">
        <f aca="false">IF(H622="",ROUND((تنظیمات!$B$7-G622)*1440,0),ROUND((H622-G622)*1440,0))</f>
        <v>165</v>
      </c>
      <c r="J622" s="16" t="s">
        <v>346</v>
      </c>
      <c r="K622" s="16" t="s">
        <v>400</v>
      </c>
      <c r="L622" s="19" t="n">
        <v>0.967</v>
      </c>
      <c r="M622" s="19" t="n">
        <v>0.905</v>
      </c>
      <c r="N622" s="16" t="s">
        <v>335</v>
      </c>
      <c r="O622" s="16" t="s">
        <v>401</v>
      </c>
      <c r="P622" s="16" t="s">
        <v>420</v>
      </c>
      <c r="Q622" s="20" t="n">
        <v>46289</v>
      </c>
      <c r="R622" s="16" t="s">
        <v>2289</v>
      </c>
      <c r="S622" s="16" t="s">
        <v>404</v>
      </c>
      <c r="T622" s="17"/>
      <c r="U622" s="21" t="n">
        <v>1</v>
      </c>
      <c r="V622" s="21" t="n">
        <v>1</v>
      </c>
      <c r="W622" s="22" t="n">
        <v>5.6</v>
      </c>
      <c r="X622" s="16" t="s">
        <v>335</v>
      </c>
      <c r="Y622" s="16" t="s">
        <v>338</v>
      </c>
      <c r="Z622" s="16" t="s">
        <v>405</v>
      </c>
      <c r="AA622" s="16"/>
      <c r="AB622" s="23"/>
      <c r="AC622" s="17"/>
      <c r="AD622" s="16" t="s">
        <v>338</v>
      </c>
      <c r="AE622" s="16"/>
      <c r="AF622" s="16" t="str">
        <f aca="false">IF(COUNTIF(لیست_سفید!$A$2:$A$21,B622)&gt;0,"بله","خیر")</f>
        <v>خیر</v>
      </c>
      <c r="AG622" s="24" t="n">
        <f aca="false">IF(H622="","",IF(AD622="فیش مفقودی",تنظیمات!$B$6,(INT(I622/1440)*تنظیمات!$B$5+IF(MOD(I622,1440)&lt;=تنظیمات!$B$2,0,MIN(تنظیمات!$B$5,تنظیمات!$B$3+MAX(0,ROUNDUP((MOD(I622,1440)-60)/60,0))*تنظیمات!$B$4)))*INDEX(تعرفه!$B$2:$B$7,MATCH(AD622,تعرفه!$A$2:$A$7,0))))</f>
        <v>48000</v>
      </c>
      <c r="AH622" s="24" t="n">
        <v>48000</v>
      </c>
      <c r="AI622" s="24" t="n">
        <f aca="false">IF(AG622="","",AH622-AG622)</f>
        <v>0</v>
      </c>
      <c r="AJ622" s="21" t="n">
        <v>4</v>
      </c>
      <c r="AK622" s="21" t="n">
        <v>0</v>
      </c>
      <c r="AL622" s="16" t="s">
        <v>335</v>
      </c>
      <c r="AM622" s="16"/>
      <c r="AN622" s="16" t="s">
        <v>340</v>
      </c>
      <c r="AO622" s="16" t="s">
        <v>340</v>
      </c>
      <c r="AP622" s="16" t="s">
        <v>335</v>
      </c>
      <c r="AQ622" s="16"/>
      <c r="AR622" s="21" t="n">
        <f aca="false">IF(AND(T622&lt;&gt;"",H622&lt;&gt;""),IF(AND((T622-H622)*86400&gt;=0,(T622-H622)*86400&lt;تنظیمات!$B$13),1,0),0)</f>
        <v>0</v>
      </c>
      <c r="AS622" s="21" t="n">
        <f aca="false">IF(Z622="پوز",IF(OR(AB622="",COUNTIF(پوزها!$A$2:$A$5,AA622)=0),1,0),0)</f>
        <v>0</v>
      </c>
      <c r="AT622" s="21" t="n">
        <f aca="false">IF(AI622="",0,IF(AI622&gt;0,1,0))</f>
        <v>0</v>
      </c>
      <c r="AU622" s="21" t="n">
        <f aca="false">IF(AI622="",0,IF(AI622&lt;0,1,0))</f>
        <v>0</v>
      </c>
      <c r="AV622" s="21" t="n">
        <f aca="false">IF(U622&gt;V622,1,0)</f>
        <v>0</v>
      </c>
      <c r="AW622" s="21" t="n">
        <f aca="false">IF(OR(W622&gt;تنظیمات!$B$8,X622="بله"),1,0)</f>
        <v>0</v>
      </c>
      <c r="AX622" s="21" t="n">
        <f aca="false">IF(AND(N622="بله",L622&gt;تنظیمات!$B$9),1,0)</f>
        <v>0</v>
      </c>
      <c r="AY622" s="21" t="n">
        <f aca="false">IF(Y622="معکوس",1,0)</f>
        <v>0</v>
      </c>
      <c r="AZ622" s="21" t="n">
        <f aca="false">IF(ABS(AJ622)&gt;تنظیمات!$B$10,1,0)</f>
        <v>0</v>
      </c>
      <c r="BA622" s="21" t="n">
        <f aca="false">IF(AND(OR(AD622="رایگان/VIP",AD622="جانباز"),AF622="خیر"),1,0)</f>
        <v>0</v>
      </c>
      <c r="BB622" s="21" t="n">
        <f aca="false">IF(AE622="",0,IF(COUNTIF($AE$2:$AE$1001,AE622)&gt;1,1,0))</f>
        <v>0</v>
      </c>
      <c r="BC622" s="21" t="n">
        <f aca="false">IF(AND(H622="",I622&gt;تنظیمات!$B$12*60,AM622="خالی"),1,0)</f>
        <v>0</v>
      </c>
      <c r="BD622" s="21" t="n">
        <f aca="false">IF(AND(AP622="بله",I622&lt;تنظیمات!$B$14,AO622="خیر"),1,0)</f>
        <v>0</v>
      </c>
      <c r="BE622" s="21" t="n">
        <f aca="false">IF(AN622="خیر",1,0)</f>
        <v>0</v>
      </c>
      <c r="BF622" s="21" t="n">
        <f aca="false">IF(AND(AD622="فیش مفقودی",AQ622="بله",I622&gt;تنظیمات!$B$12*60),1,0)</f>
        <v>0</v>
      </c>
      <c r="BG622" s="21" t="n">
        <f aca="false">IF(AND(AK622&gt;تنظیمات!$B$11,AL622="بله"),1,0)</f>
        <v>0</v>
      </c>
      <c r="BH622" s="21" t="n">
        <f aca="false">MIN(100,AR622*تنظیمات!$B$21+AS622*تنظیمات!$B$22+AT622*تنظیمات!$B$23+AU622*تنظیمات!$B$24+AV622*تنظیمات!$B$25+AW622*تنظیمات!$B$26+AX622*تنظیمات!$B$27+AY622*تنظیمات!$B$28+AZ622*تنظیمات!$B$29+BA622*تنظیمات!$B$30+BB622*تنظیمات!$B$31+BC622*تنظیمات!$B$32+BD622*تنظیمات!$B$33+BE622*تنظیمات!$B$34+BF622*تنظیمات!$B$35+BG622*تنظیمات!$B$36)</f>
        <v>0</v>
      </c>
      <c r="BI622" s="16" t="str">
        <f aca="false">IF(BH622&gt;=60,"بحرانی",IF(BH622&gt;=30,"مشکوک",IF(BH622&gt;0,"هشدار","عادی")))</f>
        <v>عادی</v>
      </c>
      <c r="BJ622" s="16" t="s">
        <v>338</v>
      </c>
    </row>
    <row r="623" customFormat="false" ht="15" hidden="false" customHeight="false" outlineLevel="0" collapsed="false">
      <c r="A623" s="16" t="s">
        <v>2290</v>
      </c>
      <c r="B623" s="16" t="s">
        <v>2291</v>
      </c>
      <c r="C623" s="16"/>
      <c r="D623" s="16" t="s">
        <v>350</v>
      </c>
      <c r="E623" s="16" t="s">
        <v>332</v>
      </c>
      <c r="F623" s="16" t="s">
        <v>333</v>
      </c>
      <c r="G623" s="17" t="n">
        <v>46289.6219444444</v>
      </c>
      <c r="H623" s="17" t="n">
        <v>46289.6865277778</v>
      </c>
      <c r="I623" s="18" t="n">
        <f aca="false">IF(H623="",ROUND((تنظیمات!$B$7-G623)*1440,0),ROUND((H623-G623)*1440,0))</f>
        <v>93</v>
      </c>
      <c r="J623" s="16" t="s">
        <v>334</v>
      </c>
      <c r="K623" s="16" t="s">
        <v>410</v>
      </c>
      <c r="L623" s="19" t="n">
        <v>0.937</v>
      </c>
      <c r="M623" s="19" t="n">
        <v>0.929</v>
      </c>
      <c r="N623" s="16" t="s">
        <v>335</v>
      </c>
      <c r="O623" s="16" t="s">
        <v>419</v>
      </c>
      <c r="P623" s="16" t="s">
        <v>420</v>
      </c>
      <c r="Q623" s="20" t="n">
        <v>46289</v>
      </c>
      <c r="R623" s="16" t="s">
        <v>2292</v>
      </c>
      <c r="S623" s="16" t="s">
        <v>404</v>
      </c>
      <c r="T623" s="17"/>
      <c r="U623" s="21" t="n">
        <v>1</v>
      </c>
      <c r="V623" s="21" t="n">
        <v>1</v>
      </c>
      <c r="W623" s="22" t="n">
        <v>5.8</v>
      </c>
      <c r="X623" s="16" t="s">
        <v>335</v>
      </c>
      <c r="Y623" s="16" t="s">
        <v>338</v>
      </c>
      <c r="Z623" s="16" t="s">
        <v>413</v>
      </c>
      <c r="AA623" s="16" t="s">
        <v>414</v>
      </c>
      <c r="AB623" s="23" t="s">
        <v>2293</v>
      </c>
      <c r="AC623" s="17" t="n">
        <v>46289.6860300926</v>
      </c>
      <c r="AD623" s="16" t="s">
        <v>338</v>
      </c>
      <c r="AE623" s="16"/>
      <c r="AF623" s="16" t="str">
        <f aca="false">IF(COUNTIF(لیست_سفید!$A$2:$A$21,B623)&gt;0,"بله","خیر")</f>
        <v>خیر</v>
      </c>
      <c r="AG623" s="24" t="n">
        <f aca="false">IF(H623="","",IF(AD623="فیش مفقودی",تنظیمات!$B$6,(INT(I623/1440)*تنظیمات!$B$5+IF(MOD(I623,1440)&lt;=تنظیمات!$B$2,0,MIN(تنظیمات!$B$5,تنظیمات!$B$3+MAX(0,ROUNDUP((MOD(I623,1440)-60)/60,0))*تنظیمات!$B$4)))*INDEX(تعرفه!$B$2:$B$7,MATCH(AD623,تعرفه!$A$2:$A$7,0))))</f>
        <v>34000</v>
      </c>
      <c r="AH623" s="24" t="n">
        <v>34000</v>
      </c>
      <c r="AI623" s="24" t="n">
        <f aca="false">IF(AG623="","",AH623-AG623)</f>
        <v>0</v>
      </c>
      <c r="AJ623" s="21" t="n">
        <v>-3</v>
      </c>
      <c r="AK623" s="21" t="n">
        <v>0</v>
      </c>
      <c r="AL623" s="16" t="s">
        <v>335</v>
      </c>
      <c r="AM623" s="16"/>
      <c r="AN623" s="16" t="s">
        <v>340</v>
      </c>
      <c r="AO623" s="16" t="s">
        <v>340</v>
      </c>
      <c r="AP623" s="16" t="s">
        <v>335</v>
      </c>
      <c r="AQ623" s="16"/>
      <c r="AR623" s="21" t="n">
        <f aca="false">IF(AND(T623&lt;&gt;"",H623&lt;&gt;""),IF(AND((T623-H623)*86400&gt;=0,(T623-H623)*86400&lt;تنظیمات!$B$13),1,0),0)</f>
        <v>0</v>
      </c>
      <c r="AS623" s="21" t="n">
        <f aca="false">IF(Z623="پوز",IF(OR(AB623="",COUNTIF(پوزها!$A$2:$A$5,AA623)=0),1,0),0)</f>
        <v>0</v>
      </c>
      <c r="AT623" s="21" t="n">
        <f aca="false">IF(AI623="",0,IF(AI623&gt;0,1,0))</f>
        <v>0</v>
      </c>
      <c r="AU623" s="21" t="n">
        <f aca="false">IF(AI623="",0,IF(AI623&lt;0,1,0))</f>
        <v>0</v>
      </c>
      <c r="AV623" s="21" t="n">
        <f aca="false">IF(U623&gt;V623,1,0)</f>
        <v>0</v>
      </c>
      <c r="AW623" s="21" t="n">
        <f aca="false">IF(OR(W623&gt;تنظیمات!$B$8,X623="بله"),1,0)</f>
        <v>0</v>
      </c>
      <c r="AX623" s="21" t="n">
        <f aca="false">IF(AND(N623="بله",L623&gt;تنظیمات!$B$9),1,0)</f>
        <v>0</v>
      </c>
      <c r="AY623" s="21" t="n">
        <f aca="false">IF(Y623="معکوس",1,0)</f>
        <v>0</v>
      </c>
      <c r="AZ623" s="21" t="n">
        <f aca="false">IF(ABS(AJ623)&gt;تنظیمات!$B$10,1,0)</f>
        <v>0</v>
      </c>
      <c r="BA623" s="21" t="n">
        <f aca="false">IF(AND(OR(AD623="رایگان/VIP",AD623="جانباز"),AF623="خیر"),1,0)</f>
        <v>0</v>
      </c>
      <c r="BB623" s="21" t="n">
        <f aca="false">IF(AE623="",0,IF(COUNTIF($AE$2:$AE$1001,AE623)&gt;1,1,0))</f>
        <v>0</v>
      </c>
      <c r="BC623" s="21" t="n">
        <f aca="false">IF(AND(H623="",I623&gt;تنظیمات!$B$12*60,AM623="خالی"),1,0)</f>
        <v>0</v>
      </c>
      <c r="BD623" s="21" t="n">
        <f aca="false">IF(AND(AP623="بله",I623&lt;تنظیمات!$B$14,AO623="خیر"),1,0)</f>
        <v>0</v>
      </c>
      <c r="BE623" s="21" t="n">
        <f aca="false">IF(AN623="خیر",1,0)</f>
        <v>0</v>
      </c>
      <c r="BF623" s="21" t="n">
        <f aca="false">IF(AND(AD623="فیش مفقودی",AQ623="بله",I623&gt;تنظیمات!$B$12*60),1,0)</f>
        <v>0</v>
      </c>
      <c r="BG623" s="21" t="n">
        <f aca="false">IF(AND(AK623&gt;تنظیمات!$B$11,AL623="بله"),1,0)</f>
        <v>0</v>
      </c>
      <c r="BH623" s="21" t="n">
        <f aca="false">MIN(100,AR623*تنظیمات!$B$21+AS623*تنظیمات!$B$22+AT623*تنظیمات!$B$23+AU623*تنظیمات!$B$24+AV623*تنظیمات!$B$25+AW623*تنظیمات!$B$26+AX623*تنظیمات!$B$27+AY623*تنظیمات!$B$28+AZ623*تنظیمات!$B$29+BA623*تنظیمات!$B$30+BB623*تنظیمات!$B$31+BC623*تنظیمات!$B$32+BD623*تنظیمات!$B$33+BE623*تنظیمات!$B$34+BF623*تنظیمات!$B$35+BG623*تنظیمات!$B$36)</f>
        <v>0</v>
      </c>
      <c r="BI623" s="16" t="str">
        <f aca="false">IF(BH623&gt;=60,"بحرانی",IF(BH623&gt;=30,"مشکوک",IF(BH623&gt;0,"هشدار","عادی")))</f>
        <v>عادی</v>
      </c>
      <c r="BJ623" s="16" t="s">
        <v>338</v>
      </c>
    </row>
    <row r="624" customFormat="false" ht="15" hidden="false" customHeight="false" outlineLevel="0" collapsed="false">
      <c r="A624" s="16" t="s">
        <v>2294</v>
      </c>
      <c r="B624" s="16" t="s">
        <v>369</v>
      </c>
      <c r="C624" s="16"/>
      <c r="D624" s="16" t="s">
        <v>370</v>
      </c>
      <c r="E624" s="16" t="s">
        <v>345</v>
      </c>
      <c r="F624" s="16" t="s">
        <v>333</v>
      </c>
      <c r="G624" s="17" t="n">
        <v>46289.6368981482</v>
      </c>
      <c r="H624" s="17" t="n">
        <v>46289.6834259259</v>
      </c>
      <c r="I624" s="18" t="n">
        <f aca="false">IF(H624="",ROUND((تنظیمات!$B$7-G624)*1440,0),ROUND((H624-G624)*1440,0))</f>
        <v>67</v>
      </c>
      <c r="J624" s="16" t="s">
        <v>334</v>
      </c>
      <c r="K624" s="16" t="s">
        <v>400</v>
      </c>
      <c r="L624" s="19" t="n">
        <v>0.933</v>
      </c>
      <c r="M624" s="19" t="n">
        <v>0.959</v>
      </c>
      <c r="N624" s="16" t="s">
        <v>335</v>
      </c>
      <c r="O624" s="16" t="s">
        <v>401</v>
      </c>
      <c r="P624" s="16" t="s">
        <v>420</v>
      </c>
      <c r="Q624" s="20" t="n">
        <v>46289</v>
      </c>
      <c r="R624" s="16" t="s">
        <v>2295</v>
      </c>
      <c r="S624" s="16" t="s">
        <v>404</v>
      </c>
      <c r="T624" s="17"/>
      <c r="U624" s="21" t="n">
        <v>1</v>
      </c>
      <c r="V624" s="21" t="n">
        <v>1</v>
      </c>
      <c r="W624" s="22" t="n">
        <v>4.7</v>
      </c>
      <c r="X624" s="16" t="s">
        <v>335</v>
      </c>
      <c r="Y624" s="16" t="s">
        <v>338</v>
      </c>
      <c r="Z624" s="16" t="s">
        <v>405</v>
      </c>
      <c r="AA624" s="16"/>
      <c r="AB624" s="23"/>
      <c r="AC624" s="17"/>
      <c r="AD624" s="16" t="s">
        <v>338</v>
      </c>
      <c r="AE624" s="16"/>
      <c r="AF624" s="16" t="str">
        <f aca="false">IF(COUNTIF(لیست_سفید!$A$2:$A$21,B624)&gt;0,"بله","خیر")</f>
        <v>خیر</v>
      </c>
      <c r="AG624" s="24" t="n">
        <f aca="false">IF(H624="","",IF(AD624="فیش مفقودی",تنظیمات!$B$6,(INT(I624/1440)*تنظیمات!$B$5+IF(MOD(I624,1440)&lt;=تنظیمات!$B$2,0,MIN(تنظیمات!$B$5,تنظیمات!$B$3+MAX(0,ROUNDUP((MOD(I624,1440)-60)/60,0))*تنظیمات!$B$4)))*INDEX(تعرفه!$B$2:$B$7,MATCH(AD624,تعرفه!$A$2:$A$7,0))))</f>
        <v>34000</v>
      </c>
      <c r="AH624" s="24" t="n">
        <v>34000</v>
      </c>
      <c r="AI624" s="24" t="n">
        <f aca="false">IF(AG624="","",AH624-AG624)</f>
        <v>0</v>
      </c>
      <c r="AJ624" s="21" t="n">
        <v>-1</v>
      </c>
      <c r="AK624" s="21" t="n">
        <v>0</v>
      </c>
      <c r="AL624" s="16" t="s">
        <v>335</v>
      </c>
      <c r="AM624" s="16"/>
      <c r="AN624" s="16" t="s">
        <v>340</v>
      </c>
      <c r="AO624" s="16" t="s">
        <v>340</v>
      </c>
      <c r="AP624" s="16" t="s">
        <v>335</v>
      </c>
      <c r="AQ624" s="16"/>
      <c r="AR624" s="21" t="n">
        <f aca="false">IF(AND(T624&lt;&gt;"",H624&lt;&gt;""),IF(AND((T624-H624)*86400&gt;=0,(T624-H624)*86400&lt;تنظیمات!$B$13),1,0),0)</f>
        <v>0</v>
      </c>
      <c r="AS624" s="21" t="n">
        <f aca="false">IF(Z624="پوز",IF(OR(AB624="",COUNTIF(پوزها!$A$2:$A$5,AA624)=0),1,0),0)</f>
        <v>0</v>
      </c>
      <c r="AT624" s="21" t="n">
        <f aca="false">IF(AI624="",0,IF(AI624&gt;0,1,0))</f>
        <v>0</v>
      </c>
      <c r="AU624" s="21" t="n">
        <f aca="false">IF(AI624="",0,IF(AI624&lt;0,1,0))</f>
        <v>0</v>
      </c>
      <c r="AV624" s="21" t="n">
        <f aca="false">IF(U624&gt;V624,1,0)</f>
        <v>0</v>
      </c>
      <c r="AW624" s="21" t="n">
        <f aca="false">IF(OR(W624&gt;تنظیمات!$B$8,X624="بله"),1,0)</f>
        <v>0</v>
      </c>
      <c r="AX624" s="21" t="n">
        <f aca="false">IF(AND(N624="بله",L624&gt;تنظیمات!$B$9),1,0)</f>
        <v>0</v>
      </c>
      <c r="AY624" s="21" t="n">
        <f aca="false">IF(Y624="معکوس",1,0)</f>
        <v>0</v>
      </c>
      <c r="AZ624" s="21" t="n">
        <f aca="false">IF(ABS(AJ624)&gt;تنظیمات!$B$10,1,0)</f>
        <v>0</v>
      </c>
      <c r="BA624" s="21" t="n">
        <f aca="false">IF(AND(OR(AD624="رایگان/VIP",AD624="جانباز"),AF624="خیر"),1,0)</f>
        <v>0</v>
      </c>
      <c r="BB624" s="21" t="n">
        <f aca="false">IF(AE624="",0,IF(COUNTIF($AE$2:$AE$1001,AE624)&gt;1,1,0))</f>
        <v>0</v>
      </c>
      <c r="BC624" s="21" t="n">
        <f aca="false">IF(AND(H624="",I624&gt;تنظیمات!$B$12*60,AM624="خالی"),1,0)</f>
        <v>0</v>
      </c>
      <c r="BD624" s="21" t="n">
        <f aca="false">IF(AND(AP624="بله",I624&lt;تنظیمات!$B$14,AO624="خیر"),1,0)</f>
        <v>0</v>
      </c>
      <c r="BE624" s="21" t="n">
        <f aca="false">IF(AN624="خیر",1,0)</f>
        <v>0</v>
      </c>
      <c r="BF624" s="21" t="n">
        <f aca="false">IF(AND(AD624="فیش مفقودی",AQ624="بله",I624&gt;تنظیمات!$B$12*60),1,0)</f>
        <v>0</v>
      </c>
      <c r="BG624" s="21" t="n">
        <f aca="false">IF(AND(AK624&gt;تنظیمات!$B$11,AL624="بله"),1,0)</f>
        <v>0</v>
      </c>
      <c r="BH624" s="21" t="n">
        <f aca="false">MIN(100,AR624*تنظیمات!$B$21+AS624*تنظیمات!$B$22+AT624*تنظیمات!$B$23+AU624*تنظیمات!$B$24+AV624*تنظیمات!$B$25+AW624*تنظیمات!$B$26+AX624*تنظیمات!$B$27+AY624*تنظیمات!$B$28+AZ624*تنظیمات!$B$29+BA624*تنظیمات!$B$30+BB624*تنظیمات!$B$31+BC624*تنظیمات!$B$32+BD624*تنظیمات!$B$33+BE624*تنظیمات!$B$34+BF624*تنظیمات!$B$35+BG624*تنظیمات!$B$36)</f>
        <v>0</v>
      </c>
      <c r="BI624" s="16" t="str">
        <f aca="false">IF(BH624&gt;=60,"بحرانی",IF(BH624&gt;=30,"مشکوک",IF(BH624&gt;0,"هشدار","عادی")))</f>
        <v>عادی</v>
      </c>
      <c r="BJ624" s="16" t="s">
        <v>338</v>
      </c>
    </row>
    <row r="625" customFormat="false" ht="15" hidden="false" customHeight="false" outlineLevel="0" collapsed="false">
      <c r="A625" s="16" t="s">
        <v>2296</v>
      </c>
      <c r="B625" s="16" t="s">
        <v>798</v>
      </c>
      <c r="C625" s="16"/>
      <c r="D625" s="16" t="s">
        <v>508</v>
      </c>
      <c r="E625" s="16" t="s">
        <v>363</v>
      </c>
      <c r="F625" s="16" t="s">
        <v>333</v>
      </c>
      <c r="G625" s="17" t="n">
        <v>46289.6431712963</v>
      </c>
      <c r="H625" s="17" t="n">
        <v>46289.7924768519</v>
      </c>
      <c r="I625" s="18" t="n">
        <f aca="false">IF(H625="",ROUND((تنظیمات!$B$7-G625)*1440,0),ROUND((H625-G625)*1440,0))</f>
        <v>215</v>
      </c>
      <c r="J625" s="16" t="s">
        <v>334</v>
      </c>
      <c r="K625" s="16" t="s">
        <v>400</v>
      </c>
      <c r="L625" s="19" t="n">
        <v>0.921</v>
      </c>
      <c r="M625" s="19" t="n">
        <v>0.928</v>
      </c>
      <c r="N625" s="16" t="s">
        <v>335</v>
      </c>
      <c r="O625" s="16" t="s">
        <v>401</v>
      </c>
      <c r="P625" s="16" t="s">
        <v>420</v>
      </c>
      <c r="Q625" s="20" t="n">
        <v>46289</v>
      </c>
      <c r="R625" s="16" t="s">
        <v>2297</v>
      </c>
      <c r="S625" s="16" t="s">
        <v>404</v>
      </c>
      <c r="T625" s="17"/>
      <c r="U625" s="21" t="n">
        <v>1</v>
      </c>
      <c r="V625" s="21" t="n">
        <v>1</v>
      </c>
      <c r="W625" s="22" t="n">
        <v>4.3</v>
      </c>
      <c r="X625" s="16" t="s">
        <v>335</v>
      </c>
      <c r="Y625" s="16" t="s">
        <v>338</v>
      </c>
      <c r="Z625" s="16" t="s">
        <v>413</v>
      </c>
      <c r="AA625" s="16" t="s">
        <v>427</v>
      </c>
      <c r="AB625" s="23" t="s">
        <v>2298</v>
      </c>
      <c r="AC625" s="17" t="n">
        <v>46289.7917824074</v>
      </c>
      <c r="AD625" s="16" t="s">
        <v>481</v>
      </c>
      <c r="AE625" s="16" t="s">
        <v>949</v>
      </c>
      <c r="AF625" s="16" t="str">
        <f aca="false">IF(COUNTIF(لیست_سفید!$A$2:$A$21,B625)&gt;0,"بله","خیر")</f>
        <v>خیر</v>
      </c>
      <c r="AG625" s="24" t="n">
        <f aca="false">IF(H625="","",IF(AD625="فیش مفقودی",تنظیمات!$B$6,(INT(I625/1440)*تنظیمات!$B$5+IF(MOD(I625,1440)&lt;=تنظیمات!$B$2,0,MIN(تنظیمات!$B$5,تنظیمات!$B$3+MAX(0,ROUNDUP((MOD(I625,1440)-60)/60,0))*تنظیمات!$B$4)))*INDEX(تعرفه!$B$2:$B$7,MATCH(AD625,تعرفه!$A$2:$A$7,0))))</f>
        <v>31000</v>
      </c>
      <c r="AH625" s="24" t="n">
        <v>31000</v>
      </c>
      <c r="AI625" s="24" t="n">
        <f aca="false">IF(AG625="","",AH625-AG625)</f>
        <v>0</v>
      </c>
      <c r="AJ625" s="21" t="n">
        <v>0</v>
      </c>
      <c r="AK625" s="21" t="n">
        <v>0</v>
      </c>
      <c r="AL625" s="16" t="s">
        <v>335</v>
      </c>
      <c r="AM625" s="16"/>
      <c r="AN625" s="16" t="s">
        <v>340</v>
      </c>
      <c r="AO625" s="16" t="s">
        <v>340</v>
      </c>
      <c r="AP625" s="16" t="s">
        <v>335</v>
      </c>
      <c r="AQ625" s="16"/>
      <c r="AR625" s="21" t="n">
        <f aca="false">IF(AND(T625&lt;&gt;"",H625&lt;&gt;""),IF(AND((T625-H625)*86400&gt;=0,(T625-H625)*86400&lt;تنظیمات!$B$13),1,0),0)</f>
        <v>0</v>
      </c>
      <c r="AS625" s="21" t="n">
        <f aca="false">IF(Z625="پوز",IF(OR(AB625="",COUNTIF(پوزها!$A$2:$A$5,AA625)=0),1,0),0)</f>
        <v>0</v>
      </c>
      <c r="AT625" s="21" t="n">
        <f aca="false">IF(AI625="",0,IF(AI625&gt;0,1,0))</f>
        <v>0</v>
      </c>
      <c r="AU625" s="21" t="n">
        <f aca="false">IF(AI625="",0,IF(AI625&lt;0,1,0))</f>
        <v>0</v>
      </c>
      <c r="AV625" s="21" t="n">
        <f aca="false">IF(U625&gt;V625,1,0)</f>
        <v>0</v>
      </c>
      <c r="AW625" s="21" t="n">
        <f aca="false">IF(OR(W625&gt;تنظیمات!$B$8,X625="بله"),1,0)</f>
        <v>0</v>
      </c>
      <c r="AX625" s="21" t="n">
        <f aca="false">IF(AND(N625="بله",L625&gt;تنظیمات!$B$9),1,0)</f>
        <v>0</v>
      </c>
      <c r="AY625" s="21" t="n">
        <f aca="false">IF(Y625="معکوس",1,0)</f>
        <v>0</v>
      </c>
      <c r="AZ625" s="21" t="n">
        <f aca="false">IF(ABS(AJ625)&gt;تنظیمات!$B$10,1,0)</f>
        <v>0</v>
      </c>
      <c r="BA625" s="21" t="n">
        <f aca="false">IF(AND(OR(AD625="رایگان/VIP",AD625="جانباز"),AF625="خیر"),1,0)</f>
        <v>0</v>
      </c>
      <c r="BB625" s="21" t="n">
        <f aca="false">IF(AE625="",0,IF(COUNTIF($AE$2:$AE$1001,AE625)&gt;1,1,0))</f>
        <v>1</v>
      </c>
      <c r="BC625" s="21" t="n">
        <f aca="false">IF(AND(H625="",I625&gt;تنظیمات!$B$12*60,AM625="خالی"),1,0)</f>
        <v>0</v>
      </c>
      <c r="BD625" s="21" t="n">
        <f aca="false">IF(AND(AP625="بله",I625&lt;تنظیمات!$B$14,AO625="خیر"),1,0)</f>
        <v>0</v>
      </c>
      <c r="BE625" s="21" t="n">
        <f aca="false">IF(AN625="خیر",1,0)</f>
        <v>0</v>
      </c>
      <c r="BF625" s="21" t="n">
        <f aca="false">IF(AND(AD625="فیش مفقودی",AQ625="بله",I625&gt;تنظیمات!$B$12*60),1,0)</f>
        <v>0</v>
      </c>
      <c r="BG625" s="21" t="n">
        <f aca="false">IF(AND(AK625&gt;تنظیمات!$B$11,AL625="بله"),1,0)</f>
        <v>0</v>
      </c>
      <c r="BH625" s="21" t="n">
        <f aca="false">MIN(100,AR625*تنظیمات!$B$21+AS625*تنظیمات!$B$22+AT625*تنظیمات!$B$23+AU625*تنظیمات!$B$24+AV625*تنظیمات!$B$25+AW625*تنظیمات!$B$26+AX625*تنظیمات!$B$27+AY625*تنظیمات!$B$28+AZ625*تنظیمات!$B$29+BA625*تنظیمات!$B$30+BB625*تنظیمات!$B$31+BC625*تنظیمات!$B$32+BD625*تنظیمات!$B$33+BE625*تنظیمات!$B$34+BF625*تنظیمات!$B$35+BG625*تنظیمات!$B$36)</f>
        <v>25</v>
      </c>
      <c r="BI625" s="16" t="str">
        <f aca="false">IF(BH625&gt;=60,"بحرانی",IF(BH625&gt;=30,"مشکوک",IF(BH625&gt;0,"هشدار","عادی")))</f>
        <v>هشدار</v>
      </c>
      <c r="BJ625" s="16" t="s">
        <v>950</v>
      </c>
    </row>
    <row r="626" customFormat="false" ht="15" hidden="false" customHeight="false" outlineLevel="0" collapsed="false">
      <c r="A626" s="16" t="s">
        <v>2299</v>
      </c>
      <c r="B626" s="16" t="s">
        <v>803</v>
      </c>
      <c r="C626" s="16"/>
      <c r="D626" s="16" t="s">
        <v>382</v>
      </c>
      <c r="E626" s="16" t="s">
        <v>345</v>
      </c>
      <c r="F626" s="16" t="s">
        <v>333</v>
      </c>
      <c r="G626" s="17" t="n">
        <v>46289.6447222222</v>
      </c>
      <c r="H626" s="17" t="n">
        <v>46289.6988888889</v>
      </c>
      <c r="I626" s="18" t="n">
        <f aca="false">IF(H626="",ROUND((تنظیمات!$B$7-G626)*1440,0),ROUND((H626-G626)*1440,0))</f>
        <v>78</v>
      </c>
      <c r="J626" s="16" t="s">
        <v>334</v>
      </c>
      <c r="K626" s="16" t="s">
        <v>410</v>
      </c>
      <c r="L626" s="19" t="n">
        <v>0.974</v>
      </c>
      <c r="M626" s="19" t="n">
        <v>0.995</v>
      </c>
      <c r="N626" s="16" t="s">
        <v>335</v>
      </c>
      <c r="O626" s="16" t="s">
        <v>419</v>
      </c>
      <c r="P626" s="16" t="s">
        <v>420</v>
      </c>
      <c r="Q626" s="20" t="n">
        <v>46289</v>
      </c>
      <c r="R626" s="16" t="s">
        <v>2300</v>
      </c>
      <c r="S626" s="16" t="s">
        <v>404</v>
      </c>
      <c r="T626" s="17"/>
      <c r="U626" s="21" t="n">
        <v>1</v>
      </c>
      <c r="V626" s="21" t="n">
        <v>1</v>
      </c>
      <c r="W626" s="22" t="n">
        <v>4.2</v>
      </c>
      <c r="X626" s="16" t="s">
        <v>335</v>
      </c>
      <c r="Y626" s="16" t="s">
        <v>338</v>
      </c>
      <c r="Z626" s="16" t="s">
        <v>413</v>
      </c>
      <c r="AA626" s="16" t="s">
        <v>414</v>
      </c>
      <c r="AB626" s="23" t="s">
        <v>2301</v>
      </c>
      <c r="AC626" s="17" t="n">
        <v>46289.6981712963</v>
      </c>
      <c r="AD626" s="16" t="s">
        <v>338</v>
      </c>
      <c r="AE626" s="16"/>
      <c r="AF626" s="16" t="str">
        <f aca="false">IF(COUNTIF(لیست_سفید!$A$2:$A$21,B626)&gt;0,"بله","خیر")</f>
        <v>خیر</v>
      </c>
      <c r="AG626" s="24" t="n">
        <f aca="false">IF(H626="","",IF(AD626="فیش مفقودی",تنظیمات!$B$6,(INT(I626/1440)*تنظیمات!$B$5+IF(MOD(I626,1440)&lt;=تنظیمات!$B$2,0,MIN(تنظیمات!$B$5,تنظیمات!$B$3+MAX(0,ROUNDUP((MOD(I626,1440)-60)/60,0))*تنظیمات!$B$4)))*INDEX(تعرفه!$B$2:$B$7,MATCH(AD626,تعرفه!$A$2:$A$7,0))))</f>
        <v>34000</v>
      </c>
      <c r="AH626" s="24" t="n">
        <v>34000</v>
      </c>
      <c r="AI626" s="24" t="n">
        <f aca="false">IF(AG626="","",AH626-AG626)</f>
        <v>0</v>
      </c>
      <c r="AJ626" s="21" t="n">
        <v>-1</v>
      </c>
      <c r="AK626" s="21" t="n">
        <v>0</v>
      </c>
      <c r="AL626" s="16" t="s">
        <v>335</v>
      </c>
      <c r="AM626" s="16"/>
      <c r="AN626" s="16" t="s">
        <v>340</v>
      </c>
      <c r="AO626" s="16" t="s">
        <v>340</v>
      </c>
      <c r="AP626" s="16" t="s">
        <v>335</v>
      </c>
      <c r="AQ626" s="16"/>
      <c r="AR626" s="21" t="n">
        <f aca="false">IF(AND(T626&lt;&gt;"",H626&lt;&gt;""),IF(AND((T626-H626)*86400&gt;=0,(T626-H626)*86400&lt;تنظیمات!$B$13),1,0),0)</f>
        <v>0</v>
      </c>
      <c r="AS626" s="21" t="n">
        <f aca="false">IF(Z626="پوز",IF(OR(AB626="",COUNTIF(پوزها!$A$2:$A$5,AA626)=0),1,0),0)</f>
        <v>0</v>
      </c>
      <c r="AT626" s="21" t="n">
        <f aca="false">IF(AI626="",0,IF(AI626&gt;0,1,0))</f>
        <v>0</v>
      </c>
      <c r="AU626" s="21" t="n">
        <f aca="false">IF(AI626="",0,IF(AI626&lt;0,1,0))</f>
        <v>0</v>
      </c>
      <c r="AV626" s="21" t="n">
        <f aca="false">IF(U626&gt;V626,1,0)</f>
        <v>0</v>
      </c>
      <c r="AW626" s="21" t="n">
        <f aca="false">IF(OR(W626&gt;تنظیمات!$B$8,X626="بله"),1,0)</f>
        <v>0</v>
      </c>
      <c r="AX626" s="21" t="n">
        <f aca="false">IF(AND(N626="بله",L626&gt;تنظیمات!$B$9),1,0)</f>
        <v>0</v>
      </c>
      <c r="AY626" s="21" t="n">
        <f aca="false">IF(Y626="معکوس",1,0)</f>
        <v>0</v>
      </c>
      <c r="AZ626" s="21" t="n">
        <f aca="false">IF(ABS(AJ626)&gt;تنظیمات!$B$10,1,0)</f>
        <v>0</v>
      </c>
      <c r="BA626" s="21" t="n">
        <f aca="false">IF(AND(OR(AD626="رایگان/VIP",AD626="جانباز"),AF626="خیر"),1,0)</f>
        <v>0</v>
      </c>
      <c r="BB626" s="21" t="n">
        <f aca="false">IF(AE626="",0,IF(COUNTIF($AE$2:$AE$1001,AE626)&gt;1,1,0))</f>
        <v>0</v>
      </c>
      <c r="BC626" s="21" t="n">
        <f aca="false">IF(AND(H626="",I626&gt;تنظیمات!$B$12*60,AM626="خالی"),1,0)</f>
        <v>0</v>
      </c>
      <c r="BD626" s="21" t="n">
        <f aca="false">IF(AND(AP626="بله",I626&lt;تنظیمات!$B$14,AO626="خیر"),1,0)</f>
        <v>0</v>
      </c>
      <c r="BE626" s="21" t="n">
        <f aca="false">IF(AN626="خیر",1,0)</f>
        <v>0</v>
      </c>
      <c r="BF626" s="21" t="n">
        <f aca="false">IF(AND(AD626="فیش مفقودی",AQ626="بله",I626&gt;تنظیمات!$B$12*60),1,0)</f>
        <v>0</v>
      </c>
      <c r="BG626" s="21" t="n">
        <f aca="false">IF(AND(AK626&gt;تنظیمات!$B$11,AL626="بله"),1,0)</f>
        <v>0</v>
      </c>
      <c r="BH626" s="21" t="n">
        <f aca="false">MIN(100,AR626*تنظیمات!$B$21+AS626*تنظیمات!$B$22+AT626*تنظیمات!$B$23+AU626*تنظیمات!$B$24+AV626*تنظیمات!$B$25+AW626*تنظیمات!$B$26+AX626*تنظیمات!$B$27+AY626*تنظیمات!$B$28+AZ626*تنظیمات!$B$29+BA626*تنظیمات!$B$30+BB626*تنظیمات!$B$31+BC626*تنظیمات!$B$32+BD626*تنظیمات!$B$33+BE626*تنظیمات!$B$34+BF626*تنظیمات!$B$35+BG626*تنظیمات!$B$36)</f>
        <v>0</v>
      </c>
      <c r="BI626" s="16" t="str">
        <f aca="false">IF(BH626&gt;=60,"بحرانی",IF(BH626&gt;=30,"مشکوک",IF(BH626&gt;0,"هشدار","عادی")))</f>
        <v>عادی</v>
      </c>
      <c r="BJ626" s="16" t="s">
        <v>338</v>
      </c>
    </row>
    <row r="627" customFormat="false" ht="15" hidden="false" customHeight="false" outlineLevel="0" collapsed="false">
      <c r="A627" s="16" t="s">
        <v>2302</v>
      </c>
      <c r="B627" s="16" t="s">
        <v>366</v>
      </c>
      <c r="C627" s="16"/>
      <c r="D627" s="16" t="s">
        <v>344</v>
      </c>
      <c r="E627" s="16" t="s">
        <v>345</v>
      </c>
      <c r="F627" s="16" t="s">
        <v>333</v>
      </c>
      <c r="G627" s="17" t="n">
        <v>46289.648900463</v>
      </c>
      <c r="H627" s="17" t="n">
        <v>46289.6530671296</v>
      </c>
      <c r="I627" s="18" t="n">
        <f aca="false">IF(H627="",ROUND((تنظیمات!$B$7-G627)*1440,0),ROUND((H627-G627)*1440,0))</f>
        <v>6</v>
      </c>
      <c r="J627" s="16" t="s">
        <v>346</v>
      </c>
      <c r="K627" s="16" t="s">
        <v>410</v>
      </c>
      <c r="L627" s="19" t="n">
        <v>0.99</v>
      </c>
      <c r="M627" s="19" t="n">
        <v>0.952</v>
      </c>
      <c r="N627" s="16" t="s">
        <v>335</v>
      </c>
      <c r="O627" s="16" t="s">
        <v>419</v>
      </c>
      <c r="P627" s="16" t="s">
        <v>420</v>
      </c>
      <c r="Q627" s="20" t="n">
        <v>46289</v>
      </c>
      <c r="R627" s="16" t="s">
        <v>2303</v>
      </c>
      <c r="S627" s="16" t="s">
        <v>404</v>
      </c>
      <c r="T627" s="17"/>
      <c r="U627" s="21" t="n">
        <v>1</v>
      </c>
      <c r="V627" s="21" t="n">
        <v>1</v>
      </c>
      <c r="W627" s="22" t="n">
        <v>6.6</v>
      </c>
      <c r="X627" s="16" t="s">
        <v>335</v>
      </c>
      <c r="Y627" s="16" t="s">
        <v>338</v>
      </c>
      <c r="Z627" s="16" t="s">
        <v>628</v>
      </c>
      <c r="AA627" s="16"/>
      <c r="AB627" s="23"/>
      <c r="AC627" s="17"/>
      <c r="AD627" s="16" t="s">
        <v>338</v>
      </c>
      <c r="AE627" s="16"/>
      <c r="AF627" s="16" t="str">
        <f aca="false">IF(COUNTIF(لیست_سفید!$A$2:$A$21,B627)&gt;0,"بله","خیر")</f>
        <v>خیر</v>
      </c>
      <c r="AG627" s="24" t="n">
        <f aca="false">IF(H627="","",IF(AD627="فیش مفقودی",تنظیمات!$B$6,(INT(I627/1440)*تنظیمات!$B$5+IF(MOD(I627,1440)&lt;=تنظیمات!$B$2,0,MIN(تنظیمات!$B$5,تنظیمات!$B$3+MAX(0,ROUNDUP((MOD(I627,1440)-60)/60,0))*تنظیمات!$B$4)))*INDEX(تعرفه!$B$2:$B$7,MATCH(AD627,تعرفه!$A$2:$A$7,0))))</f>
        <v>0</v>
      </c>
      <c r="AH627" s="24" t="n">
        <v>0</v>
      </c>
      <c r="AI627" s="24" t="n">
        <f aca="false">IF(AG627="","",AH627-AG627)</f>
        <v>0</v>
      </c>
      <c r="AJ627" s="21" t="n">
        <v>0</v>
      </c>
      <c r="AK627" s="21" t="n">
        <v>0</v>
      </c>
      <c r="AL627" s="16" t="s">
        <v>335</v>
      </c>
      <c r="AM627" s="16"/>
      <c r="AN627" s="16" t="s">
        <v>340</v>
      </c>
      <c r="AO627" s="16" t="s">
        <v>335</v>
      </c>
      <c r="AP627" s="16" t="s">
        <v>340</v>
      </c>
      <c r="AQ627" s="16"/>
      <c r="AR627" s="21" t="n">
        <f aca="false">IF(AND(T627&lt;&gt;"",H627&lt;&gt;""),IF(AND((T627-H627)*86400&gt;=0,(T627-H627)*86400&lt;تنظیمات!$B$13),1,0),0)</f>
        <v>0</v>
      </c>
      <c r="AS627" s="21" t="n">
        <f aca="false">IF(Z627="پوز",IF(OR(AB627="",COUNTIF(پوزها!$A$2:$A$5,AA627)=0),1,0),0)</f>
        <v>0</v>
      </c>
      <c r="AT627" s="21" t="n">
        <f aca="false">IF(AI627="",0,IF(AI627&gt;0,1,0))</f>
        <v>0</v>
      </c>
      <c r="AU627" s="21" t="n">
        <f aca="false">IF(AI627="",0,IF(AI627&lt;0,1,0))</f>
        <v>0</v>
      </c>
      <c r="AV627" s="21" t="n">
        <f aca="false">IF(U627&gt;V627,1,0)</f>
        <v>0</v>
      </c>
      <c r="AW627" s="21" t="n">
        <f aca="false">IF(OR(W627&gt;تنظیمات!$B$8,X627="بله"),1,0)</f>
        <v>0</v>
      </c>
      <c r="AX627" s="21" t="n">
        <f aca="false">IF(AND(N627="بله",L627&gt;تنظیمات!$B$9),1,0)</f>
        <v>0</v>
      </c>
      <c r="AY627" s="21" t="n">
        <f aca="false">IF(Y627="معکوس",1,0)</f>
        <v>0</v>
      </c>
      <c r="AZ627" s="21" t="n">
        <f aca="false">IF(ABS(AJ627)&gt;تنظیمات!$B$10,1,0)</f>
        <v>0</v>
      </c>
      <c r="BA627" s="21" t="n">
        <f aca="false">IF(AND(OR(AD627="رایگان/VIP",AD627="جانباز"),AF627="خیر"),1,0)</f>
        <v>0</v>
      </c>
      <c r="BB627" s="21" t="n">
        <f aca="false">IF(AE627="",0,IF(COUNTIF($AE$2:$AE$1001,AE627)&gt;1,1,0))</f>
        <v>0</v>
      </c>
      <c r="BC627" s="21" t="n">
        <f aca="false">IF(AND(H627="",I627&gt;تنظیمات!$B$12*60,AM627="خالی"),1,0)</f>
        <v>0</v>
      </c>
      <c r="BD627" s="21" t="n">
        <f aca="false">IF(AND(AP627="بله",I627&lt;تنظیمات!$B$14,AO627="خیر"),1,0)</f>
        <v>1</v>
      </c>
      <c r="BE627" s="21" t="n">
        <f aca="false">IF(AN627="خیر",1,0)</f>
        <v>0</v>
      </c>
      <c r="BF627" s="21" t="n">
        <f aca="false">IF(AND(AD627="فیش مفقودی",AQ627="بله",I627&gt;تنظیمات!$B$12*60),1,0)</f>
        <v>0</v>
      </c>
      <c r="BG627" s="21" t="n">
        <f aca="false">IF(AND(AK627&gt;تنظیمات!$B$11,AL627="بله"),1,0)</f>
        <v>0</v>
      </c>
      <c r="BH627" s="21" t="n">
        <f aca="false">MIN(100,AR627*تنظیمات!$B$21+AS627*تنظیمات!$B$22+AT627*تنظیمات!$B$23+AU627*تنظیمات!$B$24+AV627*تنظیمات!$B$25+AW627*تنظیمات!$B$26+AX627*تنظیمات!$B$27+AY627*تنظیمات!$B$28+AZ627*تنظیمات!$B$29+BA627*تنظیمات!$B$30+BB627*تنظیمات!$B$31+BC627*تنظیمات!$B$32+BD627*تنظیمات!$B$33+BE627*تنظیمات!$B$34+BF627*تنظیمات!$B$35+BG627*تنظیمات!$B$36)</f>
        <v>40</v>
      </c>
      <c r="BI627" s="16" t="str">
        <f aca="false">IF(BH627&gt;=60,"بحرانی",IF(BH627&gt;=30,"مشکوک",IF(BH627&gt;0,"هشدار","عادی")))</f>
        <v>مشکوک</v>
      </c>
      <c r="BJ627" s="16" t="s">
        <v>1329</v>
      </c>
    </row>
    <row r="628" customFormat="false" ht="15" hidden="false" customHeight="false" outlineLevel="0" collapsed="false">
      <c r="A628" s="16" t="s">
        <v>2304</v>
      </c>
      <c r="B628" s="16" t="s">
        <v>551</v>
      </c>
      <c r="C628" s="16"/>
      <c r="D628" s="16" t="s">
        <v>350</v>
      </c>
      <c r="E628" s="16" t="s">
        <v>332</v>
      </c>
      <c r="F628" s="16" t="s">
        <v>333</v>
      </c>
      <c r="G628" s="17" t="n">
        <v>46289.6531018519</v>
      </c>
      <c r="H628" s="17" t="n">
        <v>46289.8121296296</v>
      </c>
      <c r="I628" s="18" t="n">
        <f aca="false">IF(H628="",ROUND((تنظیمات!$B$7-G628)*1440,0),ROUND((H628-G628)*1440,0))</f>
        <v>229</v>
      </c>
      <c r="J628" s="16" t="s">
        <v>334</v>
      </c>
      <c r="K628" s="16" t="s">
        <v>400</v>
      </c>
      <c r="L628" s="19" t="n">
        <v>0.873</v>
      </c>
      <c r="M628" s="19" t="n">
        <v>0.943</v>
      </c>
      <c r="N628" s="16" t="s">
        <v>335</v>
      </c>
      <c r="O628" s="16" t="s">
        <v>401</v>
      </c>
      <c r="P628" s="16" t="s">
        <v>420</v>
      </c>
      <c r="Q628" s="20" t="n">
        <v>46289</v>
      </c>
      <c r="R628" s="16" t="s">
        <v>2305</v>
      </c>
      <c r="S628" s="16" t="s">
        <v>404</v>
      </c>
      <c r="T628" s="17"/>
      <c r="U628" s="21" t="n">
        <v>1</v>
      </c>
      <c r="V628" s="21" t="n">
        <v>1</v>
      </c>
      <c r="W628" s="22" t="n">
        <v>6.3</v>
      </c>
      <c r="X628" s="16" t="s">
        <v>335</v>
      </c>
      <c r="Y628" s="16" t="s">
        <v>338</v>
      </c>
      <c r="Z628" s="16" t="s">
        <v>405</v>
      </c>
      <c r="AA628" s="16"/>
      <c r="AB628" s="23"/>
      <c r="AC628" s="17"/>
      <c r="AD628" s="16" t="s">
        <v>338</v>
      </c>
      <c r="AE628" s="16"/>
      <c r="AF628" s="16" t="str">
        <f aca="false">IF(COUNTIF(لیست_سفید!$A$2:$A$21,B628)&gt;0,"بله","خیر")</f>
        <v>خیر</v>
      </c>
      <c r="AG628" s="24" t="n">
        <f aca="false">IF(H628="","",IF(AD628="فیش مفقودی",تنظیمات!$B$6,(INT(I628/1440)*تنظیمات!$B$5+IF(MOD(I628,1440)&lt;=تنظیمات!$B$2,0,MIN(تنظیمات!$B$5,تنظیمات!$B$3+MAX(0,ROUNDUP((MOD(I628,1440)-60)/60,0))*تنظیمات!$B$4)))*INDEX(تعرفه!$B$2:$B$7,MATCH(AD628,تعرفه!$A$2:$A$7,0))))</f>
        <v>62000</v>
      </c>
      <c r="AH628" s="24" t="n">
        <v>62000</v>
      </c>
      <c r="AI628" s="24" t="n">
        <f aca="false">IF(AG628="","",AH628-AG628)</f>
        <v>0</v>
      </c>
      <c r="AJ628" s="21" t="n">
        <v>-1</v>
      </c>
      <c r="AK628" s="21" t="n">
        <v>0</v>
      </c>
      <c r="AL628" s="16" t="s">
        <v>335</v>
      </c>
      <c r="AM628" s="16"/>
      <c r="AN628" s="16" t="s">
        <v>340</v>
      </c>
      <c r="AO628" s="16" t="s">
        <v>340</v>
      </c>
      <c r="AP628" s="16" t="s">
        <v>335</v>
      </c>
      <c r="AQ628" s="16"/>
      <c r="AR628" s="21" t="n">
        <f aca="false">IF(AND(T628&lt;&gt;"",H628&lt;&gt;""),IF(AND((T628-H628)*86400&gt;=0,(T628-H628)*86400&lt;تنظیمات!$B$13),1,0),0)</f>
        <v>0</v>
      </c>
      <c r="AS628" s="21" t="n">
        <f aca="false">IF(Z628="پوز",IF(OR(AB628="",COUNTIF(پوزها!$A$2:$A$5,AA628)=0),1,0),0)</f>
        <v>0</v>
      </c>
      <c r="AT628" s="21" t="n">
        <f aca="false">IF(AI628="",0,IF(AI628&gt;0,1,0))</f>
        <v>0</v>
      </c>
      <c r="AU628" s="21" t="n">
        <f aca="false">IF(AI628="",0,IF(AI628&lt;0,1,0))</f>
        <v>0</v>
      </c>
      <c r="AV628" s="21" t="n">
        <f aca="false">IF(U628&gt;V628,1,0)</f>
        <v>0</v>
      </c>
      <c r="AW628" s="21" t="n">
        <f aca="false">IF(OR(W628&gt;تنظیمات!$B$8,X628="بله"),1,0)</f>
        <v>0</v>
      </c>
      <c r="AX628" s="21" t="n">
        <f aca="false">IF(AND(N628="بله",L628&gt;تنظیمات!$B$9),1,0)</f>
        <v>0</v>
      </c>
      <c r="AY628" s="21" t="n">
        <f aca="false">IF(Y628="معکوس",1,0)</f>
        <v>0</v>
      </c>
      <c r="AZ628" s="21" t="n">
        <f aca="false">IF(ABS(AJ628)&gt;تنظیمات!$B$10,1,0)</f>
        <v>0</v>
      </c>
      <c r="BA628" s="21" t="n">
        <f aca="false">IF(AND(OR(AD628="رایگان/VIP",AD628="جانباز"),AF628="خیر"),1,0)</f>
        <v>0</v>
      </c>
      <c r="BB628" s="21" t="n">
        <f aca="false">IF(AE628="",0,IF(COUNTIF($AE$2:$AE$1001,AE628)&gt;1,1,0))</f>
        <v>0</v>
      </c>
      <c r="BC628" s="21" t="n">
        <f aca="false">IF(AND(H628="",I628&gt;تنظیمات!$B$12*60,AM628="خالی"),1,0)</f>
        <v>0</v>
      </c>
      <c r="BD628" s="21" t="n">
        <f aca="false">IF(AND(AP628="بله",I628&lt;تنظیمات!$B$14,AO628="خیر"),1,0)</f>
        <v>0</v>
      </c>
      <c r="BE628" s="21" t="n">
        <f aca="false">IF(AN628="خیر",1,0)</f>
        <v>0</v>
      </c>
      <c r="BF628" s="21" t="n">
        <f aca="false">IF(AND(AD628="فیش مفقودی",AQ628="بله",I628&gt;تنظیمات!$B$12*60),1,0)</f>
        <v>0</v>
      </c>
      <c r="BG628" s="21" t="n">
        <f aca="false">IF(AND(AK628&gt;تنظیمات!$B$11,AL628="بله"),1,0)</f>
        <v>0</v>
      </c>
      <c r="BH628" s="21" t="n">
        <f aca="false">MIN(100,AR628*تنظیمات!$B$21+AS628*تنظیمات!$B$22+AT628*تنظیمات!$B$23+AU628*تنظیمات!$B$24+AV628*تنظیمات!$B$25+AW628*تنظیمات!$B$26+AX628*تنظیمات!$B$27+AY628*تنظیمات!$B$28+AZ628*تنظیمات!$B$29+BA628*تنظیمات!$B$30+BB628*تنظیمات!$B$31+BC628*تنظیمات!$B$32+BD628*تنظیمات!$B$33+BE628*تنظیمات!$B$34+BF628*تنظیمات!$B$35+BG628*تنظیمات!$B$36)</f>
        <v>0</v>
      </c>
      <c r="BI628" s="16" t="str">
        <f aca="false">IF(BH628&gt;=60,"بحرانی",IF(BH628&gt;=30,"مشکوک",IF(BH628&gt;0,"هشدار","عادی")))</f>
        <v>عادی</v>
      </c>
      <c r="BJ628" s="16" t="s">
        <v>338</v>
      </c>
    </row>
    <row r="629" customFormat="false" ht="15" hidden="false" customHeight="false" outlineLevel="0" collapsed="false">
      <c r="A629" s="16" t="s">
        <v>2306</v>
      </c>
      <c r="B629" s="16" t="s">
        <v>2307</v>
      </c>
      <c r="C629" s="16"/>
      <c r="D629" s="16" t="s">
        <v>370</v>
      </c>
      <c r="E629" s="16" t="s">
        <v>375</v>
      </c>
      <c r="F629" s="16" t="s">
        <v>333</v>
      </c>
      <c r="G629" s="17" t="n">
        <v>46289.6666319444</v>
      </c>
      <c r="H629" s="17" t="n">
        <v>46289.8791319444</v>
      </c>
      <c r="I629" s="18" t="n">
        <f aca="false">IF(H629="",ROUND((تنظیمات!$B$7-G629)*1440,0),ROUND((H629-G629)*1440,0))</f>
        <v>306</v>
      </c>
      <c r="J629" s="16" t="s">
        <v>346</v>
      </c>
      <c r="K629" s="16" t="s">
        <v>410</v>
      </c>
      <c r="L629" s="19" t="n">
        <v>0.941</v>
      </c>
      <c r="M629" s="19" t="n">
        <v>0.918</v>
      </c>
      <c r="N629" s="16" t="s">
        <v>335</v>
      </c>
      <c r="O629" s="16" t="s">
        <v>419</v>
      </c>
      <c r="P629" s="16" t="s">
        <v>420</v>
      </c>
      <c r="Q629" s="20" t="n">
        <v>46289</v>
      </c>
      <c r="R629" s="16" t="s">
        <v>2308</v>
      </c>
      <c r="S629" s="16" t="s">
        <v>404</v>
      </c>
      <c r="T629" s="17"/>
      <c r="U629" s="21" t="n">
        <v>1</v>
      </c>
      <c r="V629" s="21" t="n">
        <v>1</v>
      </c>
      <c r="W629" s="22" t="n">
        <v>5.6</v>
      </c>
      <c r="X629" s="16" t="s">
        <v>335</v>
      </c>
      <c r="Y629" s="16" t="s">
        <v>338</v>
      </c>
      <c r="Z629" s="16" t="s">
        <v>443</v>
      </c>
      <c r="AA629" s="16"/>
      <c r="AB629" s="23"/>
      <c r="AC629" s="17"/>
      <c r="AD629" s="16" t="s">
        <v>444</v>
      </c>
      <c r="AE629" s="16"/>
      <c r="AF629" s="16" t="str">
        <f aca="false">IF(COUNTIF(لیست_سفید!$A$2:$A$21,B629)&gt;0,"بله","خیر")</f>
        <v>خیر</v>
      </c>
      <c r="AG629" s="24" t="n">
        <f aca="false">IF(H629="","",IF(AD629="فیش مفقودی",تنظیمات!$B$6,(INT(I629/1440)*تنظیمات!$B$5+IF(MOD(I629,1440)&lt;=تنظیمات!$B$2,0,MIN(تنظیمات!$B$5,تنظیمات!$B$3+MAX(0,ROUNDUP((MOD(I629,1440)-60)/60,0))*تنظیمات!$B$4)))*INDEX(تعرفه!$B$2:$B$7,MATCH(AD629,تعرفه!$A$2:$A$7,0))))</f>
        <v>0</v>
      </c>
      <c r="AH629" s="24" t="n">
        <v>0</v>
      </c>
      <c r="AI629" s="24" t="n">
        <f aca="false">IF(AG629="","",AH629-AG629)</f>
        <v>0</v>
      </c>
      <c r="AJ629" s="21" t="n">
        <v>-3</v>
      </c>
      <c r="AK629" s="21" t="n">
        <v>0</v>
      </c>
      <c r="AL629" s="16" t="s">
        <v>335</v>
      </c>
      <c r="AM629" s="16"/>
      <c r="AN629" s="16" t="s">
        <v>340</v>
      </c>
      <c r="AO629" s="16" t="s">
        <v>340</v>
      </c>
      <c r="AP629" s="16" t="s">
        <v>335</v>
      </c>
      <c r="AQ629" s="16"/>
      <c r="AR629" s="21" t="n">
        <f aca="false">IF(AND(T629&lt;&gt;"",H629&lt;&gt;""),IF(AND((T629-H629)*86400&gt;=0,(T629-H629)*86400&lt;تنظیمات!$B$13),1,0),0)</f>
        <v>0</v>
      </c>
      <c r="AS629" s="21" t="n">
        <f aca="false">IF(Z629="پوز",IF(OR(AB629="",COUNTIF(پوزها!$A$2:$A$5,AA629)=0),1,0),0)</f>
        <v>0</v>
      </c>
      <c r="AT629" s="21" t="n">
        <f aca="false">IF(AI629="",0,IF(AI629&gt;0,1,0))</f>
        <v>0</v>
      </c>
      <c r="AU629" s="21" t="n">
        <f aca="false">IF(AI629="",0,IF(AI629&lt;0,1,0))</f>
        <v>0</v>
      </c>
      <c r="AV629" s="21" t="n">
        <f aca="false">IF(U629&gt;V629,1,0)</f>
        <v>0</v>
      </c>
      <c r="AW629" s="21" t="n">
        <f aca="false">IF(OR(W629&gt;تنظیمات!$B$8,X629="بله"),1,0)</f>
        <v>0</v>
      </c>
      <c r="AX629" s="21" t="n">
        <f aca="false">IF(AND(N629="بله",L629&gt;تنظیمات!$B$9),1,0)</f>
        <v>0</v>
      </c>
      <c r="AY629" s="21" t="n">
        <f aca="false">IF(Y629="معکوس",1,0)</f>
        <v>0</v>
      </c>
      <c r="AZ629" s="21" t="n">
        <f aca="false">IF(ABS(AJ629)&gt;تنظیمات!$B$10,1,0)</f>
        <v>0</v>
      </c>
      <c r="BA629" s="21" t="n">
        <f aca="false">IF(AND(OR(AD629="رایگان/VIP",AD629="جانباز"),AF629="خیر"),1,0)</f>
        <v>0</v>
      </c>
      <c r="BB629" s="21" t="n">
        <f aca="false">IF(AE629="",0,IF(COUNTIF($AE$2:$AE$1001,AE629)&gt;1,1,0))</f>
        <v>0</v>
      </c>
      <c r="BC629" s="21" t="n">
        <f aca="false">IF(AND(H629="",I629&gt;تنظیمات!$B$12*60,AM629="خالی"),1,0)</f>
        <v>0</v>
      </c>
      <c r="BD629" s="21" t="n">
        <f aca="false">IF(AND(AP629="بله",I629&lt;تنظیمات!$B$14,AO629="خیر"),1,0)</f>
        <v>0</v>
      </c>
      <c r="BE629" s="21" t="n">
        <f aca="false">IF(AN629="خیر",1,0)</f>
        <v>0</v>
      </c>
      <c r="BF629" s="21" t="n">
        <f aca="false">IF(AND(AD629="فیش مفقودی",AQ629="بله",I629&gt;تنظیمات!$B$12*60),1,0)</f>
        <v>0</v>
      </c>
      <c r="BG629" s="21" t="n">
        <f aca="false">IF(AND(AK629&gt;تنظیمات!$B$11,AL629="بله"),1,0)</f>
        <v>0</v>
      </c>
      <c r="BH629" s="21" t="n">
        <f aca="false">MIN(100,AR629*تنظیمات!$B$21+AS629*تنظیمات!$B$22+AT629*تنظیمات!$B$23+AU629*تنظیمات!$B$24+AV629*تنظیمات!$B$25+AW629*تنظیمات!$B$26+AX629*تنظیمات!$B$27+AY629*تنظیمات!$B$28+AZ629*تنظیمات!$B$29+BA629*تنظیمات!$B$30+BB629*تنظیمات!$B$31+BC629*تنظیمات!$B$32+BD629*تنظیمات!$B$33+BE629*تنظیمات!$B$34+BF629*تنظیمات!$B$35+BG629*تنظیمات!$B$36)</f>
        <v>0</v>
      </c>
      <c r="BI629" s="16" t="str">
        <f aca="false">IF(BH629&gt;=60,"بحرانی",IF(BH629&gt;=30,"مشکوک",IF(BH629&gt;0,"هشدار","عادی")))</f>
        <v>عادی</v>
      </c>
      <c r="BJ629" s="16" t="s">
        <v>338</v>
      </c>
    </row>
    <row r="630" customFormat="false" ht="15" hidden="false" customHeight="false" outlineLevel="0" collapsed="false">
      <c r="A630" s="16" t="s">
        <v>2309</v>
      </c>
      <c r="B630" s="16" t="s">
        <v>2146</v>
      </c>
      <c r="C630" s="16"/>
      <c r="D630" s="16" t="s">
        <v>418</v>
      </c>
      <c r="E630" s="16" t="s">
        <v>332</v>
      </c>
      <c r="F630" s="16" t="s">
        <v>333</v>
      </c>
      <c r="G630" s="17" t="n">
        <v>46289.6732175926</v>
      </c>
      <c r="H630" s="17" t="n">
        <v>46289.9600231482</v>
      </c>
      <c r="I630" s="18" t="n">
        <f aca="false">IF(H630="",ROUND((تنظیمات!$B$7-G630)*1440,0),ROUND((H630-G630)*1440,0))</f>
        <v>413</v>
      </c>
      <c r="J630" s="16" t="s">
        <v>346</v>
      </c>
      <c r="K630" s="16" t="s">
        <v>400</v>
      </c>
      <c r="L630" s="19" t="n">
        <v>0.992</v>
      </c>
      <c r="M630" s="19" t="n">
        <v>0.915</v>
      </c>
      <c r="N630" s="16" t="s">
        <v>335</v>
      </c>
      <c r="O630" s="16" t="s">
        <v>650</v>
      </c>
      <c r="P630" s="16" t="s">
        <v>651</v>
      </c>
      <c r="Q630" s="20" t="n">
        <v>46289</v>
      </c>
      <c r="R630" s="16" t="s">
        <v>2310</v>
      </c>
      <c r="S630" s="16" t="s">
        <v>404</v>
      </c>
      <c r="T630" s="17"/>
      <c r="U630" s="21" t="n">
        <v>1</v>
      </c>
      <c r="V630" s="21" t="n">
        <v>1</v>
      </c>
      <c r="W630" s="22" t="n">
        <v>5</v>
      </c>
      <c r="X630" s="16" t="s">
        <v>335</v>
      </c>
      <c r="Y630" s="16" t="s">
        <v>338</v>
      </c>
      <c r="Z630" s="16" t="s">
        <v>443</v>
      </c>
      <c r="AA630" s="16"/>
      <c r="AB630" s="23"/>
      <c r="AC630" s="17"/>
      <c r="AD630" s="16" t="s">
        <v>444</v>
      </c>
      <c r="AE630" s="16"/>
      <c r="AF630" s="16" t="str">
        <f aca="false">IF(COUNTIF(لیست_سفید!$A$2:$A$21,B630)&gt;0,"بله","خیر")</f>
        <v>خیر</v>
      </c>
      <c r="AG630" s="24" t="n">
        <f aca="false">IF(H630="","",IF(AD630="فیش مفقودی",تنظیمات!$B$6,(INT(I630/1440)*تنظیمات!$B$5+IF(MOD(I630,1440)&lt;=تنظیمات!$B$2,0,MIN(تنظیمات!$B$5,تنظیمات!$B$3+MAX(0,ROUNDUP((MOD(I630,1440)-60)/60,0))*تنظیمات!$B$4)))*INDEX(تعرفه!$B$2:$B$7,MATCH(AD630,تعرفه!$A$2:$A$7,0))))</f>
        <v>0</v>
      </c>
      <c r="AH630" s="24" t="n">
        <v>0</v>
      </c>
      <c r="AI630" s="24" t="n">
        <f aca="false">IF(AG630="","",AH630-AG630)</f>
        <v>0</v>
      </c>
      <c r="AJ630" s="21" t="n">
        <v>-3</v>
      </c>
      <c r="AK630" s="21" t="n">
        <v>0</v>
      </c>
      <c r="AL630" s="16" t="s">
        <v>335</v>
      </c>
      <c r="AM630" s="16"/>
      <c r="AN630" s="16" t="s">
        <v>340</v>
      </c>
      <c r="AO630" s="16" t="s">
        <v>340</v>
      </c>
      <c r="AP630" s="16" t="s">
        <v>335</v>
      </c>
      <c r="AQ630" s="16"/>
      <c r="AR630" s="21" t="n">
        <f aca="false">IF(AND(T630&lt;&gt;"",H630&lt;&gt;""),IF(AND((T630-H630)*86400&gt;=0,(T630-H630)*86400&lt;تنظیمات!$B$13),1,0),0)</f>
        <v>0</v>
      </c>
      <c r="AS630" s="21" t="n">
        <f aca="false">IF(Z630="پوز",IF(OR(AB630="",COUNTIF(پوزها!$A$2:$A$5,AA630)=0),1,0),0)</f>
        <v>0</v>
      </c>
      <c r="AT630" s="21" t="n">
        <f aca="false">IF(AI630="",0,IF(AI630&gt;0,1,0))</f>
        <v>0</v>
      </c>
      <c r="AU630" s="21" t="n">
        <f aca="false">IF(AI630="",0,IF(AI630&lt;0,1,0))</f>
        <v>0</v>
      </c>
      <c r="AV630" s="21" t="n">
        <f aca="false">IF(U630&gt;V630,1,0)</f>
        <v>0</v>
      </c>
      <c r="AW630" s="21" t="n">
        <f aca="false">IF(OR(W630&gt;تنظیمات!$B$8,X630="بله"),1,0)</f>
        <v>0</v>
      </c>
      <c r="AX630" s="21" t="n">
        <f aca="false">IF(AND(N630="بله",L630&gt;تنظیمات!$B$9),1,0)</f>
        <v>0</v>
      </c>
      <c r="AY630" s="21" t="n">
        <f aca="false">IF(Y630="معکوس",1,0)</f>
        <v>0</v>
      </c>
      <c r="AZ630" s="21" t="n">
        <f aca="false">IF(ABS(AJ630)&gt;تنظیمات!$B$10,1,0)</f>
        <v>0</v>
      </c>
      <c r="BA630" s="21" t="n">
        <f aca="false">IF(AND(OR(AD630="رایگان/VIP",AD630="جانباز"),AF630="خیر"),1,0)</f>
        <v>0</v>
      </c>
      <c r="BB630" s="21" t="n">
        <f aca="false">IF(AE630="",0,IF(COUNTIF($AE$2:$AE$1001,AE630)&gt;1,1,0))</f>
        <v>0</v>
      </c>
      <c r="BC630" s="21" t="n">
        <f aca="false">IF(AND(H630="",I630&gt;تنظیمات!$B$12*60,AM630="خالی"),1,0)</f>
        <v>0</v>
      </c>
      <c r="BD630" s="21" t="n">
        <f aca="false">IF(AND(AP630="بله",I630&lt;تنظیمات!$B$14,AO630="خیر"),1,0)</f>
        <v>0</v>
      </c>
      <c r="BE630" s="21" t="n">
        <f aca="false">IF(AN630="خیر",1,0)</f>
        <v>0</v>
      </c>
      <c r="BF630" s="21" t="n">
        <f aca="false">IF(AND(AD630="فیش مفقودی",AQ630="بله",I630&gt;تنظیمات!$B$12*60),1,0)</f>
        <v>0</v>
      </c>
      <c r="BG630" s="21" t="n">
        <f aca="false">IF(AND(AK630&gt;تنظیمات!$B$11,AL630="بله"),1,0)</f>
        <v>0</v>
      </c>
      <c r="BH630" s="21" t="n">
        <f aca="false">MIN(100,AR630*تنظیمات!$B$21+AS630*تنظیمات!$B$22+AT630*تنظیمات!$B$23+AU630*تنظیمات!$B$24+AV630*تنظیمات!$B$25+AW630*تنظیمات!$B$26+AX630*تنظیمات!$B$27+AY630*تنظیمات!$B$28+AZ630*تنظیمات!$B$29+BA630*تنظیمات!$B$30+BB630*تنظیمات!$B$31+BC630*تنظیمات!$B$32+BD630*تنظیمات!$B$33+BE630*تنظیمات!$B$34+BF630*تنظیمات!$B$35+BG630*تنظیمات!$B$36)</f>
        <v>0</v>
      </c>
      <c r="BI630" s="16" t="str">
        <f aca="false">IF(BH630&gt;=60,"بحرانی",IF(BH630&gt;=30,"مشکوک",IF(BH630&gt;0,"هشدار","عادی")))</f>
        <v>عادی</v>
      </c>
      <c r="BJ630" s="16" t="s">
        <v>338</v>
      </c>
    </row>
    <row r="631" customFormat="false" ht="15" hidden="false" customHeight="false" outlineLevel="0" collapsed="false">
      <c r="A631" s="16" t="s">
        <v>2311</v>
      </c>
      <c r="B631" s="16" t="s">
        <v>1373</v>
      </c>
      <c r="C631" s="16"/>
      <c r="D631" s="16" t="s">
        <v>370</v>
      </c>
      <c r="E631" s="16" t="s">
        <v>363</v>
      </c>
      <c r="F631" s="16" t="s">
        <v>333</v>
      </c>
      <c r="G631" s="17" t="n">
        <v>46289.6814467593</v>
      </c>
      <c r="H631" s="17" t="n">
        <v>46289.7245023148</v>
      </c>
      <c r="I631" s="18" t="n">
        <f aca="false">IF(H631="",ROUND((تنظیمات!$B$7-G631)*1440,0),ROUND((H631-G631)*1440,0))</f>
        <v>62</v>
      </c>
      <c r="J631" s="16" t="s">
        <v>334</v>
      </c>
      <c r="K631" s="16" t="s">
        <v>410</v>
      </c>
      <c r="L631" s="19" t="n">
        <v>0.995</v>
      </c>
      <c r="M631" s="19" t="n">
        <v>0.991</v>
      </c>
      <c r="N631" s="16" t="s">
        <v>335</v>
      </c>
      <c r="O631" s="16" t="s">
        <v>419</v>
      </c>
      <c r="P631" s="16" t="s">
        <v>420</v>
      </c>
      <c r="Q631" s="20" t="n">
        <v>46289</v>
      </c>
      <c r="R631" s="16" t="s">
        <v>2312</v>
      </c>
      <c r="S631" s="16" t="s">
        <v>404</v>
      </c>
      <c r="T631" s="17"/>
      <c r="U631" s="21" t="n">
        <v>1</v>
      </c>
      <c r="V631" s="21" t="n">
        <v>1</v>
      </c>
      <c r="W631" s="22" t="n">
        <v>4.6</v>
      </c>
      <c r="X631" s="16" t="s">
        <v>335</v>
      </c>
      <c r="Y631" s="16" t="s">
        <v>338</v>
      </c>
      <c r="Z631" s="16" t="s">
        <v>413</v>
      </c>
      <c r="AA631" s="16" t="s">
        <v>414</v>
      </c>
      <c r="AB631" s="23" t="s">
        <v>2313</v>
      </c>
      <c r="AC631" s="17" t="n">
        <v>46289.723912037</v>
      </c>
      <c r="AD631" s="16" t="s">
        <v>338</v>
      </c>
      <c r="AE631" s="16"/>
      <c r="AF631" s="16" t="str">
        <f aca="false">IF(COUNTIF(لیست_سفید!$A$2:$A$21,B631)&gt;0,"بله","خیر")</f>
        <v>خیر</v>
      </c>
      <c r="AG631" s="24" t="n">
        <f aca="false">IF(H631="","",IF(AD631="فیش مفقودی",تنظیمات!$B$6,(INT(I631/1440)*تنظیمات!$B$5+IF(MOD(I631,1440)&lt;=تنظیمات!$B$2,0,MIN(تنظیمات!$B$5,تنظیمات!$B$3+MAX(0,ROUNDUP((MOD(I631,1440)-60)/60,0))*تنظیمات!$B$4)))*INDEX(تعرفه!$B$2:$B$7,MATCH(AD631,تعرفه!$A$2:$A$7,0))))</f>
        <v>34000</v>
      </c>
      <c r="AH631" s="24" t="n">
        <v>34000</v>
      </c>
      <c r="AI631" s="24" t="n">
        <f aca="false">IF(AG631="","",AH631-AG631)</f>
        <v>0</v>
      </c>
      <c r="AJ631" s="21" t="n">
        <v>-1</v>
      </c>
      <c r="AK631" s="21" t="n">
        <v>0</v>
      </c>
      <c r="AL631" s="16" t="s">
        <v>335</v>
      </c>
      <c r="AM631" s="16"/>
      <c r="AN631" s="16" t="s">
        <v>340</v>
      </c>
      <c r="AO631" s="16" t="s">
        <v>340</v>
      </c>
      <c r="AP631" s="16" t="s">
        <v>335</v>
      </c>
      <c r="AQ631" s="16"/>
      <c r="AR631" s="21" t="n">
        <f aca="false">IF(AND(T631&lt;&gt;"",H631&lt;&gt;""),IF(AND((T631-H631)*86400&gt;=0,(T631-H631)*86400&lt;تنظیمات!$B$13),1,0),0)</f>
        <v>0</v>
      </c>
      <c r="AS631" s="21" t="n">
        <f aca="false">IF(Z631="پوز",IF(OR(AB631="",COUNTIF(پوزها!$A$2:$A$5,AA631)=0),1,0),0)</f>
        <v>0</v>
      </c>
      <c r="AT631" s="21" t="n">
        <f aca="false">IF(AI631="",0,IF(AI631&gt;0,1,0))</f>
        <v>0</v>
      </c>
      <c r="AU631" s="21" t="n">
        <f aca="false">IF(AI631="",0,IF(AI631&lt;0,1,0))</f>
        <v>0</v>
      </c>
      <c r="AV631" s="21" t="n">
        <f aca="false">IF(U631&gt;V631,1,0)</f>
        <v>0</v>
      </c>
      <c r="AW631" s="21" t="n">
        <f aca="false">IF(OR(W631&gt;تنظیمات!$B$8,X631="بله"),1,0)</f>
        <v>0</v>
      </c>
      <c r="AX631" s="21" t="n">
        <f aca="false">IF(AND(N631="بله",L631&gt;تنظیمات!$B$9),1,0)</f>
        <v>0</v>
      </c>
      <c r="AY631" s="21" t="n">
        <f aca="false">IF(Y631="معکوس",1,0)</f>
        <v>0</v>
      </c>
      <c r="AZ631" s="21" t="n">
        <f aca="false">IF(ABS(AJ631)&gt;تنظیمات!$B$10,1,0)</f>
        <v>0</v>
      </c>
      <c r="BA631" s="21" t="n">
        <f aca="false">IF(AND(OR(AD631="رایگان/VIP",AD631="جانباز"),AF631="خیر"),1,0)</f>
        <v>0</v>
      </c>
      <c r="BB631" s="21" t="n">
        <f aca="false">IF(AE631="",0,IF(COUNTIF($AE$2:$AE$1001,AE631)&gt;1,1,0))</f>
        <v>0</v>
      </c>
      <c r="BC631" s="21" t="n">
        <f aca="false">IF(AND(H631="",I631&gt;تنظیمات!$B$12*60,AM631="خالی"),1,0)</f>
        <v>0</v>
      </c>
      <c r="BD631" s="21" t="n">
        <f aca="false">IF(AND(AP631="بله",I631&lt;تنظیمات!$B$14,AO631="خیر"),1,0)</f>
        <v>0</v>
      </c>
      <c r="BE631" s="21" t="n">
        <f aca="false">IF(AN631="خیر",1,0)</f>
        <v>0</v>
      </c>
      <c r="BF631" s="21" t="n">
        <f aca="false">IF(AND(AD631="فیش مفقودی",AQ631="بله",I631&gt;تنظیمات!$B$12*60),1,0)</f>
        <v>0</v>
      </c>
      <c r="BG631" s="21" t="n">
        <f aca="false">IF(AND(AK631&gt;تنظیمات!$B$11,AL631="بله"),1,0)</f>
        <v>0</v>
      </c>
      <c r="BH631" s="21" t="n">
        <f aca="false">MIN(100,AR631*تنظیمات!$B$21+AS631*تنظیمات!$B$22+AT631*تنظیمات!$B$23+AU631*تنظیمات!$B$24+AV631*تنظیمات!$B$25+AW631*تنظیمات!$B$26+AX631*تنظیمات!$B$27+AY631*تنظیمات!$B$28+AZ631*تنظیمات!$B$29+BA631*تنظیمات!$B$30+BB631*تنظیمات!$B$31+BC631*تنظیمات!$B$32+BD631*تنظیمات!$B$33+BE631*تنظیمات!$B$34+BF631*تنظیمات!$B$35+BG631*تنظیمات!$B$36)</f>
        <v>0</v>
      </c>
      <c r="BI631" s="16" t="str">
        <f aca="false">IF(BH631&gt;=60,"بحرانی",IF(BH631&gt;=30,"مشکوک",IF(BH631&gt;0,"هشدار","عادی")))</f>
        <v>عادی</v>
      </c>
      <c r="BJ631" s="16" t="s">
        <v>338</v>
      </c>
    </row>
    <row r="632" customFormat="false" ht="15" hidden="false" customHeight="false" outlineLevel="0" collapsed="false">
      <c r="A632" s="16" t="s">
        <v>2314</v>
      </c>
      <c r="B632" s="16" t="s">
        <v>1065</v>
      </c>
      <c r="C632" s="16"/>
      <c r="D632" s="16" t="s">
        <v>344</v>
      </c>
      <c r="E632" s="16" t="s">
        <v>345</v>
      </c>
      <c r="F632" s="16" t="s">
        <v>333</v>
      </c>
      <c r="G632" s="17" t="n">
        <v>46289.6885069445</v>
      </c>
      <c r="H632" s="17" t="n">
        <v>46289.7142013889</v>
      </c>
      <c r="I632" s="18" t="n">
        <f aca="false">IF(H632="",ROUND((تنظیمات!$B$7-G632)*1440,0),ROUND((H632-G632)*1440,0))</f>
        <v>37</v>
      </c>
      <c r="J632" s="16" t="s">
        <v>334</v>
      </c>
      <c r="K632" s="16" t="s">
        <v>400</v>
      </c>
      <c r="L632" s="19" t="n">
        <v>0.975</v>
      </c>
      <c r="M632" s="19" t="n">
        <v>0.961</v>
      </c>
      <c r="N632" s="16" t="s">
        <v>335</v>
      </c>
      <c r="O632" s="16" t="s">
        <v>401</v>
      </c>
      <c r="P632" s="16" t="s">
        <v>420</v>
      </c>
      <c r="Q632" s="20" t="n">
        <v>46289</v>
      </c>
      <c r="R632" s="16" t="s">
        <v>2315</v>
      </c>
      <c r="S632" s="16" t="s">
        <v>404</v>
      </c>
      <c r="T632" s="17"/>
      <c r="U632" s="21" t="n">
        <v>1</v>
      </c>
      <c r="V632" s="21" t="n">
        <v>1</v>
      </c>
      <c r="W632" s="22" t="n">
        <v>5.9</v>
      </c>
      <c r="X632" s="16" t="s">
        <v>335</v>
      </c>
      <c r="Y632" s="16" t="s">
        <v>338</v>
      </c>
      <c r="Z632" s="16" t="s">
        <v>405</v>
      </c>
      <c r="AA632" s="16"/>
      <c r="AB632" s="23"/>
      <c r="AC632" s="17"/>
      <c r="AD632" s="16" t="s">
        <v>481</v>
      </c>
      <c r="AE632" s="16" t="s">
        <v>2316</v>
      </c>
      <c r="AF632" s="16" t="str">
        <f aca="false">IF(COUNTIF(لیست_سفید!$A$2:$A$21,B632)&gt;0,"بله","خیر")</f>
        <v>خیر</v>
      </c>
      <c r="AG632" s="24" t="n">
        <f aca="false">IF(H632="","",IF(AD632="فیش مفقودی",تنظیمات!$B$6,(INT(I632/1440)*تنظیمات!$B$5+IF(MOD(I632,1440)&lt;=تنظیمات!$B$2,0,MIN(تنظیمات!$B$5,تنظیمات!$B$3+MAX(0,ROUNDUP((MOD(I632,1440)-60)/60,0))*تنظیمات!$B$4)))*INDEX(تعرفه!$B$2:$B$7,MATCH(AD632,تعرفه!$A$2:$A$7,0))))</f>
        <v>10000</v>
      </c>
      <c r="AH632" s="24" t="n">
        <v>10000</v>
      </c>
      <c r="AI632" s="24" t="n">
        <f aca="false">IF(AG632="","",AH632-AG632)</f>
        <v>0</v>
      </c>
      <c r="AJ632" s="21" t="n">
        <v>-2</v>
      </c>
      <c r="AK632" s="21" t="n">
        <v>0</v>
      </c>
      <c r="AL632" s="16" t="s">
        <v>335</v>
      </c>
      <c r="AM632" s="16"/>
      <c r="AN632" s="16" t="s">
        <v>340</v>
      </c>
      <c r="AO632" s="16" t="s">
        <v>340</v>
      </c>
      <c r="AP632" s="16" t="s">
        <v>335</v>
      </c>
      <c r="AQ632" s="16"/>
      <c r="AR632" s="21" t="n">
        <f aca="false">IF(AND(T632&lt;&gt;"",H632&lt;&gt;""),IF(AND((T632-H632)*86400&gt;=0,(T632-H632)*86400&lt;تنظیمات!$B$13),1,0),0)</f>
        <v>0</v>
      </c>
      <c r="AS632" s="21" t="n">
        <f aca="false">IF(Z632="پوز",IF(OR(AB632="",COUNTIF(پوزها!$A$2:$A$5,AA632)=0),1,0),0)</f>
        <v>0</v>
      </c>
      <c r="AT632" s="21" t="n">
        <f aca="false">IF(AI632="",0,IF(AI632&gt;0,1,0))</f>
        <v>0</v>
      </c>
      <c r="AU632" s="21" t="n">
        <f aca="false">IF(AI632="",0,IF(AI632&lt;0,1,0))</f>
        <v>0</v>
      </c>
      <c r="AV632" s="21" t="n">
        <f aca="false">IF(U632&gt;V632,1,0)</f>
        <v>0</v>
      </c>
      <c r="AW632" s="21" t="n">
        <f aca="false">IF(OR(W632&gt;تنظیمات!$B$8,X632="بله"),1,0)</f>
        <v>0</v>
      </c>
      <c r="AX632" s="21" t="n">
        <f aca="false">IF(AND(N632="بله",L632&gt;تنظیمات!$B$9),1,0)</f>
        <v>0</v>
      </c>
      <c r="AY632" s="21" t="n">
        <f aca="false">IF(Y632="معکوس",1,0)</f>
        <v>0</v>
      </c>
      <c r="AZ632" s="21" t="n">
        <f aca="false">IF(ABS(AJ632)&gt;تنظیمات!$B$10,1,0)</f>
        <v>0</v>
      </c>
      <c r="BA632" s="21" t="n">
        <f aca="false">IF(AND(OR(AD632="رایگان/VIP",AD632="جانباز"),AF632="خیر"),1,0)</f>
        <v>0</v>
      </c>
      <c r="BB632" s="21" t="n">
        <f aca="false">IF(AE632="",0,IF(COUNTIF($AE$2:$AE$1001,AE632)&gt;1,1,0))</f>
        <v>0</v>
      </c>
      <c r="BC632" s="21" t="n">
        <f aca="false">IF(AND(H632="",I632&gt;تنظیمات!$B$12*60,AM632="خالی"),1,0)</f>
        <v>0</v>
      </c>
      <c r="BD632" s="21" t="n">
        <f aca="false">IF(AND(AP632="بله",I632&lt;تنظیمات!$B$14,AO632="خیر"),1,0)</f>
        <v>0</v>
      </c>
      <c r="BE632" s="21" t="n">
        <f aca="false">IF(AN632="خیر",1,0)</f>
        <v>0</v>
      </c>
      <c r="BF632" s="21" t="n">
        <f aca="false">IF(AND(AD632="فیش مفقودی",AQ632="بله",I632&gt;تنظیمات!$B$12*60),1,0)</f>
        <v>0</v>
      </c>
      <c r="BG632" s="21" t="n">
        <f aca="false">IF(AND(AK632&gt;تنظیمات!$B$11,AL632="بله"),1,0)</f>
        <v>0</v>
      </c>
      <c r="BH632" s="21" t="n">
        <f aca="false">MIN(100,AR632*تنظیمات!$B$21+AS632*تنظیمات!$B$22+AT632*تنظیمات!$B$23+AU632*تنظیمات!$B$24+AV632*تنظیمات!$B$25+AW632*تنظیمات!$B$26+AX632*تنظیمات!$B$27+AY632*تنظیمات!$B$28+AZ632*تنظیمات!$B$29+BA632*تنظیمات!$B$30+BB632*تنظیمات!$B$31+BC632*تنظیمات!$B$32+BD632*تنظیمات!$B$33+BE632*تنظیمات!$B$34+BF632*تنظیمات!$B$35+BG632*تنظیمات!$B$36)</f>
        <v>0</v>
      </c>
      <c r="BI632" s="16" t="str">
        <f aca="false">IF(BH632&gt;=60,"بحرانی",IF(BH632&gt;=30,"مشکوک",IF(BH632&gt;0,"هشدار","عادی")))</f>
        <v>عادی</v>
      </c>
      <c r="BJ632" s="16" t="s">
        <v>338</v>
      </c>
    </row>
    <row r="633" customFormat="false" ht="15" hidden="false" customHeight="false" outlineLevel="0" collapsed="false">
      <c r="A633" s="16" t="s">
        <v>2317</v>
      </c>
      <c r="B633" s="16" t="s">
        <v>1457</v>
      </c>
      <c r="C633" s="16"/>
      <c r="D633" s="16" t="s">
        <v>450</v>
      </c>
      <c r="E633" s="16" t="s">
        <v>363</v>
      </c>
      <c r="F633" s="16" t="s">
        <v>333</v>
      </c>
      <c r="G633" s="17" t="n">
        <v>46289.6950578704</v>
      </c>
      <c r="H633" s="17" t="n">
        <v>46289.8353356482</v>
      </c>
      <c r="I633" s="18" t="n">
        <f aca="false">IF(H633="",ROUND((تنظیمات!$B$7-G633)*1440,0),ROUND((H633-G633)*1440,0))</f>
        <v>202</v>
      </c>
      <c r="J633" s="16" t="s">
        <v>346</v>
      </c>
      <c r="K633" s="16" t="s">
        <v>400</v>
      </c>
      <c r="L633" s="19" t="n">
        <v>0.949</v>
      </c>
      <c r="M633" s="19" t="n">
        <v>0.901</v>
      </c>
      <c r="N633" s="16" t="s">
        <v>335</v>
      </c>
      <c r="O633" s="16" t="s">
        <v>401</v>
      </c>
      <c r="P633" s="16" t="s">
        <v>420</v>
      </c>
      <c r="Q633" s="20" t="n">
        <v>46289</v>
      </c>
      <c r="R633" s="16" t="s">
        <v>2318</v>
      </c>
      <c r="S633" s="16" t="s">
        <v>404</v>
      </c>
      <c r="T633" s="17"/>
      <c r="U633" s="21" t="n">
        <v>1</v>
      </c>
      <c r="V633" s="21" t="n">
        <v>1</v>
      </c>
      <c r="W633" s="22" t="n">
        <v>4.6</v>
      </c>
      <c r="X633" s="16" t="s">
        <v>335</v>
      </c>
      <c r="Y633" s="16" t="s">
        <v>338</v>
      </c>
      <c r="Z633" s="16" t="s">
        <v>405</v>
      </c>
      <c r="AA633" s="16"/>
      <c r="AB633" s="23"/>
      <c r="AC633" s="17"/>
      <c r="AD633" s="16" t="s">
        <v>481</v>
      </c>
      <c r="AE633" s="16" t="s">
        <v>949</v>
      </c>
      <c r="AF633" s="16" t="str">
        <f aca="false">IF(COUNTIF(لیست_سفید!$A$2:$A$21,B633)&gt;0,"بله","خیر")</f>
        <v>خیر</v>
      </c>
      <c r="AG633" s="24" t="n">
        <f aca="false">IF(H633="","",IF(AD633="فیش مفقودی",تنظیمات!$B$6,(INT(I633/1440)*تنظیمات!$B$5+IF(MOD(I633,1440)&lt;=تنظیمات!$B$2,0,MIN(تنظیمات!$B$5,تنظیمات!$B$3+MAX(0,ROUNDUP((MOD(I633,1440)-60)/60,0))*تنظیمات!$B$4)))*INDEX(تعرفه!$B$2:$B$7,MATCH(AD633,تعرفه!$A$2:$A$7,0))))</f>
        <v>31000</v>
      </c>
      <c r="AH633" s="24" t="n">
        <v>31000</v>
      </c>
      <c r="AI633" s="24" t="n">
        <f aca="false">IF(AG633="","",AH633-AG633)</f>
        <v>0</v>
      </c>
      <c r="AJ633" s="21" t="n">
        <v>1</v>
      </c>
      <c r="AK633" s="21" t="n">
        <v>0</v>
      </c>
      <c r="AL633" s="16" t="s">
        <v>335</v>
      </c>
      <c r="AM633" s="16"/>
      <c r="AN633" s="16" t="s">
        <v>340</v>
      </c>
      <c r="AO633" s="16" t="s">
        <v>340</v>
      </c>
      <c r="AP633" s="16" t="s">
        <v>335</v>
      </c>
      <c r="AQ633" s="16"/>
      <c r="AR633" s="21" t="n">
        <f aca="false">IF(AND(T633&lt;&gt;"",H633&lt;&gt;""),IF(AND((T633-H633)*86400&gt;=0,(T633-H633)*86400&lt;تنظیمات!$B$13),1,0),0)</f>
        <v>0</v>
      </c>
      <c r="AS633" s="21" t="n">
        <f aca="false">IF(Z633="پوز",IF(OR(AB633="",COUNTIF(پوزها!$A$2:$A$5,AA633)=0),1,0),0)</f>
        <v>0</v>
      </c>
      <c r="AT633" s="21" t="n">
        <f aca="false">IF(AI633="",0,IF(AI633&gt;0,1,0))</f>
        <v>0</v>
      </c>
      <c r="AU633" s="21" t="n">
        <f aca="false">IF(AI633="",0,IF(AI633&lt;0,1,0))</f>
        <v>0</v>
      </c>
      <c r="AV633" s="21" t="n">
        <f aca="false">IF(U633&gt;V633,1,0)</f>
        <v>0</v>
      </c>
      <c r="AW633" s="21" t="n">
        <f aca="false">IF(OR(W633&gt;تنظیمات!$B$8,X633="بله"),1,0)</f>
        <v>0</v>
      </c>
      <c r="AX633" s="21" t="n">
        <f aca="false">IF(AND(N633="بله",L633&gt;تنظیمات!$B$9),1,0)</f>
        <v>0</v>
      </c>
      <c r="AY633" s="21" t="n">
        <f aca="false">IF(Y633="معکوس",1,0)</f>
        <v>0</v>
      </c>
      <c r="AZ633" s="21" t="n">
        <f aca="false">IF(ABS(AJ633)&gt;تنظیمات!$B$10,1,0)</f>
        <v>0</v>
      </c>
      <c r="BA633" s="21" t="n">
        <f aca="false">IF(AND(OR(AD633="رایگان/VIP",AD633="جانباز"),AF633="خیر"),1,0)</f>
        <v>0</v>
      </c>
      <c r="BB633" s="21" t="n">
        <f aca="false">IF(AE633="",0,IF(COUNTIF($AE$2:$AE$1001,AE633)&gt;1,1,0))</f>
        <v>1</v>
      </c>
      <c r="BC633" s="21" t="n">
        <f aca="false">IF(AND(H633="",I633&gt;تنظیمات!$B$12*60,AM633="خالی"),1,0)</f>
        <v>0</v>
      </c>
      <c r="BD633" s="21" t="n">
        <f aca="false">IF(AND(AP633="بله",I633&lt;تنظیمات!$B$14,AO633="خیر"),1,0)</f>
        <v>0</v>
      </c>
      <c r="BE633" s="21" t="n">
        <f aca="false">IF(AN633="خیر",1,0)</f>
        <v>0</v>
      </c>
      <c r="BF633" s="21" t="n">
        <f aca="false">IF(AND(AD633="فیش مفقودی",AQ633="بله",I633&gt;تنظیمات!$B$12*60),1,0)</f>
        <v>0</v>
      </c>
      <c r="BG633" s="21" t="n">
        <f aca="false">IF(AND(AK633&gt;تنظیمات!$B$11,AL633="بله"),1,0)</f>
        <v>0</v>
      </c>
      <c r="BH633" s="21" t="n">
        <f aca="false">MIN(100,AR633*تنظیمات!$B$21+AS633*تنظیمات!$B$22+AT633*تنظیمات!$B$23+AU633*تنظیمات!$B$24+AV633*تنظیمات!$B$25+AW633*تنظیمات!$B$26+AX633*تنظیمات!$B$27+AY633*تنظیمات!$B$28+AZ633*تنظیمات!$B$29+BA633*تنظیمات!$B$30+BB633*تنظیمات!$B$31+BC633*تنظیمات!$B$32+BD633*تنظیمات!$B$33+BE633*تنظیمات!$B$34+BF633*تنظیمات!$B$35+BG633*تنظیمات!$B$36)</f>
        <v>25</v>
      </c>
      <c r="BI633" s="16" t="str">
        <f aca="false">IF(BH633&gt;=60,"بحرانی",IF(BH633&gt;=30,"مشکوک",IF(BH633&gt;0,"هشدار","عادی")))</f>
        <v>هشدار</v>
      </c>
      <c r="BJ633" s="16" t="s">
        <v>950</v>
      </c>
    </row>
    <row r="634" customFormat="false" ht="15" hidden="false" customHeight="false" outlineLevel="0" collapsed="false">
      <c r="A634" s="16" t="s">
        <v>2319</v>
      </c>
      <c r="B634" s="16" t="s">
        <v>1200</v>
      </c>
      <c r="C634" s="16"/>
      <c r="D634" s="16" t="s">
        <v>358</v>
      </c>
      <c r="E634" s="16" t="s">
        <v>363</v>
      </c>
      <c r="F634" s="16" t="s">
        <v>359</v>
      </c>
      <c r="G634" s="17" t="n">
        <v>46289.7019791667</v>
      </c>
      <c r="H634" s="17"/>
      <c r="I634" s="18" t="n">
        <f aca="false">IF(H634="",ROUND((تنظیمات!$B$7-G634)*1440,0),ROUND((H634-G634)*1440,0))</f>
        <v>7989</v>
      </c>
      <c r="J634" s="16" t="s">
        <v>334</v>
      </c>
      <c r="K634" s="16"/>
      <c r="L634" s="19" t="n">
        <v>0.975</v>
      </c>
      <c r="M634" s="19"/>
      <c r="N634" s="16" t="s">
        <v>335</v>
      </c>
      <c r="O634" s="16"/>
      <c r="P634" s="16"/>
      <c r="Q634" s="20"/>
      <c r="R634" s="16" t="s">
        <v>2320</v>
      </c>
      <c r="S634" s="16" t="s">
        <v>337</v>
      </c>
      <c r="T634" s="17"/>
      <c r="U634" s="21" t="n">
        <v>1</v>
      </c>
      <c r="V634" s="21" t="n">
        <v>1</v>
      </c>
      <c r="W634" s="22" t="n">
        <v>3.4</v>
      </c>
      <c r="X634" s="16" t="s">
        <v>335</v>
      </c>
      <c r="Y634" s="16" t="s">
        <v>338</v>
      </c>
      <c r="Z634" s="16"/>
      <c r="AA634" s="16"/>
      <c r="AB634" s="23"/>
      <c r="AC634" s="17"/>
      <c r="AD634" s="16" t="s">
        <v>338</v>
      </c>
      <c r="AE634" s="16"/>
      <c r="AF634" s="16" t="str">
        <f aca="false">IF(COUNTIF(لیست_سفید!$A$2:$A$21,B634)&gt;0,"بله","خیر")</f>
        <v>خیر</v>
      </c>
      <c r="AG634" s="24" t="str">
        <f aca="false">IF(H634="","",IF(AD634="فیش مفقودی",تنظیمات!$B$6,(INT(I634/1440)*تنظیمات!$B$5+IF(MOD(I634,1440)&lt;=تنظیمات!$B$2,0,MIN(تنظیمات!$B$5,تنظیمات!$B$3+MAX(0,ROUNDUP((MOD(I634,1440)-60)/60,0))*تنظیمات!$B$4)))*INDEX(تعرفه!$B$2:$B$7,MATCH(AD634,تعرفه!$A$2:$A$7,0))))</f>
        <v/>
      </c>
      <c r="AH634" s="24"/>
      <c r="AI634" s="24" t="str">
        <f aca="false">IF(AG634="","",AH634-AG634)</f>
        <v/>
      </c>
      <c r="AJ634" s="21" t="n">
        <v>-2</v>
      </c>
      <c r="AK634" s="21" t="n">
        <v>0</v>
      </c>
      <c r="AL634" s="16" t="s">
        <v>335</v>
      </c>
      <c r="AM634" s="16" t="s">
        <v>1704</v>
      </c>
      <c r="AN634" s="16" t="s">
        <v>340</v>
      </c>
      <c r="AO634" s="16" t="s">
        <v>340</v>
      </c>
      <c r="AP634" s="16" t="s">
        <v>335</v>
      </c>
      <c r="AQ634" s="16"/>
      <c r="AR634" s="21" t="n">
        <f aca="false">IF(AND(T634&lt;&gt;"",H634&lt;&gt;""),IF(AND((T634-H634)*86400&gt;=0,(T634-H634)*86400&lt;تنظیمات!$B$13),1,0),0)</f>
        <v>0</v>
      </c>
      <c r="AS634" s="21" t="n">
        <f aca="false">IF(Z634="پوز",IF(OR(AB634="",COUNTIF(پوزها!$A$2:$A$5,AA634)=0),1,0),0)</f>
        <v>0</v>
      </c>
      <c r="AT634" s="21" t="n">
        <f aca="false">IF(AI634="",0,IF(AI634&gt;0,1,0))</f>
        <v>0</v>
      </c>
      <c r="AU634" s="21" t="n">
        <f aca="false">IF(AI634="",0,IF(AI634&lt;0,1,0))</f>
        <v>0</v>
      </c>
      <c r="AV634" s="21" t="n">
        <f aca="false">IF(U634&gt;V634,1,0)</f>
        <v>0</v>
      </c>
      <c r="AW634" s="21" t="n">
        <f aca="false">IF(OR(W634&gt;تنظیمات!$B$8,X634="بله"),1,0)</f>
        <v>0</v>
      </c>
      <c r="AX634" s="21" t="n">
        <f aca="false">IF(AND(N634="بله",L634&gt;تنظیمات!$B$9),1,0)</f>
        <v>0</v>
      </c>
      <c r="AY634" s="21" t="n">
        <f aca="false">IF(Y634="معکوس",1,0)</f>
        <v>0</v>
      </c>
      <c r="AZ634" s="21" t="n">
        <f aca="false">IF(ABS(AJ634)&gt;تنظیمات!$B$10,1,0)</f>
        <v>0</v>
      </c>
      <c r="BA634" s="21" t="n">
        <f aca="false">IF(AND(OR(AD634="رایگان/VIP",AD634="جانباز"),AF634="خیر"),1,0)</f>
        <v>0</v>
      </c>
      <c r="BB634" s="21" t="n">
        <f aca="false">IF(AE634="",0,IF(COUNTIF($AE$2:$AE$1001,AE634)&gt;1,1,0))</f>
        <v>0</v>
      </c>
      <c r="BC634" s="21" t="n">
        <f aca="false">IF(AND(H634="",I634&gt;تنظیمات!$B$12*60,AM634="خالی"),1,0)</f>
        <v>0</v>
      </c>
      <c r="BD634" s="21" t="n">
        <f aca="false">IF(AND(AP634="بله",I634&lt;تنظیمات!$B$14,AO634="خیر"),1,0)</f>
        <v>0</v>
      </c>
      <c r="BE634" s="21" t="n">
        <f aca="false">IF(AN634="خیر",1,0)</f>
        <v>0</v>
      </c>
      <c r="BF634" s="21" t="n">
        <f aca="false">IF(AND(AD634="فیش مفقودی",AQ634="بله",I634&gt;تنظیمات!$B$12*60),1,0)</f>
        <v>0</v>
      </c>
      <c r="BG634" s="21" t="n">
        <f aca="false">IF(AND(AK634&gt;تنظیمات!$B$11,AL634="بله"),1,0)</f>
        <v>0</v>
      </c>
      <c r="BH634" s="21" t="n">
        <f aca="false">MIN(100,AR634*تنظیمات!$B$21+AS634*تنظیمات!$B$22+AT634*تنظیمات!$B$23+AU634*تنظیمات!$B$24+AV634*تنظیمات!$B$25+AW634*تنظیمات!$B$26+AX634*تنظیمات!$B$27+AY634*تنظیمات!$B$28+AZ634*تنظیمات!$B$29+BA634*تنظیمات!$B$30+BB634*تنظیمات!$B$31+BC634*تنظیمات!$B$32+BD634*تنظیمات!$B$33+BE634*تنظیمات!$B$34+BF634*تنظیمات!$B$35+BG634*تنظیمات!$B$36)</f>
        <v>0</v>
      </c>
      <c r="BI634" s="16" t="str">
        <f aca="false">IF(BH634&gt;=60,"بحرانی",IF(BH634&gt;=30,"مشکوک",IF(BH634&gt;0,"هشدار","عادی")))</f>
        <v>عادی</v>
      </c>
      <c r="BJ634" s="16" t="s">
        <v>338</v>
      </c>
    </row>
    <row r="635" customFormat="false" ht="15" hidden="false" customHeight="false" outlineLevel="0" collapsed="false">
      <c r="A635" s="16" t="s">
        <v>2321</v>
      </c>
      <c r="B635" s="16" t="s">
        <v>1020</v>
      </c>
      <c r="C635" s="16"/>
      <c r="D635" s="16" t="s">
        <v>370</v>
      </c>
      <c r="E635" s="16" t="s">
        <v>363</v>
      </c>
      <c r="F635" s="16" t="s">
        <v>333</v>
      </c>
      <c r="G635" s="17" t="n">
        <v>46289.7338194445</v>
      </c>
      <c r="H635" s="17" t="n">
        <v>46289.7359027778</v>
      </c>
      <c r="I635" s="18" t="n">
        <f aca="false">IF(H635="",ROUND((تنظیمات!$B$7-G635)*1440,0),ROUND((H635-G635)*1440,0))</f>
        <v>3</v>
      </c>
      <c r="J635" s="16" t="s">
        <v>346</v>
      </c>
      <c r="K635" s="16" t="s">
        <v>400</v>
      </c>
      <c r="L635" s="19" t="n">
        <v>0.988</v>
      </c>
      <c r="M635" s="19" t="n">
        <v>0.914</v>
      </c>
      <c r="N635" s="16" t="s">
        <v>335</v>
      </c>
      <c r="O635" s="16" t="s">
        <v>401</v>
      </c>
      <c r="P635" s="16" t="s">
        <v>420</v>
      </c>
      <c r="Q635" s="20" t="n">
        <v>46289</v>
      </c>
      <c r="R635" s="16" t="s">
        <v>2322</v>
      </c>
      <c r="S635" s="16" t="s">
        <v>404</v>
      </c>
      <c r="T635" s="17"/>
      <c r="U635" s="21" t="n">
        <v>1</v>
      </c>
      <c r="V635" s="21" t="n">
        <v>1</v>
      </c>
      <c r="W635" s="22" t="n">
        <v>3.9</v>
      </c>
      <c r="X635" s="16" t="s">
        <v>335</v>
      </c>
      <c r="Y635" s="16" t="s">
        <v>338</v>
      </c>
      <c r="Z635" s="16" t="s">
        <v>628</v>
      </c>
      <c r="AA635" s="16"/>
      <c r="AB635" s="23"/>
      <c r="AC635" s="17"/>
      <c r="AD635" s="16" t="s">
        <v>338</v>
      </c>
      <c r="AE635" s="16"/>
      <c r="AF635" s="16" t="str">
        <f aca="false">IF(COUNTIF(لیست_سفید!$A$2:$A$21,B635)&gt;0,"بله","خیر")</f>
        <v>خیر</v>
      </c>
      <c r="AG635" s="24" t="n">
        <f aca="false">IF(H635="","",IF(AD635="فیش مفقودی",تنظیمات!$B$6,(INT(I635/1440)*تنظیمات!$B$5+IF(MOD(I635,1440)&lt;=تنظیمات!$B$2,0,MIN(تنظیمات!$B$5,تنظیمات!$B$3+MAX(0,ROUNDUP((MOD(I635,1440)-60)/60,0))*تنظیمات!$B$4)))*INDEX(تعرفه!$B$2:$B$7,MATCH(AD635,تعرفه!$A$2:$A$7,0))))</f>
        <v>0</v>
      </c>
      <c r="AH635" s="24" t="n">
        <v>0</v>
      </c>
      <c r="AI635" s="24" t="n">
        <f aca="false">IF(AG635="","",AH635-AG635)</f>
        <v>0</v>
      </c>
      <c r="AJ635" s="21" t="n">
        <v>0</v>
      </c>
      <c r="AK635" s="21" t="n">
        <v>0</v>
      </c>
      <c r="AL635" s="16" t="s">
        <v>335</v>
      </c>
      <c r="AM635" s="16"/>
      <c r="AN635" s="16" t="s">
        <v>340</v>
      </c>
      <c r="AO635" s="16" t="s">
        <v>340</v>
      </c>
      <c r="AP635" s="16" t="s">
        <v>335</v>
      </c>
      <c r="AQ635" s="16"/>
      <c r="AR635" s="21" t="n">
        <f aca="false">IF(AND(T635&lt;&gt;"",H635&lt;&gt;""),IF(AND((T635-H635)*86400&gt;=0,(T635-H635)*86400&lt;تنظیمات!$B$13),1,0),0)</f>
        <v>0</v>
      </c>
      <c r="AS635" s="21" t="n">
        <f aca="false">IF(Z635="پوز",IF(OR(AB635="",COUNTIF(پوزها!$A$2:$A$5,AA635)=0),1,0),0)</f>
        <v>0</v>
      </c>
      <c r="AT635" s="21" t="n">
        <f aca="false">IF(AI635="",0,IF(AI635&gt;0,1,0))</f>
        <v>0</v>
      </c>
      <c r="AU635" s="21" t="n">
        <f aca="false">IF(AI635="",0,IF(AI635&lt;0,1,0))</f>
        <v>0</v>
      </c>
      <c r="AV635" s="21" t="n">
        <f aca="false">IF(U635&gt;V635,1,0)</f>
        <v>0</v>
      </c>
      <c r="AW635" s="21" t="n">
        <f aca="false">IF(OR(W635&gt;تنظیمات!$B$8,X635="بله"),1,0)</f>
        <v>0</v>
      </c>
      <c r="AX635" s="21" t="n">
        <f aca="false">IF(AND(N635="بله",L635&gt;تنظیمات!$B$9),1,0)</f>
        <v>0</v>
      </c>
      <c r="AY635" s="21" t="n">
        <f aca="false">IF(Y635="معکوس",1,0)</f>
        <v>0</v>
      </c>
      <c r="AZ635" s="21" t="n">
        <f aca="false">IF(ABS(AJ635)&gt;تنظیمات!$B$10,1,0)</f>
        <v>0</v>
      </c>
      <c r="BA635" s="21" t="n">
        <f aca="false">IF(AND(OR(AD635="رایگان/VIP",AD635="جانباز"),AF635="خیر"),1,0)</f>
        <v>0</v>
      </c>
      <c r="BB635" s="21" t="n">
        <f aca="false">IF(AE635="",0,IF(COUNTIF($AE$2:$AE$1001,AE635)&gt;1,1,0))</f>
        <v>0</v>
      </c>
      <c r="BC635" s="21" t="n">
        <f aca="false">IF(AND(H635="",I635&gt;تنظیمات!$B$12*60,AM635="خالی"),1,0)</f>
        <v>0</v>
      </c>
      <c r="BD635" s="21" t="n">
        <f aca="false">IF(AND(AP635="بله",I635&lt;تنظیمات!$B$14,AO635="خیر"),1,0)</f>
        <v>0</v>
      </c>
      <c r="BE635" s="21" t="n">
        <f aca="false">IF(AN635="خیر",1,0)</f>
        <v>0</v>
      </c>
      <c r="BF635" s="21" t="n">
        <f aca="false">IF(AND(AD635="فیش مفقودی",AQ635="بله",I635&gt;تنظیمات!$B$12*60),1,0)</f>
        <v>0</v>
      </c>
      <c r="BG635" s="21" t="n">
        <f aca="false">IF(AND(AK635&gt;تنظیمات!$B$11,AL635="بله"),1,0)</f>
        <v>0</v>
      </c>
      <c r="BH635" s="21" t="n">
        <f aca="false">MIN(100,AR635*تنظیمات!$B$21+AS635*تنظیمات!$B$22+AT635*تنظیمات!$B$23+AU635*تنظیمات!$B$24+AV635*تنظیمات!$B$25+AW635*تنظیمات!$B$26+AX635*تنظیمات!$B$27+AY635*تنظیمات!$B$28+AZ635*تنظیمات!$B$29+BA635*تنظیمات!$B$30+BB635*تنظیمات!$B$31+BC635*تنظیمات!$B$32+BD635*تنظیمات!$B$33+BE635*تنظیمات!$B$34+BF635*تنظیمات!$B$35+BG635*تنظیمات!$B$36)</f>
        <v>0</v>
      </c>
      <c r="BI635" s="16" t="str">
        <f aca="false">IF(BH635&gt;=60,"بحرانی",IF(BH635&gt;=30,"مشکوک",IF(BH635&gt;0,"هشدار","عادی")))</f>
        <v>عادی</v>
      </c>
      <c r="BJ635" s="16" t="s">
        <v>338</v>
      </c>
    </row>
    <row r="636" customFormat="false" ht="15" hidden="false" customHeight="false" outlineLevel="0" collapsed="false">
      <c r="A636" s="16" t="s">
        <v>2323</v>
      </c>
      <c r="B636" s="16" t="s">
        <v>1984</v>
      </c>
      <c r="C636" s="16"/>
      <c r="D636" s="16" t="s">
        <v>386</v>
      </c>
      <c r="E636" s="16" t="s">
        <v>363</v>
      </c>
      <c r="F636" s="16" t="s">
        <v>333</v>
      </c>
      <c r="G636" s="17" t="n">
        <v>46289.7568981482</v>
      </c>
      <c r="H636" s="17" t="n">
        <v>46289.777037037</v>
      </c>
      <c r="I636" s="18" t="n">
        <f aca="false">IF(H636="",ROUND((تنظیمات!$B$7-G636)*1440,0),ROUND((H636-G636)*1440,0))</f>
        <v>29</v>
      </c>
      <c r="J636" s="16" t="s">
        <v>346</v>
      </c>
      <c r="K636" s="16" t="s">
        <v>410</v>
      </c>
      <c r="L636" s="19" t="n">
        <v>0.995</v>
      </c>
      <c r="M636" s="19" t="n">
        <v>0.931</v>
      </c>
      <c r="N636" s="16" t="s">
        <v>335</v>
      </c>
      <c r="O636" s="16" t="s">
        <v>419</v>
      </c>
      <c r="P636" s="16" t="s">
        <v>420</v>
      </c>
      <c r="Q636" s="20" t="n">
        <v>46289</v>
      </c>
      <c r="R636" s="16" t="s">
        <v>2324</v>
      </c>
      <c r="S636" s="16" t="s">
        <v>404</v>
      </c>
      <c r="T636" s="17"/>
      <c r="U636" s="21" t="n">
        <v>1</v>
      </c>
      <c r="V636" s="21" t="n">
        <v>1</v>
      </c>
      <c r="W636" s="22" t="n">
        <v>4.9</v>
      </c>
      <c r="X636" s="16" t="s">
        <v>335</v>
      </c>
      <c r="Y636" s="16" t="s">
        <v>338</v>
      </c>
      <c r="Z636" s="16" t="s">
        <v>405</v>
      </c>
      <c r="AA636" s="16"/>
      <c r="AB636" s="23"/>
      <c r="AC636" s="17"/>
      <c r="AD636" s="16" t="s">
        <v>338</v>
      </c>
      <c r="AE636" s="16"/>
      <c r="AF636" s="16" t="str">
        <f aca="false">IF(COUNTIF(لیست_سفید!$A$2:$A$21,B636)&gt;0,"بله","خیر")</f>
        <v>خیر</v>
      </c>
      <c r="AG636" s="24" t="n">
        <f aca="false">IF(H636="","",IF(AD636="فیش مفقودی",تنظیمات!$B$6,(INT(I636/1440)*تنظیمات!$B$5+IF(MOD(I636,1440)&lt;=تنظیمات!$B$2,0,MIN(تنظیمات!$B$5,تنظیمات!$B$3+MAX(0,ROUNDUP((MOD(I636,1440)-60)/60,0))*تنظیمات!$B$4)))*INDEX(تعرفه!$B$2:$B$7,MATCH(AD636,تعرفه!$A$2:$A$7,0))))</f>
        <v>20000</v>
      </c>
      <c r="AH636" s="24" t="n">
        <v>20000</v>
      </c>
      <c r="AI636" s="24" t="n">
        <f aca="false">IF(AG636="","",AH636-AG636)</f>
        <v>0</v>
      </c>
      <c r="AJ636" s="21" t="n">
        <v>0</v>
      </c>
      <c r="AK636" s="21" t="n">
        <v>0</v>
      </c>
      <c r="AL636" s="16" t="s">
        <v>335</v>
      </c>
      <c r="AM636" s="16"/>
      <c r="AN636" s="16" t="s">
        <v>340</v>
      </c>
      <c r="AO636" s="16" t="s">
        <v>340</v>
      </c>
      <c r="AP636" s="16" t="s">
        <v>335</v>
      </c>
      <c r="AQ636" s="16"/>
      <c r="AR636" s="21" t="n">
        <f aca="false">IF(AND(T636&lt;&gt;"",H636&lt;&gt;""),IF(AND((T636-H636)*86400&gt;=0,(T636-H636)*86400&lt;تنظیمات!$B$13),1,0),0)</f>
        <v>0</v>
      </c>
      <c r="AS636" s="21" t="n">
        <f aca="false">IF(Z636="پوز",IF(OR(AB636="",COUNTIF(پوزها!$A$2:$A$5,AA636)=0),1,0),0)</f>
        <v>0</v>
      </c>
      <c r="AT636" s="21" t="n">
        <f aca="false">IF(AI636="",0,IF(AI636&gt;0,1,0))</f>
        <v>0</v>
      </c>
      <c r="AU636" s="21" t="n">
        <f aca="false">IF(AI636="",0,IF(AI636&lt;0,1,0))</f>
        <v>0</v>
      </c>
      <c r="AV636" s="21" t="n">
        <f aca="false">IF(U636&gt;V636,1,0)</f>
        <v>0</v>
      </c>
      <c r="AW636" s="21" t="n">
        <f aca="false">IF(OR(W636&gt;تنظیمات!$B$8,X636="بله"),1,0)</f>
        <v>0</v>
      </c>
      <c r="AX636" s="21" t="n">
        <f aca="false">IF(AND(N636="بله",L636&gt;تنظیمات!$B$9),1,0)</f>
        <v>0</v>
      </c>
      <c r="AY636" s="21" t="n">
        <f aca="false">IF(Y636="معکوس",1,0)</f>
        <v>0</v>
      </c>
      <c r="AZ636" s="21" t="n">
        <f aca="false">IF(ABS(AJ636)&gt;تنظیمات!$B$10,1,0)</f>
        <v>0</v>
      </c>
      <c r="BA636" s="21" t="n">
        <f aca="false">IF(AND(OR(AD636="رایگان/VIP",AD636="جانباز"),AF636="خیر"),1,0)</f>
        <v>0</v>
      </c>
      <c r="BB636" s="21" t="n">
        <f aca="false">IF(AE636="",0,IF(COUNTIF($AE$2:$AE$1001,AE636)&gt;1,1,0))</f>
        <v>0</v>
      </c>
      <c r="BC636" s="21" t="n">
        <f aca="false">IF(AND(H636="",I636&gt;تنظیمات!$B$12*60,AM636="خالی"),1,0)</f>
        <v>0</v>
      </c>
      <c r="BD636" s="21" t="n">
        <f aca="false">IF(AND(AP636="بله",I636&lt;تنظیمات!$B$14,AO636="خیر"),1,0)</f>
        <v>0</v>
      </c>
      <c r="BE636" s="21" t="n">
        <f aca="false">IF(AN636="خیر",1,0)</f>
        <v>0</v>
      </c>
      <c r="BF636" s="21" t="n">
        <f aca="false">IF(AND(AD636="فیش مفقودی",AQ636="بله",I636&gt;تنظیمات!$B$12*60),1,0)</f>
        <v>0</v>
      </c>
      <c r="BG636" s="21" t="n">
        <f aca="false">IF(AND(AK636&gt;تنظیمات!$B$11,AL636="بله"),1,0)</f>
        <v>0</v>
      </c>
      <c r="BH636" s="21" t="n">
        <f aca="false">MIN(100,AR636*تنظیمات!$B$21+AS636*تنظیمات!$B$22+AT636*تنظیمات!$B$23+AU636*تنظیمات!$B$24+AV636*تنظیمات!$B$25+AW636*تنظیمات!$B$26+AX636*تنظیمات!$B$27+AY636*تنظیمات!$B$28+AZ636*تنظیمات!$B$29+BA636*تنظیمات!$B$30+BB636*تنظیمات!$B$31+BC636*تنظیمات!$B$32+BD636*تنظیمات!$B$33+BE636*تنظیمات!$B$34+BF636*تنظیمات!$B$35+BG636*تنظیمات!$B$36)</f>
        <v>0</v>
      </c>
      <c r="BI636" s="16" t="str">
        <f aca="false">IF(BH636&gt;=60,"بحرانی",IF(BH636&gt;=30,"مشکوک",IF(BH636&gt;0,"هشدار","عادی")))</f>
        <v>عادی</v>
      </c>
      <c r="BJ636" s="16" t="s">
        <v>338</v>
      </c>
    </row>
    <row r="637" customFormat="false" ht="15" hidden="false" customHeight="false" outlineLevel="0" collapsed="false">
      <c r="A637" s="16" t="s">
        <v>2325</v>
      </c>
      <c r="B637" s="16" t="s">
        <v>330</v>
      </c>
      <c r="C637" s="16"/>
      <c r="D637" s="16" t="s">
        <v>331</v>
      </c>
      <c r="E637" s="16" t="s">
        <v>332</v>
      </c>
      <c r="F637" s="16" t="s">
        <v>333</v>
      </c>
      <c r="G637" s="17" t="n">
        <v>46289.7843634259</v>
      </c>
      <c r="H637" s="17" t="n">
        <v>46289.789224537</v>
      </c>
      <c r="I637" s="18" t="n">
        <f aca="false">IF(H637="",ROUND((تنظیمات!$B$7-G637)*1440,0),ROUND((H637-G637)*1440,0))</f>
        <v>7</v>
      </c>
      <c r="J637" s="16" t="s">
        <v>334</v>
      </c>
      <c r="K637" s="16" t="s">
        <v>410</v>
      </c>
      <c r="L637" s="19" t="n">
        <v>0.938</v>
      </c>
      <c r="M637" s="19" t="n">
        <v>0.911</v>
      </c>
      <c r="N637" s="16" t="s">
        <v>335</v>
      </c>
      <c r="O637" s="16" t="s">
        <v>419</v>
      </c>
      <c r="P637" s="16" t="s">
        <v>420</v>
      </c>
      <c r="Q637" s="20" t="n">
        <v>46289</v>
      </c>
      <c r="R637" s="16" t="s">
        <v>2326</v>
      </c>
      <c r="S637" s="16" t="s">
        <v>404</v>
      </c>
      <c r="T637" s="17"/>
      <c r="U637" s="21" t="n">
        <v>1</v>
      </c>
      <c r="V637" s="21" t="n">
        <v>1</v>
      </c>
      <c r="W637" s="22" t="n">
        <v>4.7</v>
      </c>
      <c r="X637" s="16" t="s">
        <v>335</v>
      </c>
      <c r="Y637" s="16" t="s">
        <v>338</v>
      </c>
      <c r="Z637" s="16" t="s">
        <v>628</v>
      </c>
      <c r="AA637" s="16"/>
      <c r="AB637" s="23"/>
      <c r="AC637" s="17"/>
      <c r="AD637" s="16" t="s">
        <v>338</v>
      </c>
      <c r="AE637" s="16"/>
      <c r="AF637" s="16" t="str">
        <f aca="false">IF(COUNTIF(لیست_سفید!$A$2:$A$21,B637)&gt;0,"بله","خیر")</f>
        <v>خیر</v>
      </c>
      <c r="AG637" s="24" t="n">
        <f aca="false">IF(H637="","",IF(AD637="فیش مفقودی",تنظیمات!$B$6,(INT(I637/1440)*تنظیمات!$B$5+IF(MOD(I637,1440)&lt;=تنظیمات!$B$2,0,MIN(تنظیمات!$B$5,تنظیمات!$B$3+MAX(0,ROUNDUP((MOD(I637,1440)-60)/60,0))*تنظیمات!$B$4)))*INDEX(تعرفه!$B$2:$B$7,MATCH(AD637,تعرفه!$A$2:$A$7,0))))</f>
        <v>0</v>
      </c>
      <c r="AH637" s="24" t="n">
        <v>0</v>
      </c>
      <c r="AI637" s="24" t="n">
        <f aca="false">IF(AG637="","",AH637-AG637)</f>
        <v>0</v>
      </c>
      <c r="AJ637" s="21" t="n">
        <v>2</v>
      </c>
      <c r="AK637" s="21" t="n">
        <v>0</v>
      </c>
      <c r="AL637" s="16" t="s">
        <v>335</v>
      </c>
      <c r="AM637" s="16"/>
      <c r="AN637" s="16" t="s">
        <v>340</v>
      </c>
      <c r="AO637" s="16" t="s">
        <v>335</v>
      </c>
      <c r="AP637" s="16" t="s">
        <v>340</v>
      </c>
      <c r="AQ637" s="16"/>
      <c r="AR637" s="21" t="n">
        <f aca="false">IF(AND(T637&lt;&gt;"",H637&lt;&gt;""),IF(AND((T637-H637)*86400&gt;=0,(T637-H637)*86400&lt;تنظیمات!$B$13),1,0),0)</f>
        <v>0</v>
      </c>
      <c r="AS637" s="21" t="n">
        <f aca="false">IF(Z637="پوز",IF(OR(AB637="",COUNTIF(پوزها!$A$2:$A$5,AA637)=0),1,0),0)</f>
        <v>0</v>
      </c>
      <c r="AT637" s="21" t="n">
        <f aca="false">IF(AI637="",0,IF(AI637&gt;0,1,0))</f>
        <v>0</v>
      </c>
      <c r="AU637" s="21" t="n">
        <f aca="false">IF(AI637="",0,IF(AI637&lt;0,1,0))</f>
        <v>0</v>
      </c>
      <c r="AV637" s="21" t="n">
        <f aca="false">IF(U637&gt;V637,1,0)</f>
        <v>0</v>
      </c>
      <c r="AW637" s="21" t="n">
        <f aca="false">IF(OR(W637&gt;تنظیمات!$B$8,X637="بله"),1,0)</f>
        <v>0</v>
      </c>
      <c r="AX637" s="21" t="n">
        <f aca="false">IF(AND(N637="بله",L637&gt;تنظیمات!$B$9),1,0)</f>
        <v>0</v>
      </c>
      <c r="AY637" s="21" t="n">
        <f aca="false">IF(Y637="معکوس",1,0)</f>
        <v>0</v>
      </c>
      <c r="AZ637" s="21" t="n">
        <f aca="false">IF(ABS(AJ637)&gt;تنظیمات!$B$10,1,0)</f>
        <v>0</v>
      </c>
      <c r="BA637" s="21" t="n">
        <f aca="false">IF(AND(OR(AD637="رایگان/VIP",AD637="جانباز"),AF637="خیر"),1,0)</f>
        <v>0</v>
      </c>
      <c r="BB637" s="21" t="n">
        <f aca="false">IF(AE637="",0,IF(COUNTIF($AE$2:$AE$1001,AE637)&gt;1,1,0))</f>
        <v>0</v>
      </c>
      <c r="BC637" s="21" t="n">
        <f aca="false">IF(AND(H637="",I637&gt;تنظیمات!$B$12*60,AM637="خالی"),1,0)</f>
        <v>0</v>
      </c>
      <c r="BD637" s="21" t="n">
        <f aca="false">IF(AND(AP637="بله",I637&lt;تنظیمات!$B$14,AO637="خیر"),1,0)</f>
        <v>1</v>
      </c>
      <c r="BE637" s="21" t="n">
        <f aca="false">IF(AN637="خیر",1,0)</f>
        <v>0</v>
      </c>
      <c r="BF637" s="21" t="n">
        <f aca="false">IF(AND(AD637="فیش مفقودی",AQ637="بله",I637&gt;تنظیمات!$B$12*60),1,0)</f>
        <v>0</v>
      </c>
      <c r="BG637" s="21" t="n">
        <f aca="false">IF(AND(AK637&gt;تنظیمات!$B$11,AL637="بله"),1,0)</f>
        <v>0</v>
      </c>
      <c r="BH637" s="21" t="n">
        <f aca="false">MIN(100,AR637*تنظیمات!$B$21+AS637*تنظیمات!$B$22+AT637*تنظیمات!$B$23+AU637*تنظیمات!$B$24+AV637*تنظیمات!$B$25+AW637*تنظیمات!$B$26+AX637*تنظیمات!$B$27+AY637*تنظیمات!$B$28+AZ637*تنظیمات!$B$29+BA637*تنظیمات!$B$30+BB637*تنظیمات!$B$31+BC637*تنظیمات!$B$32+BD637*تنظیمات!$B$33+BE637*تنظیمات!$B$34+BF637*تنظیمات!$B$35+BG637*تنظیمات!$B$36)</f>
        <v>40</v>
      </c>
      <c r="BI637" s="16" t="str">
        <f aca="false">IF(BH637&gt;=60,"بحرانی",IF(BH637&gt;=30,"مشکوک",IF(BH637&gt;0,"هشدار","عادی")))</f>
        <v>مشکوک</v>
      </c>
      <c r="BJ637" s="16" t="s">
        <v>1329</v>
      </c>
    </row>
    <row r="638" customFormat="false" ht="15" hidden="false" customHeight="false" outlineLevel="0" collapsed="false">
      <c r="A638" s="16" t="s">
        <v>2327</v>
      </c>
      <c r="B638" s="16" t="s">
        <v>867</v>
      </c>
      <c r="C638" s="16"/>
      <c r="D638" s="16" t="s">
        <v>331</v>
      </c>
      <c r="E638" s="16" t="s">
        <v>375</v>
      </c>
      <c r="F638" s="16" t="s">
        <v>333</v>
      </c>
      <c r="G638" s="17" t="n">
        <v>46289.786412037</v>
      </c>
      <c r="H638" s="17" t="n">
        <v>46289.8169675926</v>
      </c>
      <c r="I638" s="18" t="n">
        <f aca="false">IF(H638="",ROUND((تنظیمات!$B$7-G638)*1440,0),ROUND((H638-G638)*1440,0))</f>
        <v>44</v>
      </c>
      <c r="J638" s="16" t="s">
        <v>346</v>
      </c>
      <c r="K638" s="16" t="s">
        <v>410</v>
      </c>
      <c r="L638" s="19" t="n">
        <v>0.985</v>
      </c>
      <c r="M638" s="19" t="n">
        <v>0.953</v>
      </c>
      <c r="N638" s="16" t="s">
        <v>335</v>
      </c>
      <c r="O638" s="16" t="s">
        <v>419</v>
      </c>
      <c r="P638" s="16" t="s">
        <v>420</v>
      </c>
      <c r="Q638" s="20" t="n">
        <v>46289</v>
      </c>
      <c r="R638" s="16" t="s">
        <v>2328</v>
      </c>
      <c r="S638" s="16" t="s">
        <v>404</v>
      </c>
      <c r="T638" s="17"/>
      <c r="U638" s="21" t="n">
        <v>1</v>
      </c>
      <c r="V638" s="21" t="n">
        <v>1</v>
      </c>
      <c r="W638" s="22" t="n">
        <v>6</v>
      </c>
      <c r="X638" s="16" t="s">
        <v>335</v>
      </c>
      <c r="Y638" s="16" t="s">
        <v>338</v>
      </c>
      <c r="Z638" s="16" t="s">
        <v>413</v>
      </c>
      <c r="AA638" s="16" t="s">
        <v>414</v>
      </c>
      <c r="AB638" s="23" t="s">
        <v>2329</v>
      </c>
      <c r="AC638" s="17" t="n">
        <v>46289.8166782407</v>
      </c>
      <c r="AD638" s="16" t="s">
        <v>338</v>
      </c>
      <c r="AE638" s="16"/>
      <c r="AF638" s="16" t="str">
        <f aca="false">IF(COUNTIF(لیست_سفید!$A$2:$A$21,B638)&gt;0,"بله","خیر")</f>
        <v>خیر</v>
      </c>
      <c r="AG638" s="24" t="n">
        <f aca="false">IF(H638="","",IF(AD638="فیش مفقودی",تنظیمات!$B$6,(INT(I638/1440)*تنظیمات!$B$5+IF(MOD(I638,1440)&lt;=تنظیمات!$B$2,0,MIN(تنظیمات!$B$5,تنظیمات!$B$3+MAX(0,ROUNDUP((MOD(I638,1440)-60)/60,0))*تنظیمات!$B$4)))*INDEX(تعرفه!$B$2:$B$7,MATCH(AD638,تعرفه!$A$2:$A$7,0))))</f>
        <v>20000</v>
      </c>
      <c r="AH638" s="24" t="n">
        <v>20000</v>
      </c>
      <c r="AI638" s="24" t="n">
        <f aca="false">IF(AG638="","",AH638-AG638)</f>
        <v>0</v>
      </c>
      <c r="AJ638" s="21" t="n">
        <v>1</v>
      </c>
      <c r="AK638" s="21" t="n">
        <v>0</v>
      </c>
      <c r="AL638" s="16" t="s">
        <v>335</v>
      </c>
      <c r="AM638" s="16"/>
      <c r="AN638" s="16" t="s">
        <v>340</v>
      </c>
      <c r="AO638" s="16" t="s">
        <v>340</v>
      </c>
      <c r="AP638" s="16" t="s">
        <v>335</v>
      </c>
      <c r="AQ638" s="16"/>
      <c r="AR638" s="21" t="n">
        <f aca="false">IF(AND(T638&lt;&gt;"",H638&lt;&gt;""),IF(AND((T638-H638)*86400&gt;=0,(T638-H638)*86400&lt;تنظیمات!$B$13),1,0),0)</f>
        <v>0</v>
      </c>
      <c r="AS638" s="21" t="n">
        <f aca="false">IF(Z638="پوز",IF(OR(AB638="",COUNTIF(پوزها!$A$2:$A$5,AA638)=0),1,0),0)</f>
        <v>0</v>
      </c>
      <c r="AT638" s="21" t="n">
        <f aca="false">IF(AI638="",0,IF(AI638&gt;0,1,0))</f>
        <v>0</v>
      </c>
      <c r="AU638" s="21" t="n">
        <f aca="false">IF(AI638="",0,IF(AI638&lt;0,1,0))</f>
        <v>0</v>
      </c>
      <c r="AV638" s="21" t="n">
        <f aca="false">IF(U638&gt;V638,1,0)</f>
        <v>0</v>
      </c>
      <c r="AW638" s="21" t="n">
        <f aca="false">IF(OR(W638&gt;تنظیمات!$B$8,X638="بله"),1,0)</f>
        <v>0</v>
      </c>
      <c r="AX638" s="21" t="n">
        <f aca="false">IF(AND(N638="بله",L638&gt;تنظیمات!$B$9),1,0)</f>
        <v>0</v>
      </c>
      <c r="AY638" s="21" t="n">
        <f aca="false">IF(Y638="معکوس",1,0)</f>
        <v>0</v>
      </c>
      <c r="AZ638" s="21" t="n">
        <f aca="false">IF(ABS(AJ638)&gt;تنظیمات!$B$10,1,0)</f>
        <v>0</v>
      </c>
      <c r="BA638" s="21" t="n">
        <f aca="false">IF(AND(OR(AD638="رایگان/VIP",AD638="جانباز"),AF638="خیر"),1,0)</f>
        <v>0</v>
      </c>
      <c r="BB638" s="21" t="n">
        <f aca="false">IF(AE638="",0,IF(COUNTIF($AE$2:$AE$1001,AE638)&gt;1,1,0))</f>
        <v>0</v>
      </c>
      <c r="BC638" s="21" t="n">
        <f aca="false">IF(AND(H638="",I638&gt;تنظیمات!$B$12*60,AM638="خالی"),1,0)</f>
        <v>0</v>
      </c>
      <c r="BD638" s="21" t="n">
        <f aca="false">IF(AND(AP638="بله",I638&lt;تنظیمات!$B$14,AO638="خیر"),1,0)</f>
        <v>0</v>
      </c>
      <c r="BE638" s="21" t="n">
        <f aca="false">IF(AN638="خیر",1,0)</f>
        <v>0</v>
      </c>
      <c r="BF638" s="21" t="n">
        <f aca="false">IF(AND(AD638="فیش مفقودی",AQ638="بله",I638&gt;تنظیمات!$B$12*60),1,0)</f>
        <v>0</v>
      </c>
      <c r="BG638" s="21" t="n">
        <f aca="false">IF(AND(AK638&gt;تنظیمات!$B$11,AL638="بله"),1,0)</f>
        <v>0</v>
      </c>
      <c r="BH638" s="21" t="n">
        <f aca="false">MIN(100,AR638*تنظیمات!$B$21+AS638*تنظیمات!$B$22+AT638*تنظیمات!$B$23+AU638*تنظیمات!$B$24+AV638*تنظیمات!$B$25+AW638*تنظیمات!$B$26+AX638*تنظیمات!$B$27+AY638*تنظیمات!$B$28+AZ638*تنظیمات!$B$29+BA638*تنظیمات!$B$30+BB638*تنظیمات!$B$31+BC638*تنظیمات!$B$32+BD638*تنظیمات!$B$33+BE638*تنظیمات!$B$34+BF638*تنظیمات!$B$35+BG638*تنظیمات!$B$36)</f>
        <v>0</v>
      </c>
      <c r="BI638" s="16" t="str">
        <f aca="false">IF(BH638&gt;=60,"بحرانی",IF(BH638&gt;=30,"مشکوک",IF(BH638&gt;0,"هشدار","عادی")))</f>
        <v>عادی</v>
      </c>
      <c r="BJ638" s="16" t="s">
        <v>338</v>
      </c>
    </row>
    <row r="639" customFormat="false" ht="15" hidden="false" customHeight="false" outlineLevel="0" collapsed="false">
      <c r="A639" s="16" t="s">
        <v>2330</v>
      </c>
      <c r="B639" s="16" t="s">
        <v>756</v>
      </c>
      <c r="C639" s="16"/>
      <c r="D639" s="16" t="s">
        <v>418</v>
      </c>
      <c r="E639" s="16" t="s">
        <v>390</v>
      </c>
      <c r="F639" s="16" t="s">
        <v>333</v>
      </c>
      <c r="G639" s="17" t="n">
        <v>46289.8073611111</v>
      </c>
      <c r="H639" s="17" t="n">
        <v>46289.8108333333</v>
      </c>
      <c r="I639" s="18" t="n">
        <f aca="false">IF(H639="",ROUND((تنظیمات!$B$7-G639)*1440,0),ROUND((H639-G639)*1440,0))</f>
        <v>5</v>
      </c>
      <c r="J639" s="16" t="s">
        <v>346</v>
      </c>
      <c r="K639" s="16" t="s">
        <v>400</v>
      </c>
      <c r="L639" s="19" t="n">
        <v>0.886</v>
      </c>
      <c r="M639" s="19" t="n">
        <v>0.945</v>
      </c>
      <c r="N639" s="16" t="s">
        <v>335</v>
      </c>
      <c r="O639" s="16" t="s">
        <v>401</v>
      </c>
      <c r="P639" s="16" t="s">
        <v>420</v>
      </c>
      <c r="Q639" s="20" t="n">
        <v>46289</v>
      </c>
      <c r="R639" s="16" t="s">
        <v>2331</v>
      </c>
      <c r="S639" s="16" t="s">
        <v>404</v>
      </c>
      <c r="T639" s="17"/>
      <c r="U639" s="21" t="n">
        <v>1</v>
      </c>
      <c r="V639" s="21" t="n">
        <v>1</v>
      </c>
      <c r="W639" s="22" t="n">
        <v>6.5</v>
      </c>
      <c r="X639" s="16" t="s">
        <v>335</v>
      </c>
      <c r="Y639" s="16" t="s">
        <v>338</v>
      </c>
      <c r="Z639" s="16" t="s">
        <v>628</v>
      </c>
      <c r="AA639" s="16"/>
      <c r="AB639" s="23"/>
      <c r="AC639" s="17"/>
      <c r="AD639" s="16" t="s">
        <v>338</v>
      </c>
      <c r="AE639" s="16"/>
      <c r="AF639" s="16" t="str">
        <f aca="false">IF(COUNTIF(لیست_سفید!$A$2:$A$21,B639)&gt;0,"بله","خیر")</f>
        <v>خیر</v>
      </c>
      <c r="AG639" s="24" t="n">
        <f aca="false">IF(H639="","",IF(AD639="فیش مفقودی",تنظیمات!$B$6,(INT(I639/1440)*تنظیمات!$B$5+IF(MOD(I639,1440)&lt;=تنظیمات!$B$2,0,MIN(تنظیمات!$B$5,تنظیمات!$B$3+MAX(0,ROUNDUP((MOD(I639,1440)-60)/60,0))*تنظیمات!$B$4)))*INDEX(تعرفه!$B$2:$B$7,MATCH(AD639,تعرفه!$A$2:$A$7,0))))</f>
        <v>0</v>
      </c>
      <c r="AH639" s="24" t="n">
        <v>0</v>
      </c>
      <c r="AI639" s="24" t="n">
        <f aca="false">IF(AG639="","",AH639-AG639)</f>
        <v>0</v>
      </c>
      <c r="AJ639" s="21" t="n">
        <v>-5</v>
      </c>
      <c r="AK639" s="21" t="n">
        <v>0</v>
      </c>
      <c r="AL639" s="16" t="s">
        <v>335</v>
      </c>
      <c r="AM639" s="16"/>
      <c r="AN639" s="16" t="s">
        <v>340</v>
      </c>
      <c r="AO639" s="16" t="s">
        <v>340</v>
      </c>
      <c r="AP639" s="16" t="s">
        <v>335</v>
      </c>
      <c r="AQ639" s="16"/>
      <c r="AR639" s="21" t="n">
        <f aca="false">IF(AND(T639&lt;&gt;"",H639&lt;&gt;""),IF(AND((T639-H639)*86400&gt;=0,(T639-H639)*86400&lt;تنظیمات!$B$13),1,0),0)</f>
        <v>0</v>
      </c>
      <c r="AS639" s="21" t="n">
        <f aca="false">IF(Z639="پوز",IF(OR(AB639="",COUNTIF(پوزها!$A$2:$A$5,AA639)=0),1,0),0)</f>
        <v>0</v>
      </c>
      <c r="AT639" s="21" t="n">
        <f aca="false">IF(AI639="",0,IF(AI639&gt;0,1,0))</f>
        <v>0</v>
      </c>
      <c r="AU639" s="21" t="n">
        <f aca="false">IF(AI639="",0,IF(AI639&lt;0,1,0))</f>
        <v>0</v>
      </c>
      <c r="AV639" s="21" t="n">
        <f aca="false">IF(U639&gt;V639,1,0)</f>
        <v>0</v>
      </c>
      <c r="AW639" s="21" t="n">
        <f aca="false">IF(OR(W639&gt;تنظیمات!$B$8,X639="بله"),1,0)</f>
        <v>0</v>
      </c>
      <c r="AX639" s="21" t="n">
        <f aca="false">IF(AND(N639="بله",L639&gt;تنظیمات!$B$9),1,0)</f>
        <v>0</v>
      </c>
      <c r="AY639" s="21" t="n">
        <f aca="false">IF(Y639="معکوس",1,0)</f>
        <v>0</v>
      </c>
      <c r="AZ639" s="21" t="n">
        <f aca="false">IF(ABS(AJ639)&gt;تنظیمات!$B$10,1,0)</f>
        <v>0</v>
      </c>
      <c r="BA639" s="21" t="n">
        <f aca="false">IF(AND(OR(AD639="رایگان/VIP",AD639="جانباز"),AF639="خیر"),1,0)</f>
        <v>0</v>
      </c>
      <c r="BB639" s="21" t="n">
        <f aca="false">IF(AE639="",0,IF(COUNTIF($AE$2:$AE$1001,AE639)&gt;1,1,0))</f>
        <v>0</v>
      </c>
      <c r="BC639" s="21" t="n">
        <f aca="false">IF(AND(H639="",I639&gt;تنظیمات!$B$12*60,AM639="خالی"),1,0)</f>
        <v>0</v>
      </c>
      <c r="BD639" s="21" t="n">
        <f aca="false">IF(AND(AP639="بله",I639&lt;تنظیمات!$B$14,AO639="خیر"),1,0)</f>
        <v>0</v>
      </c>
      <c r="BE639" s="21" t="n">
        <f aca="false">IF(AN639="خیر",1,0)</f>
        <v>0</v>
      </c>
      <c r="BF639" s="21" t="n">
        <f aca="false">IF(AND(AD639="فیش مفقودی",AQ639="بله",I639&gt;تنظیمات!$B$12*60),1,0)</f>
        <v>0</v>
      </c>
      <c r="BG639" s="21" t="n">
        <f aca="false">IF(AND(AK639&gt;تنظیمات!$B$11,AL639="بله"),1,0)</f>
        <v>0</v>
      </c>
      <c r="BH639" s="21" t="n">
        <f aca="false">MIN(100,AR639*تنظیمات!$B$21+AS639*تنظیمات!$B$22+AT639*تنظیمات!$B$23+AU639*تنظیمات!$B$24+AV639*تنظیمات!$B$25+AW639*تنظیمات!$B$26+AX639*تنظیمات!$B$27+AY639*تنظیمات!$B$28+AZ639*تنظیمات!$B$29+BA639*تنظیمات!$B$30+BB639*تنظیمات!$B$31+BC639*تنظیمات!$B$32+BD639*تنظیمات!$B$33+BE639*تنظیمات!$B$34+BF639*تنظیمات!$B$35+BG639*تنظیمات!$B$36)</f>
        <v>0</v>
      </c>
      <c r="BI639" s="16" t="str">
        <f aca="false">IF(BH639&gt;=60,"بحرانی",IF(BH639&gt;=30,"مشکوک",IF(BH639&gt;0,"هشدار","عادی")))</f>
        <v>عادی</v>
      </c>
      <c r="BJ639" s="16" t="s">
        <v>629</v>
      </c>
    </row>
    <row r="640" customFormat="false" ht="15" hidden="false" customHeight="false" outlineLevel="0" collapsed="false">
      <c r="A640" s="16" t="s">
        <v>2332</v>
      </c>
      <c r="B640" s="16" t="s">
        <v>860</v>
      </c>
      <c r="C640" s="16"/>
      <c r="D640" s="16" t="s">
        <v>350</v>
      </c>
      <c r="E640" s="16" t="s">
        <v>390</v>
      </c>
      <c r="F640" s="16" t="s">
        <v>333</v>
      </c>
      <c r="G640" s="17" t="n">
        <v>46289.8075231482</v>
      </c>
      <c r="H640" s="17" t="n">
        <v>46289.9748842593</v>
      </c>
      <c r="I640" s="18" t="n">
        <f aca="false">IF(H640="",ROUND((تنظیمات!$B$7-G640)*1440,0),ROUND((H640-G640)*1440,0))</f>
        <v>241</v>
      </c>
      <c r="J640" s="16" t="s">
        <v>334</v>
      </c>
      <c r="K640" s="16" t="s">
        <v>400</v>
      </c>
      <c r="L640" s="19" t="n">
        <v>0.906</v>
      </c>
      <c r="M640" s="19" t="n">
        <v>0.932</v>
      </c>
      <c r="N640" s="16" t="s">
        <v>335</v>
      </c>
      <c r="O640" s="16" t="s">
        <v>650</v>
      </c>
      <c r="P640" s="16" t="s">
        <v>651</v>
      </c>
      <c r="Q640" s="20" t="n">
        <v>46289</v>
      </c>
      <c r="R640" s="16" t="s">
        <v>2333</v>
      </c>
      <c r="S640" s="16" t="s">
        <v>404</v>
      </c>
      <c r="T640" s="17"/>
      <c r="U640" s="21" t="n">
        <v>1</v>
      </c>
      <c r="V640" s="21" t="n">
        <v>1</v>
      </c>
      <c r="W640" s="22" t="n">
        <v>6.1</v>
      </c>
      <c r="X640" s="16" t="s">
        <v>335</v>
      </c>
      <c r="Y640" s="16" t="s">
        <v>338</v>
      </c>
      <c r="Z640" s="16" t="s">
        <v>413</v>
      </c>
      <c r="AA640" s="16" t="s">
        <v>427</v>
      </c>
      <c r="AB640" s="23" t="s">
        <v>2334</v>
      </c>
      <c r="AC640" s="17" t="n">
        <v>46289.9743634259</v>
      </c>
      <c r="AD640" s="16" t="s">
        <v>338</v>
      </c>
      <c r="AE640" s="16"/>
      <c r="AF640" s="16" t="str">
        <f aca="false">IF(COUNTIF(لیست_سفید!$A$2:$A$21,B640)&gt;0,"بله","خیر")</f>
        <v>خیر</v>
      </c>
      <c r="AG640" s="24" t="n">
        <f aca="false">IF(H640="","",IF(AD640="فیش مفقودی",تنظیمات!$B$6,(INT(I640/1440)*تنظیمات!$B$5+IF(MOD(I640,1440)&lt;=تنظیمات!$B$2,0,MIN(تنظیمات!$B$5,تنظیمات!$B$3+MAX(0,ROUNDUP((MOD(I640,1440)-60)/60,0))*تنظیمات!$B$4)))*INDEX(تعرفه!$B$2:$B$7,MATCH(AD640,تعرفه!$A$2:$A$7,0))))</f>
        <v>76000</v>
      </c>
      <c r="AH640" s="24" t="n">
        <v>76000</v>
      </c>
      <c r="AI640" s="24" t="n">
        <f aca="false">IF(AG640="","",AH640-AG640)</f>
        <v>0</v>
      </c>
      <c r="AJ640" s="21" t="n">
        <v>2</v>
      </c>
      <c r="AK640" s="21" t="n">
        <v>0</v>
      </c>
      <c r="AL640" s="16" t="s">
        <v>335</v>
      </c>
      <c r="AM640" s="16"/>
      <c r="AN640" s="16" t="s">
        <v>340</v>
      </c>
      <c r="AO640" s="16" t="s">
        <v>340</v>
      </c>
      <c r="AP640" s="16" t="s">
        <v>335</v>
      </c>
      <c r="AQ640" s="16"/>
      <c r="AR640" s="21" t="n">
        <f aca="false">IF(AND(T640&lt;&gt;"",H640&lt;&gt;""),IF(AND((T640-H640)*86400&gt;=0,(T640-H640)*86400&lt;تنظیمات!$B$13),1,0),0)</f>
        <v>0</v>
      </c>
      <c r="AS640" s="21" t="n">
        <f aca="false">IF(Z640="پوز",IF(OR(AB640="",COUNTIF(پوزها!$A$2:$A$5,AA640)=0),1,0),0)</f>
        <v>0</v>
      </c>
      <c r="AT640" s="21" t="n">
        <f aca="false">IF(AI640="",0,IF(AI640&gt;0,1,0))</f>
        <v>0</v>
      </c>
      <c r="AU640" s="21" t="n">
        <f aca="false">IF(AI640="",0,IF(AI640&lt;0,1,0))</f>
        <v>0</v>
      </c>
      <c r="AV640" s="21" t="n">
        <f aca="false">IF(U640&gt;V640,1,0)</f>
        <v>0</v>
      </c>
      <c r="AW640" s="21" t="n">
        <f aca="false">IF(OR(W640&gt;تنظیمات!$B$8,X640="بله"),1,0)</f>
        <v>0</v>
      </c>
      <c r="AX640" s="21" t="n">
        <f aca="false">IF(AND(N640="بله",L640&gt;تنظیمات!$B$9),1,0)</f>
        <v>0</v>
      </c>
      <c r="AY640" s="21" t="n">
        <f aca="false">IF(Y640="معکوس",1,0)</f>
        <v>0</v>
      </c>
      <c r="AZ640" s="21" t="n">
        <f aca="false">IF(ABS(AJ640)&gt;تنظیمات!$B$10,1,0)</f>
        <v>0</v>
      </c>
      <c r="BA640" s="21" t="n">
        <f aca="false">IF(AND(OR(AD640="رایگان/VIP",AD640="جانباز"),AF640="خیر"),1,0)</f>
        <v>0</v>
      </c>
      <c r="BB640" s="21" t="n">
        <f aca="false">IF(AE640="",0,IF(COUNTIF($AE$2:$AE$1001,AE640)&gt;1,1,0))</f>
        <v>0</v>
      </c>
      <c r="BC640" s="21" t="n">
        <f aca="false">IF(AND(H640="",I640&gt;تنظیمات!$B$12*60,AM640="خالی"),1,0)</f>
        <v>0</v>
      </c>
      <c r="BD640" s="21" t="n">
        <f aca="false">IF(AND(AP640="بله",I640&lt;تنظیمات!$B$14,AO640="خیر"),1,0)</f>
        <v>0</v>
      </c>
      <c r="BE640" s="21" t="n">
        <f aca="false">IF(AN640="خیر",1,0)</f>
        <v>0</v>
      </c>
      <c r="BF640" s="21" t="n">
        <f aca="false">IF(AND(AD640="فیش مفقودی",AQ640="بله",I640&gt;تنظیمات!$B$12*60),1,0)</f>
        <v>0</v>
      </c>
      <c r="BG640" s="21" t="n">
        <f aca="false">IF(AND(AK640&gt;تنظیمات!$B$11,AL640="بله"),1,0)</f>
        <v>0</v>
      </c>
      <c r="BH640" s="21" t="n">
        <f aca="false">MIN(100,AR640*تنظیمات!$B$21+AS640*تنظیمات!$B$22+AT640*تنظیمات!$B$23+AU640*تنظیمات!$B$24+AV640*تنظیمات!$B$25+AW640*تنظیمات!$B$26+AX640*تنظیمات!$B$27+AY640*تنظیمات!$B$28+AZ640*تنظیمات!$B$29+BA640*تنظیمات!$B$30+BB640*تنظیمات!$B$31+BC640*تنظیمات!$B$32+BD640*تنظیمات!$B$33+BE640*تنظیمات!$B$34+BF640*تنظیمات!$B$35+BG640*تنظیمات!$B$36)</f>
        <v>0</v>
      </c>
      <c r="BI640" s="16" t="str">
        <f aca="false">IF(BH640&gt;=60,"بحرانی",IF(BH640&gt;=30,"مشکوک",IF(BH640&gt;0,"هشدار","عادی")))</f>
        <v>عادی</v>
      </c>
      <c r="BJ640" s="16" t="s">
        <v>338</v>
      </c>
    </row>
    <row r="641" customFormat="false" ht="15" hidden="false" customHeight="false" outlineLevel="0" collapsed="false">
      <c r="A641" s="16" t="s">
        <v>2335</v>
      </c>
      <c r="B641" s="16" t="s">
        <v>1897</v>
      </c>
      <c r="C641" s="16"/>
      <c r="D641" s="16" t="s">
        <v>374</v>
      </c>
      <c r="E641" s="16" t="s">
        <v>332</v>
      </c>
      <c r="F641" s="16" t="s">
        <v>359</v>
      </c>
      <c r="G641" s="17" t="n">
        <v>46289.808287037</v>
      </c>
      <c r="H641" s="17" t="n">
        <v>46289.820787037</v>
      </c>
      <c r="I641" s="18" t="n">
        <f aca="false">IF(H641="",ROUND((تنظیمات!$B$7-G641)*1440,0),ROUND((H641-G641)*1440,0))</f>
        <v>18</v>
      </c>
      <c r="J641" s="16" t="s">
        <v>346</v>
      </c>
      <c r="K641" s="16" t="s">
        <v>410</v>
      </c>
      <c r="L641" s="19" t="n">
        <v>0.894</v>
      </c>
      <c r="M641" s="19" t="n">
        <v>0.906</v>
      </c>
      <c r="N641" s="16" t="s">
        <v>335</v>
      </c>
      <c r="O641" s="16" t="s">
        <v>419</v>
      </c>
      <c r="P641" s="16" t="s">
        <v>420</v>
      </c>
      <c r="Q641" s="20" t="n">
        <v>46289</v>
      </c>
      <c r="R641" s="16" t="s">
        <v>2336</v>
      </c>
      <c r="S641" s="16" t="s">
        <v>404</v>
      </c>
      <c r="T641" s="17"/>
      <c r="U641" s="21" t="n">
        <v>1</v>
      </c>
      <c r="V641" s="21" t="n">
        <v>1</v>
      </c>
      <c r="W641" s="22" t="n">
        <v>6.2</v>
      </c>
      <c r="X641" s="16" t="s">
        <v>335</v>
      </c>
      <c r="Y641" s="16" t="s">
        <v>338</v>
      </c>
      <c r="Z641" s="16" t="s">
        <v>413</v>
      </c>
      <c r="AA641" s="16" t="s">
        <v>414</v>
      </c>
      <c r="AB641" s="23" t="s">
        <v>2337</v>
      </c>
      <c r="AC641" s="17" t="n">
        <v>46289.8202083333</v>
      </c>
      <c r="AD641" s="16" t="s">
        <v>338</v>
      </c>
      <c r="AE641" s="16"/>
      <c r="AF641" s="16" t="str">
        <f aca="false">IF(COUNTIF(لیست_سفید!$A$2:$A$21,B641)&gt;0,"بله","خیر")</f>
        <v>خیر</v>
      </c>
      <c r="AG641" s="24" t="n">
        <f aca="false">IF(H641="","",IF(AD641="فیش مفقودی",تنظیمات!$B$6,(INT(I641/1440)*تنظیمات!$B$5+IF(MOD(I641,1440)&lt;=تنظیمات!$B$2,0,MIN(تنظیمات!$B$5,تنظیمات!$B$3+MAX(0,ROUNDUP((MOD(I641,1440)-60)/60,0))*تنظیمات!$B$4)))*INDEX(تعرفه!$B$2:$B$7,MATCH(AD641,تعرفه!$A$2:$A$7,0))))</f>
        <v>20000</v>
      </c>
      <c r="AH641" s="24" t="n">
        <v>20000</v>
      </c>
      <c r="AI641" s="24" t="n">
        <f aca="false">IF(AG641="","",AH641-AG641)</f>
        <v>0</v>
      </c>
      <c r="AJ641" s="21" t="n">
        <v>3</v>
      </c>
      <c r="AK641" s="21" t="n">
        <v>0</v>
      </c>
      <c r="AL641" s="16" t="s">
        <v>335</v>
      </c>
      <c r="AM641" s="16"/>
      <c r="AN641" s="16" t="s">
        <v>340</v>
      </c>
      <c r="AO641" s="16" t="s">
        <v>340</v>
      </c>
      <c r="AP641" s="16" t="s">
        <v>335</v>
      </c>
      <c r="AQ641" s="16"/>
      <c r="AR641" s="21" t="n">
        <f aca="false">IF(AND(T641&lt;&gt;"",H641&lt;&gt;""),IF(AND((T641-H641)*86400&gt;=0,(T641-H641)*86400&lt;تنظیمات!$B$13),1,0),0)</f>
        <v>0</v>
      </c>
      <c r="AS641" s="21" t="n">
        <f aca="false">IF(Z641="پوز",IF(OR(AB641="",COUNTIF(پوزها!$A$2:$A$5,AA641)=0),1,0),0)</f>
        <v>0</v>
      </c>
      <c r="AT641" s="21" t="n">
        <f aca="false">IF(AI641="",0,IF(AI641&gt;0,1,0))</f>
        <v>0</v>
      </c>
      <c r="AU641" s="21" t="n">
        <f aca="false">IF(AI641="",0,IF(AI641&lt;0,1,0))</f>
        <v>0</v>
      </c>
      <c r="AV641" s="21" t="n">
        <f aca="false">IF(U641&gt;V641,1,0)</f>
        <v>0</v>
      </c>
      <c r="AW641" s="21" t="n">
        <f aca="false">IF(OR(W641&gt;تنظیمات!$B$8,X641="بله"),1,0)</f>
        <v>0</v>
      </c>
      <c r="AX641" s="21" t="n">
        <f aca="false">IF(AND(N641="بله",L641&gt;تنظیمات!$B$9),1,0)</f>
        <v>0</v>
      </c>
      <c r="AY641" s="21" t="n">
        <f aca="false">IF(Y641="معکوس",1,0)</f>
        <v>0</v>
      </c>
      <c r="AZ641" s="21" t="n">
        <f aca="false">IF(ABS(AJ641)&gt;تنظیمات!$B$10,1,0)</f>
        <v>0</v>
      </c>
      <c r="BA641" s="21" t="n">
        <f aca="false">IF(AND(OR(AD641="رایگان/VIP",AD641="جانباز"),AF641="خیر"),1,0)</f>
        <v>0</v>
      </c>
      <c r="BB641" s="21" t="n">
        <f aca="false">IF(AE641="",0,IF(COUNTIF($AE$2:$AE$1001,AE641)&gt;1,1,0))</f>
        <v>0</v>
      </c>
      <c r="BC641" s="21" t="n">
        <f aca="false">IF(AND(H641="",I641&gt;تنظیمات!$B$12*60,AM641="خالی"),1,0)</f>
        <v>0</v>
      </c>
      <c r="BD641" s="21" t="n">
        <f aca="false">IF(AND(AP641="بله",I641&lt;تنظیمات!$B$14,AO641="خیر"),1,0)</f>
        <v>0</v>
      </c>
      <c r="BE641" s="21" t="n">
        <f aca="false">IF(AN641="خیر",1,0)</f>
        <v>0</v>
      </c>
      <c r="BF641" s="21" t="n">
        <f aca="false">IF(AND(AD641="فیش مفقودی",AQ641="بله",I641&gt;تنظیمات!$B$12*60),1,0)</f>
        <v>0</v>
      </c>
      <c r="BG641" s="21" t="n">
        <f aca="false">IF(AND(AK641&gt;تنظیمات!$B$11,AL641="بله"),1,0)</f>
        <v>0</v>
      </c>
      <c r="BH641" s="21" t="n">
        <f aca="false">MIN(100,AR641*تنظیمات!$B$21+AS641*تنظیمات!$B$22+AT641*تنظیمات!$B$23+AU641*تنظیمات!$B$24+AV641*تنظیمات!$B$25+AW641*تنظیمات!$B$26+AX641*تنظیمات!$B$27+AY641*تنظیمات!$B$28+AZ641*تنظیمات!$B$29+BA641*تنظیمات!$B$30+BB641*تنظیمات!$B$31+BC641*تنظیمات!$B$32+BD641*تنظیمات!$B$33+BE641*تنظیمات!$B$34+BF641*تنظیمات!$B$35+BG641*تنظیمات!$B$36)</f>
        <v>0</v>
      </c>
      <c r="BI641" s="16" t="str">
        <f aca="false">IF(BH641&gt;=60,"بحرانی",IF(BH641&gt;=30,"مشکوک",IF(BH641&gt;0,"هشدار","عادی")))</f>
        <v>عادی</v>
      </c>
      <c r="BJ641" s="16" t="s">
        <v>338</v>
      </c>
    </row>
    <row r="642" customFormat="false" ht="15" hidden="false" customHeight="false" outlineLevel="0" collapsed="false">
      <c r="A642" s="16" t="s">
        <v>2338</v>
      </c>
      <c r="B642" s="16" t="s">
        <v>823</v>
      </c>
      <c r="C642" s="16" t="s">
        <v>2339</v>
      </c>
      <c r="D642" s="16" t="s">
        <v>331</v>
      </c>
      <c r="E642" s="16" t="s">
        <v>345</v>
      </c>
      <c r="F642" s="16" t="s">
        <v>333</v>
      </c>
      <c r="G642" s="17" t="n">
        <v>46289.8105092593</v>
      </c>
      <c r="H642" s="17" t="n">
        <v>46289.8466203704</v>
      </c>
      <c r="I642" s="18" t="n">
        <f aca="false">IF(H642="",ROUND((تنظیمات!$B$7-G642)*1440,0),ROUND((H642-G642)*1440,0))</f>
        <v>52</v>
      </c>
      <c r="J642" s="16" t="s">
        <v>334</v>
      </c>
      <c r="K642" s="16" t="s">
        <v>410</v>
      </c>
      <c r="L642" s="19" t="n">
        <v>0.463</v>
      </c>
      <c r="M642" s="19" t="n">
        <v>0.939</v>
      </c>
      <c r="N642" s="16" t="s">
        <v>340</v>
      </c>
      <c r="O642" s="16" t="s">
        <v>419</v>
      </c>
      <c r="P642" s="16" t="s">
        <v>420</v>
      </c>
      <c r="Q642" s="20" t="n">
        <v>46289</v>
      </c>
      <c r="R642" s="16" t="s">
        <v>2340</v>
      </c>
      <c r="S642" s="16" t="s">
        <v>404</v>
      </c>
      <c r="T642" s="17"/>
      <c r="U642" s="21" t="n">
        <v>1</v>
      </c>
      <c r="V642" s="21" t="n">
        <v>1</v>
      </c>
      <c r="W642" s="22" t="n">
        <v>6.3</v>
      </c>
      <c r="X642" s="16" t="s">
        <v>335</v>
      </c>
      <c r="Y642" s="16" t="s">
        <v>338</v>
      </c>
      <c r="Z642" s="16" t="s">
        <v>413</v>
      </c>
      <c r="AA642" s="16" t="s">
        <v>414</v>
      </c>
      <c r="AB642" s="23" t="s">
        <v>2341</v>
      </c>
      <c r="AC642" s="17" t="n">
        <v>46289.845625</v>
      </c>
      <c r="AD642" s="16" t="s">
        <v>338</v>
      </c>
      <c r="AE642" s="16"/>
      <c r="AF642" s="16" t="str">
        <f aca="false">IF(COUNTIF(لیست_سفید!$A$2:$A$21,B642)&gt;0,"بله","خیر")</f>
        <v>خیر</v>
      </c>
      <c r="AG642" s="24" t="n">
        <f aca="false">IF(H642="","",IF(AD642="فیش مفقودی",تنظیمات!$B$6,(INT(I642/1440)*تنظیمات!$B$5+IF(MOD(I642,1440)&lt;=تنظیمات!$B$2,0,MIN(تنظیمات!$B$5,تنظیمات!$B$3+MAX(0,ROUNDUP((MOD(I642,1440)-60)/60,0))*تنظیمات!$B$4)))*INDEX(تعرفه!$B$2:$B$7,MATCH(AD642,تعرفه!$A$2:$A$7,0))))</f>
        <v>20000</v>
      </c>
      <c r="AH642" s="24" t="n">
        <v>20000</v>
      </c>
      <c r="AI642" s="24" t="n">
        <f aca="false">IF(AG642="","",AH642-AG642)</f>
        <v>0</v>
      </c>
      <c r="AJ642" s="21" t="n">
        <v>3</v>
      </c>
      <c r="AK642" s="21" t="n">
        <v>0</v>
      </c>
      <c r="AL642" s="16" t="s">
        <v>335</v>
      </c>
      <c r="AM642" s="16"/>
      <c r="AN642" s="16" t="s">
        <v>340</v>
      </c>
      <c r="AO642" s="16" t="s">
        <v>340</v>
      </c>
      <c r="AP642" s="16" t="s">
        <v>335</v>
      </c>
      <c r="AQ642" s="16"/>
      <c r="AR642" s="21" t="n">
        <f aca="false">IF(AND(T642&lt;&gt;"",H642&lt;&gt;""),IF(AND((T642-H642)*86400&gt;=0,(T642-H642)*86400&lt;تنظیمات!$B$13),1,0),0)</f>
        <v>0</v>
      </c>
      <c r="AS642" s="21" t="n">
        <f aca="false">IF(Z642="پوز",IF(OR(AB642="",COUNTIF(پوزها!$A$2:$A$5,AA642)=0),1,0),0)</f>
        <v>0</v>
      </c>
      <c r="AT642" s="21" t="n">
        <f aca="false">IF(AI642="",0,IF(AI642&gt;0,1,0))</f>
        <v>0</v>
      </c>
      <c r="AU642" s="21" t="n">
        <f aca="false">IF(AI642="",0,IF(AI642&lt;0,1,0))</f>
        <v>0</v>
      </c>
      <c r="AV642" s="21" t="n">
        <f aca="false">IF(U642&gt;V642,1,0)</f>
        <v>0</v>
      </c>
      <c r="AW642" s="21" t="n">
        <f aca="false">IF(OR(W642&gt;تنظیمات!$B$8,X642="بله"),1,0)</f>
        <v>0</v>
      </c>
      <c r="AX642" s="21" t="n">
        <f aca="false">IF(AND(N642="بله",L642&gt;تنظیمات!$B$9),1,0)</f>
        <v>0</v>
      </c>
      <c r="AY642" s="21" t="n">
        <f aca="false">IF(Y642="معکوس",1,0)</f>
        <v>0</v>
      </c>
      <c r="AZ642" s="21" t="n">
        <f aca="false">IF(ABS(AJ642)&gt;تنظیمات!$B$10,1,0)</f>
        <v>0</v>
      </c>
      <c r="BA642" s="21" t="n">
        <f aca="false">IF(AND(OR(AD642="رایگان/VIP",AD642="جانباز"),AF642="خیر"),1,0)</f>
        <v>0</v>
      </c>
      <c r="BB642" s="21" t="n">
        <f aca="false">IF(AE642="",0,IF(COUNTIF($AE$2:$AE$1001,AE642)&gt;1,1,0))</f>
        <v>0</v>
      </c>
      <c r="BC642" s="21" t="n">
        <f aca="false">IF(AND(H642="",I642&gt;تنظیمات!$B$12*60,AM642="خالی"),1,0)</f>
        <v>0</v>
      </c>
      <c r="BD642" s="21" t="n">
        <f aca="false">IF(AND(AP642="بله",I642&lt;تنظیمات!$B$14,AO642="خیر"),1,0)</f>
        <v>0</v>
      </c>
      <c r="BE642" s="21" t="n">
        <f aca="false">IF(AN642="خیر",1,0)</f>
        <v>0</v>
      </c>
      <c r="BF642" s="21" t="n">
        <f aca="false">IF(AND(AD642="فیش مفقودی",AQ642="بله",I642&gt;تنظیمات!$B$12*60),1,0)</f>
        <v>0</v>
      </c>
      <c r="BG642" s="21" t="n">
        <f aca="false">IF(AND(AK642&gt;تنظیمات!$B$11,AL642="بله"),1,0)</f>
        <v>0</v>
      </c>
      <c r="BH642" s="21" t="n">
        <f aca="false">MIN(100,AR642*تنظیمات!$B$21+AS642*تنظیمات!$B$22+AT642*تنظیمات!$B$23+AU642*تنظیمات!$B$24+AV642*تنظیمات!$B$25+AW642*تنظیمات!$B$26+AX642*تنظیمات!$B$27+AY642*تنظیمات!$B$28+AZ642*تنظیمات!$B$29+BA642*تنظیمات!$B$30+BB642*تنظیمات!$B$31+BC642*تنظیمات!$B$32+BD642*تنظیمات!$B$33+BE642*تنظیمات!$B$34+BF642*تنظیمات!$B$35+BG642*تنظیمات!$B$36)</f>
        <v>0</v>
      </c>
      <c r="BI642" s="16" t="str">
        <f aca="false">IF(BH642&gt;=60,"بحرانی",IF(BH642&gt;=30,"مشکوک",IF(BH642&gt;0,"هشدار","عادی")))</f>
        <v>عادی</v>
      </c>
      <c r="BJ642" s="16" t="s">
        <v>338</v>
      </c>
    </row>
    <row r="643" customFormat="false" ht="15" hidden="false" customHeight="false" outlineLevel="0" collapsed="false">
      <c r="A643" s="16" t="s">
        <v>2342</v>
      </c>
      <c r="B643" s="16" t="s">
        <v>369</v>
      </c>
      <c r="C643" s="16"/>
      <c r="D643" s="16" t="s">
        <v>370</v>
      </c>
      <c r="E643" s="16" t="s">
        <v>345</v>
      </c>
      <c r="F643" s="16" t="s">
        <v>333</v>
      </c>
      <c r="G643" s="17" t="n">
        <v>46289.8149652778</v>
      </c>
      <c r="H643" s="17" t="n">
        <v>46289.8205208333</v>
      </c>
      <c r="I643" s="18" t="n">
        <f aca="false">IF(H643="",ROUND((تنظیمات!$B$7-G643)*1440,0),ROUND((H643-G643)*1440,0))</f>
        <v>8</v>
      </c>
      <c r="J643" s="16" t="s">
        <v>346</v>
      </c>
      <c r="K643" s="16" t="s">
        <v>410</v>
      </c>
      <c r="L643" s="19" t="n">
        <v>0.968</v>
      </c>
      <c r="M643" s="19" t="n">
        <v>0.897</v>
      </c>
      <c r="N643" s="16" t="s">
        <v>335</v>
      </c>
      <c r="O643" s="16" t="s">
        <v>419</v>
      </c>
      <c r="P643" s="16" t="s">
        <v>420</v>
      </c>
      <c r="Q643" s="20" t="n">
        <v>46289</v>
      </c>
      <c r="R643" s="16" t="s">
        <v>2343</v>
      </c>
      <c r="S643" s="16" t="s">
        <v>404</v>
      </c>
      <c r="T643" s="17"/>
      <c r="U643" s="21" t="n">
        <v>1</v>
      </c>
      <c r="V643" s="21" t="n">
        <v>1</v>
      </c>
      <c r="W643" s="22" t="n">
        <v>4.3</v>
      </c>
      <c r="X643" s="16" t="s">
        <v>335</v>
      </c>
      <c r="Y643" s="16" t="s">
        <v>338</v>
      </c>
      <c r="Z643" s="16" t="s">
        <v>628</v>
      </c>
      <c r="AA643" s="16"/>
      <c r="AB643" s="23"/>
      <c r="AC643" s="17"/>
      <c r="AD643" s="16" t="s">
        <v>338</v>
      </c>
      <c r="AE643" s="16"/>
      <c r="AF643" s="16" t="str">
        <f aca="false">IF(COUNTIF(لیست_سفید!$A$2:$A$21,B643)&gt;0,"بله","خیر")</f>
        <v>خیر</v>
      </c>
      <c r="AG643" s="24" t="n">
        <f aca="false">IF(H643="","",IF(AD643="فیش مفقودی",تنظیمات!$B$6,(INT(I643/1440)*تنظیمات!$B$5+IF(MOD(I643,1440)&lt;=تنظیمات!$B$2,0,MIN(تنظیمات!$B$5,تنظیمات!$B$3+MAX(0,ROUNDUP((MOD(I643,1440)-60)/60,0))*تنظیمات!$B$4)))*INDEX(تعرفه!$B$2:$B$7,MATCH(AD643,تعرفه!$A$2:$A$7,0))))</f>
        <v>0</v>
      </c>
      <c r="AH643" s="24" t="n">
        <v>0</v>
      </c>
      <c r="AI643" s="24" t="n">
        <f aca="false">IF(AG643="","",AH643-AG643)</f>
        <v>0</v>
      </c>
      <c r="AJ643" s="21" t="n">
        <v>0</v>
      </c>
      <c r="AK643" s="21" t="n">
        <v>0</v>
      </c>
      <c r="AL643" s="16" t="s">
        <v>335</v>
      </c>
      <c r="AM643" s="16"/>
      <c r="AN643" s="16" t="s">
        <v>340</v>
      </c>
      <c r="AO643" s="16" t="s">
        <v>335</v>
      </c>
      <c r="AP643" s="16" t="s">
        <v>340</v>
      </c>
      <c r="AQ643" s="16"/>
      <c r="AR643" s="21" t="n">
        <f aca="false">IF(AND(T643&lt;&gt;"",H643&lt;&gt;""),IF(AND((T643-H643)*86400&gt;=0,(T643-H643)*86400&lt;تنظیمات!$B$13),1,0),0)</f>
        <v>0</v>
      </c>
      <c r="AS643" s="21" t="n">
        <f aca="false">IF(Z643="پوز",IF(OR(AB643="",COUNTIF(پوزها!$A$2:$A$5,AA643)=0),1,0),0)</f>
        <v>0</v>
      </c>
      <c r="AT643" s="21" t="n">
        <f aca="false">IF(AI643="",0,IF(AI643&gt;0,1,0))</f>
        <v>0</v>
      </c>
      <c r="AU643" s="21" t="n">
        <f aca="false">IF(AI643="",0,IF(AI643&lt;0,1,0))</f>
        <v>0</v>
      </c>
      <c r="AV643" s="21" t="n">
        <f aca="false">IF(U643&gt;V643,1,0)</f>
        <v>0</v>
      </c>
      <c r="AW643" s="21" t="n">
        <f aca="false">IF(OR(W643&gt;تنظیمات!$B$8,X643="بله"),1,0)</f>
        <v>0</v>
      </c>
      <c r="AX643" s="21" t="n">
        <f aca="false">IF(AND(N643="بله",L643&gt;تنظیمات!$B$9),1,0)</f>
        <v>0</v>
      </c>
      <c r="AY643" s="21" t="n">
        <f aca="false">IF(Y643="معکوس",1,0)</f>
        <v>0</v>
      </c>
      <c r="AZ643" s="21" t="n">
        <f aca="false">IF(ABS(AJ643)&gt;تنظیمات!$B$10,1,0)</f>
        <v>0</v>
      </c>
      <c r="BA643" s="21" t="n">
        <f aca="false">IF(AND(OR(AD643="رایگان/VIP",AD643="جانباز"),AF643="خیر"),1,0)</f>
        <v>0</v>
      </c>
      <c r="BB643" s="21" t="n">
        <f aca="false">IF(AE643="",0,IF(COUNTIF($AE$2:$AE$1001,AE643)&gt;1,1,0))</f>
        <v>0</v>
      </c>
      <c r="BC643" s="21" t="n">
        <f aca="false">IF(AND(H643="",I643&gt;تنظیمات!$B$12*60,AM643="خالی"),1,0)</f>
        <v>0</v>
      </c>
      <c r="BD643" s="21" t="n">
        <f aca="false">IF(AND(AP643="بله",I643&lt;تنظیمات!$B$14,AO643="خیر"),1,0)</f>
        <v>1</v>
      </c>
      <c r="BE643" s="21" t="n">
        <f aca="false">IF(AN643="خیر",1,0)</f>
        <v>0</v>
      </c>
      <c r="BF643" s="21" t="n">
        <f aca="false">IF(AND(AD643="فیش مفقودی",AQ643="بله",I643&gt;تنظیمات!$B$12*60),1,0)</f>
        <v>0</v>
      </c>
      <c r="BG643" s="21" t="n">
        <f aca="false">IF(AND(AK643&gt;تنظیمات!$B$11,AL643="بله"),1,0)</f>
        <v>0</v>
      </c>
      <c r="BH643" s="21" t="n">
        <f aca="false">MIN(100,AR643*تنظیمات!$B$21+AS643*تنظیمات!$B$22+AT643*تنظیمات!$B$23+AU643*تنظیمات!$B$24+AV643*تنظیمات!$B$25+AW643*تنظیمات!$B$26+AX643*تنظیمات!$B$27+AY643*تنظیمات!$B$28+AZ643*تنظیمات!$B$29+BA643*تنظیمات!$B$30+BB643*تنظیمات!$B$31+BC643*تنظیمات!$B$32+BD643*تنظیمات!$B$33+BE643*تنظیمات!$B$34+BF643*تنظیمات!$B$35+BG643*تنظیمات!$B$36)</f>
        <v>40</v>
      </c>
      <c r="BI643" s="16" t="str">
        <f aca="false">IF(BH643&gt;=60,"بحرانی",IF(BH643&gt;=30,"مشکوک",IF(BH643&gt;0,"هشدار","عادی")))</f>
        <v>مشکوک</v>
      </c>
      <c r="BJ643" s="16" t="s">
        <v>1329</v>
      </c>
    </row>
    <row r="644" customFormat="false" ht="15" hidden="false" customHeight="false" outlineLevel="0" collapsed="false">
      <c r="A644" s="16" t="s">
        <v>2344</v>
      </c>
      <c r="B644" s="16" t="s">
        <v>643</v>
      </c>
      <c r="C644" s="16"/>
      <c r="D644" s="16" t="s">
        <v>382</v>
      </c>
      <c r="E644" s="16" t="s">
        <v>345</v>
      </c>
      <c r="F644" s="16" t="s">
        <v>333</v>
      </c>
      <c r="G644" s="17" t="n">
        <v>46289.8193171296</v>
      </c>
      <c r="H644" s="17" t="n">
        <v>46289.865150463</v>
      </c>
      <c r="I644" s="18" t="n">
        <f aca="false">IF(H644="",ROUND((تنظیمات!$B$7-G644)*1440,0),ROUND((H644-G644)*1440,0))</f>
        <v>66</v>
      </c>
      <c r="J644" s="16" t="s">
        <v>334</v>
      </c>
      <c r="K644" s="16" t="s">
        <v>410</v>
      </c>
      <c r="L644" s="19" t="n">
        <v>0.99</v>
      </c>
      <c r="M644" s="19" t="n">
        <v>0.991</v>
      </c>
      <c r="N644" s="16" t="s">
        <v>335</v>
      </c>
      <c r="O644" s="16" t="s">
        <v>419</v>
      </c>
      <c r="P644" s="16" t="s">
        <v>420</v>
      </c>
      <c r="Q644" s="20" t="n">
        <v>46289</v>
      </c>
      <c r="R644" s="16" t="s">
        <v>2345</v>
      </c>
      <c r="S644" s="16" t="s">
        <v>404</v>
      </c>
      <c r="T644" s="17"/>
      <c r="U644" s="21" t="n">
        <v>1</v>
      </c>
      <c r="V644" s="21" t="n">
        <v>1</v>
      </c>
      <c r="W644" s="22" t="n">
        <v>5</v>
      </c>
      <c r="X644" s="16" t="s">
        <v>335</v>
      </c>
      <c r="Y644" s="16" t="s">
        <v>338</v>
      </c>
      <c r="Z644" s="16" t="s">
        <v>405</v>
      </c>
      <c r="AA644" s="16"/>
      <c r="AB644" s="23"/>
      <c r="AC644" s="17"/>
      <c r="AD644" s="16" t="s">
        <v>338</v>
      </c>
      <c r="AE644" s="16"/>
      <c r="AF644" s="16" t="str">
        <f aca="false">IF(COUNTIF(لیست_سفید!$A$2:$A$21,B644)&gt;0,"بله","خیر")</f>
        <v>خیر</v>
      </c>
      <c r="AG644" s="24" t="n">
        <f aca="false">IF(H644="","",IF(AD644="فیش مفقودی",تنظیمات!$B$6,(INT(I644/1440)*تنظیمات!$B$5+IF(MOD(I644,1440)&lt;=تنظیمات!$B$2,0,MIN(تنظیمات!$B$5,تنظیمات!$B$3+MAX(0,ROUNDUP((MOD(I644,1440)-60)/60,0))*تنظیمات!$B$4)))*INDEX(تعرفه!$B$2:$B$7,MATCH(AD644,تعرفه!$A$2:$A$7,0))))</f>
        <v>34000</v>
      </c>
      <c r="AH644" s="24" t="n">
        <v>34000</v>
      </c>
      <c r="AI644" s="24" t="n">
        <f aca="false">IF(AG644="","",AH644-AG644)</f>
        <v>0</v>
      </c>
      <c r="AJ644" s="21" t="n">
        <v>4</v>
      </c>
      <c r="AK644" s="21" t="n">
        <v>0</v>
      </c>
      <c r="AL644" s="16" t="s">
        <v>335</v>
      </c>
      <c r="AM644" s="16"/>
      <c r="AN644" s="16" t="s">
        <v>340</v>
      </c>
      <c r="AO644" s="16" t="s">
        <v>340</v>
      </c>
      <c r="AP644" s="16" t="s">
        <v>335</v>
      </c>
      <c r="AQ644" s="16"/>
      <c r="AR644" s="21" t="n">
        <f aca="false">IF(AND(T644&lt;&gt;"",H644&lt;&gt;""),IF(AND((T644-H644)*86400&gt;=0,(T644-H644)*86400&lt;تنظیمات!$B$13),1,0),0)</f>
        <v>0</v>
      </c>
      <c r="AS644" s="21" t="n">
        <f aca="false">IF(Z644="پوز",IF(OR(AB644="",COUNTIF(پوزها!$A$2:$A$5,AA644)=0),1,0),0)</f>
        <v>0</v>
      </c>
      <c r="AT644" s="21" t="n">
        <f aca="false">IF(AI644="",0,IF(AI644&gt;0,1,0))</f>
        <v>0</v>
      </c>
      <c r="AU644" s="21" t="n">
        <f aca="false">IF(AI644="",0,IF(AI644&lt;0,1,0))</f>
        <v>0</v>
      </c>
      <c r="AV644" s="21" t="n">
        <f aca="false">IF(U644&gt;V644,1,0)</f>
        <v>0</v>
      </c>
      <c r="AW644" s="21" t="n">
        <f aca="false">IF(OR(W644&gt;تنظیمات!$B$8,X644="بله"),1,0)</f>
        <v>0</v>
      </c>
      <c r="AX644" s="21" t="n">
        <f aca="false">IF(AND(N644="بله",L644&gt;تنظیمات!$B$9),1,0)</f>
        <v>0</v>
      </c>
      <c r="AY644" s="21" t="n">
        <f aca="false">IF(Y644="معکوس",1,0)</f>
        <v>0</v>
      </c>
      <c r="AZ644" s="21" t="n">
        <f aca="false">IF(ABS(AJ644)&gt;تنظیمات!$B$10,1,0)</f>
        <v>0</v>
      </c>
      <c r="BA644" s="21" t="n">
        <f aca="false">IF(AND(OR(AD644="رایگان/VIP",AD644="جانباز"),AF644="خیر"),1,0)</f>
        <v>0</v>
      </c>
      <c r="BB644" s="21" t="n">
        <f aca="false">IF(AE644="",0,IF(COUNTIF($AE$2:$AE$1001,AE644)&gt;1,1,0))</f>
        <v>0</v>
      </c>
      <c r="BC644" s="21" t="n">
        <f aca="false">IF(AND(H644="",I644&gt;تنظیمات!$B$12*60,AM644="خالی"),1,0)</f>
        <v>0</v>
      </c>
      <c r="BD644" s="21" t="n">
        <f aca="false">IF(AND(AP644="بله",I644&lt;تنظیمات!$B$14,AO644="خیر"),1,0)</f>
        <v>0</v>
      </c>
      <c r="BE644" s="21" t="n">
        <f aca="false">IF(AN644="خیر",1,0)</f>
        <v>0</v>
      </c>
      <c r="BF644" s="21" t="n">
        <f aca="false">IF(AND(AD644="فیش مفقودی",AQ644="بله",I644&gt;تنظیمات!$B$12*60),1,0)</f>
        <v>0</v>
      </c>
      <c r="BG644" s="21" t="n">
        <f aca="false">IF(AND(AK644&gt;تنظیمات!$B$11,AL644="بله"),1,0)</f>
        <v>0</v>
      </c>
      <c r="BH644" s="21" t="n">
        <f aca="false">MIN(100,AR644*تنظیمات!$B$21+AS644*تنظیمات!$B$22+AT644*تنظیمات!$B$23+AU644*تنظیمات!$B$24+AV644*تنظیمات!$B$25+AW644*تنظیمات!$B$26+AX644*تنظیمات!$B$27+AY644*تنظیمات!$B$28+AZ644*تنظیمات!$B$29+BA644*تنظیمات!$B$30+BB644*تنظیمات!$B$31+BC644*تنظیمات!$B$32+BD644*تنظیمات!$B$33+BE644*تنظیمات!$B$34+BF644*تنظیمات!$B$35+BG644*تنظیمات!$B$36)</f>
        <v>0</v>
      </c>
      <c r="BI644" s="16" t="str">
        <f aca="false">IF(BH644&gt;=60,"بحرانی",IF(BH644&gt;=30,"مشکوک",IF(BH644&gt;0,"هشدار","عادی")))</f>
        <v>عادی</v>
      </c>
      <c r="BJ644" s="16" t="s">
        <v>338</v>
      </c>
    </row>
    <row r="645" customFormat="false" ht="15" hidden="false" customHeight="false" outlineLevel="0" collapsed="false">
      <c r="A645" s="16" t="s">
        <v>2346</v>
      </c>
      <c r="B645" s="16" t="s">
        <v>2347</v>
      </c>
      <c r="C645" s="16"/>
      <c r="D645" s="16" t="s">
        <v>431</v>
      </c>
      <c r="E645" s="16" t="s">
        <v>390</v>
      </c>
      <c r="F645" s="16" t="s">
        <v>333</v>
      </c>
      <c r="G645" s="17" t="n">
        <v>46289.8334259259</v>
      </c>
      <c r="H645" s="17" t="n">
        <v>46289.838287037</v>
      </c>
      <c r="I645" s="18" t="n">
        <f aca="false">IF(H645="",ROUND((تنظیمات!$B$7-G645)*1440,0),ROUND((H645-G645)*1440,0))</f>
        <v>7</v>
      </c>
      <c r="J645" s="16" t="s">
        <v>346</v>
      </c>
      <c r="K645" s="16" t="s">
        <v>410</v>
      </c>
      <c r="L645" s="19" t="n">
        <v>0.918</v>
      </c>
      <c r="M645" s="19" t="n">
        <v>0.995</v>
      </c>
      <c r="N645" s="16" t="s">
        <v>335</v>
      </c>
      <c r="O645" s="16" t="s">
        <v>419</v>
      </c>
      <c r="P645" s="16" t="s">
        <v>420</v>
      </c>
      <c r="Q645" s="20" t="n">
        <v>46289</v>
      </c>
      <c r="R645" s="16" t="s">
        <v>2348</v>
      </c>
      <c r="S645" s="16" t="s">
        <v>404</v>
      </c>
      <c r="T645" s="17"/>
      <c r="U645" s="21" t="n">
        <v>3</v>
      </c>
      <c r="V645" s="21" t="n">
        <v>1</v>
      </c>
      <c r="W645" s="22" t="n">
        <v>9</v>
      </c>
      <c r="X645" s="16" t="s">
        <v>335</v>
      </c>
      <c r="Y645" s="16" t="s">
        <v>338</v>
      </c>
      <c r="Z645" s="16" t="s">
        <v>628</v>
      </c>
      <c r="AA645" s="16"/>
      <c r="AB645" s="23"/>
      <c r="AC645" s="17"/>
      <c r="AD645" s="16" t="s">
        <v>338</v>
      </c>
      <c r="AE645" s="16"/>
      <c r="AF645" s="16" t="str">
        <f aca="false">IF(COUNTIF(لیست_سفید!$A$2:$A$21,B645)&gt;0,"بله","خیر")</f>
        <v>خیر</v>
      </c>
      <c r="AG645" s="24" t="n">
        <f aca="false">IF(H645="","",IF(AD645="فیش مفقودی",تنظیمات!$B$6,(INT(I645/1440)*تنظیمات!$B$5+IF(MOD(I645,1440)&lt;=تنظیمات!$B$2,0,MIN(تنظیمات!$B$5,تنظیمات!$B$3+MAX(0,ROUNDUP((MOD(I645,1440)-60)/60,0))*تنظیمات!$B$4)))*INDEX(تعرفه!$B$2:$B$7,MATCH(AD645,تعرفه!$A$2:$A$7,0))))</f>
        <v>0</v>
      </c>
      <c r="AH645" s="24" t="n">
        <v>0</v>
      </c>
      <c r="AI645" s="24" t="n">
        <f aca="false">IF(AG645="","",AH645-AG645)</f>
        <v>0</v>
      </c>
      <c r="AJ645" s="21" t="n">
        <v>5</v>
      </c>
      <c r="AK645" s="21" t="n">
        <v>0</v>
      </c>
      <c r="AL645" s="16" t="s">
        <v>335</v>
      </c>
      <c r="AM645" s="16"/>
      <c r="AN645" s="16" t="s">
        <v>340</v>
      </c>
      <c r="AO645" s="16" t="s">
        <v>340</v>
      </c>
      <c r="AP645" s="16" t="s">
        <v>335</v>
      </c>
      <c r="AQ645" s="16"/>
      <c r="AR645" s="21" t="n">
        <f aca="false">IF(AND(T645&lt;&gt;"",H645&lt;&gt;""),IF(AND((T645-H645)*86400&gt;=0,(T645-H645)*86400&lt;تنظیمات!$B$13),1,0),0)</f>
        <v>0</v>
      </c>
      <c r="AS645" s="21" t="n">
        <f aca="false">IF(Z645="پوز",IF(OR(AB645="",COUNTIF(پوزها!$A$2:$A$5,AA645)=0),1,0),0)</f>
        <v>0</v>
      </c>
      <c r="AT645" s="21" t="n">
        <f aca="false">IF(AI645="",0,IF(AI645&gt;0,1,0))</f>
        <v>0</v>
      </c>
      <c r="AU645" s="21" t="n">
        <f aca="false">IF(AI645="",0,IF(AI645&lt;0,1,0))</f>
        <v>0</v>
      </c>
      <c r="AV645" s="21" t="n">
        <f aca="false">IF(U645&gt;V645,1,0)</f>
        <v>1</v>
      </c>
      <c r="AW645" s="21" t="n">
        <f aca="false">IF(OR(W645&gt;تنظیمات!$B$8,X645="بله"),1,0)</f>
        <v>0</v>
      </c>
      <c r="AX645" s="21" t="n">
        <f aca="false">IF(AND(N645="بله",L645&gt;تنظیمات!$B$9),1,0)</f>
        <v>0</v>
      </c>
      <c r="AY645" s="21" t="n">
        <f aca="false">IF(Y645="معکوس",1,0)</f>
        <v>0</v>
      </c>
      <c r="AZ645" s="21" t="n">
        <f aca="false">IF(ABS(AJ645)&gt;تنظیمات!$B$10,1,0)</f>
        <v>0</v>
      </c>
      <c r="BA645" s="21" t="n">
        <f aca="false">IF(AND(OR(AD645="رایگان/VIP",AD645="جانباز"),AF645="خیر"),1,0)</f>
        <v>0</v>
      </c>
      <c r="BB645" s="21" t="n">
        <f aca="false">IF(AE645="",0,IF(COUNTIF($AE$2:$AE$1001,AE645)&gt;1,1,0))</f>
        <v>0</v>
      </c>
      <c r="BC645" s="21" t="n">
        <f aca="false">IF(AND(H645="",I645&gt;تنظیمات!$B$12*60,AM645="خالی"),1,0)</f>
        <v>0</v>
      </c>
      <c r="BD645" s="21" t="n">
        <f aca="false">IF(AND(AP645="بله",I645&lt;تنظیمات!$B$14,AO645="خیر"),1,0)</f>
        <v>0</v>
      </c>
      <c r="BE645" s="21" t="n">
        <f aca="false">IF(AN645="خیر",1,0)</f>
        <v>0</v>
      </c>
      <c r="BF645" s="21" t="n">
        <f aca="false">IF(AND(AD645="فیش مفقودی",AQ645="بله",I645&gt;تنظیمات!$B$12*60),1,0)</f>
        <v>0</v>
      </c>
      <c r="BG645" s="21" t="n">
        <f aca="false">IF(AND(AK645&gt;تنظیمات!$B$11,AL645="بله"),1,0)</f>
        <v>0</v>
      </c>
      <c r="BH645" s="21" t="n">
        <f aca="false">MIN(100,AR645*تنظیمات!$B$21+AS645*تنظیمات!$B$22+AT645*تنظیمات!$B$23+AU645*تنظیمات!$B$24+AV645*تنظیمات!$B$25+AW645*تنظیمات!$B$26+AX645*تنظیمات!$B$27+AY645*تنظیمات!$B$28+AZ645*تنظیمات!$B$29+BA645*تنظیمات!$B$30+BB645*تنظیمات!$B$31+BC645*تنظیمات!$B$32+BD645*تنظیمات!$B$33+BE645*تنظیمات!$B$34+BF645*تنظیمات!$B$35+BG645*تنظیمات!$B$36)</f>
        <v>30</v>
      </c>
      <c r="BI645" s="16" t="str">
        <f aca="false">IF(BH645&gt;=60,"بحرانی",IF(BH645&gt;=30,"مشکوک",IF(BH645&gt;0,"هشدار","عادی")))</f>
        <v>مشکوک</v>
      </c>
      <c r="BJ645" s="16" t="s">
        <v>516</v>
      </c>
    </row>
    <row r="646" customFormat="false" ht="15" hidden="false" customHeight="false" outlineLevel="0" collapsed="false">
      <c r="A646" s="16" t="s">
        <v>2349</v>
      </c>
      <c r="B646" s="16" t="s">
        <v>1633</v>
      </c>
      <c r="C646" s="16" t="s">
        <v>2350</v>
      </c>
      <c r="D646" s="16" t="s">
        <v>440</v>
      </c>
      <c r="E646" s="16" t="s">
        <v>363</v>
      </c>
      <c r="F646" s="16" t="s">
        <v>359</v>
      </c>
      <c r="G646" s="17" t="n">
        <v>46289.8774189815</v>
      </c>
      <c r="H646" s="17" t="n">
        <v>46289.8961689815</v>
      </c>
      <c r="I646" s="18" t="n">
        <f aca="false">IF(H646="",ROUND((تنظیمات!$B$7-G646)*1440,0),ROUND((H646-G646)*1440,0))</f>
        <v>27</v>
      </c>
      <c r="J646" s="16" t="s">
        <v>334</v>
      </c>
      <c r="K646" s="16" t="s">
        <v>400</v>
      </c>
      <c r="L646" s="19" t="n">
        <v>0.864</v>
      </c>
      <c r="M646" s="19" t="n">
        <v>0.961</v>
      </c>
      <c r="N646" s="16" t="s">
        <v>340</v>
      </c>
      <c r="O646" s="16" t="s">
        <v>401</v>
      </c>
      <c r="P646" s="16" t="s">
        <v>420</v>
      </c>
      <c r="Q646" s="20" t="n">
        <v>46289</v>
      </c>
      <c r="R646" s="16" t="s">
        <v>2351</v>
      </c>
      <c r="S646" s="16" t="s">
        <v>404</v>
      </c>
      <c r="T646" s="17"/>
      <c r="U646" s="21" t="n">
        <v>1</v>
      </c>
      <c r="V646" s="21" t="n">
        <v>1</v>
      </c>
      <c r="W646" s="22" t="n">
        <v>4.5</v>
      </c>
      <c r="X646" s="16" t="s">
        <v>335</v>
      </c>
      <c r="Y646" s="16" t="s">
        <v>338</v>
      </c>
      <c r="Z646" s="16" t="s">
        <v>405</v>
      </c>
      <c r="AA646" s="16"/>
      <c r="AB646" s="23"/>
      <c r="AC646" s="17"/>
      <c r="AD646" s="16" t="s">
        <v>338</v>
      </c>
      <c r="AE646" s="16"/>
      <c r="AF646" s="16" t="str">
        <f aca="false">IF(COUNTIF(لیست_سفید!$A$2:$A$21,B646)&gt;0,"بله","خیر")</f>
        <v>خیر</v>
      </c>
      <c r="AG646" s="24" t="n">
        <f aca="false">IF(H646="","",IF(AD646="فیش مفقودی",تنظیمات!$B$6,(INT(I646/1440)*تنظیمات!$B$5+IF(MOD(I646,1440)&lt;=تنظیمات!$B$2,0,MIN(تنظیمات!$B$5,تنظیمات!$B$3+MAX(0,ROUNDUP((MOD(I646,1440)-60)/60,0))*تنظیمات!$B$4)))*INDEX(تعرفه!$B$2:$B$7,MATCH(AD646,تعرفه!$A$2:$A$7,0))))</f>
        <v>20000</v>
      </c>
      <c r="AH646" s="24" t="n">
        <v>20000</v>
      </c>
      <c r="AI646" s="24" t="n">
        <f aca="false">IF(AG646="","",AH646-AG646)</f>
        <v>0</v>
      </c>
      <c r="AJ646" s="21" t="n">
        <v>4</v>
      </c>
      <c r="AK646" s="21" t="n">
        <v>0</v>
      </c>
      <c r="AL646" s="16" t="s">
        <v>335</v>
      </c>
      <c r="AM646" s="16"/>
      <c r="AN646" s="16" t="s">
        <v>340</v>
      </c>
      <c r="AO646" s="16" t="s">
        <v>340</v>
      </c>
      <c r="AP646" s="16" t="s">
        <v>335</v>
      </c>
      <c r="AQ646" s="16"/>
      <c r="AR646" s="21" t="n">
        <f aca="false">IF(AND(T646&lt;&gt;"",H646&lt;&gt;""),IF(AND((T646-H646)*86400&gt;=0,(T646-H646)*86400&lt;تنظیمات!$B$13),1,0),0)</f>
        <v>0</v>
      </c>
      <c r="AS646" s="21" t="n">
        <f aca="false">IF(Z646="پوز",IF(OR(AB646="",COUNTIF(پوزها!$A$2:$A$5,AA646)=0),1,0),0)</f>
        <v>0</v>
      </c>
      <c r="AT646" s="21" t="n">
        <f aca="false">IF(AI646="",0,IF(AI646&gt;0,1,0))</f>
        <v>0</v>
      </c>
      <c r="AU646" s="21" t="n">
        <f aca="false">IF(AI646="",0,IF(AI646&lt;0,1,0))</f>
        <v>0</v>
      </c>
      <c r="AV646" s="21" t="n">
        <f aca="false">IF(U646&gt;V646,1,0)</f>
        <v>0</v>
      </c>
      <c r="AW646" s="21" t="n">
        <f aca="false">IF(OR(W646&gt;تنظیمات!$B$8,X646="بله"),1,0)</f>
        <v>0</v>
      </c>
      <c r="AX646" s="21" t="n">
        <f aca="false">IF(AND(N646="بله",L646&gt;تنظیمات!$B$9),1,0)</f>
        <v>1</v>
      </c>
      <c r="AY646" s="21" t="n">
        <f aca="false">IF(Y646="معکوس",1,0)</f>
        <v>0</v>
      </c>
      <c r="AZ646" s="21" t="n">
        <f aca="false">IF(ABS(AJ646)&gt;تنظیمات!$B$10,1,0)</f>
        <v>0</v>
      </c>
      <c r="BA646" s="21" t="n">
        <f aca="false">IF(AND(OR(AD646="رایگان/VIP",AD646="جانباز"),AF646="خیر"),1,0)</f>
        <v>0</v>
      </c>
      <c r="BB646" s="21" t="n">
        <f aca="false">IF(AE646="",0,IF(COUNTIF($AE$2:$AE$1001,AE646)&gt;1,1,0))</f>
        <v>0</v>
      </c>
      <c r="BC646" s="21" t="n">
        <f aca="false">IF(AND(H646="",I646&gt;تنظیمات!$B$12*60,AM646="خالی"),1,0)</f>
        <v>0</v>
      </c>
      <c r="BD646" s="21" t="n">
        <f aca="false">IF(AND(AP646="بله",I646&lt;تنظیمات!$B$14,AO646="خیر"),1,0)</f>
        <v>0</v>
      </c>
      <c r="BE646" s="21" t="n">
        <f aca="false">IF(AN646="خیر",1,0)</f>
        <v>0</v>
      </c>
      <c r="BF646" s="21" t="n">
        <f aca="false">IF(AND(AD646="فیش مفقودی",AQ646="بله",I646&gt;تنظیمات!$B$12*60),1,0)</f>
        <v>0</v>
      </c>
      <c r="BG646" s="21" t="n">
        <f aca="false">IF(AND(AK646&gt;تنظیمات!$B$11,AL646="بله"),1,0)</f>
        <v>0</v>
      </c>
      <c r="BH646" s="21" t="n">
        <f aca="false">MIN(100,AR646*تنظیمات!$B$21+AS646*تنظیمات!$B$22+AT646*تنظیمات!$B$23+AU646*تنظیمات!$B$24+AV646*تنظیمات!$B$25+AW646*تنظیمات!$B$26+AX646*تنظیمات!$B$27+AY646*تنظیمات!$B$28+AZ646*تنظیمات!$B$29+BA646*تنظیمات!$B$30+BB646*تنظیمات!$B$31+BC646*تنظیمات!$B$32+BD646*تنظیمات!$B$33+BE646*تنظیمات!$B$34+BF646*تنظیمات!$B$35+BG646*تنظیمات!$B$36)</f>
        <v>30</v>
      </c>
      <c r="BI646" s="16" t="str">
        <f aca="false">IF(BH646&gt;=60,"بحرانی",IF(BH646&gt;=30,"مشکوک",IF(BH646&gt;0,"هشدار","عادی")))</f>
        <v>مشکوک</v>
      </c>
      <c r="BJ646" s="16" t="s">
        <v>622</v>
      </c>
    </row>
    <row r="647" customFormat="false" ht="15" hidden="false" customHeight="false" outlineLevel="0" collapsed="false">
      <c r="A647" s="16" t="s">
        <v>2352</v>
      </c>
      <c r="B647" s="16" t="s">
        <v>1161</v>
      </c>
      <c r="C647" s="16"/>
      <c r="D647" s="16" t="s">
        <v>386</v>
      </c>
      <c r="E647" s="16" t="s">
        <v>375</v>
      </c>
      <c r="F647" s="16" t="s">
        <v>333</v>
      </c>
      <c r="G647" s="17" t="n">
        <v>46289.931412037</v>
      </c>
      <c r="H647" s="17" t="n">
        <v>46290.8008564815</v>
      </c>
      <c r="I647" s="18" t="n">
        <f aca="false">IF(H647="",ROUND((تنظیمات!$B$7-G647)*1440,0),ROUND((H647-G647)*1440,0))</f>
        <v>1252</v>
      </c>
      <c r="J647" s="16" t="s">
        <v>334</v>
      </c>
      <c r="K647" s="16" t="s">
        <v>410</v>
      </c>
      <c r="L647" s="19" t="n">
        <v>0.995</v>
      </c>
      <c r="M647" s="19" t="n">
        <v>0.987</v>
      </c>
      <c r="N647" s="16" t="s">
        <v>335</v>
      </c>
      <c r="O647" s="16" t="s">
        <v>441</v>
      </c>
      <c r="P647" s="16" t="s">
        <v>420</v>
      </c>
      <c r="Q647" s="20" t="n">
        <v>46290</v>
      </c>
      <c r="R647" s="16" t="s">
        <v>2353</v>
      </c>
      <c r="S647" s="16" t="s">
        <v>404</v>
      </c>
      <c r="T647" s="17"/>
      <c r="U647" s="21" t="n">
        <v>1</v>
      </c>
      <c r="V647" s="21" t="n">
        <v>1</v>
      </c>
      <c r="W647" s="22" t="n">
        <v>6.4</v>
      </c>
      <c r="X647" s="16" t="s">
        <v>335</v>
      </c>
      <c r="Y647" s="16" t="s">
        <v>338</v>
      </c>
      <c r="Z647" s="16" t="s">
        <v>413</v>
      </c>
      <c r="AA647" s="16" t="s">
        <v>414</v>
      </c>
      <c r="AB647" s="23" t="s">
        <v>2354</v>
      </c>
      <c r="AC647" s="17" t="n">
        <v>46290.8</v>
      </c>
      <c r="AD647" s="16" t="s">
        <v>406</v>
      </c>
      <c r="AE647" s="16"/>
      <c r="AF647" s="16" t="str">
        <f aca="false">IF(COUNTIF(لیست_سفید!$A$2:$A$21,B647)&gt;0,"بله","خیر")</f>
        <v>خیر</v>
      </c>
      <c r="AG647" s="24" t="n">
        <f aca="false">IF(H647="","",IF(AD647="فیش مفقودی",تنظیمات!$B$6,(INT(I647/1440)*تنظیمات!$B$5+IF(MOD(I647,1440)&lt;=تنظیمات!$B$2,0,MIN(تنظیمات!$B$5,تنظیمات!$B$3+MAX(0,ROUNDUP((MOD(I647,1440)-60)/60,0))*تنظیمات!$B$4)))*INDEX(تعرفه!$B$2:$B$7,MATCH(AD647,تعرفه!$A$2:$A$7,0))))</f>
        <v>300000</v>
      </c>
      <c r="AH647" s="24" t="n">
        <v>300000</v>
      </c>
      <c r="AI647" s="24" t="n">
        <f aca="false">IF(AG647="","",AH647-AG647)</f>
        <v>0</v>
      </c>
      <c r="AJ647" s="21" t="n">
        <v>0</v>
      </c>
      <c r="AK647" s="21" t="n">
        <v>0</v>
      </c>
      <c r="AL647" s="16" t="s">
        <v>335</v>
      </c>
      <c r="AM647" s="16"/>
      <c r="AN647" s="16" t="s">
        <v>340</v>
      </c>
      <c r="AO647" s="16" t="s">
        <v>340</v>
      </c>
      <c r="AP647" s="16" t="s">
        <v>335</v>
      </c>
      <c r="AQ647" s="16" t="s">
        <v>340</v>
      </c>
      <c r="AR647" s="21" t="n">
        <f aca="false">IF(AND(T647&lt;&gt;"",H647&lt;&gt;""),IF(AND((T647-H647)*86400&gt;=0,(T647-H647)*86400&lt;تنظیمات!$B$13),1,0),0)</f>
        <v>0</v>
      </c>
      <c r="AS647" s="21" t="n">
        <f aca="false">IF(Z647="پوز",IF(OR(AB647="",COUNTIF(پوزها!$A$2:$A$5,AA647)=0),1,0),0)</f>
        <v>0</v>
      </c>
      <c r="AT647" s="21" t="n">
        <f aca="false">IF(AI647="",0,IF(AI647&gt;0,1,0))</f>
        <v>0</v>
      </c>
      <c r="AU647" s="21" t="n">
        <f aca="false">IF(AI647="",0,IF(AI647&lt;0,1,0))</f>
        <v>0</v>
      </c>
      <c r="AV647" s="21" t="n">
        <f aca="false">IF(U647&gt;V647,1,0)</f>
        <v>0</v>
      </c>
      <c r="AW647" s="21" t="n">
        <f aca="false">IF(OR(W647&gt;تنظیمات!$B$8,X647="بله"),1,0)</f>
        <v>0</v>
      </c>
      <c r="AX647" s="21" t="n">
        <f aca="false">IF(AND(N647="بله",L647&gt;تنظیمات!$B$9),1,0)</f>
        <v>0</v>
      </c>
      <c r="AY647" s="21" t="n">
        <f aca="false">IF(Y647="معکوس",1,0)</f>
        <v>0</v>
      </c>
      <c r="AZ647" s="21" t="n">
        <f aca="false">IF(ABS(AJ647)&gt;تنظیمات!$B$10,1,0)</f>
        <v>0</v>
      </c>
      <c r="BA647" s="21" t="n">
        <f aca="false">IF(AND(OR(AD647="رایگان/VIP",AD647="جانباز"),AF647="خیر"),1,0)</f>
        <v>0</v>
      </c>
      <c r="BB647" s="21" t="n">
        <f aca="false">IF(AE647="",0,IF(COUNTIF($AE$2:$AE$1001,AE647)&gt;1,1,0))</f>
        <v>0</v>
      </c>
      <c r="BC647" s="21" t="n">
        <f aca="false">IF(AND(H647="",I647&gt;تنظیمات!$B$12*60,AM647="خالی"),1,0)</f>
        <v>0</v>
      </c>
      <c r="BD647" s="21" t="n">
        <f aca="false">IF(AND(AP647="بله",I647&lt;تنظیمات!$B$14,AO647="خیر"),1,0)</f>
        <v>0</v>
      </c>
      <c r="BE647" s="21" t="n">
        <f aca="false">IF(AN647="خیر",1,0)</f>
        <v>0</v>
      </c>
      <c r="BF647" s="21" t="n">
        <f aca="false">IF(AND(AD647="فیش مفقودی",AQ647="بله",I647&gt;تنظیمات!$B$12*60),1,0)</f>
        <v>0</v>
      </c>
      <c r="BG647" s="21" t="n">
        <f aca="false">IF(AND(AK647&gt;تنظیمات!$B$11,AL647="بله"),1,0)</f>
        <v>0</v>
      </c>
      <c r="BH647" s="21" t="n">
        <f aca="false">MIN(100,AR647*تنظیمات!$B$21+AS647*تنظیمات!$B$22+AT647*تنظیمات!$B$23+AU647*تنظیمات!$B$24+AV647*تنظیمات!$B$25+AW647*تنظیمات!$B$26+AX647*تنظیمات!$B$27+AY647*تنظیمات!$B$28+AZ647*تنظیمات!$B$29+BA647*تنظیمات!$B$30+BB647*تنظیمات!$B$31+BC647*تنظیمات!$B$32+BD647*تنظیمات!$B$33+BE647*تنظیمات!$B$34+BF647*تنظیمات!$B$35+BG647*تنظیمات!$B$36)</f>
        <v>0</v>
      </c>
      <c r="BI647" s="16" t="str">
        <f aca="false">IF(BH647&gt;=60,"بحرانی",IF(BH647&gt;=30,"مشکوک",IF(BH647&gt;0,"هشدار","عادی")))</f>
        <v>عادی</v>
      </c>
      <c r="BJ647" s="16" t="s">
        <v>338</v>
      </c>
    </row>
    <row r="648" customFormat="false" ht="15" hidden="false" customHeight="false" outlineLevel="0" collapsed="false">
      <c r="A648" s="16" t="s">
        <v>2355</v>
      </c>
      <c r="B648" s="16" t="s">
        <v>1038</v>
      </c>
      <c r="C648" s="16"/>
      <c r="D648" s="16" t="s">
        <v>431</v>
      </c>
      <c r="E648" s="16" t="s">
        <v>375</v>
      </c>
      <c r="F648" s="16" t="s">
        <v>333</v>
      </c>
      <c r="G648" s="17" t="n">
        <v>46289.9514351852</v>
      </c>
      <c r="H648" s="17" t="n">
        <v>46290.5764351852</v>
      </c>
      <c r="I648" s="18" t="n">
        <f aca="false">IF(H648="",ROUND((تنظیمات!$B$7-G648)*1440,0),ROUND((H648-G648)*1440,0))</f>
        <v>900</v>
      </c>
      <c r="J648" s="16" t="s">
        <v>334</v>
      </c>
      <c r="K648" s="16" t="s">
        <v>400</v>
      </c>
      <c r="L648" s="19" t="n">
        <v>0.917</v>
      </c>
      <c r="M648" s="19" t="n">
        <v>0.962</v>
      </c>
      <c r="N648" s="16" t="s">
        <v>335</v>
      </c>
      <c r="O648" s="16" t="s">
        <v>666</v>
      </c>
      <c r="P648" s="16" t="s">
        <v>402</v>
      </c>
      <c r="Q648" s="20" t="n">
        <v>46290</v>
      </c>
      <c r="R648" s="16" t="s">
        <v>2356</v>
      </c>
      <c r="S648" s="16" t="s">
        <v>404</v>
      </c>
      <c r="T648" s="17"/>
      <c r="U648" s="21" t="n">
        <v>1</v>
      </c>
      <c r="V648" s="21" t="n">
        <v>1</v>
      </c>
      <c r="W648" s="22" t="n">
        <v>5.1</v>
      </c>
      <c r="X648" s="16" t="s">
        <v>335</v>
      </c>
      <c r="Y648" s="16" t="s">
        <v>338</v>
      </c>
      <c r="Z648" s="16" t="s">
        <v>413</v>
      </c>
      <c r="AA648" s="16" t="s">
        <v>427</v>
      </c>
      <c r="AB648" s="23" t="s">
        <v>2357</v>
      </c>
      <c r="AC648" s="17" t="n">
        <v>46290.5759953704</v>
      </c>
      <c r="AD648" s="16" t="s">
        <v>481</v>
      </c>
      <c r="AE648" s="16" t="s">
        <v>994</v>
      </c>
      <c r="AF648" s="16" t="str">
        <f aca="false">IF(COUNTIF(لیست_سفید!$A$2:$A$21,B648)&gt;0,"بله","خیر")</f>
        <v>خیر</v>
      </c>
      <c r="AG648" s="24" t="n">
        <f aca="false">IF(H648="","",IF(AD648="فیش مفقودی",تنظیمات!$B$6,(INT(I648/1440)*تنظیمات!$B$5+IF(MOD(I648,1440)&lt;=تنظیمات!$B$2,0,MIN(تنظیمات!$B$5,تنظیمات!$B$3+MAX(0,ROUNDUP((MOD(I648,1440)-60)/60,0))*تنظیمات!$B$4)))*INDEX(تعرفه!$B$2:$B$7,MATCH(AD648,تعرفه!$A$2:$A$7,0))))</f>
        <v>90000</v>
      </c>
      <c r="AH648" s="24" t="n">
        <v>90000</v>
      </c>
      <c r="AI648" s="24" t="n">
        <f aca="false">IF(AG648="","",AH648-AG648)</f>
        <v>0</v>
      </c>
      <c r="AJ648" s="21" t="n">
        <v>0</v>
      </c>
      <c r="AK648" s="21" t="n">
        <v>0</v>
      </c>
      <c r="AL648" s="16" t="s">
        <v>335</v>
      </c>
      <c r="AM648" s="16"/>
      <c r="AN648" s="16" t="s">
        <v>340</v>
      </c>
      <c r="AO648" s="16" t="s">
        <v>340</v>
      </c>
      <c r="AP648" s="16" t="s">
        <v>335</v>
      </c>
      <c r="AQ648" s="16"/>
      <c r="AR648" s="21" t="n">
        <f aca="false">IF(AND(T648&lt;&gt;"",H648&lt;&gt;""),IF(AND((T648-H648)*86400&gt;=0,(T648-H648)*86400&lt;تنظیمات!$B$13),1,0),0)</f>
        <v>0</v>
      </c>
      <c r="AS648" s="21" t="n">
        <f aca="false">IF(Z648="پوز",IF(OR(AB648="",COUNTIF(پوزها!$A$2:$A$5,AA648)=0),1,0),0)</f>
        <v>0</v>
      </c>
      <c r="AT648" s="21" t="n">
        <f aca="false">IF(AI648="",0,IF(AI648&gt;0,1,0))</f>
        <v>0</v>
      </c>
      <c r="AU648" s="21" t="n">
        <f aca="false">IF(AI648="",0,IF(AI648&lt;0,1,0))</f>
        <v>0</v>
      </c>
      <c r="AV648" s="21" t="n">
        <f aca="false">IF(U648&gt;V648,1,0)</f>
        <v>0</v>
      </c>
      <c r="AW648" s="21" t="n">
        <f aca="false">IF(OR(W648&gt;تنظیمات!$B$8,X648="بله"),1,0)</f>
        <v>0</v>
      </c>
      <c r="AX648" s="21" t="n">
        <f aca="false">IF(AND(N648="بله",L648&gt;تنظیمات!$B$9),1,0)</f>
        <v>0</v>
      </c>
      <c r="AY648" s="21" t="n">
        <f aca="false">IF(Y648="معکوس",1,0)</f>
        <v>0</v>
      </c>
      <c r="AZ648" s="21" t="n">
        <f aca="false">IF(ABS(AJ648)&gt;تنظیمات!$B$10,1,0)</f>
        <v>0</v>
      </c>
      <c r="BA648" s="21" t="n">
        <f aca="false">IF(AND(OR(AD648="رایگان/VIP",AD648="جانباز"),AF648="خیر"),1,0)</f>
        <v>0</v>
      </c>
      <c r="BB648" s="21" t="n">
        <f aca="false">IF(AE648="",0,IF(COUNTIF($AE$2:$AE$1001,AE648)&gt;1,1,0))</f>
        <v>1</v>
      </c>
      <c r="BC648" s="21" t="n">
        <f aca="false">IF(AND(H648="",I648&gt;تنظیمات!$B$12*60,AM648="خالی"),1,0)</f>
        <v>0</v>
      </c>
      <c r="BD648" s="21" t="n">
        <f aca="false">IF(AND(AP648="بله",I648&lt;تنظیمات!$B$14,AO648="خیر"),1,0)</f>
        <v>0</v>
      </c>
      <c r="BE648" s="21" t="n">
        <f aca="false">IF(AN648="خیر",1,0)</f>
        <v>0</v>
      </c>
      <c r="BF648" s="21" t="n">
        <f aca="false">IF(AND(AD648="فیش مفقودی",AQ648="بله",I648&gt;تنظیمات!$B$12*60),1,0)</f>
        <v>0</v>
      </c>
      <c r="BG648" s="21" t="n">
        <f aca="false">IF(AND(AK648&gt;تنظیمات!$B$11,AL648="بله"),1,0)</f>
        <v>0</v>
      </c>
      <c r="BH648" s="21" t="n">
        <f aca="false">MIN(100,AR648*تنظیمات!$B$21+AS648*تنظیمات!$B$22+AT648*تنظیمات!$B$23+AU648*تنظیمات!$B$24+AV648*تنظیمات!$B$25+AW648*تنظیمات!$B$26+AX648*تنظیمات!$B$27+AY648*تنظیمات!$B$28+AZ648*تنظیمات!$B$29+BA648*تنظیمات!$B$30+BB648*تنظیمات!$B$31+BC648*تنظیمات!$B$32+BD648*تنظیمات!$B$33+BE648*تنظیمات!$B$34+BF648*تنظیمات!$B$35+BG648*تنظیمات!$B$36)</f>
        <v>25</v>
      </c>
      <c r="BI648" s="16" t="str">
        <f aca="false">IF(BH648&gt;=60,"بحرانی",IF(BH648&gt;=30,"مشکوک",IF(BH648&gt;0,"هشدار","عادی")))</f>
        <v>هشدار</v>
      </c>
      <c r="BJ648" s="16" t="s">
        <v>950</v>
      </c>
    </row>
    <row r="649" customFormat="false" ht="15" hidden="false" customHeight="false" outlineLevel="0" collapsed="false">
      <c r="A649" s="16" t="s">
        <v>2358</v>
      </c>
      <c r="B649" s="16" t="s">
        <v>1139</v>
      </c>
      <c r="C649" s="16"/>
      <c r="D649" s="16" t="s">
        <v>382</v>
      </c>
      <c r="E649" s="16" t="s">
        <v>363</v>
      </c>
      <c r="F649" s="16" t="s">
        <v>333</v>
      </c>
      <c r="G649" s="17" t="n">
        <v>46289.9792013889</v>
      </c>
      <c r="H649" s="17" t="n">
        <v>46290.0618402778</v>
      </c>
      <c r="I649" s="18" t="n">
        <f aca="false">IF(H649="",ROUND((تنظیمات!$B$7-G649)*1440,0),ROUND((H649-G649)*1440,0))</f>
        <v>119</v>
      </c>
      <c r="J649" s="16" t="s">
        <v>346</v>
      </c>
      <c r="K649" s="16" t="s">
        <v>400</v>
      </c>
      <c r="L649" s="19" t="n">
        <v>0.893</v>
      </c>
      <c r="M649" s="19" t="n">
        <v>0.959</v>
      </c>
      <c r="N649" s="16" t="s">
        <v>335</v>
      </c>
      <c r="O649" s="16" t="s">
        <v>650</v>
      </c>
      <c r="P649" s="16" t="s">
        <v>651</v>
      </c>
      <c r="Q649" s="20" t="n">
        <v>46289</v>
      </c>
      <c r="R649" s="16" t="s">
        <v>2359</v>
      </c>
      <c r="S649" s="16" t="s">
        <v>404</v>
      </c>
      <c r="T649" s="17"/>
      <c r="U649" s="21" t="n">
        <v>1</v>
      </c>
      <c r="V649" s="21" t="n">
        <v>1</v>
      </c>
      <c r="W649" s="22" t="n">
        <v>5.1</v>
      </c>
      <c r="X649" s="16" t="s">
        <v>335</v>
      </c>
      <c r="Y649" s="16" t="s">
        <v>338</v>
      </c>
      <c r="Z649" s="16" t="s">
        <v>413</v>
      </c>
      <c r="AA649" s="16" t="s">
        <v>427</v>
      </c>
      <c r="AB649" s="23" t="s">
        <v>2360</v>
      </c>
      <c r="AC649" s="17" t="n">
        <v>46290.0614351852</v>
      </c>
      <c r="AD649" s="16" t="s">
        <v>338</v>
      </c>
      <c r="AE649" s="16"/>
      <c r="AF649" s="16" t="str">
        <f aca="false">IF(COUNTIF(لیست_سفید!$A$2:$A$21,B649)&gt;0,"بله","خیر")</f>
        <v>خیر</v>
      </c>
      <c r="AG649" s="24" t="n">
        <f aca="false">IF(H649="","",IF(AD649="فیش مفقودی",تنظیمات!$B$6,(INT(I649/1440)*تنظیمات!$B$5+IF(MOD(I649,1440)&lt;=تنظیمات!$B$2,0,MIN(تنظیمات!$B$5,تنظیمات!$B$3+MAX(0,ROUNDUP((MOD(I649,1440)-60)/60,0))*تنظیمات!$B$4)))*INDEX(تعرفه!$B$2:$B$7,MATCH(AD649,تعرفه!$A$2:$A$7,0))))</f>
        <v>34000</v>
      </c>
      <c r="AH649" s="24" t="n">
        <v>34000</v>
      </c>
      <c r="AI649" s="24" t="n">
        <f aca="false">IF(AG649="","",AH649-AG649)</f>
        <v>0</v>
      </c>
      <c r="AJ649" s="21" t="n">
        <v>0</v>
      </c>
      <c r="AK649" s="21" t="n">
        <v>0</v>
      </c>
      <c r="AL649" s="16" t="s">
        <v>335</v>
      </c>
      <c r="AM649" s="16"/>
      <c r="AN649" s="16" t="s">
        <v>340</v>
      </c>
      <c r="AO649" s="16" t="s">
        <v>340</v>
      </c>
      <c r="AP649" s="16" t="s">
        <v>335</v>
      </c>
      <c r="AQ649" s="16"/>
      <c r="AR649" s="21" t="n">
        <f aca="false">IF(AND(T649&lt;&gt;"",H649&lt;&gt;""),IF(AND((T649-H649)*86400&gt;=0,(T649-H649)*86400&lt;تنظیمات!$B$13),1,0),0)</f>
        <v>0</v>
      </c>
      <c r="AS649" s="21" t="n">
        <f aca="false">IF(Z649="پوز",IF(OR(AB649="",COUNTIF(پوزها!$A$2:$A$5,AA649)=0),1,0),0)</f>
        <v>0</v>
      </c>
      <c r="AT649" s="21" t="n">
        <f aca="false">IF(AI649="",0,IF(AI649&gt;0,1,0))</f>
        <v>0</v>
      </c>
      <c r="AU649" s="21" t="n">
        <f aca="false">IF(AI649="",0,IF(AI649&lt;0,1,0))</f>
        <v>0</v>
      </c>
      <c r="AV649" s="21" t="n">
        <f aca="false">IF(U649&gt;V649,1,0)</f>
        <v>0</v>
      </c>
      <c r="AW649" s="21" t="n">
        <f aca="false">IF(OR(W649&gt;تنظیمات!$B$8,X649="بله"),1,0)</f>
        <v>0</v>
      </c>
      <c r="AX649" s="21" t="n">
        <f aca="false">IF(AND(N649="بله",L649&gt;تنظیمات!$B$9),1,0)</f>
        <v>0</v>
      </c>
      <c r="AY649" s="21" t="n">
        <f aca="false">IF(Y649="معکوس",1,0)</f>
        <v>0</v>
      </c>
      <c r="AZ649" s="21" t="n">
        <f aca="false">IF(ABS(AJ649)&gt;تنظیمات!$B$10,1,0)</f>
        <v>0</v>
      </c>
      <c r="BA649" s="21" t="n">
        <f aca="false">IF(AND(OR(AD649="رایگان/VIP",AD649="جانباز"),AF649="خیر"),1,0)</f>
        <v>0</v>
      </c>
      <c r="BB649" s="21" t="n">
        <f aca="false">IF(AE649="",0,IF(COUNTIF($AE$2:$AE$1001,AE649)&gt;1,1,0))</f>
        <v>0</v>
      </c>
      <c r="BC649" s="21" t="n">
        <f aca="false">IF(AND(H649="",I649&gt;تنظیمات!$B$12*60,AM649="خالی"),1,0)</f>
        <v>0</v>
      </c>
      <c r="BD649" s="21" t="n">
        <f aca="false">IF(AND(AP649="بله",I649&lt;تنظیمات!$B$14,AO649="خیر"),1,0)</f>
        <v>0</v>
      </c>
      <c r="BE649" s="21" t="n">
        <f aca="false">IF(AN649="خیر",1,0)</f>
        <v>0</v>
      </c>
      <c r="BF649" s="21" t="n">
        <f aca="false">IF(AND(AD649="فیش مفقودی",AQ649="بله",I649&gt;تنظیمات!$B$12*60),1,0)</f>
        <v>0</v>
      </c>
      <c r="BG649" s="21" t="n">
        <f aca="false">IF(AND(AK649&gt;تنظیمات!$B$11,AL649="بله"),1,0)</f>
        <v>0</v>
      </c>
      <c r="BH649" s="21" t="n">
        <f aca="false">MIN(100,AR649*تنظیمات!$B$21+AS649*تنظیمات!$B$22+AT649*تنظیمات!$B$23+AU649*تنظیمات!$B$24+AV649*تنظیمات!$B$25+AW649*تنظیمات!$B$26+AX649*تنظیمات!$B$27+AY649*تنظیمات!$B$28+AZ649*تنظیمات!$B$29+BA649*تنظیمات!$B$30+BB649*تنظیمات!$B$31+BC649*تنظیمات!$B$32+BD649*تنظیمات!$B$33+BE649*تنظیمات!$B$34+BF649*تنظیمات!$B$35+BG649*تنظیمات!$B$36)</f>
        <v>0</v>
      </c>
      <c r="BI649" s="16" t="str">
        <f aca="false">IF(BH649&gt;=60,"بحرانی",IF(BH649&gt;=30,"مشکوک",IF(BH649&gt;0,"هشدار","عادی")))</f>
        <v>عادی</v>
      </c>
      <c r="BJ649" s="16" t="s">
        <v>338</v>
      </c>
    </row>
    <row r="650" customFormat="false" ht="15" hidden="false" customHeight="false" outlineLevel="0" collapsed="false">
      <c r="A650" s="16" t="s">
        <v>2361</v>
      </c>
      <c r="B650" s="16" t="s">
        <v>2362</v>
      </c>
      <c r="C650" s="16"/>
      <c r="D650" s="16" t="s">
        <v>531</v>
      </c>
      <c r="E650" s="16" t="s">
        <v>345</v>
      </c>
      <c r="F650" s="16" t="s">
        <v>333</v>
      </c>
      <c r="G650" s="17" t="n">
        <v>46289.9935069445</v>
      </c>
      <c r="H650" s="17" t="n">
        <v>46290.4289236111</v>
      </c>
      <c r="I650" s="18" t="n">
        <f aca="false">IF(H650="",ROUND((تنظیمات!$B$7-G650)*1440,0),ROUND((H650-G650)*1440,0))</f>
        <v>627</v>
      </c>
      <c r="J650" s="16" t="s">
        <v>334</v>
      </c>
      <c r="K650" s="16" t="s">
        <v>400</v>
      </c>
      <c r="L650" s="19" t="n">
        <v>0.985</v>
      </c>
      <c r="M650" s="19" t="n">
        <v>0.954</v>
      </c>
      <c r="N650" s="16" t="s">
        <v>335</v>
      </c>
      <c r="O650" s="16" t="s">
        <v>666</v>
      </c>
      <c r="P650" s="16" t="s">
        <v>402</v>
      </c>
      <c r="Q650" s="20" t="n">
        <v>46290</v>
      </c>
      <c r="R650" s="16" t="s">
        <v>2363</v>
      </c>
      <c r="S650" s="16" t="s">
        <v>404</v>
      </c>
      <c r="T650" s="17"/>
      <c r="U650" s="21" t="n">
        <v>1</v>
      </c>
      <c r="V650" s="21" t="n">
        <v>1</v>
      </c>
      <c r="W650" s="22" t="n">
        <v>6.5</v>
      </c>
      <c r="X650" s="16" t="s">
        <v>335</v>
      </c>
      <c r="Y650" s="16" t="s">
        <v>338</v>
      </c>
      <c r="Z650" s="16" t="s">
        <v>413</v>
      </c>
      <c r="AA650" s="16" t="s">
        <v>427</v>
      </c>
      <c r="AB650" s="23" t="s">
        <v>2364</v>
      </c>
      <c r="AC650" s="17" t="n">
        <v>46290.428599537</v>
      </c>
      <c r="AD650" s="16" t="s">
        <v>338</v>
      </c>
      <c r="AE650" s="16"/>
      <c r="AF650" s="16" t="str">
        <f aca="false">IF(COUNTIF(لیست_سفید!$A$2:$A$21,B650)&gt;0,"بله","خیر")</f>
        <v>خیر</v>
      </c>
      <c r="AG650" s="24" t="n">
        <f aca="false">IF(H650="","",IF(AD650="فیش مفقودی",تنظیمات!$B$6,(INT(I650/1440)*تنظیمات!$B$5+IF(MOD(I650,1440)&lt;=تنظیمات!$B$2,0,MIN(تنظیمات!$B$5,تنظیمات!$B$3+MAX(0,ROUNDUP((MOD(I650,1440)-60)/60,0))*تنظیمات!$B$4)))*INDEX(تعرفه!$B$2:$B$7,MATCH(AD650,تعرفه!$A$2:$A$7,0))))</f>
        <v>160000</v>
      </c>
      <c r="AH650" s="24" t="n">
        <v>160000</v>
      </c>
      <c r="AI650" s="24" t="n">
        <f aca="false">IF(AG650="","",AH650-AG650)</f>
        <v>0</v>
      </c>
      <c r="AJ650" s="21" t="n">
        <v>0</v>
      </c>
      <c r="AK650" s="21" t="n">
        <v>0</v>
      </c>
      <c r="AL650" s="16" t="s">
        <v>335</v>
      </c>
      <c r="AM650" s="16"/>
      <c r="AN650" s="16" t="s">
        <v>340</v>
      </c>
      <c r="AO650" s="16" t="s">
        <v>340</v>
      </c>
      <c r="AP650" s="16" t="s">
        <v>335</v>
      </c>
      <c r="AQ650" s="16"/>
      <c r="AR650" s="21" t="n">
        <f aca="false">IF(AND(T650&lt;&gt;"",H650&lt;&gt;""),IF(AND((T650-H650)*86400&gt;=0,(T650-H650)*86400&lt;تنظیمات!$B$13),1,0),0)</f>
        <v>0</v>
      </c>
      <c r="AS650" s="21" t="n">
        <f aca="false">IF(Z650="پوز",IF(OR(AB650="",COUNTIF(پوزها!$A$2:$A$5,AA650)=0),1,0),0)</f>
        <v>0</v>
      </c>
      <c r="AT650" s="21" t="n">
        <f aca="false">IF(AI650="",0,IF(AI650&gt;0,1,0))</f>
        <v>0</v>
      </c>
      <c r="AU650" s="21" t="n">
        <f aca="false">IF(AI650="",0,IF(AI650&lt;0,1,0))</f>
        <v>0</v>
      </c>
      <c r="AV650" s="21" t="n">
        <f aca="false">IF(U650&gt;V650,1,0)</f>
        <v>0</v>
      </c>
      <c r="AW650" s="21" t="n">
        <f aca="false">IF(OR(W650&gt;تنظیمات!$B$8,X650="بله"),1,0)</f>
        <v>0</v>
      </c>
      <c r="AX650" s="21" t="n">
        <f aca="false">IF(AND(N650="بله",L650&gt;تنظیمات!$B$9),1,0)</f>
        <v>0</v>
      </c>
      <c r="AY650" s="21" t="n">
        <f aca="false">IF(Y650="معکوس",1,0)</f>
        <v>0</v>
      </c>
      <c r="AZ650" s="21" t="n">
        <f aca="false">IF(ABS(AJ650)&gt;تنظیمات!$B$10,1,0)</f>
        <v>0</v>
      </c>
      <c r="BA650" s="21" t="n">
        <f aca="false">IF(AND(OR(AD650="رایگان/VIP",AD650="جانباز"),AF650="خیر"),1,0)</f>
        <v>0</v>
      </c>
      <c r="BB650" s="21" t="n">
        <f aca="false">IF(AE650="",0,IF(COUNTIF($AE$2:$AE$1001,AE650)&gt;1,1,0))</f>
        <v>0</v>
      </c>
      <c r="BC650" s="21" t="n">
        <f aca="false">IF(AND(H650="",I650&gt;تنظیمات!$B$12*60,AM650="خالی"),1,0)</f>
        <v>0</v>
      </c>
      <c r="BD650" s="21" t="n">
        <f aca="false">IF(AND(AP650="بله",I650&lt;تنظیمات!$B$14,AO650="خیر"),1,0)</f>
        <v>0</v>
      </c>
      <c r="BE650" s="21" t="n">
        <f aca="false">IF(AN650="خیر",1,0)</f>
        <v>0</v>
      </c>
      <c r="BF650" s="21" t="n">
        <f aca="false">IF(AND(AD650="فیش مفقودی",AQ650="بله",I650&gt;تنظیمات!$B$12*60),1,0)</f>
        <v>0</v>
      </c>
      <c r="BG650" s="21" t="n">
        <f aca="false">IF(AND(AK650&gt;تنظیمات!$B$11,AL650="بله"),1,0)</f>
        <v>0</v>
      </c>
      <c r="BH650" s="21" t="n">
        <f aca="false">MIN(100,AR650*تنظیمات!$B$21+AS650*تنظیمات!$B$22+AT650*تنظیمات!$B$23+AU650*تنظیمات!$B$24+AV650*تنظیمات!$B$25+AW650*تنظیمات!$B$26+AX650*تنظیمات!$B$27+AY650*تنظیمات!$B$28+AZ650*تنظیمات!$B$29+BA650*تنظیمات!$B$30+BB650*تنظیمات!$B$31+BC650*تنظیمات!$B$32+BD650*تنظیمات!$B$33+BE650*تنظیمات!$B$34+BF650*تنظیمات!$B$35+BG650*تنظیمات!$B$36)</f>
        <v>0</v>
      </c>
      <c r="BI650" s="16" t="str">
        <f aca="false">IF(BH650&gt;=60,"بحرانی",IF(BH650&gt;=30,"مشکوک",IF(BH650&gt;0,"هشدار","عادی")))</f>
        <v>عادی</v>
      </c>
      <c r="BJ650" s="16" t="s">
        <v>338</v>
      </c>
    </row>
    <row r="651" customFormat="false" ht="15" hidden="false" customHeight="false" outlineLevel="0" collapsed="false">
      <c r="A651" s="16" t="s">
        <v>2365</v>
      </c>
      <c r="B651" s="16" t="s">
        <v>357</v>
      </c>
      <c r="C651" s="16"/>
      <c r="D651" s="16" t="s">
        <v>358</v>
      </c>
      <c r="E651" s="16" t="s">
        <v>351</v>
      </c>
      <c r="F651" s="16" t="s">
        <v>359</v>
      </c>
      <c r="G651" s="17" t="n">
        <v>46290.0482638889</v>
      </c>
      <c r="H651" s="17" t="n">
        <v>46290.4211805556</v>
      </c>
      <c r="I651" s="18" t="n">
        <f aca="false">IF(H651="",ROUND((تنظیمات!$B$7-G651)*1440,0),ROUND((H651-G651)*1440,0))</f>
        <v>537</v>
      </c>
      <c r="J651" s="16" t="s">
        <v>346</v>
      </c>
      <c r="K651" s="16" t="s">
        <v>410</v>
      </c>
      <c r="L651" s="19" t="n">
        <v>0.912</v>
      </c>
      <c r="M651" s="19" t="n">
        <v>0.983</v>
      </c>
      <c r="N651" s="16" t="s">
        <v>335</v>
      </c>
      <c r="O651" s="16" t="s">
        <v>677</v>
      </c>
      <c r="P651" s="16" t="s">
        <v>402</v>
      </c>
      <c r="Q651" s="20" t="n">
        <v>46290</v>
      </c>
      <c r="R651" s="16" t="s">
        <v>2366</v>
      </c>
      <c r="S651" s="16" t="s">
        <v>404</v>
      </c>
      <c r="T651" s="17"/>
      <c r="U651" s="21" t="n">
        <v>1</v>
      </c>
      <c r="V651" s="21" t="n">
        <v>1</v>
      </c>
      <c r="W651" s="22" t="n">
        <v>5.5</v>
      </c>
      <c r="X651" s="16" t="s">
        <v>335</v>
      </c>
      <c r="Y651" s="16" t="s">
        <v>338</v>
      </c>
      <c r="Z651" s="16" t="s">
        <v>413</v>
      </c>
      <c r="AA651" s="16" t="s">
        <v>414</v>
      </c>
      <c r="AB651" s="23" t="s">
        <v>2367</v>
      </c>
      <c r="AC651" s="17" t="n">
        <v>46290.4202893519</v>
      </c>
      <c r="AD651" s="16" t="s">
        <v>338</v>
      </c>
      <c r="AE651" s="16"/>
      <c r="AF651" s="16" t="str">
        <f aca="false">IF(COUNTIF(لیست_سفید!$A$2:$A$21,B651)&gt;0,"بله","خیر")</f>
        <v>خیر</v>
      </c>
      <c r="AG651" s="24" t="n">
        <f aca="false">IF(H651="","",IF(AD651="فیش مفقودی",تنظیمات!$B$6,(INT(I651/1440)*تنظیمات!$B$5+IF(MOD(I651,1440)&lt;=تنظیمات!$B$2,0,MIN(تنظیمات!$B$5,تنظیمات!$B$3+MAX(0,ROUNDUP((MOD(I651,1440)-60)/60,0))*تنظیمات!$B$4)))*INDEX(تعرفه!$B$2:$B$7,MATCH(AD651,تعرفه!$A$2:$A$7,0))))</f>
        <v>132000</v>
      </c>
      <c r="AH651" s="24" t="n">
        <v>132000</v>
      </c>
      <c r="AI651" s="24" t="n">
        <f aca="false">IF(AG651="","",AH651-AG651)</f>
        <v>0</v>
      </c>
      <c r="AJ651" s="21" t="n">
        <v>2</v>
      </c>
      <c r="AK651" s="21" t="n">
        <v>0</v>
      </c>
      <c r="AL651" s="16" t="s">
        <v>335</v>
      </c>
      <c r="AM651" s="16"/>
      <c r="AN651" s="16" t="s">
        <v>340</v>
      </c>
      <c r="AO651" s="16" t="s">
        <v>340</v>
      </c>
      <c r="AP651" s="16" t="s">
        <v>335</v>
      </c>
      <c r="AQ651" s="16"/>
      <c r="AR651" s="21" t="n">
        <f aca="false">IF(AND(T651&lt;&gt;"",H651&lt;&gt;""),IF(AND((T651-H651)*86400&gt;=0,(T651-H651)*86400&lt;تنظیمات!$B$13),1,0),0)</f>
        <v>0</v>
      </c>
      <c r="AS651" s="21" t="n">
        <f aca="false">IF(Z651="پوز",IF(OR(AB651="",COUNTIF(پوزها!$A$2:$A$5,AA651)=0),1,0),0)</f>
        <v>0</v>
      </c>
      <c r="AT651" s="21" t="n">
        <f aca="false">IF(AI651="",0,IF(AI651&gt;0,1,0))</f>
        <v>0</v>
      </c>
      <c r="AU651" s="21" t="n">
        <f aca="false">IF(AI651="",0,IF(AI651&lt;0,1,0))</f>
        <v>0</v>
      </c>
      <c r="AV651" s="21" t="n">
        <f aca="false">IF(U651&gt;V651,1,0)</f>
        <v>0</v>
      </c>
      <c r="AW651" s="21" t="n">
        <f aca="false">IF(OR(W651&gt;تنظیمات!$B$8,X651="بله"),1,0)</f>
        <v>0</v>
      </c>
      <c r="AX651" s="21" t="n">
        <f aca="false">IF(AND(N651="بله",L651&gt;تنظیمات!$B$9),1,0)</f>
        <v>0</v>
      </c>
      <c r="AY651" s="21" t="n">
        <f aca="false">IF(Y651="معکوس",1,0)</f>
        <v>0</v>
      </c>
      <c r="AZ651" s="21" t="n">
        <f aca="false">IF(ABS(AJ651)&gt;تنظیمات!$B$10,1,0)</f>
        <v>0</v>
      </c>
      <c r="BA651" s="21" t="n">
        <f aca="false">IF(AND(OR(AD651="رایگان/VIP",AD651="جانباز"),AF651="خیر"),1,0)</f>
        <v>0</v>
      </c>
      <c r="BB651" s="21" t="n">
        <f aca="false">IF(AE651="",0,IF(COUNTIF($AE$2:$AE$1001,AE651)&gt;1,1,0))</f>
        <v>0</v>
      </c>
      <c r="BC651" s="21" t="n">
        <f aca="false">IF(AND(H651="",I651&gt;تنظیمات!$B$12*60,AM651="خالی"),1,0)</f>
        <v>0</v>
      </c>
      <c r="BD651" s="21" t="n">
        <f aca="false">IF(AND(AP651="بله",I651&lt;تنظیمات!$B$14,AO651="خیر"),1,0)</f>
        <v>0</v>
      </c>
      <c r="BE651" s="21" t="n">
        <f aca="false">IF(AN651="خیر",1,0)</f>
        <v>0</v>
      </c>
      <c r="BF651" s="21" t="n">
        <f aca="false">IF(AND(AD651="فیش مفقودی",AQ651="بله",I651&gt;تنظیمات!$B$12*60),1,0)</f>
        <v>0</v>
      </c>
      <c r="BG651" s="21" t="n">
        <f aca="false">IF(AND(AK651&gt;تنظیمات!$B$11,AL651="بله"),1,0)</f>
        <v>0</v>
      </c>
      <c r="BH651" s="21" t="n">
        <f aca="false">MIN(100,AR651*تنظیمات!$B$21+AS651*تنظیمات!$B$22+AT651*تنظیمات!$B$23+AU651*تنظیمات!$B$24+AV651*تنظیمات!$B$25+AW651*تنظیمات!$B$26+AX651*تنظیمات!$B$27+AY651*تنظیمات!$B$28+AZ651*تنظیمات!$B$29+BA651*تنظیمات!$B$30+BB651*تنظیمات!$B$31+BC651*تنظیمات!$B$32+BD651*تنظیمات!$B$33+BE651*تنظیمات!$B$34+BF651*تنظیمات!$B$35+BG651*تنظیمات!$B$36)</f>
        <v>0</v>
      </c>
      <c r="BI651" s="16" t="str">
        <f aca="false">IF(BH651&gt;=60,"بحرانی",IF(BH651&gt;=30,"مشکوک",IF(BH651&gt;0,"هشدار","عادی")))</f>
        <v>عادی</v>
      </c>
      <c r="BJ651" s="16" t="s">
        <v>338</v>
      </c>
    </row>
    <row r="652" customFormat="false" ht="15" hidden="false" customHeight="false" outlineLevel="0" collapsed="false">
      <c r="A652" s="16" t="s">
        <v>2368</v>
      </c>
      <c r="B652" s="16" t="s">
        <v>2307</v>
      </c>
      <c r="C652" s="16"/>
      <c r="D652" s="16" t="s">
        <v>370</v>
      </c>
      <c r="E652" s="16" t="s">
        <v>375</v>
      </c>
      <c r="F652" s="16" t="s">
        <v>333</v>
      </c>
      <c r="G652" s="17" t="n">
        <v>46290.0792824074</v>
      </c>
      <c r="H652" s="17" t="n">
        <v>46290.3980324074</v>
      </c>
      <c r="I652" s="18" t="n">
        <f aca="false">IF(H652="",ROUND((تنظیمات!$B$7-G652)*1440,0),ROUND((H652-G652)*1440,0))</f>
        <v>459</v>
      </c>
      <c r="J652" s="16" t="s">
        <v>334</v>
      </c>
      <c r="K652" s="16" t="s">
        <v>400</v>
      </c>
      <c r="L652" s="19" t="n">
        <v>0.904</v>
      </c>
      <c r="M652" s="19" t="n">
        <v>0.912</v>
      </c>
      <c r="N652" s="16" t="s">
        <v>335</v>
      </c>
      <c r="O652" s="16" t="s">
        <v>666</v>
      </c>
      <c r="P652" s="16" t="s">
        <v>402</v>
      </c>
      <c r="Q652" s="20" t="n">
        <v>46290</v>
      </c>
      <c r="R652" s="16" t="s">
        <v>2369</v>
      </c>
      <c r="S652" s="16" t="s">
        <v>404</v>
      </c>
      <c r="T652" s="17"/>
      <c r="U652" s="21" t="n">
        <v>1</v>
      </c>
      <c r="V652" s="21" t="n">
        <v>1</v>
      </c>
      <c r="W652" s="22" t="n">
        <v>7.5</v>
      </c>
      <c r="X652" s="16" t="s">
        <v>335</v>
      </c>
      <c r="Y652" s="16" t="s">
        <v>338</v>
      </c>
      <c r="Z652" s="16" t="s">
        <v>443</v>
      </c>
      <c r="AA652" s="16"/>
      <c r="AB652" s="23"/>
      <c r="AC652" s="17"/>
      <c r="AD652" s="16" t="s">
        <v>444</v>
      </c>
      <c r="AE652" s="16"/>
      <c r="AF652" s="16" t="str">
        <f aca="false">IF(COUNTIF(لیست_سفید!$A$2:$A$21,B652)&gt;0,"بله","خیر")</f>
        <v>خیر</v>
      </c>
      <c r="AG652" s="24" t="n">
        <f aca="false">IF(H652="","",IF(AD652="فیش مفقودی",تنظیمات!$B$6,(INT(I652/1440)*تنظیمات!$B$5+IF(MOD(I652,1440)&lt;=تنظیمات!$B$2,0,MIN(تنظیمات!$B$5,تنظیمات!$B$3+MAX(0,ROUNDUP((MOD(I652,1440)-60)/60,0))*تنظیمات!$B$4)))*INDEX(تعرفه!$B$2:$B$7,MATCH(AD652,تعرفه!$A$2:$A$7,0))))</f>
        <v>0</v>
      </c>
      <c r="AH652" s="24" t="n">
        <v>0</v>
      </c>
      <c r="AI652" s="24" t="n">
        <f aca="false">IF(AG652="","",AH652-AG652)</f>
        <v>0</v>
      </c>
      <c r="AJ652" s="21" t="n">
        <v>-3</v>
      </c>
      <c r="AK652" s="21" t="n">
        <v>0</v>
      </c>
      <c r="AL652" s="16" t="s">
        <v>335</v>
      </c>
      <c r="AM652" s="16"/>
      <c r="AN652" s="16" t="s">
        <v>340</v>
      </c>
      <c r="AO652" s="16" t="s">
        <v>340</v>
      </c>
      <c r="AP652" s="16" t="s">
        <v>335</v>
      </c>
      <c r="AQ652" s="16"/>
      <c r="AR652" s="21" t="n">
        <f aca="false">IF(AND(T652&lt;&gt;"",H652&lt;&gt;""),IF(AND((T652-H652)*86400&gt;=0,(T652-H652)*86400&lt;تنظیمات!$B$13),1,0),0)</f>
        <v>0</v>
      </c>
      <c r="AS652" s="21" t="n">
        <f aca="false">IF(Z652="پوز",IF(OR(AB652="",COUNTIF(پوزها!$A$2:$A$5,AA652)=0),1,0),0)</f>
        <v>0</v>
      </c>
      <c r="AT652" s="21" t="n">
        <f aca="false">IF(AI652="",0,IF(AI652&gt;0,1,0))</f>
        <v>0</v>
      </c>
      <c r="AU652" s="21" t="n">
        <f aca="false">IF(AI652="",0,IF(AI652&lt;0,1,0))</f>
        <v>0</v>
      </c>
      <c r="AV652" s="21" t="n">
        <f aca="false">IF(U652&gt;V652,1,0)</f>
        <v>0</v>
      </c>
      <c r="AW652" s="21" t="n">
        <f aca="false">IF(OR(W652&gt;تنظیمات!$B$8,X652="بله"),1,0)</f>
        <v>0</v>
      </c>
      <c r="AX652" s="21" t="n">
        <f aca="false">IF(AND(N652="بله",L652&gt;تنظیمات!$B$9),1,0)</f>
        <v>0</v>
      </c>
      <c r="AY652" s="21" t="n">
        <f aca="false">IF(Y652="معکوس",1,0)</f>
        <v>0</v>
      </c>
      <c r="AZ652" s="21" t="n">
        <f aca="false">IF(ABS(AJ652)&gt;تنظیمات!$B$10,1,0)</f>
        <v>0</v>
      </c>
      <c r="BA652" s="21" t="n">
        <f aca="false">IF(AND(OR(AD652="رایگان/VIP",AD652="جانباز"),AF652="خیر"),1,0)</f>
        <v>0</v>
      </c>
      <c r="BB652" s="21" t="n">
        <f aca="false">IF(AE652="",0,IF(COUNTIF($AE$2:$AE$1001,AE652)&gt;1,1,0))</f>
        <v>0</v>
      </c>
      <c r="BC652" s="21" t="n">
        <f aca="false">IF(AND(H652="",I652&gt;تنظیمات!$B$12*60,AM652="خالی"),1,0)</f>
        <v>0</v>
      </c>
      <c r="BD652" s="21" t="n">
        <f aca="false">IF(AND(AP652="بله",I652&lt;تنظیمات!$B$14,AO652="خیر"),1,0)</f>
        <v>0</v>
      </c>
      <c r="BE652" s="21" t="n">
        <f aca="false">IF(AN652="خیر",1,0)</f>
        <v>0</v>
      </c>
      <c r="BF652" s="21" t="n">
        <f aca="false">IF(AND(AD652="فیش مفقودی",AQ652="بله",I652&gt;تنظیمات!$B$12*60),1,0)</f>
        <v>0</v>
      </c>
      <c r="BG652" s="21" t="n">
        <f aca="false">IF(AND(AK652&gt;تنظیمات!$B$11,AL652="بله"),1,0)</f>
        <v>0</v>
      </c>
      <c r="BH652" s="21" t="n">
        <f aca="false">MIN(100,AR652*تنظیمات!$B$21+AS652*تنظیمات!$B$22+AT652*تنظیمات!$B$23+AU652*تنظیمات!$B$24+AV652*تنظیمات!$B$25+AW652*تنظیمات!$B$26+AX652*تنظیمات!$B$27+AY652*تنظیمات!$B$28+AZ652*تنظیمات!$B$29+BA652*تنظیمات!$B$30+BB652*تنظیمات!$B$31+BC652*تنظیمات!$B$32+BD652*تنظیمات!$B$33+BE652*تنظیمات!$B$34+BF652*تنظیمات!$B$35+BG652*تنظیمات!$B$36)</f>
        <v>0</v>
      </c>
      <c r="BI652" s="16" t="str">
        <f aca="false">IF(BH652&gt;=60,"بحرانی",IF(BH652&gt;=30,"مشکوک",IF(BH652&gt;0,"هشدار","عادی")))</f>
        <v>عادی</v>
      </c>
      <c r="BJ652" s="16" t="s">
        <v>338</v>
      </c>
    </row>
    <row r="653" customFormat="false" ht="15" hidden="false" customHeight="false" outlineLevel="0" collapsed="false">
      <c r="A653" s="16" t="s">
        <v>2370</v>
      </c>
      <c r="B653" s="16" t="s">
        <v>928</v>
      </c>
      <c r="C653" s="16"/>
      <c r="D653" s="16" t="s">
        <v>331</v>
      </c>
      <c r="E653" s="16" t="s">
        <v>351</v>
      </c>
      <c r="F653" s="16" t="s">
        <v>333</v>
      </c>
      <c r="G653" s="17" t="n">
        <v>46290.1156712963</v>
      </c>
      <c r="H653" s="17" t="n">
        <v>46290.3344212963</v>
      </c>
      <c r="I653" s="18" t="n">
        <f aca="false">IF(H653="",ROUND((تنظیمات!$B$7-G653)*1440,0),ROUND((H653-G653)*1440,0))</f>
        <v>315</v>
      </c>
      <c r="J653" s="16" t="s">
        <v>334</v>
      </c>
      <c r="K653" s="16" t="s">
        <v>410</v>
      </c>
      <c r="L653" s="19" t="n">
        <v>0.964</v>
      </c>
      <c r="M653" s="19" t="n">
        <v>0.873</v>
      </c>
      <c r="N653" s="16" t="s">
        <v>335</v>
      </c>
      <c r="O653" s="16" t="s">
        <v>677</v>
      </c>
      <c r="P653" s="16" t="s">
        <v>402</v>
      </c>
      <c r="Q653" s="20" t="n">
        <v>46290</v>
      </c>
      <c r="R653" s="16" t="s">
        <v>2371</v>
      </c>
      <c r="S653" s="16" t="s">
        <v>404</v>
      </c>
      <c r="T653" s="17"/>
      <c r="U653" s="21" t="n">
        <v>1</v>
      </c>
      <c r="V653" s="21" t="n">
        <v>1</v>
      </c>
      <c r="W653" s="22" t="n">
        <v>6</v>
      </c>
      <c r="X653" s="16" t="s">
        <v>335</v>
      </c>
      <c r="Y653" s="16" t="s">
        <v>338</v>
      </c>
      <c r="Z653" s="16" t="s">
        <v>413</v>
      </c>
      <c r="AA653" s="16" t="s">
        <v>414</v>
      </c>
      <c r="AB653" s="23" t="s">
        <v>2372</v>
      </c>
      <c r="AC653" s="17" t="n">
        <v>46290.3336574074</v>
      </c>
      <c r="AD653" s="16" t="s">
        <v>338</v>
      </c>
      <c r="AE653" s="16"/>
      <c r="AF653" s="16" t="str">
        <f aca="false">IF(COUNTIF(لیست_سفید!$A$2:$A$21,B653)&gt;0,"بله","خیر")</f>
        <v>خیر</v>
      </c>
      <c r="AG653" s="24" t="n">
        <f aca="false">IF(H653="","",IF(AD653="فیش مفقودی",تنظیمات!$B$6,(INT(I653/1440)*تنظیمات!$B$5+IF(MOD(I653,1440)&lt;=تنظیمات!$B$2,0,MIN(تنظیمات!$B$5,تنظیمات!$B$3+MAX(0,ROUNDUP((MOD(I653,1440)-60)/60,0))*تنظیمات!$B$4)))*INDEX(تعرفه!$B$2:$B$7,MATCH(AD653,تعرفه!$A$2:$A$7,0))))</f>
        <v>90000</v>
      </c>
      <c r="AH653" s="24" t="n">
        <v>90000</v>
      </c>
      <c r="AI653" s="24" t="n">
        <f aca="false">IF(AG653="","",AH653-AG653)</f>
        <v>0</v>
      </c>
      <c r="AJ653" s="21" t="n">
        <v>2</v>
      </c>
      <c r="AK653" s="21" t="n">
        <v>0</v>
      </c>
      <c r="AL653" s="16" t="s">
        <v>335</v>
      </c>
      <c r="AM653" s="16"/>
      <c r="AN653" s="16" t="s">
        <v>340</v>
      </c>
      <c r="AO653" s="16" t="s">
        <v>340</v>
      </c>
      <c r="AP653" s="16" t="s">
        <v>335</v>
      </c>
      <c r="AQ653" s="16"/>
      <c r="AR653" s="21" t="n">
        <f aca="false">IF(AND(T653&lt;&gt;"",H653&lt;&gt;""),IF(AND((T653-H653)*86400&gt;=0,(T653-H653)*86400&lt;تنظیمات!$B$13),1,0),0)</f>
        <v>0</v>
      </c>
      <c r="AS653" s="21" t="n">
        <f aca="false">IF(Z653="پوز",IF(OR(AB653="",COUNTIF(پوزها!$A$2:$A$5,AA653)=0),1,0),0)</f>
        <v>0</v>
      </c>
      <c r="AT653" s="21" t="n">
        <f aca="false">IF(AI653="",0,IF(AI653&gt;0,1,0))</f>
        <v>0</v>
      </c>
      <c r="AU653" s="21" t="n">
        <f aca="false">IF(AI653="",0,IF(AI653&lt;0,1,0))</f>
        <v>0</v>
      </c>
      <c r="AV653" s="21" t="n">
        <f aca="false">IF(U653&gt;V653,1,0)</f>
        <v>0</v>
      </c>
      <c r="AW653" s="21" t="n">
        <f aca="false">IF(OR(W653&gt;تنظیمات!$B$8,X653="بله"),1,0)</f>
        <v>0</v>
      </c>
      <c r="AX653" s="21" t="n">
        <f aca="false">IF(AND(N653="بله",L653&gt;تنظیمات!$B$9),1,0)</f>
        <v>0</v>
      </c>
      <c r="AY653" s="21" t="n">
        <f aca="false">IF(Y653="معکوس",1,0)</f>
        <v>0</v>
      </c>
      <c r="AZ653" s="21" t="n">
        <f aca="false">IF(ABS(AJ653)&gt;تنظیمات!$B$10,1,0)</f>
        <v>0</v>
      </c>
      <c r="BA653" s="21" t="n">
        <f aca="false">IF(AND(OR(AD653="رایگان/VIP",AD653="جانباز"),AF653="خیر"),1,0)</f>
        <v>0</v>
      </c>
      <c r="BB653" s="21" t="n">
        <f aca="false">IF(AE653="",0,IF(COUNTIF($AE$2:$AE$1001,AE653)&gt;1,1,0))</f>
        <v>0</v>
      </c>
      <c r="BC653" s="21" t="n">
        <f aca="false">IF(AND(H653="",I653&gt;تنظیمات!$B$12*60,AM653="خالی"),1,0)</f>
        <v>0</v>
      </c>
      <c r="BD653" s="21" t="n">
        <f aca="false">IF(AND(AP653="بله",I653&lt;تنظیمات!$B$14,AO653="خیر"),1,0)</f>
        <v>0</v>
      </c>
      <c r="BE653" s="21" t="n">
        <f aca="false">IF(AN653="خیر",1,0)</f>
        <v>0</v>
      </c>
      <c r="BF653" s="21" t="n">
        <f aca="false">IF(AND(AD653="فیش مفقودی",AQ653="بله",I653&gt;تنظیمات!$B$12*60),1,0)</f>
        <v>0</v>
      </c>
      <c r="BG653" s="21" t="n">
        <f aca="false">IF(AND(AK653&gt;تنظیمات!$B$11,AL653="بله"),1,0)</f>
        <v>0</v>
      </c>
      <c r="BH653" s="21" t="n">
        <f aca="false">MIN(100,AR653*تنظیمات!$B$21+AS653*تنظیمات!$B$22+AT653*تنظیمات!$B$23+AU653*تنظیمات!$B$24+AV653*تنظیمات!$B$25+AW653*تنظیمات!$B$26+AX653*تنظیمات!$B$27+AY653*تنظیمات!$B$28+AZ653*تنظیمات!$B$29+BA653*تنظیمات!$B$30+BB653*تنظیمات!$B$31+BC653*تنظیمات!$B$32+BD653*تنظیمات!$B$33+BE653*تنظیمات!$B$34+BF653*تنظیمات!$B$35+BG653*تنظیمات!$B$36)</f>
        <v>0</v>
      </c>
      <c r="BI653" s="16" t="str">
        <f aca="false">IF(BH653&gt;=60,"بحرانی",IF(BH653&gt;=30,"مشکوک",IF(BH653&gt;0,"هشدار","عادی")))</f>
        <v>عادی</v>
      </c>
      <c r="BJ653" s="16" t="s">
        <v>338</v>
      </c>
    </row>
    <row r="654" customFormat="false" ht="15" hidden="false" customHeight="false" outlineLevel="0" collapsed="false">
      <c r="A654" s="16" t="s">
        <v>2373</v>
      </c>
      <c r="B654" s="16" t="s">
        <v>1591</v>
      </c>
      <c r="C654" s="16"/>
      <c r="D654" s="16" t="s">
        <v>508</v>
      </c>
      <c r="E654" s="16" t="s">
        <v>375</v>
      </c>
      <c r="F654" s="16" t="s">
        <v>333</v>
      </c>
      <c r="G654" s="17" t="n">
        <v>46290.1254166667</v>
      </c>
      <c r="H654" s="17" t="n">
        <v>46290.7504166667</v>
      </c>
      <c r="I654" s="18" t="n">
        <f aca="false">IF(H654="",ROUND((تنظیمات!$B$7-G654)*1440,0),ROUND((H654-G654)*1440,0))</f>
        <v>900</v>
      </c>
      <c r="J654" s="16" t="s">
        <v>334</v>
      </c>
      <c r="K654" s="16" t="s">
        <v>410</v>
      </c>
      <c r="L654" s="19" t="n">
        <v>0.995</v>
      </c>
      <c r="M654" s="19" t="n">
        <v>0.951</v>
      </c>
      <c r="N654" s="16" t="s">
        <v>335</v>
      </c>
      <c r="O654" s="16" t="s">
        <v>441</v>
      </c>
      <c r="P654" s="16" t="s">
        <v>420</v>
      </c>
      <c r="Q654" s="20" t="n">
        <v>46290</v>
      </c>
      <c r="R654" s="16" t="s">
        <v>2374</v>
      </c>
      <c r="S654" s="16" t="s">
        <v>404</v>
      </c>
      <c r="T654" s="17"/>
      <c r="U654" s="21" t="n">
        <v>1</v>
      </c>
      <c r="V654" s="21" t="n">
        <v>1</v>
      </c>
      <c r="W654" s="22" t="n">
        <v>4.7</v>
      </c>
      <c r="X654" s="16" t="s">
        <v>335</v>
      </c>
      <c r="Y654" s="16" t="s">
        <v>338</v>
      </c>
      <c r="Z654" s="16" t="s">
        <v>413</v>
      </c>
      <c r="AA654" s="16" t="s">
        <v>414</v>
      </c>
      <c r="AB654" s="23" t="s">
        <v>2375</v>
      </c>
      <c r="AC654" s="17" t="n">
        <v>46290.7501388889</v>
      </c>
      <c r="AD654" s="16" t="s">
        <v>338</v>
      </c>
      <c r="AE654" s="16"/>
      <c r="AF654" s="16" t="str">
        <f aca="false">IF(COUNTIF(لیست_سفید!$A$2:$A$21,B654)&gt;0,"بله","خیر")</f>
        <v>خیر</v>
      </c>
      <c r="AG654" s="24" t="n">
        <f aca="false">IF(H654="","",IF(AD654="فیش مفقودی",تنظیمات!$B$6,(INT(I654/1440)*تنظیمات!$B$5+IF(MOD(I654,1440)&lt;=تنظیمات!$B$2,0,MIN(تنظیمات!$B$5,تنظیمات!$B$3+MAX(0,ROUNDUP((MOD(I654,1440)-60)/60,0))*تنظیمات!$B$4)))*INDEX(تعرفه!$B$2:$B$7,MATCH(AD654,تعرفه!$A$2:$A$7,0))))</f>
        <v>180000</v>
      </c>
      <c r="AH654" s="24" t="n">
        <v>180000</v>
      </c>
      <c r="AI654" s="24" t="n">
        <f aca="false">IF(AG654="","",AH654-AG654)</f>
        <v>0</v>
      </c>
      <c r="AJ654" s="21" t="n">
        <v>-4</v>
      </c>
      <c r="AK654" s="21" t="n">
        <v>0</v>
      </c>
      <c r="AL654" s="16" t="s">
        <v>335</v>
      </c>
      <c r="AM654" s="16"/>
      <c r="AN654" s="16" t="s">
        <v>340</v>
      </c>
      <c r="AO654" s="16" t="s">
        <v>340</v>
      </c>
      <c r="AP654" s="16" t="s">
        <v>335</v>
      </c>
      <c r="AQ654" s="16"/>
      <c r="AR654" s="21" t="n">
        <f aca="false">IF(AND(T654&lt;&gt;"",H654&lt;&gt;""),IF(AND((T654-H654)*86400&gt;=0,(T654-H654)*86400&lt;تنظیمات!$B$13),1,0),0)</f>
        <v>0</v>
      </c>
      <c r="AS654" s="21" t="n">
        <f aca="false">IF(Z654="پوز",IF(OR(AB654="",COUNTIF(پوزها!$A$2:$A$5,AA654)=0),1,0),0)</f>
        <v>0</v>
      </c>
      <c r="AT654" s="21" t="n">
        <f aca="false">IF(AI654="",0,IF(AI654&gt;0,1,0))</f>
        <v>0</v>
      </c>
      <c r="AU654" s="21" t="n">
        <f aca="false">IF(AI654="",0,IF(AI654&lt;0,1,0))</f>
        <v>0</v>
      </c>
      <c r="AV654" s="21" t="n">
        <f aca="false">IF(U654&gt;V654,1,0)</f>
        <v>0</v>
      </c>
      <c r="AW654" s="21" t="n">
        <f aca="false">IF(OR(W654&gt;تنظیمات!$B$8,X654="بله"),1,0)</f>
        <v>0</v>
      </c>
      <c r="AX654" s="21" t="n">
        <f aca="false">IF(AND(N654="بله",L654&gt;تنظیمات!$B$9),1,0)</f>
        <v>0</v>
      </c>
      <c r="AY654" s="21" t="n">
        <f aca="false">IF(Y654="معکوس",1,0)</f>
        <v>0</v>
      </c>
      <c r="AZ654" s="21" t="n">
        <f aca="false">IF(ABS(AJ654)&gt;تنظیمات!$B$10,1,0)</f>
        <v>0</v>
      </c>
      <c r="BA654" s="21" t="n">
        <f aca="false">IF(AND(OR(AD654="رایگان/VIP",AD654="جانباز"),AF654="خیر"),1,0)</f>
        <v>0</v>
      </c>
      <c r="BB654" s="21" t="n">
        <f aca="false">IF(AE654="",0,IF(COUNTIF($AE$2:$AE$1001,AE654)&gt;1,1,0))</f>
        <v>0</v>
      </c>
      <c r="BC654" s="21" t="n">
        <f aca="false">IF(AND(H654="",I654&gt;تنظیمات!$B$12*60,AM654="خالی"),1,0)</f>
        <v>0</v>
      </c>
      <c r="BD654" s="21" t="n">
        <f aca="false">IF(AND(AP654="بله",I654&lt;تنظیمات!$B$14,AO654="خیر"),1,0)</f>
        <v>0</v>
      </c>
      <c r="BE654" s="21" t="n">
        <f aca="false">IF(AN654="خیر",1,0)</f>
        <v>0</v>
      </c>
      <c r="BF654" s="21" t="n">
        <f aca="false">IF(AND(AD654="فیش مفقودی",AQ654="بله",I654&gt;تنظیمات!$B$12*60),1,0)</f>
        <v>0</v>
      </c>
      <c r="BG654" s="21" t="n">
        <f aca="false">IF(AND(AK654&gt;تنظیمات!$B$11,AL654="بله"),1,0)</f>
        <v>0</v>
      </c>
      <c r="BH654" s="21" t="n">
        <f aca="false">MIN(100,AR654*تنظیمات!$B$21+AS654*تنظیمات!$B$22+AT654*تنظیمات!$B$23+AU654*تنظیمات!$B$24+AV654*تنظیمات!$B$25+AW654*تنظیمات!$B$26+AX654*تنظیمات!$B$27+AY654*تنظیمات!$B$28+AZ654*تنظیمات!$B$29+BA654*تنظیمات!$B$30+BB654*تنظیمات!$B$31+BC654*تنظیمات!$B$32+BD654*تنظیمات!$B$33+BE654*تنظیمات!$B$34+BF654*تنظیمات!$B$35+BG654*تنظیمات!$B$36)</f>
        <v>0</v>
      </c>
      <c r="BI654" s="16" t="str">
        <f aca="false">IF(BH654&gt;=60,"بحرانی",IF(BH654&gt;=30,"مشکوک",IF(BH654&gt;0,"هشدار","عادی")))</f>
        <v>عادی</v>
      </c>
      <c r="BJ654" s="16" t="s">
        <v>338</v>
      </c>
    </row>
    <row r="655" customFormat="false" ht="15" hidden="false" customHeight="false" outlineLevel="0" collapsed="false">
      <c r="A655" s="16" t="s">
        <v>2376</v>
      </c>
      <c r="B655" s="16" t="s">
        <v>1255</v>
      </c>
      <c r="C655" s="16"/>
      <c r="D655" s="16" t="s">
        <v>523</v>
      </c>
      <c r="E655" s="16" t="s">
        <v>390</v>
      </c>
      <c r="F655" s="16" t="s">
        <v>333</v>
      </c>
      <c r="G655" s="17" t="n">
        <v>46290.1867939815</v>
      </c>
      <c r="H655" s="17" t="n">
        <v>46294.3256828704</v>
      </c>
      <c r="I655" s="18" t="n">
        <f aca="false">IF(H655="",ROUND((تنظیمات!$B$7-G655)*1440,0),ROUND((H655-G655)*1440,0))</f>
        <v>5960</v>
      </c>
      <c r="J655" s="16" t="s">
        <v>346</v>
      </c>
      <c r="K655" s="16" t="s">
        <v>400</v>
      </c>
      <c r="L655" s="19" t="n">
        <v>0.928</v>
      </c>
      <c r="M655" s="19" t="n">
        <v>0.901</v>
      </c>
      <c r="N655" s="16" t="s">
        <v>335</v>
      </c>
      <c r="O655" s="16" t="s">
        <v>411</v>
      </c>
      <c r="P655" s="16" t="s">
        <v>402</v>
      </c>
      <c r="Q655" s="20" t="n">
        <v>46294</v>
      </c>
      <c r="R655" s="16" t="s">
        <v>2377</v>
      </c>
      <c r="S655" s="16" t="s">
        <v>404</v>
      </c>
      <c r="T655" s="17"/>
      <c r="U655" s="21" t="n">
        <v>1</v>
      </c>
      <c r="V655" s="21" t="n">
        <v>1</v>
      </c>
      <c r="W655" s="22" t="n">
        <v>5.9</v>
      </c>
      <c r="X655" s="16" t="s">
        <v>335</v>
      </c>
      <c r="Y655" s="16" t="s">
        <v>338</v>
      </c>
      <c r="Z655" s="16" t="s">
        <v>413</v>
      </c>
      <c r="AA655" s="16" t="s">
        <v>427</v>
      </c>
      <c r="AB655" s="23" t="s">
        <v>2378</v>
      </c>
      <c r="AC655" s="17" t="n">
        <v>46294.3248958333</v>
      </c>
      <c r="AD655" s="16" t="s">
        <v>406</v>
      </c>
      <c r="AE655" s="16"/>
      <c r="AF655" s="16" t="str">
        <f aca="false">IF(COUNTIF(لیست_سفید!$A$2:$A$21,B655)&gt;0,"بله","خیر")</f>
        <v>خیر</v>
      </c>
      <c r="AG655" s="24" t="n">
        <f aca="false">IF(H655="","",IF(AD655="فیش مفقودی",تنظیمات!$B$6,(INT(I655/1440)*تنظیمات!$B$5+IF(MOD(I655,1440)&lt;=تنظیمات!$B$2,0,MIN(تنظیمات!$B$5,تنظیمات!$B$3+MAX(0,ROUNDUP((MOD(I655,1440)-60)/60,0))*تنظیمات!$B$4)))*INDEX(تعرفه!$B$2:$B$7,MATCH(AD655,تعرفه!$A$2:$A$7,0))))</f>
        <v>300000</v>
      </c>
      <c r="AH655" s="24" t="n">
        <v>300000</v>
      </c>
      <c r="AI655" s="24" t="n">
        <f aca="false">IF(AG655="","",AH655-AG655)</f>
        <v>0</v>
      </c>
      <c r="AJ655" s="21" t="n">
        <v>0</v>
      </c>
      <c r="AK655" s="21" t="n">
        <v>0</v>
      </c>
      <c r="AL655" s="16" t="s">
        <v>335</v>
      </c>
      <c r="AM655" s="16"/>
      <c r="AN655" s="16" t="s">
        <v>340</v>
      </c>
      <c r="AO655" s="16" t="s">
        <v>340</v>
      </c>
      <c r="AP655" s="16" t="s">
        <v>335</v>
      </c>
      <c r="AQ655" s="16" t="s">
        <v>340</v>
      </c>
      <c r="AR655" s="21" t="n">
        <f aca="false">IF(AND(T655&lt;&gt;"",H655&lt;&gt;""),IF(AND((T655-H655)*86400&gt;=0,(T655-H655)*86400&lt;تنظیمات!$B$13),1,0),0)</f>
        <v>0</v>
      </c>
      <c r="AS655" s="21" t="n">
        <f aca="false">IF(Z655="پوز",IF(OR(AB655="",COUNTIF(پوزها!$A$2:$A$5,AA655)=0),1,0),0)</f>
        <v>0</v>
      </c>
      <c r="AT655" s="21" t="n">
        <f aca="false">IF(AI655="",0,IF(AI655&gt;0,1,0))</f>
        <v>0</v>
      </c>
      <c r="AU655" s="21" t="n">
        <f aca="false">IF(AI655="",0,IF(AI655&lt;0,1,0))</f>
        <v>0</v>
      </c>
      <c r="AV655" s="21" t="n">
        <f aca="false">IF(U655&gt;V655,1,0)</f>
        <v>0</v>
      </c>
      <c r="AW655" s="21" t="n">
        <f aca="false">IF(OR(W655&gt;تنظیمات!$B$8,X655="بله"),1,0)</f>
        <v>0</v>
      </c>
      <c r="AX655" s="21" t="n">
        <f aca="false">IF(AND(N655="بله",L655&gt;تنظیمات!$B$9),1,0)</f>
        <v>0</v>
      </c>
      <c r="AY655" s="21" t="n">
        <f aca="false">IF(Y655="معکوس",1,0)</f>
        <v>0</v>
      </c>
      <c r="AZ655" s="21" t="n">
        <f aca="false">IF(ABS(AJ655)&gt;تنظیمات!$B$10,1,0)</f>
        <v>0</v>
      </c>
      <c r="BA655" s="21" t="n">
        <f aca="false">IF(AND(OR(AD655="رایگان/VIP",AD655="جانباز"),AF655="خیر"),1,0)</f>
        <v>0</v>
      </c>
      <c r="BB655" s="21" t="n">
        <f aca="false">IF(AE655="",0,IF(COUNTIF($AE$2:$AE$1001,AE655)&gt;1,1,0))</f>
        <v>0</v>
      </c>
      <c r="BC655" s="21" t="n">
        <f aca="false">IF(AND(H655="",I655&gt;تنظیمات!$B$12*60,AM655="خالی"),1,0)</f>
        <v>0</v>
      </c>
      <c r="BD655" s="21" t="n">
        <f aca="false">IF(AND(AP655="بله",I655&lt;تنظیمات!$B$14,AO655="خیر"),1,0)</f>
        <v>0</v>
      </c>
      <c r="BE655" s="21" t="n">
        <f aca="false">IF(AN655="خیر",1,0)</f>
        <v>0</v>
      </c>
      <c r="BF655" s="21" t="n">
        <f aca="false">IF(AND(AD655="فیش مفقودی",AQ655="بله",I655&gt;تنظیمات!$B$12*60),1,0)</f>
        <v>1</v>
      </c>
      <c r="BG655" s="21" t="n">
        <f aca="false">IF(AND(AK655&gt;تنظیمات!$B$11,AL655="بله"),1,0)</f>
        <v>0</v>
      </c>
      <c r="BH655" s="21" t="n">
        <f aca="false">MIN(100,AR655*تنظیمات!$B$21+AS655*تنظیمات!$B$22+AT655*تنظیمات!$B$23+AU655*تنظیمات!$B$24+AV655*تنظیمات!$B$25+AW655*تنظیمات!$B$26+AX655*تنظیمات!$B$27+AY655*تنظیمات!$B$28+AZ655*تنظیمات!$B$29+BA655*تنظیمات!$B$30+BB655*تنظیمات!$B$31+BC655*تنظیمات!$B$32+BD655*تنظیمات!$B$33+BE655*تنظیمات!$B$34+BF655*تنظیمات!$B$35+BG655*تنظیمات!$B$36)</f>
        <v>30</v>
      </c>
      <c r="BI655" s="16" t="str">
        <f aca="false">IF(BH655&gt;=60,"بحرانی",IF(BH655&gt;=30,"مشکوک",IF(BH655&gt;0,"هشدار","عادی")))</f>
        <v>مشکوک</v>
      </c>
      <c r="BJ655" s="16" t="s">
        <v>407</v>
      </c>
    </row>
    <row r="656" customFormat="false" ht="15" hidden="false" customHeight="false" outlineLevel="0" collapsed="false">
      <c r="A656" s="16" t="s">
        <v>2379</v>
      </c>
      <c r="B656" s="16" t="s">
        <v>330</v>
      </c>
      <c r="C656" s="16"/>
      <c r="D656" s="16" t="s">
        <v>331</v>
      </c>
      <c r="E656" s="16" t="s">
        <v>332</v>
      </c>
      <c r="F656" s="16" t="s">
        <v>333</v>
      </c>
      <c r="G656" s="17" t="n">
        <v>46290.1990509259</v>
      </c>
      <c r="H656" s="17" t="n">
        <v>46290.3448842593</v>
      </c>
      <c r="I656" s="18" t="n">
        <f aca="false">IF(H656="",ROUND((تنظیمات!$B$7-G656)*1440,0),ROUND((H656-G656)*1440,0))</f>
        <v>210</v>
      </c>
      <c r="J656" s="16" t="s">
        <v>346</v>
      </c>
      <c r="K656" s="16" t="s">
        <v>410</v>
      </c>
      <c r="L656" s="19" t="n">
        <v>0.972</v>
      </c>
      <c r="M656" s="19" t="n">
        <v>0.897</v>
      </c>
      <c r="N656" s="16" t="s">
        <v>335</v>
      </c>
      <c r="O656" s="16" t="s">
        <v>677</v>
      </c>
      <c r="P656" s="16" t="s">
        <v>402</v>
      </c>
      <c r="Q656" s="20" t="n">
        <v>46290</v>
      </c>
      <c r="R656" s="16" t="s">
        <v>2380</v>
      </c>
      <c r="S656" s="16" t="s">
        <v>404</v>
      </c>
      <c r="T656" s="17"/>
      <c r="U656" s="21" t="n">
        <v>1</v>
      </c>
      <c r="V656" s="21" t="n">
        <v>1</v>
      </c>
      <c r="W656" s="22" t="n">
        <v>6.9</v>
      </c>
      <c r="X656" s="16" t="s">
        <v>335</v>
      </c>
      <c r="Y656" s="16" t="s">
        <v>338</v>
      </c>
      <c r="Z656" s="16" t="s">
        <v>413</v>
      </c>
      <c r="AA656" s="16" t="s">
        <v>414</v>
      </c>
      <c r="AB656" s="23" t="s">
        <v>2381</v>
      </c>
      <c r="AC656" s="17" t="n">
        <v>46290.3443171296</v>
      </c>
      <c r="AD656" s="16" t="s">
        <v>338</v>
      </c>
      <c r="AE656" s="16"/>
      <c r="AF656" s="16" t="str">
        <f aca="false">IF(COUNTIF(لیست_سفید!$A$2:$A$21,B656)&gt;0,"بله","خیر")</f>
        <v>خیر</v>
      </c>
      <c r="AG656" s="24" t="n">
        <f aca="false">IF(H656="","",IF(AD656="فیش مفقودی",تنظیمات!$B$6,(INT(I656/1440)*تنظیمات!$B$5+IF(MOD(I656,1440)&lt;=تنظیمات!$B$2,0,MIN(تنظیمات!$B$5,تنظیمات!$B$3+MAX(0,ROUNDUP((MOD(I656,1440)-60)/60,0))*تنظیمات!$B$4)))*INDEX(تعرفه!$B$2:$B$7,MATCH(AD656,تعرفه!$A$2:$A$7,0))))</f>
        <v>62000</v>
      </c>
      <c r="AH656" s="24" t="n">
        <v>62000</v>
      </c>
      <c r="AI656" s="24" t="n">
        <f aca="false">IF(AG656="","",AH656-AG656)</f>
        <v>0</v>
      </c>
      <c r="AJ656" s="21" t="n">
        <v>-1380</v>
      </c>
      <c r="AK656" s="21" t="n">
        <v>0</v>
      </c>
      <c r="AL656" s="16" t="s">
        <v>335</v>
      </c>
      <c r="AM656" s="16"/>
      <c r="AN656" s="16" t="s">
        <v>340</v>
      </c>
      <c r="AO656" s="16" t="s">
        <v>340</v>
      </c>
      <c r="AP656" s="16" t="s">
        <v>335</v>
      </c>
      <c r="AQ656" s="16"/>
      <c r="AR656" s="21" t="n">
        <f aca="false">IF(AND(T656&lt;&gt;"",H656&lt;&gt;""),IF(AND((T656-H656)*86400&gt;=0,(T656-H656)*86400&lt;تنظیمات!$B$13),1,0),0)</f>
        <v>0</v>
      </c>
      <c r="AS656" s="21" t="n">
        <f aca="false">IF(Z656="پوز",IF(OR(AB656="",COUNTIF(پوزها!$A$2:$A$5,AA656)=0),1,0),0)</f>
        <v>0</v>
      </c>
      <c r="AT656" s="21" t="n">
        <f aca="false">IF(AI656="",0,IF(AI656&gt;0,1,0))</f>
        <v>0</v>
      </c>
      <c r="AU656" s="21" t="n">
        <f aca="false">IF(AI656="",0,IF(AI656&lt;0,1,0))</f>
        <v>0</v>
      </c>
      <c r="AV656" s="21" t="n">
        <f aca="false">IF(U656&gt;V656,1,0)</f>
        <v>0</v>
      </c>
      <c r="AW656" s="21" t="n">
        <f aca="false">IF(OR(W656&gt;تنظیمات!$B$8,X656="بله"),1,0)</f>
        <v>0</v>
      </c>
      <c r="AX656" s="21" t="n">
        <f aca="false">IF(AND(N656="بله",L656&gt;تنظیمات!$B$9),1,0)</f>
        <v>0</v>
      </c>
      <c r="AY656" s="21" t="n">
        <f aca="false">IF(Y656="معکوس",1,0)</f>
        <v>0</v>
      </c>
      <c r="AZ656" s="21" t="n">
        <f aca="false">IF(ABS(AJ656)&gt;تنظیمات!$B$10,1,0)</f>
        <v>1</v>
      </c>
      <c r="BA656" s="21" t="n">
        <f aca="false">IF(AND(OR(AD656="رایگان/VIP",AD656="جانباز"),AF656="خیر"),1,0)</f>
        <v>0</v>
      </c>
      <c r="BB656" s="21" t="n">
        <f aca="false">IF(AE656="",0,IF(COUNTIF($AE$2:$AE$1001,AE656)&gt;1,1,0))</f>
        <v>0</v>
      </c>
      <c r="BC656" s="21" t="n">
        <f aca="false">IF(AND(H656="",I656&gt;تنظیمات!$B$12*60,AM656="خالی"),1,0)</f>
        <v>0</v>
      </c>
      <c r="BD656" s="21" t="n">
        <f aca="false">IF(AND(AP656="بله",I656&lt;تنظیمات!$B$14,AO656="خیر"),1,0)</f>
        <v>0</v>
      </c>
      <c r="BE656" s="21" t="n">
        <f aca="false">IF(AN656="خیر",1,0)</f>
        <v>0</v>
      </c>
      <c r="BF656" s="21" t="n">
        <f aca="false">IF(AND(AD656="فیش مفقودی",AQ656="بله",I656&gt;تنظیمات!$B$12*60),1,0)</f>
        <v>0</v>
      </c>
      <c r="BG656" s="21" t="n">
        <f aca="false">IF(AND(AK656&gt;تنظیمات!$B$11,AL656="بله"),1,0)</f>
        <v>0</v>
      </c>
      <c r="BH656" s="21" t="n">
        <f aca="false">MIN(100,AR656*تنظیمات!$B$21+AS656*تنظیمات!$B$22+AT656*تنظیمات!$B$23+AU656*تنظیمات!$B$24+AV656*تنظیمات!$B$25+AW656*تنظیمات!$B$26+AX656*تنظیمات!$B$27+AY656*تنظیمات!$B$28+AZ656*تنظیمات!$B$29+BA656*تنظیمات!$B$30+BB656*تنظیمات!$B$31+BC656*تنظیمات!$B$32+BD656*تنظیمات!$B$33+BE656*تنظیمات!$B$34+BF656*تنظیمات!$B$35+BG656*تنظیمات!$B$36)</f>
        <v>30</v>
      </c>
      <c r="BI656" s="16" t="str">
        <f aca="false">IF(BH656&gt;=60,"بحرانی",IF(BH656&gt;=30,"مشکوک",IF(BH656&gt;0,"هشدار","عادی")))</f>
        <v>مشکوک</v>
      </c>
      <c r="BJ656" s="16" t="s">
        <v>939</v>
      </c>
    </row>
    <row r="657" customFormat="false" ht="15" hidden="false" customHeight="false" outlineLevel="0" collapsed="false">
      <c r="A657" s="16" t="s">
        <v>2382</v>
      </c>
      <c r="B657" s="16" t="s">
        <v>889</v>
      </c>
      <c r="C657" s="16"/>
      <c r="D657" s="16" t="s">
        <v>440</v>
      </c>
      <c r="E657" s="16" t="s">
        <v>390</v>
      </c>
      <c r="F657" s="16" t="s">
        <v>359</v>
      </c>
      <c r="G657" s="17" t="n">
        <v>46290.2006365741</v>
      </c>
      <c r="H657" s="17" t="n">
        <v>46290.3478587963</v>
      </c>
      <c r="I657" s="18" t="n">
        <f aca="false">IF(H657="",ROUND((تنظیمات!$B$7-G657)*1440,0),ROUND((H657-G657)*1440,0))</f>
        <v>212</v>
      </c>
      <c r="J657" s="16" t="s">
        <v>346</v>
      </c>
      <c r="K657" s="16" t="s">
        <v>410</v>
      </c>
      <c r="L657" s="19" t="n">
        <v>0.922</v>
      </c>
      <c r="M657" s="19" t="n">
        <v>0.977</v>
      </c>
      <c r="N657" s="16" t="s">
        <v>335</v>
      </c>
      <c r="O657" s="16" t="s">
        <v>677</v>
      </c>
      <c r="P657" s="16" t="s">
        <v>402</v>
      </c>
      <c r="Q657" s="20" t="n">
        <v>46290</v>
      </c>
      <c r="R657" s="16" t="s">
        <v>2383</v>
      </c>
      <c r="S657" s="16" t="s">
        <v>404</v>
      </c>
      <c r="T657" s="17"/>
      <c r="U657" s="21" t="n">
        <v>1</v>
      </c>
      <c r="V657" s="21" t="n">
        <v>1</v>
      </c>
      <c r="W657" s="22" t="n">
        <v>5.5</v>
      </c>
      <c r="X657" s="16" t="s">
        <v>335</v>
      </c>
      <c r="Y657" s="16" t="s">
        <v>338</v>
      </c>
      <c r="Z657" s="16" t="s">
        <v>413</v>
      </c>
      <c r="AA657" s="16" t="s">
        <v>414</v>
      </c>
      <c r="AB657" s="23" t="s">
        <v>2384</v>
      </c>
      <c r="AC657" s="17" t="n">
        <v>46290.347037037</v>
      </c>
      <c r="AD657" s="16" t="s">
        <v>338</v>
      </c>
      <c r="AE657" s="16"/>
      <c r="AF657" s="16" t="str">
        <f aca="false">IF(COUNTIF(لیست_سفید!$A$2:$A$21,B657)&gt;0,"بله","خیر")</f>
        <v>خیر</v>
      </c>
      <c r="AG657" s="24" t="n">
        <f aca="false">IF(H657="","",IF(AD657="فیش مفقودی",تنظیمات!$B$6,(INT(I657/1440)*تنظیمات!$B$5+IF(MOD(I657,1440)&lt;=تنظیمات!$B$2,0,MIN(تنظیمات!$B$5,تنظیمات!$B$3+MAX(0,ROUNDUP((MOD(I657,1440)-60)/60,0))*تنظیمات!$B$4)))*INDEX(تعرفه!$B$2:$B$7,MATCH(AD657,تعرفه!$A$2:$A$7,0))))</f>
        <v>62000</v>
      </c>
      <c r="AH657" s="24" t="n">
        <v>62000</v>
      </c>
      <c r="AI657" s="24" t="n">
        <f aca="false">IF(AG657="","",AH657-AG657)</f>
        <v>0</v>
      </c>
      <c r="AJ657" s="21" t="n">
        <v>0</v>
      </c>
      <c r="AK657" s="21" t="n">
        <v>0</v>
      </c>
      <c r="AL657" s="16" t="s">
        <v>335</v>
      </c>
      <c r="AM657" s="16"/>
      <c r="AN657" s="16" t="s">
        <v>340</v>
      </c>
      <c r="AO657" s="16" t="s">
        <v>340</v>
      </c>
      <c r="AP657" s="16" t="s">
        <v>335</v>
      </c>
      <c r="AQ657" s="16"/>
      <c r="AR657" s="21" t="n">
        <f aca="false">IF(AND(T657&lt;&gt;"",H657&lt;&gt;""),IF(AND((T657-H657)*86400&gt;=0,(T657-H657)*86400&lt;تنظیمات!$B$13),1,0),0)</f>
        <v>0</v>
      </c>
      <c r="AS657" s="21" t="n">
        <f aca="false">IF(Z657="پوز",IF(OR(AB657="",COUNTIF(پوزها!$A$2:$A$5,AA657)=0),1,0),0)</f>
        <v>0</v>
      </c>
      <c r="AT657" s="21" t="n">
        <f aca="false">IF(AI657="",0,IF(AI657&gt;0,1,0))</f>
        <v>0</v>
      </c>
      <c r="AU657" s="21" t="n">
        <f aca="false">IF(AI657="",0,IF(AI657&lt;0,1,0))</f>
        <v>0</v>
      </c>
      <c r="AV657" s="21" t="n">
        <f aca="false">IF(U657&gt;V657,1,0)</f>
        <v>0</v>
      </c>
      <c r="AW657" s="21" t="n">
        <f aca="false">IF(OR(W657&gt;تنظیمات!$B$8,X657="بله"),1,0)</f>
        <v>0</v>
      </c>
      <c r="AX657" s="21" t="n">
        <f aca="false">IF(AND(N657="بله",L657&gt;تنظیمات!$B$9),1,0)</f>
        <v>0</v>
      </c>
      <c r="AY657" s="21" t="n">
        <f aca="false">IF(Y657="معکوس",1,0)</f>
        <v>0</v>
      </c>
      <c r="AZ657" s="21" t="n">
        <f aca="false">IF(ABS(AJ657)&gt;تنظیمات!$B$10,1,0)</f>
        <v>0</v>
      </c>
      <c r="BA657" s="21" t="n">
        <f aca="false">IF(AND(OR(AD657="رایگان/VIP",AD657="جانباز"),AF657="خیر"),1,0)</f>
        <v>0</v>
      </c>
      <c r="BB657" s="21" t="n">
        <f aca="false">IF(AE657="",0,IF(COUNTIF($AE$2:$AE$1001,AE657)&gt;1,1,0))</f>
        <v>0</v>
      </c>
      <c r="BC657" s="21" t="n">
        <f aca="false">IF(AND(H657="",I657&gt;تنظیمات!$B$12*60,AM657="خالی"),1,0)</f>
        <v>0</v>
      </c>
      <c r="BD657" s="21" t="n">
        <f aca="false">IF(AND(AP657="بله",I657&lt;تنظیمات!$B$14,AO657="خیر"),1,0)</f>
        <v>0</v>
      </c>
      <c r="BE657" s="21" t="n">
        <f aca="false">IF(AN657="خیر",1,0)</f>
        <v>0</v>
      </c>
      <c r="BF657" s="21" t="n">
        <f aca="false">IF(AND(AD657="فیش مفقودی",AQ657="بله",I657&gt;تنظیمات!$B$12*60),1,0)</f>
        <v>0</v>
      </c>
      <c r="BG657" s="21" t="n">
        <f aca="false">IF(AND(AK657&gt;تنظیمات!$B$11,AL657="بله"),1,0)</f>
        <v>0</v>
      </c>
      <c r="BH657" s="21" t="n">
        <f aca="false">MIN(100,AR657*تنظیمات!$B$21+AS657*تنظیمات!$B$22+AT657*تنظیمات!$B$23+AU657*تنظیمات!$B$24+AV657*تنظیمات!$B$25+AW657*تنظیمات!$B$26+AX657*تنظیمات!$B$27+AY657*تنظیمات!$B$28+AZ657*تنظیمات!$B$29+BA657*تنظیمات!$B$30+BB657*تنظیمات!$B$31+BC657*تنظیمات!$B$32+BD657*تنظیمات!$B$33+BE657*تنظیمات!$B$34+BF657*تنظیمات!$B$35+BG657*تنظیمات!$B$36)</f>
        <v>0</v>
      </c>
      <c r="BI657" s="16" t="str">
        <f aca="false">IF(BH657&gt;=60,"بحرانی",IF(BH657&gt;=30,"مشکوک",IF(BH657&gt;0,"هشدار","عادی")))</f>
        <v>عادی</v>
      </c>
      <c r="BJ657" s="16" t="s">
        <v>338</v>
      </c>
    </row>
    <row r="658" customFormat="false" ht="15" hidden="false" customHeight="false" outlineLevel="0" collapsed="false">
      <c r="A658" s="16" t="s">
        <v>2385</v>
      </c>
      <c r="B658" s="16" t="s">
        <v>1132</v>
      </c>
      <c r="C658" s="16" t="s">
        <v>2386</v>
      </c>
      <c r="D658" s="16" t="s">
        <v>418</v>
      </c>
      <c r="E658" s="16" t="s">
        <v>351</v>
      </c>
      <c r="F658" s="16" t="s">
        <v>333</v>
      </c>
      <c r="G658" s="17" t="n">
        <v>46290.2021990741</v>
      </c>
      <c r="H658" s="17" t="n">
        <v>46290.4188657407</v>
      </c>
      <c r="I658" s="18" t="n">
        <f aca="false">IF(H658="",ROUND((تنظیمات!$B$7-G658)*1440,0),ROUND((H658-G658)*1440,0))</f>
        <v>312</v>
      </c>
      <c r="J658" s="16" t="s">
        <v>334</v>
      </c>
      <c r="K658" s="16" t="s">
        <v>400</v>
      </c>
      <c r="L658" s="19" t="n">
        <v>0.544</v>
      </c>
      <c r="M658" s="19" t="n">
        <v>0.9</v>
      </c>
      <c r="N658" s="16" t="s">
        <v>340</v>
      </c>
      <c r="O658" s="16" t="s">
        <v>666</v>
      </c>
      <c r="P658" s="16" t="s">
        <v>402</v>
      </c>
      <c r="Q658" s="20" t="n">
        <v>46290</v>
      </c>
      <c r="R658" s="16" t="s">
        <v>2387</v>
      </c>
      <c r="S658" s="16" t="s">
        <v>404</v>
      </c>
      <c r="T658" s="17"/>
      <c r="U658" s="21" t="n">
        <v>1</v>
      </c>
      <c r="V658" s="21" t="n">
        <v>1</v>
      </c>
      <c r="W658" s="22" t="n">
        <v>5.4</v>
      </c>
      <c r="X658" s="16" t="s">
        <v>335</v>
      </c>
      <c r="Y658" s="16" t="s">
        <v>338</v>
      </c>
      <c r="Z658" s="16" t="s">
        <v>443</v>
      </c>
      <c r="AA658" s="16"/>
      <c r="AB658" s="23"/>
      <c r="AC658" s="17"/>
      <c r="AD658" s="16" t="s">
        <v>444</v>
      </c>
      <c r="AE658" s="16"/>
      <c r="AF658" s="16" t="str">
        <f aca="false">IF(COUNTIF(لیست_سفید!$A$2:$A$21,B658)&gt;0,"بله","خیر")</f>
        <v>خیر</v>
      </c>
      <c r="AG658" s="24" t="n">
        <f aca="false">IF(H658="","",IF(AD658="فیش مفقودی",تنظیمات!$B$6,(INT(I658/1440)*تنظیمات!$B$5+IF(MOD(I658,1440)&lt;=تنظیمات!$B$2,0,MIN(تنظیمات!$B$5,تنظیمات!$B$3+MAX(0,ROUNDUP((MOD(I658,1440)-60)/60,0))*تنظیمات!$B$4)))*INDEX(تعرفه!$B$2:$B$7,MATCH(AD658,تعرفه!$A$2:$A$7,0))))</f>
        <v>0</v>
      </c>
      <c r="AH658" s="24" t="n">
        <v>0</v>
      </c>
      <c r="AI658" s="24" t="n">
        <f aca="false">IF(AG658="","",AH658-AG658)</f>
        <v>0</v>
      </c>
      <c r="AJ658" s="21" t="n">
        <v>0</v>
      </c>
      <c r="AK658" s="21" t="n">
        <v>0</v>
      </c>
      <c r="AL658" s="16" t="s">
        <v>335</v>
      </c>
      <c r="AM658" s="16"/>
      <c r="AN658" s="16" t="s">
        <v>340</v>
      </c>
      <c r="AO658" s="16" t="s">
        <v>340</v>
      </c>
      <c r="AP658" s="16" t="s">
        <v>335</v>
      </c>
      <c r="AQ658" s="16"/>
      <c r="AR658" s="21" t="n">
        <f aca="false">IF(AND(T658&lt;&gt;"",H658&lt;&gt;""),IF(AND((T658-H658)*86400&gt;=0,(T658-H658)*86400&lt;تنظیمات!$B$13),1,0),0)</f>
        <v>0</v>
      </c>
      <c r="AS658" s="21" t="n">
        <f aca="false">IF(Z658="پوز",IF(OR(AB658="",COUNTIF(پوزها!$A$2:$A$5,AA658)=0),1,0),0)</f>
        <v>0</v>
      </c>
      <c r="AT658" s="21" t="n">
        <f aca="false">IF(AI658="",0,IF(AI658&gt;0,1,0))</f>
        <v>0</v>
      </c>
      <c r="AU658" s="21" t="n">
        <f aca="false">IF(AI658="",0,IF(AI658&lt;0,1,0))</f>
        <v>0</v>
      </c>
      <c r="AV658" s="21" t="n">
        <f aca="false">IF(U658&gt;V658,1,0)</f>
        <v>0</v>
      </c>
      <c r="AW658" s="21" t="n">
        <f aca="false">IF(OR(W658&gt;تنظیمات!$B$8,X658="بله"),1,0)</f>
        <v>0</v>
      </c>
      <c r="AX658" s="21" t="n">
        <f aca="false">IF(AND(N658="بله",L658&gt;تنظیمات!$B$9),1,0)</f>
        <v>0</v>
      </c>
      <c r="AY658" s="21" t="n">
        <f aca="false">IF(Y658="معکوس",1,0)</f>
        <v>0</v>
      </c>
      <c r="AZ658" s="21" t="n">
        <f aca="false">IF(ABS(AJ658)&gt;تنظیمات!$B$10,1,0)</f>
        <v>0</v>
      </c>
      <c r="BA658" s="21" t="n">
        <f aca="false">IF(AND(OR(AD658="رایگان/VIP",AD658="جانباز"),AF658="خیر"),1,0)</f>
        <v>0</v>
      </c>
      <c r="BB658" s="21" t="n">
        <f aca="false">IF(AE658="",0,IF(COUNTIF($AE$2:$AE$1001,AE658)&gt;1,1,0))</f>
        <v>0</v>
      </c>
      <c r="BC658" s="21" t="n">
        <f aca="false">IF(AND(H658="",I658&gt;تنظیمات!$B$12*60,AM658="خالی"),1,0)</f>
        <v>0</v>
      </c>
      <c r="BD658" s="21" t="n">
        <f aca="false">IF(AND(AP658="بله",I658&lt;تنظیمات!$B$14,AO658="خیر"),1,0)</f>
        <v>0</v>
      </c>
      <c r="BE658" s="21" t="n">
        <f aca="false">IF(AN658="خیر",1,0)</f>
        <v>0</v>
      </c>
      <c r="BF658" s="21" t="n">
        <f aca="false">IF(AND(AD658="فیش مفقودی",AQ658="بله",I658&gt;تنظیمات!$B$12*60),1,0)</f>
        <v>0</v>
      </c>
      <c r="BG658" s="21" t="n">
        <f aca="false">IF(AND(AK658&gt;تنظیمات!$B$11,AL658="بله"),1,0)</f>
        <v>0</v>
      </c>
      <c r="BH658" s="21" t="n">
        <f aca="false">MIN(100,AR658*تنظیمات!$B$21+AS658*تنظیمات!$B$22+AT658*تنظیمات!$B$23+AU658*تنظیمات!$B$24+AV658*تنظیمات!$B$25+AW658*تنظیمات!$B$26+AX658*تنظیمات!$B$27+AY658*تنظیمات!$B$28+AZ658*تنظیمات!$B$29+BA658*تنظیمات!$B$30+BB658*تنظیمات!$B$31+BC658*تنظیمات!$B$32+BD658*تنظیمات!$B$33+BE658*تنظیمات!$B$34+BF658*تنظیمات!$B$35+BG658*تنظیمات!$B$36)</f>
        <v>0</v>
      </c>
      <c r="BI658" s="16" t="str">
        <f aca="false">IF(BH658&gt;=60,"بحرانی",IF(BH658&gt;=30,"مشکوک",IF(BH658&gt;0,"هشدار","عادی")))</f>
        <v>عادی</v>
      </c>
      <c r="BJ658" s="16" t="s">
        <v>338</v>
      </c>
    </row>
    <row r="659" customFormat="false" ht="15" hidden="false" customHeight="false" outlineLevel="0" collapsed="false">
      <c r="A659" s="16" t="s">
        <v>2388</v>
      </c>
      <c r="B659" s="16" t="s">
        <v>1549</v>
      </c>
      <c r="C659" s="16"/>
      <c r="D659" s="16" t="s">
        <v>358</v>
      </c>
      <c r="E659" s="16" t="s">
        <v>363</v>
      </c>
      <c r="F659" s="16" t="s">
        <v>359</v>
      </c>
      <c r="G659" s="17" t="n">
        <v>46290.2694675926</v>
      </c>
      <c r="H659" s="17" t="n">
        <v>46290.3423842593</v>
      </c>
      <c r="I659" s="18" t="n">
        <f aca="false">IF(H659="",ROUND((تنظیمات!$B$7-G659)*1440,0),ROUND((H659-G659)*1440,0))</f>
        <v>105</v>
      </c>
      <c r="J659" s="16" t="s">
        <v>346</v>
      </c>
      <c r="K659" s="16" t="s">
        <v>400</v>
      </c>
      <c r="L659" s="19" t="n">
        <v>0.966</v>
      </c>
      <c r="M659" s="19" t="n">
        <v>0.956</v>
      </c>
      <c r="N659" s="16" t="s">
        <v>335</v>
      </c>
      <c r="O659" s="16" t="s">
        <v>666</v>
      </c>
      <c r="P659" s="16" t="s">
        <v>402</v>
      </c>
      <c r="Q659" s="20" t="n">
        <v>46290</v>
      </c>
      <c r="R659" s="16" t="s">
        <v>2389</v>
      </c>
      <c r="S659" s="16" t="s">
        <v>404</v>
      </c>
      <c r="T659" s="17"/>
      <c r="U659" s="21" t="n">
        <v>1</v>
      </c>
      <c r="V659" s="21" t="n">
        <v>1</v>
      </c>
      <c r="W659" s="22" t="n">
        <v>6.9</v>
      </c>
      <c r="X659" s="16" t="s">
        <v>335</v>
      </c>
      <c r="Y659" s="16" t="s">
        <v>338</v>
      </c>
      <c r="Z659" s="16" t="s">
        <v>405</v>
      </c>
      <c r="AA659" s="16"/>
      <c r="AB659" s="23"/>
      <c r="AC659" s="17"/>
      <c r="AD659" s="16" t="s">
        <v>338</v>
      </c>
      <c r="AE659" s="16"/>
      <c r="AF659" s="16" t="str">
        <f aca="false">IF(COUNTIF(لیست_سفید!$A$2:$A$21,B659)&gt;0,"بله","خیر")</f>
        <v>خیر</v>
      </c>
      <c r="AG659" s="24" t="n">
        <f aca="false">IF(H659="","",IF(AD659="فیش مفقودی",تنظیمات!$B$6,(INT(I659/1440)*تنظیمات!$B$5+IF(MOD(I659,1440)&lt;=تنظیمات!$B$2,0,MIN(تنظیمات!$B$5,تنظیمات!$B$3+MAX(0,ROUNDUP((MOD(I659,1440)-60)/60,0))*تنظیمات!$B$4)))*INDEX(تعرفه!$B$2:$B$7,MATCH(AD659,تعرفه!$A$2:$A$7,0))))</f>
        <v>34000</v>
      </c>
      <c r="AH659" s="24" t="n">
        <v>34000</v>
      </c>
      <c r="AI659" s="24" t="n">
        <f aca="false">IF(AG659="","",AH659-AG659)</f>
        <v>0</v>
      </c>
      <c r="AJ659" s="21" t="n">
        <v>1</v>
      </c>
      <c r="AK659" s="21" t="n">
        <v>0</v>
      </c>
      <c r="AL659" s="16" t="s">
        <v>335</v>
      </c>
      <c r="AM659" s="16"/>
      <c r="AN659" s="16" t="s">
        <v>340</v>
      </c>
      <c r="AO659" s="16" t="s">
        <v>340</v>
      </c>
      <c r="AP659" s="16" t="s">
        <v>335</v>
      </c>
      <c r="AQ659" s="16"/>
      <c r="AR659" s="21" t="n">
        <f aca="false">IF(AND(T659&lt;&gt;"",H659&lt;&gt;""),IF(AND((T659-H659)*86400&gt;=0,(T659-H659)*86400&lt;تنظیمات!$B$13),1,0),0)</f>
        <v>0</v>
      </c>
      <c r="AS659" s="21" t="n">
        <f aca="false">IF(Z659="پوز",IF(OR(AB659="",COUNTIF(پوزها!$A$2:$A$5,AA659)=0),1,0),0)</f>
        <v>0</v>
      </c>
      <c r="AT659" s="21" t="n">
        <f aca="false">IF(AI659="",0,IF(AI659&gt;0,1,0))</f>
        <v>0</v>
      </c>
      <c r="AU659" s="21" t="n">
        <f aca="false">IF(AI659="",0,IF(AI659&lt;0,1,0))</f>
        <v>0</v>
      </c>
      <c r="AV659" s="21" t="n">
        <f aca="false">IF(U659&gt;V659,1,0)</f>
        <v>0</v>
      </c>
      <c r="AW659" s="21" t="n">
        <f aca="false">IF(OR(W659&gt;تنظیمات!$B$8,X659="بله"),1,0)</f>
        <v>0</v>
      </c>
      <c r="AX659" s="21" t="n">
        <f aca="false">IF(AND(N659="بله",L659&gt;تنظیمات!$B$9),1,0)</f>
        <v>0</v>
      </c>
      <c r="AY659" s="21" t="n">
        <f aca="false">IF(Y659="معکوس",1,0)</f>
        <v>0</v>
      </c>
      <c r="AZ659" s="21" t="n">
        <f aca="false">IF(ABS(AJ659)&gt;تنظیمات!$B$10,1,0)</f>
        <v>0</v>
      </c>
      <c r="BA659" s="21" t="n">
        <f aca="false">IF(AND(OR(AD659="رایگان/VIP",AD659="جانباز"),AF659="خیر"),1,0)</f>
        <v>0</v>
      </c>
      <c r="BB659" s="21" t="n">
        <f aca="false">IF(AE659="",0,IF(COUNTIF($AE$2:$AE$1001,AE659)&gt;1,1,0))</f>
        <v>0</v>
      </c>
      <c r="BC659" s="21" t="n">
        <f aca="false">IF(AND(H659="",I659&gt;تنظیمات!$B$12*60,AM659="خالی"),1,0)</f>
        <v>0</v>
      </c>
      <c r="BD659" s="21" t="n">
        <f aca="false">IF(AND(AP659="بله",I659&lt;تنظیمات!$B$14,AO659="خیر"),1,0)</f>
        <v>0</v>
      </c>
      <c r="BE659" s="21" t="n">
        <f aca="false">IF(AN659="خیر",1,0)</f>
        <v>0</v>
      </c>
      <c r="BF659" s="21" t="n">
        <f aca="false">IF(AND(AD659="فیش مفقودی",AQ659="بله",I659&gt;تنظیمات!$B$12*60),1,0)</f>
        <v>0</v>
      </c>
      <c r="BG659" s="21" t="n">
        <f aca="false">IF(AND(AK659&gt;تنظیمات!$B$11,AL659="بله"),1,0)</f>
        <v>0</v>
      </c>
      <c r="BH659" s="21" t="n">
        <f aca="false">MIN(100,AR659*تنظیمات!$B$21+AS659*تنظیمات!$B$22+AT659*تنظیمات!$B$23+AU659*تنظیمات!$B$24+AV659*تنظیمات!$B$25+AW659*تنظیمات!$B$26+AX659*تنظیمات!$B$27+AY659*تنظیمات!$B$28+AZ659*تنظیمات!$B$29+BA659*تنظیمات!$B$30+BB659*تنظیمات!$B$31+BC659*تنظیمات!$B$32+BD659*تنظیمات!$B$33+BE659*تنظیمات!$B$34+BF659*تنظیمات!$B$35+BG659*تنظیمات!$B$36)</f>
        <v>0</v>
      </c>
      <c r="BI659" s="16" t="str">
        <f aca="false">IF(BH659&gt;=60,"بحرانی",IF(BH659&gt;=30,"مشکوک",IF(BH659&gt;0,"هشدار","عادی")))</f>
        <v>عادی</v>
      </c>
      <c r="BJ659" s="16" t="s">
        <v>338</v>
      </c>
    </row>
    <row r="660" customFormat="false" ht="15" hidden="false" customHeight="false" outlineLevel="0" collapsed="false">
      <c r="A660" s="16" t="s">
        <v>2390</v>
      </c>
      <c r="B660" s="16" t="s">
        <v>1168</v>
      </c>
      <c r="C660" s="16"/>
      <c r="D660" s="16" t="s">
        <v>523</v>
      </c>
      <c r="E660" s="16" t="s">
        <v>375</v>
      </c>
      <c r="F660" s="16" t="s">
        <v>333</v>
      </c>
      <c r="G660" s="17" t="n">
        <v>46290.271724537</v>
      </c>
      <c r="H660" s="17" t="n">
        <v>46290.6328356482</v>
      </c>
      <c r="I660" s="18" t="n">
        <f aca="false">IF(H660="",ROUND((تنظیمات!$B$7-G660)*1440,0),ROUND((H660-G660)*1440,0))</f>
        <v>520</v>
      </c>
      <c r="J660" s="16" t="s">
        <v>346</v>
      </c>
      <c r="K660" s="16" t="s">
        <v>410</v>
      </c>
      <c r="L660" s="19" t="n">
        <v>0.982</v>
      </c>
      <c r="M660" s="19" t="n">
        <v>0.93</v>
      </c>
      <c r="N660" s="16" t="s">
        <v>335</v>
      </c>
      <c r="O660" s="16" t="s">
        <v>441</v>
      </c>
      <c r="P660" s="16" t="s">
        <v>420</v>
      </c>
      <c r="Q660" s="20" t="n">
        <v>46290</v>
      </c>
      <c r="R660" s="16" t="s">
        <v>2391</v>
      </c>
      <c r="S660" s="16" t="s">
        <v>404</v>
      </c>
      <c r="T660" s="17"/>
      <c r="U660" s="21" t="n">
        <v>1</v>
      </c>
      <c r="V660" s="21" t="n">
        <v>1</v>
      </c>
      <c r="W660" s="22" t="n">
        <v>5.8</v>
      </c>
      <c r="X660" s="16" t="s">
        <v>335</v>
      </c>
      <c r="Y660" s="16" t="s">
        <v>338</v>
      </c>
      <c r="Z660" s="16" t="s">
        <v>443</v>
      </c>
      <c r="AA660" s="16"/>
      <c r="AB660" s="23"/>
      <c r="AC660" s="17"/>
      <c r="AD660" s="16" t="s">
        <v>444</v>
      </c>
      <c r="AE660" s="16"/>
      <c r="AF660" s="16" t="str">
        <f aca="false">IF(COUNTIF(لیست_سفید!$A$2:$A$21,B660)&gt;0,"بله","خیر")</f>
        <v>خیر</v>
      </c>
      <c r="AG660" s="24" t="n">
        <f aca="false">IF(H660="","",IF(AD660="فیش مفقودی",تنظیمات!$B$6,(INT(I660/1440)*تنظیمات!$B$5+IF(MOD(I660,1440)&lt;=تنظیمات!$B$2,0,MIN(تنظیمات!$B$5,تنظیمات!$B$3+MAX(0,ROUNDUP((MOD(I660,1440)-60)/60,0))*تنظیمات!$B$4)))*INDEX(تعرفه!$B$2:$B$7,MATCH(AD660,تعرفه!$A$2:$A$7,0))))</f>
        <v>0</v>
      </c>
      <c r="AH660" s="24" t="n">
        <v>0</v>
      </c>
      <c r="AI660" s="24" t="n">
        <f aca="false">IF(AG660="","",AH660-AG660)</f>
        <v>0</v>
      </c>
      <c r="AJ660" s="21" t="n">
        <v>0</v>
      </c>
      <c r="AK660" s="21" t="n">
        <v>0</v>
      </c>
      <c r="AL660" s="16" t="s">
        <v>335</v>
      </c>
      <c r="AM660" s="16"/>
      <c r="AN660" s="16" t="s">
        <v>340</v>
      </c>
      <c r="AO660" s="16" t="s">
        <v>340</v>
      </c>
      <c r="AP660" s="16" t="s">
        <v>335</v>
      </c>
      <c r="AQ660" s="16"/>
      <c r="AR660" s="21" t="n">
        <f aca="false">IF(AND(T660&lt;&gt;"",H660&lt;&gt;""),IF(AND((T660-H660)*86400&gt;=0,(T660-H660)*86400&lt;تنظیمات!$B$13),1,0),0)</f>
        <v>0</v>
      </c>
      <c r="AS660" s="21" t="n">
        <f aca="false">IF(Z660="پوز",IF(OR(AB660="",COUNTIF(پوزها!$A$2:$A$5,AA660)=0),1,0),0)</f>
        <v>0</v>
      </c>
      <c r="AT660" s="21" t="n">
        <f aca="false">IF(AI660="",0,IF(AI660&gt;0,1,0))</f>
        <v>0</v>
      </c>
      <c r="AU660" s="21" t="n">
        <f aca="false">IF(AI660="",0,IF(AI660&lt;0,1,0))</f>
        <v>0</v>
      </c>
      <c r="AV660" s="21" t="n">
        <f aca="false">IF(U660&gt;V660,1,0)</f>
        <v>0</v>
      </c>
      <c r="AW660" s="21" t="n">
        <f aca="false">IF(OR(W660&gt;تنظیمات!$B$8,X660="بله"),1,0)</f>
        <v>0</v>
      </c>
      <c r="AX660" s="21" t="n">
        <f aca="false">IF(AND(N660="بله",L660&gt;تنظیمات!$B$9),1,0)</f>
        <v>0</v>
      </c>
      <c r="AY660" s="21" t="n">
        <f aca="false">IF(Y660="معکوس",1,0)</f>
        <v>0</v>
      </c>
      <c r="AZ660" s="21" t="n">
        <f aca="false">IF(ABS(AJ660)&gt;تنظیمات!$B$10,1,0)</f>
        <v>0</v>
      </c>
      <c r="BA660" s="21" t="n">
        <f aca="false">IF(AND(OR(AD660="رایگان/VIP",AD660="جانباز"),AF660="خیر"),1,0)</f>
        <v>0</v>
      </c>
      <c r="BB660" s="21" t="n">
        <f aca="false">IF(AE660="",0,IF(COUNTIF($AE$2:$AE$1001,AE660)&gt;1,1,0))</f>
        <v>0</v>
      </c>
      <c r="BC660" s="21" t="n">
        <f aca="false">IF(AND(H660="",I660&gt;تنظیمات!$B$12*60,AM660="خالی"),1,0)</f>
        <v>0</v>
      </c>
      <c r="BD660" s="21" t="n">
        <f aca="false">IF(AND(AP660="بله",I660&lt;تنظیمات!$B$14,AO660="خیر"),1,0)</f>
        <v>0</v>
      </c>
      <c r="BE660" s="21" t="n">
        <f aca="false">IF(AN660="خیر",1,0)</f>
        <v>0</v>
      </c>
      <c r="BF660" s="21" t="n">
        <f aca="false">IF(AND(AD660="فیش مفقودی",AQ660="بله",I660&gt;تنظیمات!$B$12*60),1,0)</f>
        <v>0</v>
      </c>
      <c r="BG660" s="21" t="n">
        <f aca="false">IF(AND(AK660&gt;تنظیمات!$B$11,AL660="بله"),1,0)</f>
        <v>0</v>
      </c>
      <c r="BH660" s="21" t="n">
        <f aca="false">MIN(100,AR660*تنظیمات!$B$21+AS660*تنظیمات!$B$22+AT660*تنظیمات!$B$23+AU660*تنظیمات!$B$24+AV660*تنظیمات!$B$25+AW660*تنظیمات!$B$26+AX660*تنظیمات!$B$27+AY660*تنظیمات!$B$28+AZ660*تنظیمات!$B$29+BA660*تنظیمات!$B$30+BB660*تنظیمات!$B$31+BC660*تنظیمات!$B$32+BD660*تنظیمات!$B$33+BE660*تنظیمات!$B$34+BF660*تنظیمات!$B$35+BG660*تنظیمات!$B$36)</f>
        <v>0</v>
      </c>
      <c r="BI660" s="16" t="str">
        <f aca="false">IF(BH660&gt;=60,"بحرانی",IF(BH660&gt;=30,"مشکوک",IF(BH660&gt;0,"هشدار","عادی")))</f>
        <v>عادی</v>
      </c>
      <c r="BJ660" s="16" t="s">
        <v>338</v>
      </c>
    </row>
    <row r="661" customFormat="false" ht="15" hidden="false" customHeight="false" outlineLevel="0" collapsed="false">
      <c r="A661" s="16" t="s">
        <v>2392</v>
      </c>
      <c r="B661" s="16" t="s">
        <v>1972</v>
      </c>
      <c r="C661" s="16"/>
      <c r="D661" s="16" t="s">
        <v>350</v>
      </c>
      <c r="E661" s="16" t="s">
        <v>363</v>
      </c>
      <c r="F661" s="16" t="s">
        <v>333</v>
      </c>
      <c r="G661" s="17" t="n">
        <v>46290.2775462963</v>
      </c>
      <c r="H661" s="17" t="n">
        <v>46290.3407407407</v>
      </c>
      <c r="I661" s="18" t="n">
        <f aca="false">IF(H661="",ROUND((تنظیمات!$B$7-G661)*1440,0),ROUND((H661-G661)*1440,0))</f>
        <v>91</v>
      </c>
      <c r="J661" s="16" t="s">
        <v>346</v>
      </c>
      <c r="K661" s="16" t="s">
        <v>410</v>
      </c>
      <c r="L661" s="19" t="n">
        <v>0.881</v>
      </c>
      <c r="M661" s="19" t="n">
        <v>0.969</v>
      </c>
      <c r="N661" s="16" t="s">
        <v>335</v>
      </c>
      <c r="O661" s="16" t="s">
        <v>677</v>
      </c>
      <c r="P661" s="16" t="s">
        <v>402</v>
      </c>
      <c r="Q661" s="20" t="n">
        <v>46290</v>
      </c>
      <c r="R661" s="16" t="s">
        <v>2393</v>
      </c>
      <c r="S661" s="16" t="s">
        <v>404</v>
      </c>
      <c r="T661" s="17"/>
      <c r="U661" s="21" t="n">
        <v>1</v>
      </c>
      <c r="V661" s="21" t="n">
        <v>1</v>
      </c>
      <c r="W661" s="22" t="n">
        <v>5.3</v>
      </c>
      <c r="X661" s="16" t="s">
        <v>335</v>
      </c>
      <c r="Y661" s="16" t="s">
        <v>338</v>
      </c>
      <c r="Z661" s="16" t="s">
        <v>413</v>
      </c>
      <c r="AA661" s="16" t="s">
        <v>414</v>
      </c>
      <c r="AB661" s="23" t="s">
        <v>2394</v>
      </c>
      <c r="AC661" s="17" t="n">
        <v>46290.3398958333</v>
      </c>
      <c r="AD661" s="16" t="s">
        <v>338</v>
      </c>
      <c r="AE661" s="16"/>
      <c r="AF661" s="16" t="str">
        <f aca="false">IF(COUNTIF(لیست_سفید!$A$2:$A$21,B661)&gt;0,"بله","خیر")</f>
        <v>خیر</v>
      </c>
      <c r="AG661" s="24" t="n">
        <f aca="false">IF(H661="","",IF(AD661="فیش مفقودی",تنظیمات!$B$6,(INT(I661/1440)*تنظیمات!$B$5+IF(MOD(I661,1440)&lt;=تنظیمات!$B$2,0,MIN(تنظیمات!$B$5,تنظیمات!$B$3+MAX(0,ROUNDUP((MOD(I661,1440)-60)/60,0))*تنظیمات!$B$4)))*INDEX(تعرفه!$B$2:$B$7,MATCH(AD661,تعرفه!$A$2:$A$7,0))))</f>
        <v>34000</v>
      </c>
      <c r="AH661" s="24" t="n">
        <v>34000</v>
      </c>
      <c r="AI661" s="24" t="n">
        <f aca="false">IF(AG661="","",AH661-AG661)</f>
        <v>0</v>
      </c>
      <c r="AJ661" s="21" t="n">
        <v>1</v>
      </c>
      <c r="AK661" s="21" t="n">
        <v>0</v>
      </c>
      <c r="AL661" s="16" t="s">
        <v>335</v>
      </c>
      <c r="AM661" s="16"/>
      <c r="AN661" s="16" t="s">
        <v>340</v>
      </c>
      <c r="AO661" s="16" t="s">
        <v>340</v>
      </c>
      <c r="AP661" s="16" t="s">
        <v>335</v>
      </c>
      <c r="AQ661" s="16"/>
      <c r="AR661" s="21" t="n">
        <f aca="false">IF(AND(T661&lt;&gt;"",H661&lt;&gt;""),IF(AND((T661-H661)*86400&gt;=0,(T661-H661)*86400&lt;تنظیمات!$B$13),1,0),0)</f>
        <v>0</v>
      </c>
      <c r="AS661" s="21" t="n">
        <f aca="false">IF(Z661="پوز",IF(OR(AB661="",COUNTIF(پوزها!$A$2:$A$5,AA661)=0),1,0),0)</f>
        <v>0</v>
      </c>
      <c r="AT661" s="21" t="n">
        <f aca="false">IF(AI661="",0,IF(AI661&gt;0,1,0))</f>
        <v>0</v>
      </c>
      <c r="AU661" s="21" t="n">
        <f aca="false">IF(AI661="",0,IF(AI661&lt;0,1,0))</f>
        <v>0</v>
      </c>
      <c r="AV661" s="21" t="n">
        <f aca="false">IF(U661&gt;V661,1,0)</f>
        <v>0</v>
      </c>
      <c r="AW661" s="21" t="n">
        <f aca="false">IF(OR(W661&gt;تنظیمات!$B$8,X661="بله"),1,0)</f>
        <v>0</v>
      </c>
      <c r="AX661" s="21" t="n">
        <f aca="false">IF(AND(N661="بله",L661&gt;تنظیمات!$B$9),1,0)</f>
        <v>0</v>
      </c>
      <c r="AY661" s="21" t="n">
        <f aca="false">IF(Y661="معکوس",1,0)</f>
        <v>0</v>
      </c>
      <c r="AZ661" s="21" t="n">
        <f aca="false">IF(ABS(AJ661)&gt;تنظیمات!$B$10,1,0)</f>
        <v>0</v>
      </c>
      <c r="BA661" s="21" t="n">
        <f aca="false">IF(AND(OR(AD661="رایگان/VIP",AD661="جانباز"),AF661="خیر"),1,0)</f>
        <v>0</v>
      </c>
      <c r="BB661" s="21" t="n">
        <f aca="false">IF(AE661="",0,IF(COUNTIF($AE$2:$AE$1001,AE661)&gt;1,1,0))</f>
        <v>0</v>
      </c>
      <c r="BC661" s="21" t="n">
        <f aca="false">IF(AND(H661="",I661&gt;تنظیمات!$B$12*60,AM661="خالی"),1,0)</f>
        <v>0</v>
      </c>
      <c r="BD661" s="21" t="n">
        <f aca="false">IF(AND(AP661="بله",I661&lt;تنظیمات!$B$14,AO661="خیر"),1,0)</f>
        <v>0</v>
      </c>
      <c r="BE661" s="21" t="n">
        <f aca="false">IF(AN661="خیر",1,0)</f>
        <v>0</v>
      </c>
      <c r="BF661" s="21" t="n">
        <f aca="false">IF(AND(AD661="فیش مفقودی",AQ661="بله",I661&gt;تنظیمات!$B$12*60),1,0)</f>
        <v>0</v>
      </c>
      <c r="BG661" s="21" t="n">
        <f aca="false">IF(AND(AK661&gt;تنظیمات!$B$11,AL661="بله"),1,0)</f>
        <v>0</v>
      </c>
      <c r="BH661" s="21" t="n">
        <f aca="false">MIN(100,AR661*تنظیمات!$B$21+AS661*تنظیمات!$B$22+AT661*تنظیمات!$B$23+AU661*تنظیمات!$B$24+AV661*تنظیمات!$B$25+AW661*تنظیمات!$B$26+AX661*تنظیمات!$B$27+AY661*تنظیمات!$B$28+AZ661*تنظیمات!$B$29+BA661*تنظیمات!$B$30+BB661*تنظیمات!$B$31+BC661*تنظیمات!$B$32+BD661*تنظیمات!$B$33+BE661*تنظیمات!$B$34+BF661*تنظیمات!$B$35+BG661*تنظیمات!$B$36)</f>
        <v>0</v>
      </c>
      <c r="BI661" s="16" t="str">
        <f aca="false">IF(BH661&gt;=60,"بحرانی",IF(BH661&gt;=30,"مشکوک",IF(BH661&gt;0,"هشدار","عادی")))</f>
        <v>عادی</v>
      </c>
      <c r="BJ661" s="16" t="s">
        <v>338</v>
      </c>
    </row>
    <row r="662" customFormat="false" ht="15" hidden="false" customHeight="false" outlineLevel="0" collapsed="false">
      <c r="A662" s="16" t="s">
        <v>2395</v>
      </c>
      <c r="B662" s="16" t="s">
        <v>843</v>
      </c>
      <c r="C662" s="16"/>
      <c r="D662" s="16" t="s">
        <v>540</v>
      </c>
      <c r="E662" s="16" t="s">
        <v>332</v>
      </c>
      <c r="F662" s="16" t="s">
        <v>359</v>
      </c>
      <c r="G662" s="17" t="n">
        <v>46290.2927662037</v>
      </c>
      <c r="H662" s="17" t="n">
        <v>46290.3247106482</v>
      </c>
      <c r="I662" s="18" t="n">
        <f aca="false">IF(H662="",ROUND((تنظیمات!$B$7-G662)*1440,0),ROUND((H662-G662)*1440,0))</f>
        <v>46</v>
      </c>
      <c r="J662" s="16" t="s">
        <v>334</v>
      </c>
      <c r="K662" s="16" t="s">
        <v>400</v>
      </c>
      <c r="L662" s="19" t="n">
        <v>0.924</v>
      </c>
      <c r="M662" s="19" t="n">
        <v>0.938</v>
      </c>
      <c r="N662" s="16" t="s">
        <v>335</v>
      </c>
      <c r="O662" s="16" t="s">
        <v>666</v>
      </c>
      <c r="P662" s="16" t="s">
        <v>402</v>
      </c>
      <c r="Q662" s="20" t="n">
        <v>46290</v>
      </c>
      <c r="R662" s="16" t="s">
        <v>2396</v>
      </c>
      <c r="S662" s="16" t="s">
        <v>404</v>
      </c>
      <c r="T662" s="17"/>
      <c r="U662" s="21" t="n">
        <v>1</v>
      </c>
      <c r="V662" s="21" t="n">
        <v>1</v>
      </c>
      <c r="W662" s="22" t="n">
        <v>4</v>
      </c>
      <c r="X662" s="16" t="s">
        <v>335</v>
      </c>
      <c r="Y662" s="16" t="s">
        <v>338</v>
      </c>
      <c r="Z662" s="16" t="s">
        <v>405</v>
      </c>
      <c r="AA662" s="16"/>
      <c r="AB662" s="23"/>
      <c r="AC662" s="17"/>
      <c r="AD662" s="16" t="s">
        <v>338</v>
      </c>
      <c r="AE662" s="16"/>
      <c r="AF662" s="16" t="str">
        <f aca="false">IF(COUNTIF(لیست_سفید!$A$2:$A$21,B662)&gt;0,"بله","خیر")</f>
        <v>خیر</v>
      </c>
      <c r="AG662" s="24" t="n">
        <f aca="false">IF(H662="","",IF(AD662="فیش مفقودی",تنظیمات!$B$6,(INT(I662/1440)*تنظیمات!$B$5+IF(MOD(I662,1440)&lt;=تنظیمات!$B$2,0,MIN(تنظیمات!$B$5,تنظیمات!$B$3+MAX(0,ROUNDUP((MOD(I662,1440)-60)/60,0))*تنظیمات!$B$4)))*INDEX(تعرفه!$B$2:$B$7,MATCH(AD662,تعرفه!$A$2:$A$7,0))))</f>
        <v>20000</v>
      </c>
      <c r="AH662" s="24" t="n">
        <v>20000</v>
      </c>
      <c r="AI662" s="24" t="n">
        <f aca="false">IF(AG662="","",AH662-AG662)</f>
        <v>0</v>
      </c>
      <c r="AJ662" s="21" t="n">
        <v>3</v>
      </c>
      <c r="AK662" s="21" t="n">
        <v>0</v>
      </c>
      <c r="AL662" s="16" t="s">
        <v>335</v>
      </c>
      <c r="AM662" s="16"/>
      <c r="AN662" s="16" t="s">
        <v>340</v>
      </c>
      <c r="AO662" s="16" t="s">
        <v>340</v>
      </c>
      <c r="AP662" s="16" t="s">
        <v>335</v>
      </c>
      <c r="AQ662" s="16"/>
      <c r="AR662" s="21" t="n">
        <f aca="false">IF(AND(T662&lt;&gt;"",H662&lt;&gt;""),IF(AND((T662-H662)*86400&gt;=0,(T662-H662)*86400&lt;تنظیمات!$B$13),1,0),0)</f>
        <v>0</v>
      </c>
      <c r="AS662" s="21" t="n">
        <f aca="false">IF(Z662="پوز",IF(OR(AB662="",COUNTIF(پوزها!$A$2:$A$5,AA662)=0),1,0),0)</f>
        <v>0</v>
      </c>
      <c r="AT662" s="21" t="n">
        <f aca="false">IF(AI662="",0,IF(AI662&gt;0,1,0))</f>
        <v>0</v>
      </c>
      <c r="AU662" s="21" t="n">
        <f aca="false">IF(AI662="",0,IF(AI662&lt;0,1,0))</f>
        <v>0</v>
      </c>
      <c r="AV662" s="21" t="n">
        <f aca="false">IF(U662&gt;V662,1,0)</f>
        <v>0</v>
      </c>
      <c r="AW662" s="21" t="n">
        <f aca="false">IF(OR(W662&gt;تنظیمات!$B$8,X662="بله"),1,0)</f>
        <v>0</v>
      </c>
      <c r="AX662" s="21" t="n">
        <f aca="false">IF(AND(N662="بله",L662&gt;تنظیمات!$B$9),1,0)</f>
        <v>0</v>
      </c>
      <c r="AY662" s="21" t="n">
        <f aca="false">IF(Y662="معکوس",1,0)</f>
        <v>0</v>
      </c>
      <c r="AZ662" s="21" t="n">
        <f aca="false">IF(ABS(AJ662)&gt;تنظیمات!$B$10,1,0)</f>
        <v>0</v>
      </c>
      <c r="BA662" s="21" t="n">
        <f aca="false">IF(AND(OR(AD662="رایگان/VIP",AD662="جانباز"),AF662="خیر"),1,0)</f>
        <v>0</v>
      </c>
      <c r="BB662" s="21" t="n">
        <f aca="false">IF(AE662="",0,IF(COUNTIF($AE$2:$AE$1001,AE662)&gt;1,1,0))</f>
        <v>0</v>
      </c>
      <c r="BC662" s="21" t="n">
        <f aca="false">IF(AND(H662="",I662&gt;تنظیمات!$B$12*60,AM662="خالی"),1,0)</f>
        <v>0</v>
      </c>
      <c r="BD662" s="21" t="n">
        <f aca="false">IF(AND(AP662="بله",I662&lt;تنظیمات!$B$14,AO662="خیر"),1,0)</f>
        <v>0</v>
      </c>
      <c r="BE662" s="21" t="n">
        <f aca="false">IF(AN662="خیر",1,0)</f>
        <v>0</v>
      </c>
      <c r="BF662" s="21" t="n">
        <f aca="false">IF(AND(AD662="فیش مفقودی",AQ662="بله",I662&gt;تنظیمات!$B$12*60),1,0)</f>
        <v>0</v>
      </c>
      <c r="BG662" s="21" t="n">
        <f aca="false">IF(AND(AK662&gt;تنظیمات!$B$11,AL662="بله"),1,0)</f>
        <v>0</v>
      </c>
      <c r="BH662" s="21" t="n">
        <f aca="false">MIN(100,AR662*تنظیمات!$B$21+AS662*تنظیمات!$B$22+AT662*تنظیمات!$B$23+AU662*تنظیمات!$B$24+AV662*تنظیمات!$B$25+AW662*تنظیمات!$B$26+AX662*تنظیمات!$B$27+AY662*تنظیمات!$B$28+AZ662*تنظیمات!$B$29+BA662*تنظیمات!$B$30+BB662*تنظیمات!$B$31+BC662*تنظیمات!$B$32+BD662*تنظیمات!$B$33+BE662*تنظیمات!$B$34+BF662*تنظیمات!$B$35+BG662*تنظیمات!$B$36)</f>
        <v>0</v>
      </c>
      <c r="BI662" s="16" t="str">
        <f aca="false">IF(BH662&gt;=60,"بحرانی",IF(BH662&gt;=30,"مشکوک",IF(BH662&gt;0,"هشدار","عادی")))</f>
        <v>عادی</v>
      </c>
      <c r="BJ662" s="16" t="s">
        <v>338</v>
      </c>
    </row>
    <row r="663" customFormat="false" ht="15" hidden="false" customHeight="false" outlineLevel="0" collapsed="false">
      <c r="A663" s="16" t="s">
        <v>2397</v>
      </c>
      <c r="B663" s="16" t="s">
        <v>697</v>
      </c>
      <c r="C663" s="16"/>
      <c r="D663" s="16" t="s">
        <v>531</v>
      </c>
      <c r="E663" s="16" t="s">
        <v>345</v>
      </c>
      <c r="F663" s="16" t="s">
        <v>333</v>
      </c>
      <c r="G663" s="17" t="n">
        <v>46290.293275463</v>
      </c>
      <c r="H663" s="17" t="n">
        <v>46290.3759143519</v>
      </c>
      <c r="I663" s="18" t="n">
        <f aca="false">IF(H663="",ROUND((تنظیمات!$B$7-G663)*1440,0),ROUND((H663-G663)*1440,0))</f>
        <v>119</v>
      </c>
      <c r="J663" s="16" t="s">
        <v>334</v>
      </c>
      <c r="K663" s="16" t="s">
        <v>400</v>
      </c>
      <c r="L663" s="19" t="n">
        <v>0.903</v>
      </c>
      <c r="M663" s="19" t="n">
        <v>0.995</v>
      </c>
      <c r="N663" s="16" t="s">
        <v>335</v>
      </c>
      <c r="O663" s="16" t="s">
        <v>666</v>
      </c>
      <c r="P663" s="16" t="s">
        <v>402</v>
      </c>
      <c r="Q663" s="20" t="n">
        <v>46290</v>
      </c>
      <c r="R663" s="16" t="s">
        <v>2398</v>
      </c>
      <c r="S663" s="16" t="s">
        <v>404</v>
      </c>
      <c r="T663" s="17"/>
      <c r="U663" s="21" t="n">
        <v>1</v>
      </c>
      <c r="V663" s="21" t="n">
        <v>1</v>
      </c>
      <c r="W663" s="22" t="n">
        <v>24.7</v>
      </c>
      <c r="X663" s="16" t="s">
        <v>340</v>
      </c>
      <c r="Y663" s="16" t="s">
        <v>338</v>
      </c>
      <c r="Z663" s="16" t="s">
        <v>405</v>
      </c>
      <c r="AA663" s="16"/>
      <c r="AB663" s="23"/>
      <c r="AC663" s="17"/>
      <c r="AD663" s="16" t="s">
        <v>338</v>
      </c>
      <c r="AE663" s="16"/>
      <c r="AF663" s="16" t="str">
        <f aca="false">IF(COUNTIF(لیست_سفید!$A$2:$A$21,B663)&gt;0,"بله","خیر")</f>
        <v>خیر</v>
      </c>
      <c r="AG663" s="24" t="n">
        <f aca="false">IF(H663="","",IF(AD663="فیش مفقودی",تنظیمات!$B$6,(INT(I663/1440)*تنظیمات!$B$5+IF(MOD(I663,1440)&lt;=تنظیمات!$B$2,0,MIN(تنظیمات!$B$5,تنظیمات!$B$3+MAX(0,ROUNDUP((MOD(I663,1440)-60)/60,0))*تنظیمات!$B$4)))*INDEX(تعرفه!$B$2:$B$7,MATCH(AD663,تعرفه!$A$2:$A$7,0))))</f>
        <v>34000</v>
      </c>
      <c r="AH663" s="24" t="n">
        <v>34000</v>
      </c>
      <c r="AI663" s="24" t="n">
        <f aca="false">IF(AG663="","",AH663-AG663)</f>
        <v>0</v>
      </c>
      <c r="AJ663" s="21" t="n">
        <v>-1</v>
      </c>
      <c r="AK663" s="21" t="n">
        <v>0</v>
      </c>
      <c r="AL663" s="16" t="s">
        <v>335</v>
      </c>
      <c r="AM663" s="16"/>
      <c r="AN663" s="16" t="s">
        <v>340</v>
      </c>
      <c r="AO663" s="16" t="s">
        <v>340</v>
      </c>
      <c r="AP663" s="16" t="s">
        <v>335</v>
      </c>
      <c r="AQ663" s="16"/>
      <c r="AR663" s="21" t="n">
        <f aca="false">IF(AND(T663&lt;&gt;"",H663&lt;&gt;""),IF(AND((T663-H663)*86400&gt;=0,(T663-H663)*86400&lt;تنظیمات!$B$13),1,0),0)</f>
        <v>0</v>
      </c>
      <c r="AS663" s="21" t="n">
        <f aca="false">IF(Z663="پوز",IF(OR(AB663="",COUNTIF(پوزها!$A$2:$A$5,AA663)=0),1,0),0)</f>
        <v>0</v>
      </c>
      <c r="AT663" s="21" t="n">
        <f aca="false">IF(AI663="",0,IF(AI663&gt;0,1,0))</f>
        <v>0</v>
      </c>
      <c r="AU663" s="21" t="n">
        <f aca="false">IF(AI663="",0,IF(AI663&lt;0,1,0))</f>
        <v>0</v>
      </c>
      <c r="AV663" s="21" t="n">
        <f aca="false">IF(U663&gt;V663,1,0)</f>
        <v>0</v>
      </c>
      <c r="AW663" s="21" t="n">
        <f aca="false">IF(OR(W663&gt;تنظیمات!$B$8,X663="بله"),1,0)</f>
        <v>1</v>
      </c>
      <c r="AX663" s="21" t="n">
        <f aca="false">IF(AND(N663="بله",L663&gt;تنظیمات!$B$9),1,0)</f>
        <v>0</v>
      </c>
      <c r="AY663" s="21" t="n">
        <f aca="false">IF(Y663="معکوس",1,0)</f>
        <v>0</v>
      </c>
      <c r="AZ663" s="21" t="n">
        <f aca="false">IF(ABS(AJ663)&gt;تنظیمات!$B$10,1,0)</f>
        <v>0</v>
      </c>
      <c r="BA663" s="21" t="n">
        <f aca="false">IF(AND(OR(AD663="رایگان/VIP",AD663="جانباز"),AF663="خیر"),1,0)</f>
        <v>0</v>
      </c>
      <c r="BB663" s="21" t="n">
        <f aca="false">IF(AE663="",0,IF(COUNTIF($AE$2:$AE$1001,AE663)&gt;1,1,0))</f>
        <v>0</v>
      </c>
      <c r="BC663" s="21" t="n">
        <f aca="false">IF(AND(H663="",I663&gt;تنظیمات!$B$12*60,AM663="خالی"),1,0)</f>
        <v>0</v>
      </c>
      <c r="BD663" s="21" t="n">
        <f aca="false">IF(AND(AP663="بله",I663&lt;تنظیمات!$B$14,AO663="خیر"),1,0)</f>
        <v>0</v>
      </c>
      <c r="BE663" s="21" t="n">
        <f aca="false">IF(AN663="خیر",1,0)</f>
        <v>0</v>
      </c>
      <c r="BF663" s="21" t="n">
        <f aca="false">IF(AND(AD663="فیش مفقودی",AQ663="بله",I663&gt;تنظیمات!$B$12*60),1,0)</f>
        <v>0</v>
      </c>
      <c r="BG663" s="21" t="n">
        <f aca="false">IF(AND(AK663&gt;تنظیمات!$B$11,AL663="بله"),1,0)</f>
        <v>0</v>
      </c>
      <c r="BH663" s="21" t="n">
        <f aca="false">MIN(100,AR663*تنظیمات!$B$21+AS663*تنظیمات!$B$22+AT663*تنظیمات!$B$23+AU663*تنظیمات!$B$24+AV663*تنظیمات!$B$25+AW663*تنظیمات!$B$26+AX663*تنظیمات!$B$27+AY663*تنظیمات!$B$28+AZ663*تنظیمات!$B$29+BA663*تنظیمات!$B$30+BB663*تنظیمات!$B$31+BC663*تنظیمات!$B$32+BD663*تنظیمات!$B$33+BE663*تنظیمات!$B$34+BF663*تنظیمات!$B$35+BG663*تنظیمات!$B$36)</f>
        <v>25</v>
      </c>
      <c r="BI663" s="16" t="str">
        <f aca="false">IF(BH663&gt;=60,"بحرانی",IF(BH663&gt;=30,"مشکوک",IF(BH663&gt;0,"هشدار","عادی")))</f>
        <v>هشدار</v>
      </c>
      <c r="BJ663" s="16" t="s">
        <v>211</v>
      </c>
    </row>
    <row r="664" customFormat="false" ht="15" hidden="false" customHeight="false" outlineLevel="0" collapsed="false">
      <c r="A664" s="16" t="s">
        <v>2399</v>
      </c>
      <c r="B664" s="16" t="s">
        <v>2400</v>
      </c>
      <c r="C664" s="16"/>
      <c r="D664" s="16" t="s">
        <v>382</v>
      </c>
      <c r="E664" s="16" t="s">
        <v>351</v>
      </c>
      <c r="F664" s="16" t="s">
        <v>333</v>
      </c>
      <c r="G664" s="17" t="n">
        <v>46290.2952662037</v>
      </c>
      <c r="H664" s="17" t="n">
        <v>46290.3230439815</v>
      </c>
      <c r="I664" s="18" t="n">
        <f aca="false">IF(H664="",ROUND((تنظیمات!$B$7-G664)*1440,0),ROUND((H664-G664)*1440,0))</f>
        <v>40</v>
      </c>
      <c r="J664" s="16" t="s">
        <v>334</v>
      </c>
      <c r="K664" s="16" t="s">
        <v>400</v>
      </c>
      <c r="L664" s="19" t="n">
        <v>0.974</v>
      </c>
      <c r="M664" s="19" t="n">
        <v>0.935</v>
      </c>
      <c r="N664" s="16" t="s">
        <v>335</v>
      </c>
      <c r="O664" s="16" t="s">
        <v>666</v>
      </c>
      <c r="P664" s="16" t="s">
        <v>402</v>
      </c>
      <c r="Q664" s="20" t="n">
        <v>46290</v>
      </c>
      <c r="R664" s="16" t="s">
        <v>2401</v>
      </c>
      <c r="S664" s="16" t="s">
        <v>404</v>
      </c>
      <c r="T664" s="17"/>
      <c r="U664" s="21" t="n">
        <v>1</v>
      </c>
      <c r="V664" s="21" t="n">
        <v>1</v>
      </c>
      <c r="W664" s="22" t="n">
        <v>6</v>
      </c>
      <c r="X664" s="16" t="s">
        <v>335</v>
      </c>
      <c r="Y664" s="16" t="s">
        <v>338</v>
      </c>
      <c r="Z664" s="16" t="s">
        <v>405</v>
      </c>
      <c r="AA664" s="16"/>
      <c r="AB664" s="23"/>
      <c r="AC664" s="17"/>
      <c r="AD664" s="16" t="s">
        <v>338</v>
      </c>
      <c r="AE664" s="16"/>
      <c r="AF664" s="16" t="str">
        <f aca="false">IF(COUNTIF(لیست_سفید!$A$2:$A$21,B664)&gt;0,"بله","خیر")</f>
        <v>خیر</v>
      </c>
      <c r="AG664" s="24" t="n">
        <f aca="false">IF(H664="","",IF(AD664="فیش مفقودی",تنظیمات!$B$6,(INT(I664/1440)*تنظیمات!$B$5+IF(MOD(I664,1440)&lt;=تنظیمات!$B$2,0,MIN(تنظیمات!$B$5,تنظیمات!$B$3+MAX(0,ROUNDUP((MOD(I664,1440)-60)/60,0))*تنظیمات!$B$4)))*INDEX(تعرفه!$B$2:$B$7,MATCH(AD664,تعرفه!$A$2:$A$7,0))))</f>
        <v>20000</v>
      </c>
      <c r="AH664" s="24" t="n">
        <v>20000</v>
      </c>
      <c r="AI664" s="24" t="n">
        <f aca="false">IF(AG664="","",AH664-AG664)</f>
        <v>0</v>
      </c>
      <c r="AJ664" s="21" t="n">
        <v>0</v>
      </c>
      <c r="AK664" s="21" t="n">
        <v>0</v>
      </c>
      <c r="AL664" s="16" t="s">
        <v>335</v>
      </c>
      <c r="AM664" s="16"/>
      <c r="AN664" s="16" t="s">
        <v>340</v>
      </c>
      <c r="AO664" s="16" t="s">
        <v>340</v>
      </c>
      <c r="AP664" s="16" t="s">
        <v>335</v>
      </c>
      <c r="AQ664" s="16"/>
      <c r="AR664" s="21" t="n">
        <f aca="false">IF(AND(T664&lt;&gt;"",H664&lt;&gt;""),IF(AND((T664-H664)*86400&gt;=0,(T664-H664)*86400&lt;تنظیمات!$B$13),1,0),0)</f>
        <v>0</v>
      </c>
      <c r="AS664" s="21" t="n">
        <f aca="false">IF(Z664="پوز",IF(OR(AB664="",COUNTIF(پوزها!$A$2:$A$5,AA664)=0),1,0),0)</f>
        <v>0</v>
      </c>
      <c r="AT664" s="21" t="n">
        <f aca="false">IF(AI664="",0,IF(AI664&gt;0,1,0))</f>
        <v>0</v>
      </c>
      <c r="AU664" s="21" t="n">
        <f aca="false">IF(AI664="",0,IF(AI664&lt;0,1,0))</f>
        <v>0</v>
      </c>
      <c r="AV664" s="21" t="n">
        <f aca="false">IF(U664&gt;V664,1,0)</f>
        <v>0</v>
      </c>
      <c r="AW664" s="21" t="n">
        <f aca="false">IF(OR(W664&gt;تنظیمات!$B$8,X664="بله"),1,0)</f>
        <v>0</v>
      </c>
      <c r="AX664" s="21" t="n">
        <f aca="false">IF(AND(N664="بله",L664&gt;تنظیمات!$B$9),1,0)</f>
        <v>0</v>
      </c>
      <c r="AY664" s="21" t="n">
        <f aca="false">IF(Y664="معکوس",1,0)</f>
        <v>0</v>
      </c>
      <c r="AZ664" s="21" t="n">
        <f aca="false">IF(ABS(AJ664)&gt;تنظیمات!$B$10,1,0)</f>
        <v>0</v>
      </c>
      <c r="BA664" s="21" t="n">
        <f aca="false">IF(AND(OR(AD664="رایگان/VIP",AD664="جانباز"),AF664="خیر"),1,0)</f>
        <v>0</v>
      </c>
      <c r="BB664" s="21" t="n">
        <f aca="false">IF(AE664="",0,IF(COUNTIF($AE$2:$AE$1001,AE664)&gt;1,1,0))</f>
        <v>0</v>
      </c>
      <c r="BC664" s="21" t="n">
        <f aca="false">IF(AND(H664="",I664&gt;تنظیمات!$B$12*60,AM664="خالی"),1,0)</f>
        <v>0</v>
      </c>
      <c r="BD664" s="21" t="n">
        <f aca="false">IF(AND(AP664="بله",I664&lt;تنظیمات!$B$14,AO664="خیر"),1,0)</f>
        <v>0</v>
      </c>
      <c r="BE664" s="21" t="n">
        <f aca="false">IF(AN664="خیر",1,0)</f>
        <v>0</v>
      </c>
      <c r="BF664" s="21" t="n">
        <f aca="false">IF(AND(AD664="فیش مفقودی",AQ664="بله",I664&gt;تنظیمات!$B$12*60),1,0)</f>
        <v>0</v>
      </c>
      <c r="BG664" s="21" t="n">
        <f aca="false">IF(AND(AK664&gt;تنظیمات!$B$11,AL664="بله"),1,0)</f>
        <v>0</v>
      </c>
      <c r="BH664" s="21" t="n">
        <f aca="false">MIN(100,AR664*تنظیمات!$B$21+AS664*تنظیمات!$B$22+AT664*تنظیمات!$B$23+AU664*تنظیمات!$B$24+AV664*تنظیمات!$B$25+AW664*تنظیمات!$B$26+AX664*تنظیمات!$B$27+AY664*تنظیمات!$B$28+AZ664*تنظیمات!$B$29+BA664*تنظیمات!$B$30+BB664*تنظیمات!$B$31+BC664*تنظیمات!$B$32+BD664*تنظیمات!$B$33+BE664*تنظیمات!$B$34+BF664*تنظیمات!$B$35+BG664*تنظیمات!$B$36)</f>
        <v>0</v>
      </c>
      <c r="BI664" s="16" t="str">
        <f aca="false">IF(BH664&gt;=60,"بحرانی",IF(BH664&gt;=30,"مشکوک",IF(BH664&gt;0,"هشدار","عادی")))</f>
        <v>عادی</v>
      </c>
      <c r="BJ664" s="16" t="s">
        <v>338</v>
      </c>
    </row>
    <row r="665" customFormat="false" ht="15" hidden="false" customHeight="false" outlineLevel="0" collapsed="false">
      <c r="A665" s="16" t="s">
        <v>2402</v>
      </c>
      <c r="B665" s="16" t="s">
        <v>1156</v>
      </c>
      <c r="C665" s="16"/>
      <c r="D665" s="16" t="s">
        <v>469</v>
      </c>
      <c r="E665" s="16" t="s">
        <v>351</v>
      </c>
      <c r="F665" s="16" t="s">
        <v>359</v>
      </c>
      <c r="G665" s="17" t="n">
        <v>46290.2998611111</v>
      </c>
      <c r="H665" s="17" t="n">
        <v>46290.4672222222</v>
      </c>
      <c r="I665" s="18" t="n">
        <f aca="false">IF(H665="",ROUND((تنظیمات!$B$7-G665)*1440,0),ROUND((H665-G665)*1440,0))</f>
        <v>241</v>
      </c>
      <c r="J665" s="16" t="s">
        <v>334</v>
      </c>
      <c r="K665" s="16" t="s">
        <v>400</v>
      </c>
      <c r="L665" s="19" t="n">
        <v>0.945</v>
      </c>
      <c r="M665" s="19" t="n">
        <v>0.958</v>
      </c>
      <c r="N665" s="16" t="s">
        <v>335</v>
      </c>
      <c r="O665" s="16" t="s">
        <v>666</v>
      </c>
      <c r="P665" s="16" t="s">
        <v>402</v>
      </c>
      <c r="Q665" s="20" t="n">
        <v>46290</v>
      </c>
      <c r="R665" s="16" t="s">
        <v>2403</v>
      </c>
      <c r="S665" s="16" t="s">
        <v>404</v>
      </c>
      <c r="T665" s="17"/>
      <c r="U665" s="21" t="n">
        <v>1</v>
      </c>
      <c r="V665" s="21" t="n">
        <v>1</v>
      </c>
      <c r="W665" s="22" t="n">
        <v>4</v>
      </c>
      <c r="X665" s="16" t="s">
        <v>335</v>
      </c>
      <c r="Y665" s="16" t="s">
        <v>338</v>
      </c>
      <c r="Z665" s="16" t="s">
        <v>465</v>
      </c>
      <c r="AA665" s="16"/>
      <c r="AB665" s="23"/>
      <c r="AC665" s="17"/>
      <c r="AD665" s="16" t="s">
        <v>466</v>
      </c>
      <c r="AE665" s="16"/>
      <c r="AF665" s="16" t="str">
        <f aca="false">IF(COUNTIF(لیست_سفید!$A$2:$A$21,B665)&gt;0,"بله","خیر")</f>
        <v>بله</v>
      </c>
      <c r="AG665" s="24" t="n">
        <f aca="false">IF(H665="","",IF(AD665="فیش مفقودی",تنظیمات!$B$6,(INT(I665/1440)*تنظیمات!$B$5+IF(MOD(I665,1440)&lt;=تنظیمات!$B$2,0,MIN(تنظیمات!$B$5,تنظیمات!$B$3+MAX(0,ROUNDUP((MOD(I665,1440)-60)/60,0))*تنظیمات!$B$4)))*INDEX(تعرفه!$B$2:$B$7,MATCH(AD665,تعرفه!$A$2:$A$7,0))))</f>
        <v>0</v>
      </c>
      <c r="AH665" s="24" t="n">
        <v>0</v>
      </c>
      <c r="AI665" s="24" t="n">
        <f aca="false">IF(AG665="","",AH665-AG665)</f>
        <v>0</v>
      </c>
      <c r="AJ665" s="21" t="n">
        <v>0</v>
      </c>
      <c r="AK665" s="21" t="n">
        <v>0</v>
      </c>
      <c r="AL665" s="16" t="s">
        <v>335</v>
      </c>
      <c r="AM665" s="16"/>
      <c r="AN665" s="16" t="s">
        <v>340</v>
      </c>
      <c r="AO665" s="16" t="s">
        <v>340</v>
      </c>
      <c r="AP665" s="16" t="s">
        <v>335</v>
      </c>
      <c r="AQ665" s="16"/>
      <c r="AR665" s="21" t="n">
        <f aca="false">IF(AND(T665&lt;&gt;"",H665&lt;&gt;""),IF(AND((T665-H665)*86400&gt;=0,(T665-H665)*86400&lt;تنظیمات!$B$13),1,0),0)</f>
        <v>0</v>
      </c>
      <c r="AS665" s="21" t="n">
        <f aca="false">IF(Z665="پوز",IF(OR(AB665="",COUNTIF(پوزها!$A$2:$A$5,AA665)=0),1,0),0)</f>
        <v>0</v>
      </c>
      <c r="AT665" s="21" t="n">
        <f aca="false">IF(AI665="",0,IF(AI665&gt;0,1,0))</f>
        <v>0</v>
      </c>
      <c r="AU665" s="21" t="n">
        <f aca="false">IF(AI665="",0,IF(AI665&lt;0,1,0))</f>
        <v>0</v>
      </c>
      <c r="AV665" s="21" t="n">
        <f aca="false">IF(U665&gt;V665,1,0)</f>
        <v>0</v>
      </c>
      <c r="AW665" s="21" t="n">
        <f aca="false">IF(OR(W665&gt;تنظیمات!$B$8,X665="بله"),1,0)</f>
        <v>0</v>
      </c>
      <c r="AX665" s="21" t="n">
        <f aca="false">IF(AND(N665="بله",L665&gt;تنظیمات!$B$9),1,0)</f>
        <v>0</v>
      </c>
      <c r="AY665" s="21" t="n">
        <f aca="false">IF(Y665="معکوس",1,0)</f>
        <v>0</v>
      </c>
      <c r="AZ665" s="21" t="n">
        <f aca="false">IF(ABS(AJ665)&gt;تنظیمات!$B$10,1,0)</f>
        <v>0</v>
      </c>
      <c r="BA665" s="21" t="n">
        <f aca="false">IF(AND(OR(AD665="رایگان/VIP",AD665="جانباز"),AF665="خیر"),1,0)</f>
        <v>0</v>
      </c>
      <c r="BB665" s="21" t="n">
        <f aca="false">IF(AE665="",0,IF(COUNTIF($AE$2:$AE$1001,AE665)&gt;1,1,0))</f>
        <v>0</v>
      </c>
      <c r="BC665" s="21" t="n">
        <f aca="false">IF(AND(H665="",I665&gt;تنظیمات!$B$12*60,AM665="خالی"),1,0)</f>
        <v>0</v>
      </c>
      <c r="BD665" s="21" t="n">
        <f aca="false">IF(AND(AP665="بله",I665&lt;تنظیمات!$B$14,AO665="خیر"),1,0)</f>
        <v>0</v>
      </c>
      <c r="BE665" s="21" t="n">
        <f aca="false">IF(AN665="خیر",1,0)</f>
        <v>0</v>
      </c>
      <c r="BF665" s="21" t="n">
        <f aca="false">IF(AND(AD665="فیش مفقودی",AQ665="بله",I665&gt;تنظیمات!$B$12*60),1,0)</f>
        <v>0</v>
      </c>
      <c r="BG665" s="21" t="n">
        <f aca="false">IF(AND(AK665&gt;تنظیمات!$B$11,AL665="بله"),1,0)</f>
        <v>0</v>
      </c>
      <c r="BH665" s="21" t="n">
        <f aca="false">MIN(100,AR665*تنظیمات!$B$21+AS665*تنظیمات!$B$22+AT665*تنظیمات!$B$23+AU665*تنظیمات!$B$24+AV665*تنظیمات!$B$25+AW665*تنظیمات!$B$26+AX665*تنظیمات!$B$27+AY665*تنظیمات!$B$28+AZ665*تنظیمات!$B$29+BA665*تنظیمات!$B$30+BB665*تنظیمات!$B$31+BC665*تنظیمات!$B$32+BD665*تنظیمات!$B$33+BE665*تنظیمات!$B$34+BF665*تنظیمات!$B$35+BG665*تنظیمات!$B$36)</f>
        <v>0</v>
      </c>
      <c r="BI665" s="16" t="str">
        <f aca="false">IF(BH665&gt;=60,"بحرانی",IF(BH665&gt;=30,"مشکوک",IF(BH665&gt;0,"هشدار","عادی")))</f>
        <v>عادی</v>
      </c>
      <c r="BJ665" s="16" t="s">
        <v>338</v>
      </c>
    </row>
    <row r="666" customFormat="false" ht="15" hidden="false" customHeight="false" outlineLevel="0" collapsed="false">
      <c r="A666" s="16" t="s">
        <v>2404</v>
      </c>
      <c r="B666" s="16" t="s">
        <v>2405</v>
      </c>
      <c r="C666" s="16"/>
      <c r="D666" s="16" t="s">
        <v>523</v>
      </c>
      <c r="E666" s="16" t="s">
        <v>351</v>
      </c>
      <c r="F666" s="16" t="s">
        <v>333</v>
      </c>
      <c r="G666" s="17" t="n">
        <v>46290.3010532407</v>
      </c>
      <c r="H666" s="17" t="n">
        <v>46290.3371643519</v>
      </c>
      <c r="I666" s="18" t="n">
        <f aca="false">IF(H666="",ROUND((تنظیمات!$B$7-G666)*1440,0),ROUND((H666-G666)*1440,0))</f>
        <v>52</v>
      </c>
      <c r="J666" s="16" t="s">
        <v>346</v>
      </c>
      <c r="K666" s="16" t="s">
        <v>400</v>
      </c>
      <c r="L666" s="19" t="n">
        <v>0.951</v>
      </c>
      <c r="M666" s="19" t="n">
        <v>0.906</v>
      </c>
      <c r="N666" s="16" t="s">
        <v>335</v>
      </c>
      <c r="O666" s="16" t="s">
        <v>666</v>
      </c>
      <c r="P666" s="16" t="s">
        <v>402</v>
      </c>
      <c r="Q666" s="20" t="n">
        <v>46290</v>
      </c>
      <c r="R666" s="16" t="s">
        <v>2406</v>
      </c>
      <c r="S666" s="16" t="s">
        <v>404</v>
      </c>
      <c r="T666" s="17"/>
      <c r="U666" s="21" t="n">
        <v>1</v>
      </c>
      <c r="V666" s="21" t="n">
        <v>1</v>
      </c>
      <c r="W666" s="22" t="n">
        <v>4.6</v>
      </c>
      <c r="X666" s="16" t="s">
        <v>335</v>
      </c>
      <c r="Y666" s="16" t="s">
        <v>338</v>
      </c>
      <c r="Z666" s="16" t="s">
        <v>413</v>
      </c>
      <c r="AA666" s="16" t="s">
        <v>427</v>
      </c>
      <c r="AB666" s="23" t="s">
        <v>2407</v>
      </c>
      <c r="AC666" s="17" t="n">
        <v>46290.336712963</v>
      </c>
      <c r="AD666" s="16" t="s">
        <v>338</v>
      </c>
      <c r="AE666" s="16"/>
      <c r="AF666" s="16" t="str">
        <f aca="false">IF(COUNTIF(لیست_سفید!$A$2:$A$21,B666)&gt;0,"بله","خیر")</f>
        <v>خیر</v>
      </c>
      <c r="AG666" s="24" t="n">
        <f aca="false">IF(H666="","",IF(AD666="فیش مفقودی",تنظیمات!$B$6,(INT(I666/1440)*تنظیمات!$B$5+IF(MOD(I666,1440)&lt;=تنظیمات!$B$2,0,MIN(تنظیمات!$B$5,تنظیمات!$B$3+MAX(0,ROUNDUP((MOD(I666,1440)-60)/60,0))*تنظیمات!$B$4)))*INDEX(تعرفه!$B$2:$B$7,MATCH(AD666,تعرفه!$A$2:$A$7,0))))</f>
        <v>20000</v>
      </c>
      <c r="AH666" s="24" t="n">
        <v>20000</v>
      </c>
      <c r="AI666" s="24" t="n">
        <f aca="false">IF(AG666="","",AH666-AG666)</f>
        <v>0</v>
      </c>
      <c r="AJ666" s="21" t="n">
        <v>0</v>
      </c>
      <c r="AK666" s="21" t="n">
        <v>0</v>
      </c>
      <c r="AL666" s="16" t="s">
        <v>335</v>
      </c>
      <c r="AM666" s="16"/>
      <c r="AN666" s="16" t="s">
        <v>340</v>
      </c>
      <c r="AO666" s="16" t="s">
        <v>340</v>
      </c>
      <c r="AP666" s="16" t="s">
        <v>335</v>
      </c>
      <c r="AQ666" s="16"/>
      <c r="AR666" s="21" t="n">
        <f aca="false">IF(AND(T666&lt;&gt;"",H666&lt;&gt;""),IF(AND((T666-H666)*86400&gt;=0,(T666-H666)*86400&lt;تنظیمات!$B$13),1,0),0)</f>
        <v>0</v>
      </c>
      <c r="AS666" s="21" t="n">
        <f aca="false">IF(Z666="پوز",IF(OR(AB666="",COUNTIF(پوزها!$A$2:$A$5,AA666)=0),1,0),0)</f>
        <v>0</v>
      </c>
      <c r="AT666" s="21" t="n">
        <f aca="false">IF(AI666="",0,IF(AI666&gt;0,1,0))</f>
        <v>0</v>
      </c>
      <c r="AU666" s="21" t="n">
        <f aca="false">IF(AI666="",0,IF(AI666&lt;0,1,0))</f>
        <v>0</v>
      </c>
      <c r="AV666" s="21" t="n">
        <f aca="false">IF(U666&gt;V666,1,0)</f>
        <v>0</v>
      </c>
      <c r="AW666" s="21" t="n">
        <f aca="false">IF(OR(W666&gt;تنظیمات!$B$8,X666="بله"),1,0)</f>
        <v>0</v>
      </c>
      <c r="AX666" s="21" t="n">
        <f aca="false">IF(AND(N666="بله",L666&gt;تنظیمات!$B$9),1,0)</f>
        <v>0</v>
      </c>
      <c r="AY666" s="21" t="n">
        <f aca="false">IF(Y666="معکوس",1,0)</f>
        <v>0</v>
      </c>
      <c r="AZ666" s="21" t="n">
        <f aca="false">IF(ABS(AJ666)&gt;تنظیمات!$B$10,1,0)</f>
        <v>0</v>
      </c>
      <c r="BA666" s="21" t="n">
        <f aca="false">IF(AND(OR(AD666="رایگان/VIP",AD666="جانباز"),AF666="خیر"),1,0)</f>
        <v>0</v>
      </c>
      <c r="BB666" s="21" t="n">
        <f aca="false">IF(AE666="",0,IF(COUNTIF($AE$2:$AE$1001,AE666)&gt;1,1,0))</f>
        <v>0</v>
      </c>
      <c r="BC666" s="21" t="n">
        <f aca="false">IF(AND(H666="",I666&gt;تنظیمات!$B$12*60,AM666="خالی"),1,0)</f>
        <v>0</v>
      </c>
      <c r="BD666" s="21" t="n">
        <f aca="false">IF(AND(AP666="بله",I666&lt;تنظیمات!$B$14,AO666="خیر"),1,0)</f>
        <v>0</v>
      </c>
      <c r="BE666" s="21" t="n">
        <f aca="false">IF(AN666="خیر",1,0)</f>
        <v>0</v>
      </c>
      <c r="BF666" s="21" t="n">
        <f aca="false">IF(AND(AD666="فیش مفقودی",AQ666="بله",I666&gt;تنظیمات!$B$12*60),1,0)</f>
        <v>0</v>
      </c>
      <c r="BG666" s="21" t="n">
        <f aca="false">IF(AND(AK666&gt;تنظیمات!$B$11,AL666="بله"),1,0)</f>
        <v>0</v>
      </c>
      <c r="BH666" s="21" t="n">
        <f aca="false">MIN(100,AR666*تنظیمات!$B$21+AS666*تنظیمات!$B$22+AT666*تنظیمات!$B$23+AU666*تنظیمات!$B$24+AV666*تنظیمات!$B$25+AW666*تنظیمات!$B$26+AX666*تنظیمات!$B$27+AY666*تنظیمات!$B$28+AZ666*تنظیمات!$B$29+BA666*تنظیمات!$B$30+BB666*تنظیمات!$B$31+BC666*تنظیمات!$B$32+BD666*تنظیمات!$B$33+BE666*تنظیمات!$B$34+BF666*تنظیمات!$B$35+BG666*تنظیمات!$B$36)</f>
        <v>0</v>
      </c>
      <c r="BI666" s="16" t="str">
        <f aca="false">IF(BH666&gt;=60,"بحرانی",IF(BH666&gt;=30,"مشکوک",IF(BH666&gt;0,"هشدار","عادی")))</f>
        <v>عادی</v>
      </c>
      <c r="BJ666" s="16" t="s">
        <v>338</v>
      </c>
    </row>
    <row r="667" customFormat="false" ht="15" hidden="false" customHeight="false" outlineLevel="0" collapsed="false">
      <c r="A667" s="16" t="s">
        <v>2408</v>
      </c>
      <c r="B667" s="16" t="s">
        <v>727</v>
      </c>
      <c r="C667" s="16"/>
      <c r="D667" s="16" t="s">
        <v>450</v>
      </c>
      <c r="E667" s="16" t="s">
        <v>363</v>
      </c>
      <c r="F667" s="16" t="s">
        <v>333</v>
      </c>
      <c r="G667" s="17" t="n">
        <v>46290.3145949074</v>
      </c>
      <c r="H667" s="17" t="n">
        <v>46290.382650463</v>
      </c>
      <c r="I667" s="18" t="n">
        <f aca="false">IF(H667="",ROUND((تنظیمات!$B$7-G667)*1440,0),ROUND((H667-G667)*1440,0))</f>
        <v>98</v>
      </c>
      <c r="J667" s="16" t="s">
        <v>334</v>
      </c>
      <c r="K667" s="16" t="s">
        <v>410</v>
      </c>
      <c r="L667" s="19" t="n">
        <v>0.978</v>
      </c>
      <c r="M667" s="19" t="n">
        <v>0.973</v>
      </c>
      <c r="N667" s="16" t="s">
        <v>335</v>
      </c>
      <c r="O667" s="16" t="s">
        <v>677</v>
      </c>
      <c r="P667" s="16" t="s">
        <v>402</v>
      </c>
      <c r="Q667" s="20" t="n">
        <v>46290</v>
      </c>
      <c r="R667" s="16" t="s">
        <v>2409</v>
      </c>
      <c r="S667" s="16" t="s">
        <v>404</v>
      </c>
      <c r="T667" s="17"/>
      <c r="U667" s="21" t="n">
        <v>1</v>
      </c>
      <c r="V667" s="21" t="n">
        <v>1</v>
      </c>
      <c r="W667" s="22" t="n">
        <v>5</v>
      </c>
      <c r="X667" s="16" t="s">
        <v>335</v>
      </c>
      <c r="Y667" s="16" t="s">
        <v>338</v>
      </c>
      <c r="Z667" s="16" t="s">
        <v>405</v>
      </c>
      <c r="AA667" s="16"/>
      <c r="AB667" s="23"/>
      <c r="AC667" s="17"/>
      <c r="AD667" s="16" t="s">
        <v>338</v>
      </c>
      <c r="AE667" s="16"/>
      <c r="AF667" s="16" t="str">
        <f aca="false">IF(COUNTIF(لیست_سفید!$A$2:$A$21,B667)&gt;0,"بله","خیر")</f>
        <v>خیر</v>
      </c>
      <c r="AG667" s="24" t="n">
        <f aca="false">IF(H667="","",IF(AD667="فیش مفقودی",تنظیمات!$B$6,(INT(I667/1440)*تنظیمات!$B$5+IF(MOD(I667,1440)&lt;=تنظیمات!$B$2,0,MIN(تنظیمات!$B$5,تنظیمات!$B$3+MAX(0,ROUNDUP((MOD(I667,1440)-60)/60,0))*تنظیمات!$B$4)))*INDEX(تعرفه!$B$2:$B$7,MATCH(AD667,تعرفه!$A$2:$A$7,0))))</f>
        <v>34000</v>
      </c>
      <c r="AH667" s="24" t="n">
        <v>34000</v>
      </c>
      <c r="AI667" s="24" t="n">
        <f aca="false">IF(AG667="","",AH667-AG667)</f>
        <v>0</v>
      </c>
      <c r="AJ667" s="21" t="n">
        <v>3</v>
      </c>
      <c r="AK667" s="21" t="n">
        <v>0</v>
      </c>
      <c r="AL667" s="16" t="s">
        <v>335</v>
      </c>
      <c r="AM667" s="16"/>
      <c r="AN667" s="16" t="s">
        <v>340</v>
      </c>
      <c r="AO667" s="16" t="s">
        <v>340</v>
      </c>
      <c r="AP667" s="16" t="s">
        <v>335</v>
      </c>
      <c r="AQ667" s="16"/>
      <c r="AR667" s="21" t="n">
        <f aca="false">IF(AND(T667&lt;&gt;"",H667&lt;&gt;""),IF(AND((T667-H667)*86400&gt;=0,(T667-H667)*86400&lt;تنظیمات!$B$13),1,0),0)</f>
        <v>0</v>
      </c>
      <c r="AS667" s="21" t="n">
        <f aca="false">IF(Z667="پوز",IF(OR(AB667="",COUNTIF(پوزها!$A$2:$A$5,AA667)=0),1,0),0)</f>
        <v>0</v>
      </c>
      <c r="AT667" s="21" t="n">
        <f aca="false">IF(AI667="",0,IF(AI667&gt;0,1,0))</f>
        <v>0</v>
      </c>
      <c r="AU667" s="21" t="n">
        <f aca="false">IF(AI667="",0,IF(AI667&lt;0,1,0))</f>
        <v>0</v>
      </c>
      <c r="AV667" s="21" t="n">
        <f aca="false">IF(U667&gt;V667,1,0)</f>
        <v>0</v>
      </c>
      <c r="AW667" s="21" t="n">
        <f aca="false">IF(OR(W667&gt;تنظیمات!$B$8,X667="بله"),1,0)</f>
        <v>0</v>
      </c>
      <c r="AX667" s="21" t="n">
        <f aca="false">IF(AND(N667="بله",L667&gt;تنظیمات!$B$9),1,0)</f>
        <v>0</v>
      </c>
      <c r="AY667" s="21" t="n">
        <f aca="false">IF(Y667="معکوس",1,0)</f>
        <v>0</v>
      </c>
      <c r="AZ667" s="21" t="n">
        <f aca="false">IF(ABS(AJ667)&gt;تنظیمات!$B$10,1,0)</f>
        <v>0</v>
      </c>
      <c r="BA667" s="21" t="n">
        <f aca="false">IF(AND(OR(AD667="رایگان/VIP",AD667="جانباز"),AF667="خیر"),1,0)</f>
        <v>0</v>
      </c>
      <c r="BB667" s="21" t="n">
        <f aca="false">IF(AE667="",0,IF(COUNTIF($AE$2:$AE$1001,AE667)&gt;1,1,0))</f>
        <v>0</v>
      </c>
      <c r="BC667" s="21" t="n">
        <f aca="false">IF(AND(H667="",I667&gt;تنظیمات!$B$12*60,AM667="خالی"),1,0)</f>
        <v>0</v>
      </c>
      <c r="BD667" s="21" t="n">
        <f aca="false">IF(AND(AP667="بله",I667&lt;تنظیمات!$B$14,AO667="خیر"),1,0)</f>
        <v>0</v>
      </c>
      <c r="BE667" s="21" t="n">
        <f aca="false">IF(AN667="خیر",1,0)</f>
        <v>0</v>
      </c>
      <c r="BF667" s="21" t="n">
        <f aca="false">IF(AND(AD667="فیش مفقودی",AQ667="بله",I667&gt;تنظیمات!$B$12*60),1,0)</f>
        <v>0</v>
      </c>
      <c r="BG667" s="21" t="n">
        <f aca="false">IF(AND(AK667&gt;تنظیمات!$B$11,AL667="بله"),1,0)</f>
        <v>0</v>
      </c>
      <c r="BH667" s="21" t="n">
        <f aca="false">MIN(100,AR667*تنظیمات!$B$21+AS667*تنظیمات!$B$22+AT667*تنظیمات!$B$23+AU667*تنظیمات!$B$24+AV667*تنظیمات!$B$25+AW667*تنظیمات!$B$26+AX667*تنظیمات!$B$27+AY667*تنظیمات!$B$28+AZ667*تنظیمات!$B$29+BA667*تنظیمات!$B$30+BB667*تنظیمات!$B$31+BC667*تنظیمات!$B$32+BD667*تنظیمات!$B$33+BE667*تنظیمات!$B$34+BF667*تنظیمات!$B$35+BG667*تنظیمات!$B$36)</f>
        <v>0</v>
      </c>
      <c r="BI667" s="16" t="str">
        <f aca="false">IF(BH667&gt;=60,"بحرانی",IF(BH667&gt;=30,"مشکوک",IF(BH667&gt;0,"هشدار","عادی")))</f>
        <v>عادی</v>
      </c>
      <c r="BJ667" s="16" t="s">
        <v>338</v>
      </c>
    </row>
    <row r="668" customFormat="false" ht="15" hidden="false" customHeight="false" outlineLevel="0" collapsed="false">
      <c r="A668" s="16" t="s">
        <v>2410</v>
      </c>
      <c r="B668" s="16" t="s">
        <v>1132</v>
      </c>
      <c r="C668" s="16"/>
      <c r="D668" s="16" t="s">
        <v>418</v>
      </c>
      <c r="E668" s="16" t="s">
        <v>351</v>
      </c>
      <c r="F668" s="16" t="s">
        <v>333</v>
      </c>
      <c r="G668" s="17" t="n">
        <v>46290.3169560185</v>
      </c>
      <c r="H668" s="17" t="n">
        <v>46290.6482060185</v>
      </c>
      <c r="I668" s="18" t="n">
        <f aca="false">IF(H668="",ROUND((تنظیمات!$B$7-G668)*1440,0),ROUND((H668-G668)*1440,0))</f>
        <v>477</v>
      </c>
      <c r="J668" s="16" t="s">
        <v>334</v>
      </c>
      <c r="K668" s="16" t="s">
        <v>410</v>
      </c>
      <c r="L668" s="19" t="n">
        <v>0.94</v>
      </c>
      <c r="M668" s="19" t="n">
        <v>0.98</v>
      </c>
      <c r="N668" s="16" t="s">
        <v>335</v>
      </c>
      <c r="O668" s="16" t="s">
        <v>441</v>
      </c>
      <c r="P668" s="16" t="s">
        <v>420</v>
      </c>
      <c r="Q668" s="20" t="n">
        <v>46290</v>
      </c>
      <c r="R668" s="16" t="s">
        <v>2411</v>
      </c>
      <c r="S668" s="16" t="s">
        <v>404</v>
      </c>
      <c r="T668" s="17"/>
      <c r="U668" s="21" t="n">
        <v>1</v>
      </c>
      <c r="V668" s="21" t="n">
        <v>1</v>
      </c>
      <c r="W668" s="22" t="n">
        <v>4.5</v>
      </c>
      <c r="X668" s="16" t="s">
        <v>335</v>
      </c>
      <c r="Y668" s="16" t="s">
        <v>338</v>
      </c>
      <c r="Z668" s="16" t="s">
        <v>443</v>
      </c>
      <c r="AA668" s="16"/>
      <c r="AB668" s="23"/>
      <c r="AC668" s="17"/>
      <c r="AD668" s="16" t="s">
        <v>444</v>
      </c>
      <c r="AE668" s="16"/>
      <c r="AF668" s="16" t="str">
        <f aca="false">IF(COUNTIF(لیست_سفید!$A$2:$A$21,B668)&gt;0,"بله","خیر")</f>
        <v>خیر</v>
      </c>
      <c r="AG668" s="24" t="n">
        <f aca="false">IF(H668="","",IF(AD668="فیش مفقودی",تنظیمات!$B$6,(INT(I668/1440)*تنظیمات!$B$5+IF(MOD(I668,1440)&lt;=تنظیمات!$B$2,0,MIN(تنظیمات!$B$5,تنظیمات!$B$3+MAX(0,ROUNDUP((MOD(I668,1440)-60)/60,0))*تنظیمات!$B$4)))*INDEX(تعرفه!$B$2:$B$7,MATCH(AD668,تعرفه!$A$2:$A$7,0))))</f>
        <v>0</v>
      </c>
      <c r="AH668" s="24" t="n">
        <v>0</v>
      </c>
      <c r="AI668" s="24" t="n">
        <f aca="false">IF(AG668="","",AH668-AG668)</f>
        <v>0</v>
      </c>
      <c r="AJ668" s="21" t="n">
        <v>0</v>
      </c>
      <c r="AK668" s="21" t="n">
        <v>0</v>
      </c>
      <c r="AL668" s="16" t="s">
        <v>335</v>
      </c>
      <c r="AM668" s="16"/>
      <c r="AN668" s="16" t="s">
        <v>340</v>
      </c>
      <c r="AO668" s="16" t="s">
        <v>340</v>
      </c>
      <c r="AP668" s="16" t="s">
        <v>335</v>
      </c>
      <c r="AQ668" s="16"/>
      <c r="AR668" s="21" t="n">
        <f aca="false">IF(AND(T668&lt;&gt;"",H668&lt;&gt;""),IF(AND((T668-H668)*86400&gt;=0,(T668-H668)*86400&lt;تنظیمات!$B$13),1,0),0)</f>
        <v>0</v>
      </c>
      <c r="AS668" s="21" t="n">
        <f aca="false">IF(Z668="پوز",IF(OR(AB668="",COUNTIF(پوزها!$A$2:$A$5,AA668)=0),1,0),0)</f>
        <v>0</v>
      </c>
      <c r="AT668" s="21" t="n">
        <f aca="false">IF(AI668="",0,IF(AI668&gt;0,1,0))</f>
        <v>0</v>
      </c>
      <c r="AU668" s="21" t="n">
        <f aca="false">IF(AI668="",0,IF(AI668&lt;0,1,0))</f>
        <v>0</v>
      </c>
      <c r="AV668" s="21" t="n">
        <f aca="false">IF(U668&gt;V668,1,0)</f>
        <v>0</v>
      </c>
      <c r="AW668" s="21" t="n">
        <f aca="false">IF(OR(W668&gt;تنظیمات!$B$8,X668="بله"),1,0)</f>
        <v>0</v>
      </c>
      <c r="AX668" s="21" t="n">
        <f aca="false">IF(AND(N668="بله",L668&gt;تنظیمات!$B$9),1,0)</f>
        <v>0</v>
      </c>
      <c r="AY668" s="21" t="n">
        <f aca="false">IF(Y668="معکوس",1,0)</f>
        <v>0</v>
      </c>
      <c r="AZ668" s="21" t="n">
        <f aca="false">IF(ABS(AJ668)&gt;تنظیمات!$B$10,1,0)</f>
        <v>0</v>
      </c>
      <c r="BA668" s="21" t="n">
        <f aca="false">IF(AND(OR(AD668="رایگان/VIP",AD668="جانباز"),AF668="خیر"),1,0)</f>
        <v>0</v>
      </c>
      <c r="BB668" s="21" t="n">
        <f aca="false">IF(AE668="",0,IF(COUNTIF($AE$2:$AE$1001,AE668)&gt;1,1,0))</f>
        <v>0</v>
      </c>
      <c r="BC668" s="21" t="n">
        <f aca="false">IF(AND(H668="",I668&gt;تنظیمات!$B$12*60,AM668="خالی"),1,0)</f>
        <v>0</v>
      </c>
      <c r="BD668" s="21" t="n">
        <f aca="false">IF(AND(AP668="بله",I668&lt;تنظیمات!$B$14,AO668="خیر"),1,0)</f>
        <v>0</v>
      </c>
      <c r="BE668" s="21" t="n">
        <f aca="false">IF(AN668="خیر",1,0)</f>
        <v>0</v>
      </c>
      <c r="BF668" s="21" t="n">
        <f aca="false">IF(AND(AD668="فیش مفقودی",AQ668="بله",I668&gt;تنظیمات!$B$12*60),1,0)</f>
        <v>0</v>
      </c>
      <c r="BG668" s="21" t="n">
        <f aca="false">IF(AND(AK668&gt;تنظیمات!$B$11,AL668="بله"),1,0)</f>
        <v>0</v>
      </c>
      <c r="BH668" s="21" t="n">
        <f aca="false">MIN(100,AR668*تنظیمات!$B$21+AS668*تنظیمات!$B$22+AT668*تنظیمات!$B$23+AU668*تنظیمات!$B$24+AV668*تنظیمات!$B$25+AW668*تنظیمات!$B$26+AX668*تنظیمات!$B$27+AY668*تنظیمات!$B$28+AZ668*تنظیمات!$B$29+BA668*تنظیمات!$B$30+BB668*تنظیمات!$B$31+BC668*تنظیمات!$B$32+BD668*تنظیمات!$B$33+BE668*تنظیمات!$B$34+BF668*تنظیمات!$B$35+BG668*تنظیمات!$B$36)</f>
        <v>0</v>
      </c>
      <c r="BI668" s="16" t="str">
        <f aca="false">IF(BH668&gt;=60,"بحرانی",IF(BH668&gt;=30,"مشکوک",IF(BH668&gt;0,"هشدار","عادی")))</f>
        <v>عادی</v>
      </c>
      <c r="BJ668" s="16" t="s">
        <v>338</v>
      </c>
    </row>
    <row r="669" customFormat="false" ht="15" hidden="false" customHeight="false" outlineLevel="0" collapsed="false">
      <c r="A669" s="16" t="s">
        <v>2412</v>
      </c>
      <c r="B669" s="16" t="s">
        <v>1732</v>
      </c>
      <c r="C669" s="16"/>
      <c r="D669" s="16" t="s">
        <v>450</v>
      </c>
      <c r="E669" s="16" t="s">
        <v>332</v>
      </c>
      <c r="F669" s="16" t="s">
        <v>333</v>
      </c>
      <c r="G669" s="17" t="n">
        <v>46290.3237384259</v>
      </c>
      <c r="H669" s="17" t="n">
        <v>46290.5862384259</v>
      </c>
      <c r="I669" s="18" t="n">
        <f aca="false">IF(H669="",ROUND((تنظیمات!$B$7-G669)*1440,0),ROUND((H669-G669)*1440,0))</f>
        <v>378</v>
      </c>
      <c r="J669" s="16" t="s">
        <v>334</v>
      </c>
      <c r="K669" s="16" t="s">
        <v>400</v>
      </c>
      <c r="L669" s="19" t="n">
        <v>0.964</v>
      </c>
      <c r="M669" s="19" t="n">
        <v>0.981</v>
      </c>
      <c r="N669" s="16" t="s">
        <v>335</v>
      </c>
      <c r="O669" s="16" t="s">
        <v>425</v>
      </c>
      <c r="P669" s="16" t="s">
        <v>420</v>
      </c>
      <c r="Q669" s="20" t="n">
        <v>46290</v>
      </c>
      <c r="R669" s="16" t="s">
        <v>2413</v>
      </c>
      <c r="S669" s="16" t="s">
        <v>404</v>
      </c>
      <c r="T669" s="17"/>
      <c r="U669" s="21" t="n">
        <v>1</v>
      </c>
      <c r="V669" s="21" t="n">
        <v>1</v>
      </c>
      <c r="W669" s="22" t="n">
        <v>4.5</v>
      </c>
      <c r="X669" s="16" t="s">
        <v>335</v>
      </c>
      <c r="Y669" s="16" t="s">
        <v>338</v>
      </c>
      <c r="Z669" s="16" t="s">
        <v>413</v>
      </c>
      <c r="AA669" s="16" t="s">
        <v>427</v>
      </c>
      <c r="AB669" s="23" t="s">
        <v>2414</v>
      </c>
      <c r="AC669" s="17" t="n">
        <v>46290.5853935185</v>
      </c>
      <c r="AD669" s="16" t="s">
        <v>338</v>
      </c>
      <c r="AE669" s="16"/>
      <c r="AF669" s="16" t="str">
        <f aca="false">IF(COUNTIF(لیست_سفید!$A$2:$A$21,B669)&gt;0,"بله","خیر")</f>
        <v>خیر</v>
      </c>
      <c r="AG669" s="24" t="n">
        <f aca="false">IF(H669="","",IF(AD669="فیش مفقودی",تنظیمات!$B$6,(INT(I669/1440)*تنظیمات!$B$5+IF(MOD(I669,1440)&lt;=تنظیمات!$B$2,0,MIN(تنظیمات!$B$5,تنظیمات!$B$3+MAX(0,ROUNDUP((MOD(I669,1440)-60)/60,0))*تنظیمات!$B$4)))*INDEX(تعرفه!$B$2:$B$7,MATCH(AD669,تعرفه!$A$2:$A$7,0))))</f>
        <v>104000</v>
      </c>
      <c r="AH669" s="24" t="n">
        <v>104000</v>
      </c>
      <c r="AI669" s="24" t="n">
        <f aca="false">IF(AG669="","",AH669-AG669)</f>
        <v>0</v>
      </c>
      <c r="AJ669" s="21" t="n">
        <v>-2</v>
      </c>
      <c r="AK669" s="21" t="n">
        <v>0</v>
      </c>
      <c r="AL669" s="16" t="s">
        <v>335</v>
      </c>
      <c r="AM669" s="16"/>
      <c r="AN669" s="16" t="s">
        <v>340</v>
      </c>
      <c r="AO669" s="16" t="s">
        <v>340</v>
      </c>
      <c r="AP669" s="16" t="s">
        <v>335</v>
      </c>
      <c r="AQ669" s="16"/>
      <c r="AR669" s="21" t="n">
        <f aca="false">IF(AND(T669&lt;&gt;"",H669&lt;&gt;""),IF(AND((T669-H669)*86400&gt;=0,(T669-H669)*86400&lt;تنظیمات!$B$13),1,0),0)</f>
        <v>0</v>
      </c>
      <c r="AS669" s="21" t="n">
        <f aca="false">IF(Z669="پوز",IF(OR(AB669="",COUNTIF(پوزها!$A$2:$A$5,AA669)=0),1,0),0)</f>
        <v>0</v>
      </c>
      <c r="AT669" s="21" t="n">
        <f aca="false">IF(AI669="",0,IF(AI669&gt;0,1,0))</f>
        <v>0</v>
      </c>
      <c r="AU669" s="21" t="n">
        <f aca="false">IF(AI669="",0,IF(AI669&lt;0,1,0))</f>
        <v>0</v>
      </c>
      <c r="AV669" s="21" t="n">
        <f aca="false">IF(U669&gt;V669,1,0)</f>
        <v>0</v>
      </c>
      <c r="AW669" s="21" t="n">
        <f aca="false">IF(OR(W669&gt;تنظیمات!$B$8,X669="بله"),1,0)</f>
        <v>0</v>
      </c>
      <c r="AX669" s="21" t="n">
        <f aca="false">IF(AND(N669="بله",L669&gt;تنظیمات!$B$9),1,0)</f>
        <v>0</v>
      </c>
      <c r="AY669" s="21" t="n">
        <f aca="false">IF(Y669="معکوس",1,0)</f>
        <v>0</v>
      </c>
      <c r="AZ669" s="21" t="n">
        <f aca="false">IF(ABS(AJ669)&gt;تنظیمات!$B$10,1,0)</f>
        <v>0</v>
      </c>
      <c r="BA669" s="21" t="n">
        <f aca="false">IF(AND(OR(AD669="رایگان/VIP",AD669="جانباز"),AF669="خیر"),1,0)</f>
        <v>0</v>
      </c>
      <c r="BB669" s="21" t="n">
        <f aca="false">IF(AE669="",0,IF(COUNTIF($AE$2:$AE$1001,AE669)&gt;1,1,0))</f>
        <v>0</v>
      </c>
      <c r="BC669" s="21" t="n">
        <f aca="false">IF(AND(H669="",I669&gt;تنظیمات!$B$12*60,AM669="خالی"),1,0)</f>
        <v>0</v>
      </c>
      <c r="BD669" s="21" t="n">
        <f aca="false">IF(AND(AP669="بله",I669&lt;تنظیمات!$B$14,AO669="خیر"),1,0)</f>
        <v>0</v>
      </c>
      <c r="BE669" s="21" t="n">
        <f aca="false">IF(AN669="خیر",1,0)</f>
        <v>0</v>
      </c>
      <c r="BF669" s="21" t="n">
        <f aca="false">IF(AND(AD669="فیش مفقودی",AQ669="بله",I669&gt;تنظیمات!$B$12*60),1,0)</f>
        <v>0</v>
      </c>
      <c r="BG669" s="21" t="n">
        <f aca="false">IF(AND(AK669&gt;تنظیمات!$B$11,AL669="بله"),1,0)</f>
        <v>0</v>
      </c>
      <c r="BH669" s="21" t="n">
        <f aca="false">MIN(100,AR669*تنظیمات!$B$21+AS669*تنظیمات!$B$22+AT669*تنظیمات!$B$23+AU669*تنظیمات!$B$24+AV669*تنظیمات!$B$25+AW669*تنظیمات!$B$26+AX669*تنظیمات!$B$27+AY669*تنظیمات!$B$28+AZ669*تنظیمات!$B$29+BA669*تنظیمات!$B$30+BB669*تنظیمات!$B$31+BC669*تنظیمات!$B$32+BD669*تنظیمات!$B$33+BE669*تنظیمات!$B$34+BF669*تنظیمات!$B$35+BG669*تنظیمات!$B$36)</f>
        <v>0</v>
      </c>
      <c r="BI669" s="16" t="str">
        <f aca="false">IF(BH669&gt;=60,"بحرانی",IF(BH669&gt;=30,"مشکوک",IF(BH669&gt;0,"هشدار","عادی")))</f>
        <v>عادی</v>
      </c>
      <c r="BJ669" s="16" t="s">
        <v>338</v>
      </c>
    </row>
    <row r="670" customFormat="false" ht="15" hidden="false" customHeight="false" outlineLevel="0" collapsed="false">
      <c r="A670" s="16" t="s">
        <v>2415</v>
      </c>
      <c r="B670" s="16" t="s">
        <v>2416</v>
      </c>
      <c r="C670" s="16"/>
      <c r="D670" s="16" t="s">
        <v>382</v>
      </c>
      <c r="E670" s="16" t="s">
        <v>363</v>
      </c>
      <c r="F670" s="16" t="s">
        <v>333</v>
      </c>
      <c r="G670" s="17" t="n">
        <v>46290.3255671296</v>
      </c>
      <c r="H670" s="17" t="n">
        <v>46290.3304282407</v>
      </c>
      <c r="I670" s="18" t="n">
        <f aca="false">IF(H670="",ROUND((تنظیمات!$B$7-G670)*1440,0),ROUND((H670-G670)*1440,0))</f>
        <v>7</v>
      </c>
      <c r="J670" s="16" t="s">
        <v>346</v>
      </c>
      <c r="K670" s="16" t="s">
        <v>400</v>
      </c>
      <c r="L670" s="19" t="n">
        <v>0.935</v>
      </c>
      <c r="M670" s="19" t="n">
        <v>0.995</v>
      </c>
      <c r="N670" s="16" t="s">
        <v>335</v>
      </c>
      <c r="O670" s="16" t="s">
        <v>666</v>
      </c>
      <c r="P670" s="16" t="s">
        <v>402</v>
      </c>
      <c r="Q670" s="20" t="n">
        <v>46290</v>
      </c>
      <c r="R670" s="16" t="s">
        <v>2417</v>
      </c>
      <c r="S670" s="16" t="s">
        <v>404</v>
      </c>
      <c r="T670" s="17"/>
      <c r="U670" s="21" t="n">
        <v>1</v>
      </c>
      <c r="V670" s="21" t="n">
        <v>1</v>
      </c>
      <c r="W670" s="22" t="n">
        <v>5.3</v>
      </c>
      <c r="X670" s="16" t="s">
        <v>335</v>
      </c>
      <c r="Y670" s="16" t="s">
        <v>338</v>
      </c>
      <c r="Z670" s="16" t="s">
        <v>628</v>
      </c>
      <c r="AA670" s="16"/>
      <c r="AB670" s="23"/>
      <c r="AC670" s="17"/>
      <c r="AD670" s="16" t="s">
        <v>338</v>
      </c>
      <c r="AE670" s="16"/>
      <c r="AF670" s="16" t="str">
        <f aca="false">IF(COUNTIF(لیست_سفید!$A$2:$A$21,B670)&gt;0,"بله","خیر")</f>
        <v>خیر</v>
      </c>
      <c r="AG670" s="24" t="n">
        <f aca="false">IF(H670="","",IF(AD670="فیش مفقودی",تنظیمات!$B$6,(INT(I670/1440)*تنظیمات!$B$5+IF(MOD(I670,1440)&lt;=تنظیمات!$B$2,0,MIN(تنظیمات!$B$5,تنظیمات!$B$3+MAX(0,ROUNDUP((MOD(I670,1440)-60)/60,0))*تنظیمات!$B$4)))*INDEX(تعرفه!$B$2:$B$7,MATCH(AD670,تعرفه!$A$2:$A$7,0))))</f>
        <v>0</v>
      </c>
      <c r="AH670" s="24" t="n">
        <v>0</v>
      </c>
      <c r="AI670" s="24" t="n">
        <f aca="false">IF(AG670="","",AH670-AG670)</f>
        <v>0</v>
      </c>
      <c r="AJ670" s="21" t="n">
        <v>4</v>
      </c>
      <c r="AK670" s="21" t="n">
        <v>0</v>
      </c>
      <c r="AL670" s="16" t="s">
        <v>335</v>
      </c>
      <c r="AM670" s="16"/>
      <c r="AN670" s="16" t="s">
        <v>340</v>
      </c>
      <c r="AO670" s="16" t="s">
        <v>340</v>
      </c>
      <c r="AP670" s="16" t="s">
        <v>335</v>
      </c>
      <c r="AQ670" s="16"/>
      <c r="AR670" s="21" t="n">
        <f aca="false">IF(AND(T670&lt;&gt;"",H670&lt;&gt;""),IF(AND((T670-H670)*86400&gt;=0,(T670-H670)*86400&lt;تنظیمات!$B$13),1,0),0)</f>
        <v>0</v>
      </c>
      <c r="AS670" s="21" t="n">
        <f aca="false">IF(Z670="پوز",IF(OR(AB670="",COUNTIF(پوزها!$A$2:$A$5,AA670)=0),1,0),0)</f>
        <v>0</v>
      </c>
      <c r="AT670" s="21" t="n">
        <f aca="false">IF(AI670="",0,IF(AI670&gt;0,1,0))</f>
        <v>0</v>
      </c>
      <c r="AU670" s="21" t="n">
        <f aca="false">IF(AI670="",0,IF(AI670&lt;0,1,0))</f>
        <v>0</v>
      </c>
      <c r="AV670" s="21" t="n">
        <f aca="false">IF(U670&gt;V670,1,0)</f>
        <v>0</v>
      </c>
      <c r="AW670" s="21" t="n">
        <f aca="false">IF(OR(W670&gt;تنظیمات!$B$8,X670="بله"),1,0)</f>
        <v>0</v>
      </c>
      <c r="AX670" s="21" t="n">
        <f aca="false">IF(AND(N670="بله",L670&gt;تنظیمات!$B$9),1,0)</f>
        <v>0</v>
      </c>
      <c r="AY670" s="21" t="n">
        <f aca="false">IF(Y670="معکوس",1,0)</f>
        <v>0</v>
      </c>
      <c r="AZ670" s="21" t="n">
        <f aca="false">IF(ABS(AJ670)&gt;تنظیمات!$B$10,1,0)</f>
        <v>0</v>
      </c>
      <c r="BA670" s="21" t="n">
        <f aca="false">IF(AND(OR(AD670="رایگان/VIP",AD670="جانباز"),AF670="خیر"),1,0)</f>
        <v>0</v>
      </c>
      <c r="BB670" s="21" t="n">
        <f aca="false">IF(AE670="",0,IF(COUNTIF($AE$2:$AE$1001,AE670)&gt;1,1,0))</f>
        <v>0</v>
      </c>
      <c r="BC670" s="21" t="n">
        <f aca="false">IF(AND(H670="",I670&gt;تنظیمات!$B$12*60,AM670="خالی"),1,0)</f>
        <v>0</v>
      </c>
      <c r="BD670" s="21" t="n">
        <f aca="false">IF(AND(AP670="بله",I670&lt;تنظیمات!$B$14,AO670="خیر"),1,0)</f>
        <v>0</v>
      </c>
      <c r="BE670" s="21" t="n">
        <f aca="false">IF(AN670="خیر",1,0)</f>
        <v>0</v>
      </c>
      <c r="BF670" s="21" t="n">
        <f aca="false">IF(AND(AD670="فیش مفقودی",AQ670="بله",I670&gt;تنظیمات!$B$12*60),1,0)</f>
        <v>0</v>
      </c>
      <c r="BG670" s="21" t="n">
        <f aca="false">IF(AND(AK670&gt;تنظیمات!$B$11,AL670="بله"),1,0)</f>
        <v>0</v>
      </c>
      <c r="BH670" s="21" t="n">
        <f aca="false">MIN(100,AR670*تنظیمات!$B$21+AS670*تنظیمات!$B$22+AT670*تنظیمات!$B$23+AU670*تنظیمات!$B$24+AV670*تنظیمات!$B$25+AW670*تنظیمات!$B$26+AX670*تنظیمات!$B$27+AY670*تنظیمات!$B$28+AZ670*تنظیمات!$B$29+BA670*تنظیمات!$B$30+BB670*تنظیمات!$B$31+BC670*تنظیمات!$B$32+BD670*تنظیمات!$B$33+BE670*تنظیمات!$B$34+BF670*تنظیمات!$B$35+BG670*تنظیمات!$B$36)</f>
        <v>0</v>
      </c>
      <c r="BI670" s="16" t="str">
        <f aca="false">IF(BH670&gt;=60,"بحرانی",IF(BH670&gt;=30,"مشکوک",IF(BH670&gt;0,"هشدار","عادی")))</f>
        <v>عادی</v>
      </c>
      <c r="BJ670" s="16" t="s">
        <v>338</v>
      </c>
    </row>
    <row r="671" customFormat="false" ht="15" hidden="false" customHeight="false" outlineLevel="0" collapsed="false">
      <c r="A671" s="16" t="s">
        <v>2418</v>
      </c>
      <c r="B671" s="16" t="s">
        <v>1694</v>
      </c>
      <c r="C671" s="16"/>
      <c r="D671" s="16" t="s">
        <v>382</v>
      </c>
      <c r="E671" s="16" t="s">
        <v>375</v>
      </c>
      <c r="F671" s="16" t="s">
        <v>333</v>
      </c>
      <c r="G671" s="17" t="n">
        <v>46290.3384027778</v>
      </c>
      <c r="H671" s="17" t="n">
        <v>46290.616875</v>
      </c>
      <c r="I671" s="18" t="n">
        <f aca="false">IF(H671="",ROUND((تنظیمات!$B$7-G671)*1440,0),ROUND((H671-G671)*1440,0))</f>
        <v>401</v>
      </c>
      <c r="J671" s="16" t="s">
        <v>346</v>
      </c>
      <c r="K671" s="16" t="s">
        <v>410</v>
      </c>
      <c r="L671" s="19" t="n">
        <v>0.925</v>
      </c>
      <c r="M671" s="19" t="n">
        <v>0.959</v>
      </c>
      <c r="N671" s="16" t="s">
        <v>335</v>
      </c>
      <c r="O671" s="16" t="s">
        <v>441</v>
      </c>
      <c r="P671" s="16" t="s">
        <v>420</v>
      </c>
      <c r="Q671" s="20" t="n">
        <v>46290</v>
      </c>
      <c r="R671" s="16" t="s">
        <v>2419</v>
      </c>
      <c r="S671" s="16" t="s">
        <v>404</v>
      </c>
      <c r="T671" s="17"/>
      <c r="U671" s="21" t="n">
        <v>1</v>
      </c>
      <c r="V671" s="21" t="n">
        <v>1</v>
      </c>
      <c r="W671" s="22" t="n">
        <v>4.5</v>
      </c>
      <c r="X671" s="16" t="s">
        <v>335</v>
      </c>
      <c r="Y671" s="16" t="s">
        <v>338</v>
      </c>
      <c r="Z671" s="16" t="s">
        <v>413</v>
      </c>
      <c r="AA671" s="16" t="s">
        <v>414</v>
      </c>
      <c r="AB671" s="23" t="s">
        <v>2420</v>
      </c>
      <c r="AC671" s="17" t="n">
        <v>46290.6165509259</v>
      </c>
      <c r="AD671" s="16" t="s">
        <v>338</v>
      </c>
      <c r="AE671" s="16"/>
      <c r="AF671" s="16" t="str">
        <f aca="false">IF(COUNTIF(لیست_سفید!$A$2:$A$21,B671)&gt;0,"بله","خیر")</f>
        <v>خیر</v>
      </c>
      <c r="AG671" s="24" t="n">
        <f aca="false">IF(H671="","",IF(AD671="فیش مفقودی",تنظیمات!$B$6,(INT(I671/1440)*تنظیمات!$B$5+IF(MOD(I671,1440)&lt;=تنظیمات!$B$2,0,MIN(تنظیمات!$B$5,تنظیمات!$B$3+MAX(0,ROUNDUP((MOD(I671,1440)-60)/60,0))*تنظیمات!$B$4)))*INDEX(تعرفه!$B$2:$B$7,MATCH(AD671,تعرفه!$A$2:$A$7,0))))</f>
        <v>104000</v>
      </c>
      <c r="AH671" s="24" t="n">
        <v>104000</v>
      </c>
      <c r="AI671" s="24" t="n">
        <f aca="false">IF(AG671="","",AH671-AG671)</f>
        <v>0</v>
      </c>
      <c r="AJ671" s="21" t="n">
        <v>0</v>
      </c>
      <c r="AK671" s="21" t="n">
        <v>0</v>
      </c>
      <c r="AL671" s="16" t="s">
        <v>335</v>
      </c>
      <c r="AM671" s="16"/>
      <c r="AN671" s="16" t="s">
        <v>340</v>
      </c>
      <c r="AO671" s="16" t="s">
        <v>340</v>
      </c>
      <c r="AP671" s="16" t="s">
        <v>335</v>
      </c>
      <c r="AQ671" s="16"/>
      <c r="AR671" s="21" t="n">
        <f aca="false">IF(AND(T671&lt;&gt;"",H671&lt;&gt;""),IF(AND((T671-H671)*86400&gt;=0,(T671-H671)*86400&lt;تنظیمات!$B$13),1,0),0)</f>
        <v>0</v>
      </c>
      <c r="AS671" s="21" t="n">
        <f aca="false">IF(Z671="پوز",IF(OR(AB671="",COUNTIF(پوزها!$A$2:$A$5,AA671)=0),1,0),0)</f>
        <v>0</v>
      </c>
      <c r="AT671" s="21" t="n">
        <f aca="false">IF(AI671="",0,IF(AI671&gt;0,1,0))</f>
        <v>0</v>
      </c>
      <c r="AU671" s="21" t="n">
        <f aca="false">IF(AI671="",0,IF(AI671&lt;0,1,0))</f>
        <v>0</v>
      </c>
      <c r="AV671" s="21" t="n">
        <f aca="false">IF(U671&gt;V671,1,0)</f>
        <v>0</v>
      </c>
      <c r="AW671" s="21" t="n">
        <f aca="false">IF(OR(W671&gt;تنظیمات!$B$8,X671="بله"),1,0)</f>
        <v>0</v>
      </c>
      <c r="AX671" s="21" t="n">
        <f aca="false">IF(AND(N671="بله",L671&gt;تنظیمات!$B$9),1,0)</f>
        <v>0</v>
      </c>
      <c r="AY671" s="21" t="n">
        <f aca="false">IF(Y671="معکوس",1,0)</f>
        <v>0</v>
      </c>
      <c r="AZ671" s="21" t="n">
        <f aca="false">IF(ABS(AJ671)&gt;تنظیمات!$B$10,1,0)</f>
        <v>0</v>
      </c>
      <c r="BA671" s="21" t="n">
        <f aca="false">IF(AND(OR(AD671="رایگان/VIP",AD671="جانباز"),AF671="خیر"),1,0)</f>
        <v>0</v>
      </c>
      <c r="BB671" s="21" t="n">
        <f aca="false">IF(AE671="",0,IF(COUNTIF($AE$2:$AE$1001,AE671)&gt;1,1,0))</f>
        <v>0</v>
      </c>
      <c r="BC671" s="21" t="n">
        <f aca="false">IF(AND(H671="",I671&gt;تنظیمات!$B$12*60,AM671="خالی"),1,0)</f>
        <v>0</v>
      </c>
      <c r="BD671" s="21" t="n">
        <f aca="false">IF(AND(AP671="بله",I671&lt;تنظیمات!$B$14,AO671="خیر"),1,0)</f>
        <v>0</v>
      </c>
      <c r="BE671" s="21" t="n">
        <f aca="false">IF(AN671="خیر",1,0)</f>
        <v>0</v>
      </c>
      <c r="BF671" s="21" t="n">
        <f aca="false">IF(AND(AD671="فیش مفقودی",AQ671="بله",I671&gt;تنظیمات!$B$12*60),1,0)</f>
        <v>0</v>
      </c>
      <c r="BG671" s="21" t="n">
        <f aca="false">IF(AND(AK671&gt;تنظیمات!$B$11,AL671="بله"),1,0)</f>
        <v>0</v>
      </c>
      <c r="BH671" s="21" t="n">
        <f aca="false">MIN(100,AR671*تنظیمات!$B$21+AS671*تنظیمات!$B$22+AT671*تنظیمات!$B$23+AU671*تنظیمات!$B$24+AV671*تنظیمات!$B$25+AW671*تنظیمات!$B$26+AX671*تنظیمات!$B$27+AY671*تنظیمات!$B$28+AZ671*تنظیمات!$B$29+BA671*تنظیمات!$B$30+BB671*تنظیمات!$B$31+BC671*تنظیمات!$B$32+BD671*تنظیمات!$B$33+BE671*تنظیمات!$B$34+BF671*تنظیمات!$B$35+BG671*تنظیمات!$B$36)</f>
        <v>0</v>
      </c>
      <c r="BI671" s="16" t="str">
        <f aca="false">IF(BH671&gt;=60,"بحرانی",IF(BH671&gt;=30,"مشکوک",IF(BH671&gt;0,"هشدار","عادی")))</f>
        <v>عادی</v>
      </c>
      <c r="BJ671" s="16" t="s">
        <v>338</v>
      </c>
    </row>
    <row r="672" customFormat="false" ht="15" hidden="false" customHeight="false" outlineLevel="0" collapsed="false">
      <c r="A672" s="16" t="s">
        <v>2421</v>
      </c>
      <c r="B672" s="16" t="s">
        <v>539</v>
      </c>
      <c r="C672" s="16"/>
      <c r="D672" s="16" t="s">
        <v>540</v>
      </c>
      <c r="E672" s="16" t="s">
        <v>351</v>
      </c>
      <c r="F672" s="16" t="s">
        <v>359</v>
      </c>
      <c r="G672" s="17" t="n">
        <v>46290.3577546296</v>
      </c>
      <c r="H672" s="17" t="n">
        <v>46290.4431712963</v>
      </c>
      <c r="I672" s="18" t="n">
        <f aca="false">IF(H672="",ROUND((تنظیمات!$B$7-G672)*1440,0),ROUND((H672-G672)*1440,0))</f>
        <v>123</v>
      </c>
      <c r="J672" s="16" t="s">
        <v>346</v>
      </c>
      <c r="K672" s="16" t="s">
        <v>400</v>
      </c>
      <c r="L672" s="19" t="n">
        <v>0.903</v>
      </c>
      <c r="M672" s="19" t="n">
        <v>0.936</v>
      </c>
      <c r="N672" s="16" t="s">
        <v>335</v>
      </c>
      <c r="O672" s="16" t="s">
        <v>666</v>
      </c>
      <c r="P672" s="16" t="s">
        <v>402</v>
      </c>
      <c r="Q672" s="20" t="n">
        <v>46290</v>
      </c>
      <c r="R672" s="16" t="s">
        <v>2422</v>
      </c>
      <c r="S672" s="16" t="s">
        <v>404</v>
      </c>
      <c r="T672" s="17"/>
      <c r="U672" s="21" t="n">
        <v>1</v>
      </c>
      <c r="V672" s="21" t="n">
        <v>1</v>
      </c>
      <c r="W672" s="22" t="n">
        <v>3.3</v>
      </c>
      <c r="X672" s="16" t="s">
        <v>335</v>
      </c>
      <c r="Y672" s="16" t="s">
        <v>338</v>
      </c>
      <c r="Z672" s="16" t="s">
        <v>413</v>
      </c>
      <c r="AA672" s="16" t="s">
        <v>427</v>
      </c>
      <c r="AB672" s="23" t="s">
        <v>2423</v>
      </c>
      <c r="AC672" s="17" t="n">
        <v>46290.4422222222</v>
      </c>
      <c r="AD672" s="16" t="s">
        <v>338</v>
      </c>
      <c r="AE672" s="16"/>
      <c r="AF672" s="16" t="str">
        <f aca="false">IF(COUNTIF(لیست_سفید!$A$2:$A$21,B672)&gt;0,"بله","خیر")</f>
        <v>خیر</v>
      </c>
      <c r="AG672" s="24" t="n">
        <f aca="false">IF(H672="","",IF(AD672="فیش مفقودی",تنظیمات!$B$6,(INT(I672/1440)*تنظیمات!$B$5+IF(MOD(I672,1440)&lt;=تنظیمات!$B$2,0,MIN(تنظیمات!$B$5,تنظیمات!$B$3+MAX(0,ROUNDUP((MOD(I672,1440)-60)/60,0))*تنظیمات!$B$4)))*INDEX(تعرفه!$B$2:$B$7,MATCH(AD672,تعرفه!$A$2:$A$7,0))))</f>
        <v>48000</v>
      </c>
      <c r="AH672" s="24" t="n">
        <v>80000</v>
      </c>
      <c r="AI672" s="24" t="n">
        <f aca="false">IF(AG672="","",AH672-AG672)</f>
        <v>32000</v>
      </c>
      <c r="AJ672" s="21" t="n">
        <v>2</v>
      </c>
      <c r="AK672" s="21" t="n">
        <v>0</v>
      </c>
      <c r="AL672" s="16" t="s">
        <v>335</v>
      </c>
      <c r="AM672" s="16"/>
      <c r="AN672" s="16" t="s">
        <v>340</v>
      </c>
      <c r="AO672" s="16" t="s">
        <v>340</v>
      </c>
      <c r="AP672" s="16" t="s">
        <v>335</v>
      </c>
      <c r="AQ672" s="16"/>
      <c r="AR672" s="21" t="n">
        <f aca="false">IF(AND(T672&lt;&gt;"",H672&lt;&gt;""),IF(AND((T672-H672)*86400&gt;=0,(T672-H672)*86400&lt;تنظیمات!$B$13),1,0),0)</f>
        <v>0</v>
      </c>
      <c r="AS672" s="21" t="n">
        <f aca="false">IF(Z672="پوز",IF(OR(AB672="",COUNTIF(پوزها!$A$2:$A$5,AA672)=0),1,0),0)</f>
        <v>0</v>
      </c>
      <c r="AT672" s="21" t="n">
        <f aca="false">IF(AI672="",0,IF(AI672&gt;0,1,0))</f>
        <v>1</v>
      </c>
      <c r="AU672" s="21" t="n">
        <f aca="false">IF(AI672="",0,IF(AI672&lt;0,1,0))</f>
        <v>0</v>
      </c>
      <c r="AV672" s="21" t="n">
        <f aca="false">IF(U672&gt;V672,1,0)</f>
        <v>0</v>
      </c>
      <c r="AW672" s="21" t="n">
        <f aca="false">IF(OR(W672&gt;تنظیمات!$B$8,X672="بله"),1,0)</f>
        <v>0</v>
      </c>
      <c r="AX672" s="21" t="n">
        <f aca="false">IF(AND(N672="بله",L672&gt;تنظیمات!$B$9),1,0)</f>
        <v>0</v>
      </c>
      <c r="AY672" s="21" t="n">
        <f aca="false">IF(Y672="معکوس",1,0)</f>
        <v>0</v>
      </c>
      <c r="AZ672" s="21" t="n">
        <f aca="false">IF(ABS(AJ672)&gt;تنظیمات!$B$10,1,0)</f>
        <v>0</v>
      </c>
      <c r="BA672" s="21" t="n">
        <f aca="false">IF(AND(OR(AD672="رایگان/VIP",AD672="جانباز"),AF672="خیر"),1,0)</f>
        <v>0</v>
      </c>
      <c r="BB672" s="21" t="n">
        <f aca="false">IF(AE672="",0,IF(COUNTIF($AE$2:$AE$1001,AE672)&gt;1,1,0))</f>
        <v>0</v>
      </c>
      <c r="BC672" s="21" t="n">
        <f aca="false">IF(AND(H672="",I672&gt;تنظیمات!$B$12*60,AM672="خالی"),1,0)</f>
        <v>0</v>
      </c>
      <c r="BD672" s="21" t="n">
        <f aca="false">IF(AND(AP672="بله",I672&lt;تنظیمات!$B$14,AO672="خیر"),1,0)</f>
        <v>0</v>
      </c>
      <c r="BE672" s="21" t="n">
        <f aca="false">IF(AN672="خیر",1,0)</f>
        <v>0</v>
      </c>
      <c r="BF672" s="21" t="n">
        <f aca="false">IF(AND(AD672="فیش مفقودی",AQ672="بله",I672&gt;تنظیمات!$B$12*60),1,0)</f>
        <v>0</v>
      </c>
      <c r="BG672" s="21" t="n">
        <f aca="false">IF(AND(AK672&gt;تنظیمات!$B$11,AL672="بله"),1,0)</f>
        <v>0</v>
      </c>
      <c r="BH672" s="21" t="n">
        <f aca="false">MIN(100,AR672*تنظیمات!$B$21+AS672*تنظیمات!$B$22+AT672*تنظیمات!$B$23+AU672*تنظیمات!$B$24+AV672*تنظیمات!$B$25+AW672*تنظیمات!$B$26+AX672*تنظیمات!$B$27+AY672*تنظیمات!$B$28+AZ672*تنظیمات!$B$29+BA672*تنظیمات!$B$30+BB672*تنظیمات!$B$31+BC672*تنظیمات!$B$32+BD672*تنظیمات!$B$33+BE672*تنظیمات!$B$34+BF672*تنظیمات!$B$35+BG672*تنظیمات!$B$36)</f>
        <v>25</v>
      </c>
      <c r="BI672" s="16" t="str">
        <f aca="false">IF(BH672&gt;=60,"بحرانی",IF(BH672&gt;=30,"مشکوک",IF(BH672&gt;0,"هشدار","عادی")))</f>
        <v>هشدار</v>
      </c>
      <c r="BJ672" s="16" t="s">
        <v>922</v>
      </c>
    </row>
    <row r="673" customFormat="false" ht="15" hidden="false" customHeight="false" outlineLevel="0" collapsed="false">
      <c r="A673" s="16" t="s">
        <v>2424</v>
      </c>
      <c r="B673" s="16" t="s">
        <v>1366</v>
      </c>
      <c r="C673" s="16"/>
      <c r="D673" s="16" t="s">
        <v>418</v>
      </c>
      <c r="E673" s="16" t="s">
        <v>363</v>
      </c>
      <c r="F673" s="16" t="s">
        <v>333</v>
      </c>
      <c r="G673" s="17" t="n">
        <v>46290.3605555556</v>
      </c>
      <c r="H673" s="17" t="n">
        <v>46290.6383333333</v>
      </c>
      <c r="I673" s="18" t="n">
        <f aca="false">IF(H673="",ROUND((تنظیمات!$B$7-G673)*1440,0),ROUND((H673-G673)*1440,0))</f>
        <v>400</v>
      </c>
      <c r="J673" s="16" t="s">
        <v>334</v>
      </c>
      <c r="K673" s="16" t="s">
        <v>410</v>
      </c>
      <c r="L673" s="19" t="n">
        <v>0.946</v>
      </c>
      <c r="M673" s="19" t="n">
        <v>0.963</v>
      </c>
      <c r="N673" s="16" t="s">
        <v>335</v>
      </c>
      <c r="O673" s="16" t="s">
        <v>441</v>
      </c>
      <c r="P673" s="16" t="s">
        <v>420</v>
      </c>
      <c r="Q673" s="20" t="n">
        <v>46290</v>
      </c>
      <c r="R673" s="16" t="s">
        <v>2425</v>
      </c>
      <c r="S673" s="16" t="s">
        <v>404</v>
      </c>
      <c r="T673" s="17"/>
      <c r="U673" s="21" t="n">
        <v>1</v>
      </c>
      <c r="V673" s="21" t="n">
        <v>1</v>
      </c>
      <c r="W673" s="22" t="n">
        <v>7.3</v>
      </c>
      <c r="X673" s="16" t="s">
        <v>335</v>
      </c>
      <c r="Y673" s="16" t="s">
        <v>338</v>
      </c>
      <c r="Z673" s="16" t="s">
        <v>443</v>
      </c>
      <c r="AA673" s="16"/>
      <c r="AB673" s="23"/>
      <c r="AC673" s="17"/>
      <c r="AD673" s="16" t="s">
        <v>444</v>
      </c>
      <c r="AE673" s="16"/>
      <c r="AF673" s="16" t="str">
        <f aca="false">IF(COUNTIF(لیست_سفید!$A$2:$A$21,B673)&gt;0,"بله","خیر")</f>
        <v>خیر</v>
      </c>
      <c r="AG673" s="24" t="n">
        <f aca="false">IF(H673="","",IF(AD673="فیش مفقودی",تنظیمات!$B$6,(INT(I673/1440)*تنظیمات!$B$5+IF(MOD(I673,1440)&lt;=تنظیمات!$B$2,0,MIN(تنظیمات!$B$5,تنظیمات!$B$3+MAX(0,ROUNDUP((MOD(I673,1440)-60)/60,0))*تنظیمات!$B$4)))*INDEX(تعرفه!$B$2:$B$7,MATCH(AD673,تعرفه!$A$2:$A$7,0))))</f>
        <v>0</v>
      </c>
      <c r="AH673" s="24" t="n">
        <v>0</v>
      </c>
      <c r="AI673" s="24" t="n">
        <f aca="false">IF(AG673="","",AH673-AG673)</f>
        <v>0</v>
      </c>
      <c r="AJ673" s="21" t="n">
        <v>3</v>
      </c>
      <c r="AK673" s="21" t="n">
        <v>0</v>
      </c>
      <c r="AL673" s="16" t="s">
        <v>335</v>
      </c>
      <c r="AM673" s="16"/>
      <c r="AN673" s="16" t="s">
        <v>340</v>
      </c>
      <c r="AO673" s="16" t="s">
        <v>340</v>
      </c>
      <c r="AP673" s="16" t="s">
        <v>335</v>
      </c>
      <c r="AQ673" s="16"/>
      <c r="AR673" s="21" t="n">
        <f aca="false">IF(AND(T673&lt;&gt;"",H673&lt;&gt;""),IF(AND((T673-H673)*86400&gt;=0,(T673-H673)*86400&lt;تنظیمات!$B$13),1,0),0)</f>
        <v>0</v>
      </c>
      <c r="AS673" s="21" t="n">
        <f aca="false">IF(Z673="پوز",IF(OR(AB673="",COUNTIF(پوزها!$A$2:$A$5,AA673)=0),1,0),0)</f>
        <v>0</v>
      </c>
      <c r="AT673" s="21" t="n">
        <f aca="false">IF(AI673="",0,IF(AI673&gt;0,1,0))</f>
        <v>0</v>
      </c>
      <c r="AU673" s="21" t="n">
        <f aca="false">IF(AI673="",0,IF(AI673&lt;0,1,0))</f>
        <v>0</v>
      </c>
      <c r="AV673" s="21" t="n">
        <f aca="false">IF(U673&gt;V673,1,0)</f>
        <v>0</v>
      </c>
      <c r="AW673" s="21" t="n">
        <f aca="false">IF(OR(W673&gt;تنظیمات!$B$8,X673="بله"),1,0)</f>
        <v>0</v>
      </c>
      <c r="AX673" s="21" t="n">
        <f aca="false">IF(AND(N673="بله",L673&gt;تنظیمات!$B$9),1,0)</f>
        <v>0</v>
      </c>
      <c r="AY673" s="21" t="n">
        <f aca="false">IF(Y673="معکوس",1,0)</f>
        <v>0</v>
      </c>
      <c r="AZ673" s="21" t="n">
        <f aca="false">IF(ABS(AJ673)&gt;تنظیمات!$B$10,1,0)</f>
        <v>0</v>
      </c>
      <c r="BA673" s="21" t="n">
        <f aca="false">IF(AND(OR(AD673="رایگان/VIP",AD673="جانباز"),AF673="خیر"),1,0)</f>
        <v>0</v>
      </c>
      <c r="BB673" s="21" t="n">
        <f aca="false">IF(AE673="",0,IF(COUNTIF($AE$2:$AE$1001,AE673)&gt;1,1,0))</f>
        <v>0</v>
      </c>
      <c r="BC673" s="21" t="n">
        <f aca="false">IF(AND(H673="",I673&gt;تنظیمات!$B$12*60,AM673="خالی"),1,0)</f>
        <v>0</v>
      </c>
      <c r="BD673" s="21" t="n">
        <f aca="false">IF(AND(AP673="بله",I673&lt;تنظیمات!$B$14,AO673="خیر"),1,0)</f>
        <v>0</v>
      </c>
      <c r="BE673" s="21" t="n">
        <f aca="false">IF(AN673="خیر",1,0)</f>
        <v>0</v>
      </c>
      <c r="BF673" s="21" t="n">
        <f aca="false">IF(AND(AD673="فیش مفقودی",AQ673="بله",I673&gt;تنظیمات!$B$12*60),1,0)</f>
        <v>0</v>
      </c>
      <c r="BG673" s="21" t="n">
        <f aca="false">IF(AND(AK673&gt;تنظیمات!$B$11,AL673="بله"),1,0)</f>
        <v>0</v>
      </c>
      <c r="BH673" s="21" t="n">
        <f aca="false">MIN(100,AR673*تنظیمات!$B$21+AS673*تنظیمات!$B$22+AT673*تنظیمات!$B$23+AU673*تنظیمات!$B$24+AV673*تنظیمات!$B$25+AW673*تنظیمات!$B$26+AX673*تنظیمات!$B$27+AY673*تنظیمات!$B$28+AZ673*تنظیمات!$B$29+BA673*تنظیمات!$B$30+BB673*تنظیمات!$B$31+BC673*تنظیمات!$B$32+BD673*تنظیمات!$B$33+BE673*تنظیمات!$B$34+BF673*تنظیمات!$B$35+BG673*تنظیمات!$B$36)</f>
        <v>0</v>
      </c>
      <c r="BI673" s="16" t="str">
        <f aca="false">IF(BH673&gt;=60,"بحرانی",IF(BH673&gt;=30,"مشکوک",IF(BH673&gt;0,"هشدار","عادی")))</f>
        <v>عادی</v>
      </c>
      <c r="BJ673" s="16" t="s">
        <v>338</v>
      </c>
    </row>
    <row r="674" customFormat="false" ht="15" hidden="false" customHeight="false" outlineLevel="0" collapsed="false">
      <c r="A674" s="16" t="s">
        <v>2426</v>
      </c>
      <c r="B674" s="16" t="s">
        <v>2427</v>
      </c>
      <c r="C674" s="16"/>
      <c r="D674" s="16" t="s">
        <v>386</v>
      </c>
      <c r="E674" s="16" t="s">
        <v>332</v>
      </c>
      <c r="F674" s="16" t="s">
        <v>333</v>
      </c>
      <c r="G674" s="17" t="n">
        <v>46290.3699189815</v>
      </c>
      <c r="H674" s="17" t="n">
        <v>46290.3970023148</v>
      </c>
      <c r="I674" s="18" t="n">
        <f aca="false">IF(H674="",ROUND((تنظیمات!$B$7-G674)*1440,0),ROUND((H674-G674)*1440,0))</f>
        <v>39</v>
      </c>
      <c r="J674" s="16" t="s">
        <v>346</v>
      </c>
      <c r="K674" s="16" t="s">
        <v>410</v>
      </c>
      <c r="L674" s="19" t="n">
        <v>0.932</v>
      </c>
      <c r="M674" s="19" t="n">
        <v>0.908</v>
      </c>
      <c r="N674" s="16" t="s">
        <v>335</v>
      </c>
      <c r="O674" s="16" t="s">
        <v>677</v>
      </c>
      <c r="P674" s="16" t="s">
        <v>402</v>
      </c>
      <c r="Q674" s="20" t="n">
        <v>46290</v>
      </c>
      <c r="R674" s="16" t="s">
        <v>2428</v>
      </c>
      <c r="S674" s="16" t="s">
        <v>404</v>
      </c>
      <c r="T674" s="17"/>
      <c r="U674" s="21" t="n">
        <v>1</v>
      </c>
      <c r="V674" s="21" t="n">
        <v>1</v>
      </c>
      <c r="W674" s="22" t="n">
        <v>5.4</v>
      </c>
      <c r="X674" s="16" t="s">
        <v>335</v>
      </c>
      <c r="Y674" s="16" t="s">
        <v>338</v>
      </c>
      <c r="Z674" s="16" t="s">
        <v>405</v>
      </c>
      <c r="AA674" s="16"/>
      <c r="AB674" s="23"/>
      <c r="AC674" s="17"/>
      <c r="AD674" s="16" t="s">
        <v>338</v>
      </c>
      <c r="AE674" s="16"/>
      <c r="AF674" s="16" t="str">
        <f aca="false">IF(COUNTIF(لیست_سفید!$A$2:$A$21,B674)&gt;0,"بله","خیر")</f>
        <v>خیر</v>
      </c>
      <c r="AG674" s="24" t="n">
        <f aca="false">IF(H674="","",IF(AD674="فیش مفقودی",تنظیمات!$B$6,(INT(I674/1440)*تنظیمات!$B$5+IF(MOD(I674,1440)&lt;=تنظیمات!$B$2,0,MIN(تنظیمات!$B$5,تنظیمات!$B$3+MAX(0,ROUNDUP((MOD(I674,1440)-60)/60,0))*تنظیمات!$B$4)))*INDEX(تعرفه!$B$2:$B$7,MATCH(AD674,تعرفه!$A$2:$A$7,0))))</f>
        <v>20000</v>
      </c>
      <c r="AH674" s="24" t="n">
        <v>20000</v>
      </c>
      <c r="AI674" s="24" t="n">
        <f aca="false">IF(AG674="","",AH674-AG674)</f>
        <v>0</v>
      </c>
      <c r="AJ674" s="21" t="n">
        <v>0</v>
      </c>
      <c r="AK674" s="21" t="n">
        <v>0</v>
      </c>
      <c r="AL674" s="16" t="s">
        <v>335</v>
      </c>
      <c r="AM674" s="16"/>
      <c r="AN674" s="16" t="s">
        <v>340</v>
      </c>
      <c r="AO674" s="16" t="s">
        <v>340</v>
      </c>
      <c r="AP674" s="16" t="s">
        <v>335</v>
      </c>
      <c r="AQ674" s="16"/>
      <c r="AR674" s="21" t="n">
        <f aca="false">IF(AND(T674&lt;&gt;"",H674&lt;&gt;""),IF(AND((T674-H674)*86400&gt;=0,(T674-H674)*86400&lt;تنظیمات!$B$13),1,0),0)</f>
        <v>0</v>
      </c>
      <c r="AS674" s="21" t="n">
        <f aca="false">IF(Z674="پوز",IF(OR(AB674="",COUNTIF(پوزها!$A$2:$A$5,AA674)=0),1,0),0)</f>
        <v>0</v>
      </c>
      <c r="AT674" s="21" t="n">
        <f aca="false">IF(AI674="",0,IF(AI674&gt;0,1,0))</f>
        <v>0</v>
      </c>
      <c r="AU674" s="21" t="n">
        <f aca="false">IF(AI674="",0,IF(AI674&lt;0,1,0))</f>
        <v>0</v>
      </c>
      <c r="AV674" s="21" t="n">
        <f aca="false">IF(U674&gt;V674,1,0)</f>
        <v>0</v>
      </c>
      <c r="AW674" s="21" t="n">
        <f aca="false">IF(OR(W674&gt;تنظیمات!$B$8,X674="بله"),1,0)</f>
        <v>0</v>
      </c>
      <c r="AX674" s="21" t="n">
        <f aca="false">IF(AND(N674="بله",L674&gt;تنظیمات!$B$9),1,0)</f>
        <v>0</v>
      </c>
      <c r="AY674" s="21" t="n">
        <f aca="false">IF(Y674="معکوس",1,0)</f>
        <v>0</v>
      </c>
      <c r="AZ674" s="21" t="n">
        <f aca="false">IF(ABS(AJ674)&gt;تنظیمات!$B$10,1,0)</f>
        <v>0</v>
      </c>
      <c r="BA674" s="21" t="n">
        <f aca="false">IF(AND(OR(AD674="رایگان/VIP",AD674="جانباز"),AF674="خیر"),1,0)</f>
        <v>0</v>
      </c>
      <c r="BB674" s="21" t="n">
        <f aca="false">IF(AE674="",0,IF(COUNTIF($AE$2:$AE$1001,AE674)&gt;1,1,0))</f>
        <v>0</v>
      </c>
      <c r="BC674" s="21" t="n">
        <f aca="false">IF(AND(H674="",I674&gt;تنظیمات!$B$12*60,AM674="خالی"),1,0)</f>
        <v>0</v>
      </c>
      <c r="BD674" s="21" t="n">
        <f aca="false">IF(AND(AP674="بله",I674&lt;تنظیمات!$B$14,AO674="خیر"),1,0)</f>
        <v>0</v>
      </c>
      <c r="BE674" s="21" t="n">
        <f aca="false">IF(AN674="خیر",1,0)</f>
        <v>0</v>
      </c>
      <c r="BF674" s="21" t="n">
        <f aca="false">IF(AND(AD674="فیش مفقودی",AQ674="بله",I674&gt;تنظیمات!$B$12*60),1,0)</f>
        <v>0</v>
      </c>
      <c r="BG674" s="21" t="n">
        <f aca="false">IF(AND(AK674&gt;تنظیمات!$B$11,AL674="بله"),1,0)</f>
        <v>0</v>
      </c>
      <c r="BH674" s="21" t="n">
        <f aca="false">MIN(100,AR674*تنظیمات!$B$21+AS674*تنظیمات!$B$22+AT674*تنظیمات!$B$23+AU674*تنظیمات!$B$24+AV674*تنظیمات!$B$25+AW674*تنظیمات!$B$26+AX674*تنظیمات!$B$27+AY674*تنظیمات!$B$28+AZ674*تنظیمات!$B$29+BA674*تنظیمات!$B$30+BB674*تنظیمات!$B$31+BC674*تنظیمات!$B$32+BD674*تنظیمات!$B$33+BE674*تنظیمات!$B$34+BF674*تنظیمات!$B$35+BG674*تنظیمات!$B$36)</f>
        <v>0</v>
      </c>
      <c r="BI674" s="16" t="str">
        <f aca="false">IF(BH674&gt;=60,"بحرانی",IF(BH674&gt;=30,"مشکوک",IF(BH674&gt;0,"هشدار","عادی")))</f>
        <v>عادی</v>
      </c>
      <c r="BJ674" s="16" t="s">
        <v>338</v>
      </c>
    </row>
    <row r="675" customFormat="false" ht="15" hidden="false" customHeight="false" outlineLevel="0" collapsed="false">
      <c r="A675" s="16" t="s">
        <v>2429</v>
      </c>
      <c r="B675" s="16" t="s">
        <v>1894</v>
      </c>
      <c r="C675" s="16" t="s">
        <v>2430</v>
      </c>
      <c r="D675" s="16" t="s">
        <v>531</v>
      </c>
      <c r="E675" s="16" t="s">
        <v>351</v>
      </c>
      <c r="F675" s="16" t="s">
        <v>333</v>
      </c>
      <c r="G675" s="17" t="n">
        <v>46290.3730555556</v>
      </c>
      <c r="H675" s="17" t="n">
        <v>46290.3897222222</v>
      </c>
      <c r="I675" s="18" t="n">
        <f aca="false">IF(H675="",ROUND((تنظیمات!$B$7-G675)*1440,0),ROUND((H675-G675)*1440,0))</f>
        <v>24</v>
      </c>
      <c r="J675" s="16" t="s">
        <v>346</v>
      </c>
      <c r="K675" s="16" t="s">
        <v>400</v>
      </c>
      <c r="L675" s="19" t="n">
        <v>0.902</v>
      </c>
      <c r="M675" s="19" t="n">
        <v>0.958</v>
      </c>
      <c r="N675" s="16" t="s">
        <v>340</v>
      </c>
      <c r="O675" s="16" t="s">
        <v>666</v>
      </c>
      <c r="P675" s="16" t="s">
        <v>402</v>
      </c>
      <c r="Q675" s="20" t="n">
        <v>46290</v>
      </c>
      <c r="R675" s="16" t="s">
        <v>2431</v>
      </c>
      <c r="S675" s="16" t="s">
        <v>404</v>
      </c>
      <c r="T675" s="17"/>
      <c r="U675" s="21" t="n">
        <v>1</v>
      </c>
      <c r="V675" s="21" t="n">
        <v>1</v>
      </c>
      <c r="W675" s="22" t="n">
        <v>18</v>
      </c>
      <c r="X675" s="16" t="s">
        <v>335</v>
      </c>
      <c r="Y675" s="16" t="s">
        <v>338</v>
      </c>
      <c r="Z675" s="16" t="s">
        <v>405</v>
      </c>
      <c r="AA675" s="16"/>
      <c r="AB675" s="23"/>
      <c r="AC675" s="17"/>
      <c r="AD675" s="16" t="s">
        <v>338</v>
      </c>
      <c r="AE675" s="16"/>
      <c r="AF675" s="16" t="str">
        <f aca="false">IF(COUNTIF(لیست_سفید!$A$2:$A$21,B675)&gt;0,"بله","خیر")</f>
        <v>خیر</v>
      </c>
      <c r="AG675" s="24" t="n">
        <f aca="false">IF(H675="","",IF(AD675="فیش مفقودی",تنظیمات!$B$6,(INT(I675/1440)*تنظیمات!$B$5+IF(MOD(I675,1440)&lt;=تنظیمات!$B$2,0,MIN(تنظیمات!$B$5,تنظیمات!$B$3+MAX(0,ROUNDUP((MOD(I675,1440)-60)/60,0))*تنظیمات!$B$4)))*INDEX(تعرفه!$B$2:$B$7,MATCH(AD675,تعرفه!$A$2:$A$7,0))))</f>
        <v>20000</v>
      </c>
      <c r="AH675" s="24" t="n">
        <v>20000</v>
      </c>
      <c r="AI675" s="24" t="n">
        <f aca="false">IF(AG675="","",AH675-AG675)</f>
        <v>0</v>
      </c>
      <c r="AJ675" s="21" t="n">
        <v>2</v>
      </c>
      <c r="AK675" s="21" t="n">
        <v>0</v>
      </c>
      <c r="AL675" s="16" t="s">
        <v>335</v>
      </c>
      <c r="AM675" s="16"/>
      <c r="AN675" s="16" t="s">
        <v>340</v>
      </c>
      <c r="AO675" s="16" t="s">
        <v>340</v>
      </c>
      <c r="AP675" s="16" t="s">
        <v>335</v>
      </c>
      <c r="AQ675" s="16"/>
      <c r="AR675" s="21" t="n">
        <f aca="false">IF(AND(T675&lt;&gt;"",H675&lt;&gt;""),IF(AND((T675-H675)*86400&gt;=0,(T675-H675)*86400&lt;تنظیمات!$B$13),1,0),0)</f>
        <v>0</v>
      </c>
      <c r="AS675" s="21" t="n">
        <f aca="false">IF(Z675="پوز",IF(OR(AB675="",COUNTIF(پوزها!$A$2:$A$5,AA675)=0),1,0),0)</f>
        <v>0</v>
      </c>
      <c r="AT675" s="21" t="n">
        <f aca="false">IF(AI675="",0,IF(AI675&gt;0,1,0))</f>
        <v>0</v>
      </c>
      <c r="AU675" s="21" t="n">
        <f aca="false">IF(AI675="",0,IF(AI675&lt;0,1,0))</f>
        <v>0</v>
      </c>
      <c r="AV675" s="21" t="n">
        <f aca="false">IF(U675&gt;V675,1,0)</f>
        <v>0</v>
      </c>
      <c r="AW675" s="21" t="n">
        <f aca="false">IF(OR(W675&gt;تنظیمات!$B$8,X675="بله"),1,0)</f>
        <v>1</v>
      </c>
      <c r="AX675" s="21" t="n">
        <f aca="false">IF(AND(N675="بله",L675&gt;تنظیمات!$B$9),1,0)</f>
        <v>1</v>
      </c>
      <c r="AY675" s="21" t="n">
        <f aca="false">IF(Y675="معکوس",1,0)</f>
        <v>0</v>
      </c>
      <c r="AZ675" s="21" t="n">
        <f aca="false">IF(ABS(AJ675)&gt;تنظیمات!$B$10,1,0)</f>
        <v>0</v>
      </c>
      <c r="BA675" s="21" t="n">
        <f aca="false">IF(AND(OR(AD675="رایگان/VIP",AD675="جانباز"),AF675="خیر"),1,0)</f>
        <v>0</v>
      </c>
      <c r="BB675" s="21" t="n">
        <f aca="false">IF(AE675="",0,IF(COUNTIF($AE$2:$AE$1001,AE675)&gt;1,1,0))</f>
        <v>0</v>
      </c>
      <c r="BC675" s="21" t="n">
        <f aca="false">IF(AND(H675="",I675&gt;تنظیمات!$B$12*60,AM675="خالی"),1,0)</f>
        <v>0</v>
      </c>
      <c r="BD675" s="21" t="n">
        <f aca="false">IF(AND(AP675="بله",I675&lt;تنظیمات!$B$14,AO675="خیر"),1,0)</f>
        <v>0</v>
      </c>
      <c r="BE675" s="21" t="n">
        <f aca="false">IF(AN675="خیر",1,0)</f>
        <v>0</v>
      </c>
      <c r="BF675" s="21" t="n">
        <f aca="false">IF(AND(AD675="فیش مفقودی",AQ675="بله",I675&gt;تنظیمات!$B$12*60),1,0)</f>
        <v>0</v>
      </c>
      <c r="BG675" s="21" t="n">
        <f aca="false">IF(AND(AK675&gt;تنظیمات!$B$11,AL675="بله"),1,0)</f>
        <v>0</v>
      </c>
      <c r="BH675" s="21" t="n">
        <f aca="false">MIN(100,AR675*تنظیمات!$B$21+AS675*تنظیمات!$B$22+AT675*تنظیمات!$B$23+AU675*تنظیمات!$B$24+AV675*تنظیمات!$B$25+AW675*تنظیمات!$B$26+AX675*تنظیمات!$B$27+AY675*تنظیمات!$B$28+AZ675*تنظیمات!$B$29+BA675*تنظیمات!$B$30+BB675*تنظیمات!$B$31+BC675*تنظیمات!$B$32+BD675*تنظیمات!$B$33+BE675*تنظیمات!$B$34+BF675*تنظیمات!$B$35+BG675*تنظیمات!$B$36)</f>
        <v>55</v>
      </c>
      <c r="BI675" s="16" t="str">
        <f aca="false">IF(BH675&gt;=60,"بحرانی",IF(BH675&gt;=30,"مشکوک",IF(BH675&gt;0,"هشدار","عادی")))</f>
        <v>مشکوک</v>
      </c>
      <c r="BJ675" s="16" t="s">
        <v>700</v>
      </c>
    </row>
    <row r="676" customFormat="false" ht="15" hidden="false" customHeight="false" outlineLevel="0" collapsed="false">
      <c r="A676" s="16" t="s">
        <v>2432</v>
      </c>
      <c r="B676" s="16" t="s">
        <v>2433</v>
      </c>
      <c r="C676" s="16"/>
      <c r="D676" s="16" t="s">
        <v>331</v>
      </c>
      <c r="E676" s="16" t="s">
        <v>351</v>
      </c>
      <c r="F676" s="16" t="s">
        <v>333</v>
      </c>
      <c r="G676" s="17" t="n">
        <v>46290.3743287037</v>
      </c>
      <c r="H676" s="17" t="n">
        <v>46290.5146064815</v>
      </c>
      <c r="I676" s="18" t="n">
        <f aca="false">IF(H676="",ROUND((تنظیمات!$B$7-G676)*1440,0),ROUND((H676-G676)*1440,0))</f>
        <v>202</v>
      </c>
      <c r="J676" s="16" t="s">
        <v>346</v>
      </c>
      <c r="K676" s="16" t="s">
        <v>400</v>
      </c>
      <c r="L676" s="19" t="n">
        <v>0.961</v>
      </c>
      <c r="M676" s="19" t="n">
        <v>0.9</v>
      </c>
      <c r="N676" s="16" t="s">
        <v>335</v>
      </c>
      <c r="O676" s="16" t="s">
        <v>666</v>
      </c>
      <c r="P676" s="16" t="s">
        <v>402</v>
      </c>
      <c r="Q676" s="20" t="n">
        <v>46290</v>
      </c>
      <c r="R676" s="16" t="s">
        <v>2434</v>
      </c>
      <c r="S676" s="16" t="s">
        <v>404</v>
      </c>
      <c r="T676" s="17"/>
      <c r="U676" s="21" t="n">
        <v>1</v>
      </c>
      <c r="V676" s="21" t="n">
        <v>1</v>
      </c>
      <c r="W676" s="22" t="n">
        <v>7.3</v>
      </c>
      <c r="X676" s="16" t="s">
        <v>335</v>
      </c>
      <c r="Y676" s="16" t="s">
        <v>338</v>
      </c>
      <c r="Z676" s="16" t="s">
        <v>405</v>
      </c>
      <c r="AA676" s="16"/>
      <c r="AB676" s="23"/>
      <c r="AC676" s="17"/>
      <c r="AD676" s="16" t="s">
        <v>481</v>
      </c>
      <c r="AE676" s="16" t="s">
        <v>1096</v>
      </c>
      <c r="AF676" s="16" t="str">
        <f aca="false">IF(COUNTIF(لیست_سفید!$A$2:$A$21,B676)&gt;0,"بله","خیر")</f>
        <v>خیر</v>
      </c>
      <c r="AG676" s="24" t="n">
        <f aca="false">IF(H676="","",IF(AD676="فیش مفقودی",تنظیمات!$B$6,(INT(I676/1440)*تنظیمات!$B$5+IF(MOD(I676,1440)&lt;=تنظیمات!$B$2,0,MIN(تنظیمات!$B$5,تنظیمات!$B$3+MAX(0,ROUNDUP((MOD(I676,1440)-60)/60,0))*تنظیمات!$B$4)))*INDEX(تعرفه!$B$2:$B$7,MATCH(AD676,تعرفه!$A$2:$A$7,0))))</f>
        <v>31000</v>
      </c>
      <c r="AH676" s="24" t="n">
        <v>31000</v>
      </c>
      <c r="AI676" s="24" t="n">
        <f aca="false">IF(AG676="","",AH676-AG676)</f>
        <v>0</v>
      </c>
      <c r="AJ676" s="21" t="n">
        <v>0</v>
      </c>
      <c r="AK676" s="21" t="n">
        <v>0</v>
      </c>
      <c r="AL676" s="16" t="s">
        <v>335</v>
      </c>
      <c r="AM676" s="16"/>
      <c r="AN676" s="16" t="s">
        <v>340</v>
      </c>
      <c r="AO676" s="16" t="s">
        <v>340</v>
      </c>
      <c r="AP676" s="16" t="s">
        <v>335</v>
      </c>
      <c r="AQ676" s="16"/>
      <c r="AR676" s="21" t="n">
        <f aca="false">IF(AND(T676&lt;&gt;"",H676&lt;&gt;""),IF(AND((T676-H676)*86400&gt;=0,(T676-H676)*86400&lt;تنظیمات!$B$13),1,0),0)</f>
        <v>0</v>
      </c>
      <c r="AS676" s="21" t="n">
        <f aca="false">IF(Z676="پوز",IF(OR(AB676="",COUNTIF(پوزها!$A$2:$A$5,AA676)=0),1,0),0)</f>
        <v>0</v>
      </c>
      <c r="AT676" s="21" t="n">
        <f aca="false">IF(AI676="",0,IF(AI676&gt;0,1,0))</f>
        <v>0</v>
      </c>
      <c r="AU676" s="21" t="n">
        <f aca="false">IF(AI676="",0,IF(AI676&lt;0,1,0))</f>
        <v>0</v>
      </c>
      <c r="AV676" s="21" t="n">
        <f aca="false">IF(U676&gt;V676,1,0)</f>
        <v>0</v>
      </c>
      <c r="AW676" s="21" t="n">
        <f aca="false">IF(OR(W676&gt;تنظیمات!$B$8,X676="بله"),1,0)</f>
        <v>0</v>
      </c>
      <c r="AX676" s="21" t="n">
        <f aca="false">IF(AND(N676="بله",L676&gt;تنظیمات!$B$9),1,0)</f>
        <v>0</v>
      </c>
      <c r="AY676" s="21" t="n">
        <f aca="false">IF(Y676="معکوس",1,0)</f>
        <v>0</v>
      </c>
      <c r="AZ676" s="21" t="n">
        <f aca="false">IF(ABS(AJ676)&gt;تنظیمات!$B$10,1,0)</f>
        <v>0</v>
      </c>
      <c r="BA676" s="21" t="n">
        <f aca="false">IF(AND(OR(AD676="رایگان/VIP",AD676="جانباز"),AF676="خیر"),1,0)</f>
        <v>0</v>
      </c>
      <c r="BB676" s="21" t="n">
        <f aca="false">IF(AE676="",0,IF(COUNTIF($AE$2:$AE$1001,AE676)&gt;1,1,0))</f>
        <v>1</v>
      </c>
      <c r="BC676" s="21" t="n">
        <f aca="false">IF(AND(H676="",I676&gt;تنظیمات!$B$12*60,AM676="خالی"),1,0)</f>
        <v>0</v>
      </c>
      <c r="BD676" s="21" t="n">
        <f aca="false">IF(AND(AP676="بله",I676&lt;تنظیمات!$B$14,AO676="خیر"),1,0)</f>
        <v>0</v>
      </c>
      <c r="BE676" s="21" t="n">
        <f aca="false">IF(AN676="خیر",1,0)</f>
        <v>0</v>
      </c>
      <c r="BF676" s="21" t="n">
        <f aca="false">IF(AND(AD676="فیش مفقودی",AQ676="بله",I676&gt;تنظیمات!$B$12*60),1,0)</f>
        <v>0</v>
      </c>
      <c r="BG676" s="21" t="n">
        <f aca="false">IF(AND(AK676&gt;تنظیمات!$B$11,AL676="بله"),1,0)</f>
        <v>0</v>
      </c>
      <c r="BH676" s="21" t="n">
        <f aca="false">MIN(100,AR676*تنظیمات!$B$21+AS676*تنظیمات!$B$22+AT676*تنظیمات!$B$23+AU676*تنظیمات!$B$24+AV676*تنظیمات!$B$25+AW676*تنظیمات!$B$26+AX676*تنظیمات!$B$27+AY676*تنظیمات!$B$28+AZ676*تنظیمات!$B$29+BA676*تنظیمات!$B$30+BB676*تنظیمات!$B$31+BC676*تنظیمات!$B$32+BD676*تنظیمات!$B$33+BE676*تنظیمات!$B$34+BF676*تنظیمات!$B$35+BG676*تنظیمات!$B$36)</f>
        <v>25</v>
      </c>
      <c r="BI676" s="16" t="str">
        <f aca="false">IF(BH676&gt;=60,"بحرانی",IF(BH676&gt;=30,"مشکوک",IF(BH676&gt;0,"هشدار","عادی")))</f>
        <v>هشدار</v>
      </c>
      <c r="BJ676" s="16" t="s">
        <v>950</v>
      </c>
    </row>
    <row r="677" customFormat="false" ht="15" hidden="false" customHeight="false" outlineLevel="0" collapsed="false">
      <c r="A677" s="16" t="s">
        <v>2435</v>
      </c>
      <c r="B677" s="16" t="s">
        <v>1227</v>
      </c>
      <c r="C677" s="16"/>
      <c r="D677" s="16" t="s">
        <v>386</v>
      </c>
      <c r="E677" s="16" t="s">
        <v>363</v>
      </c>
      <c r="F677" s="16" t="s">
        <v>333</v>
      </c>
      <c r="G677" s="17" t="n">
        <v>46290.3784490741</v>
      </c>
      <c r="H677" s="17" t="n">
        <v>46290.4465046296</v>
      </c>
      <c r="I677" s="18" t="n">
        <f aca="false">IF(H677="",ROUND((تنظیمات!$B$7-G677)*1440,0),ROUND((H677-G677)*1440,0))</f>
        <v>98</v>
      </c>
      <c r="J677" s="16" t="s">
        <v>346</v>
      </c>
      <c r="K677" s="16" t="s">
        <v>410</v>
      </c>
      <c r="L677" s="19" t="n">
        <v>0.912</v>
      </c>
      <c r="M677" s="19" t="n">
        <v>0.972</v>
      </c>
      <c r="N677" s="16" t="s">
        <v>335</v>
      </c>
      <c r="O677" s="16" t="s">
        <v>677</v>
      </c>
      <c r="P677" s="16" t="s">
        <v>402</v>
      </c>
      <c r="Q677" s="20" t="n">
        <v>46290</v>
      </c>
      <c r="R677" s="16" t="s">
        <v>2436</v>
      </c>
      <c r="S677" s="16" t="s">
        <v>404</v>
      </c>
      <c r="T677" s="17"/>
      <c r="U677" s="21" t="n">
        <v>1</v>
      </c>
      <c r="V677" s="21" t="n">
        <v>1</v>
      </c>
      <c r="W677" s="22" t="n">
        <v>6.1</v>
      </c>
      <c r="X677" s="16" t="s">
        <v>335</v>
      </c>
      <c r="Y677" s="16" t="s">
        <v>338</v>
      </c>
      <c r="Z677" s="16" t="s">
        <v>413</v>
      </c>
      <c r="AA677" s="16" t="s">
        <v>414</v>
      </c>
      <c r="AB677" s="23" t="s">
        <v>2437</v>
      </c>
      <c r="AC677" s="17" t="n">
        <v>46290.4455324074</v>
      </c>
      <c r="AD677" s="16" t="s">
        <v>338</v>
      </c>
      <c r="AE677" s="16"/>
      <c r="AF677" s="16" t="str">
        <f aca="false">IF(COUNTIF(لیست_سفید!$A$2:$A$21,B677)&gt;0,"بله","خیر")</f>
        <v>خیر</v>
      </c>
      <c r="AG677" s="24" t="n">
        <f aca="false">IF(H677="","",IF(AD677="فیش مفقودی",تنظیمات!$B$6,(INT(I677/1440)*تنظیمات!$B$5+IF(MOD(I677,1440)&lt;=تنظیمات!$B$2,0,MIN(تنظیمات!$B$5,تنظیمات!$B$3+MAX(0,ROUNDUP((MOD(I677,1440)-60)/60,0))*تنظیمات!$B$4)))*INDEX(تعرفه!$B$2:$B$7,MATCH(AD677,تعرفه!$A$2:$A$7,0))))</f>
        <v>34000</v>
      </c>
      <c r="AH677" s="24" t="n">
        <v>34000</v>
      </c>
      <c r="AI677" s="24" t="n">
        <f aca="false">IF(AG677="","",AH677-AG677)</f>
        <v>0</v>
      </c>
      <c r="AJ677" s="21" t="n">
        <v>0</v>
      </c>
      <c r="AK677" s="21" t="n">
        <v>72</v>
      </c>
      <c r="AL677" s="16" t="s">
        <v>335</v>
      </c>
      <c r="AM677" s="16"/>
      <c r="AN677" s="16" t="s">
        <v>340</v>
      </c>
      <c r="AO677" s="16" t="s">
        <v>340</v>
      </c>
      <c r="AP677" s="16" t="s">
        <v>335</v>
      </c>
      <c r="AQ677" s="16"/>
      <c r="AR677" s="21" t="n">
        <f aca="false">IF(AND(T677&lt;&gt;"",H677&lt;&gt;""),IF(AND((T677-H677)*86400&gt;=0,(T677-H677)*86400&lt;تنظیمات!$B$13),1,0),0)</f>
        <v>0</v>
      </c>
      <c r="AS677" s="21" t="n">
        <f aca="false">IF(Z677="پوز",IF(OR(AB677="",COUNTIF(پوزها!$A$2:$A$5,AA677)=0),1,0),0)</f>
        <v>0</v>
      </c>
      <c r="AT677" s="21" t="n">
        <f aca="false">IF(AI677="",0,IF(AI677&gt;0,1,0))</f>
        <v>0</v>
      </c>
      <c r="AU677" s="21" t="n">
        <f aca="false">IF(AI677="",0,IF(AI677&lt;0,1,0))</f>
        <v>0</v>
      </c>
      <c r="AV677" s="21" t="n">
        <f aca="false">IF(U677&gt;V677,1,0)</f>
        <v>0</v>
      </c>
      <c r="AW677" s="21" t="n">
        <f aca="false">IF(OR(W677&gt;تنظیمات!$B$8,X677="بله"),1,0)</f>
        <v>0</v>
      </c>
      <c r="AX677" s="21" t="n">
        <f aca="false">IF(AND(N677="بله",L677&gt;تنظیمات!$B$9),1,0)</f>
        <v>0</v>
      </c>
      <c r="AY677" s="21" t="n">
        <f aca="false">IF(Y677="معکوس",1,0)</f>
        <v>0</v>
      </c>
      <c r="AZ677" s="21" t="n">
        <f aca="false">IF(ABS(AJ677)&gt;تنظیمات!$B$10,1,0)</f>
        <v>0</v>
      </c>
      <c r="BA677" s="21" t="n">
        <f aca="false">IF(AND(OR(AD677="رایگان/VIP",AD677="جانباز"),AF677="خیر"),1,0)</f>
        <v>0</v>
      </c>
      <c r="BB677" s="21" t="n">
        <f aca="false">IF(AE677="",0,IF(COUNTIF($AE$2:$AE$1001,AE677)&gt;1,1,0))</f>
        <v>0</v>
      </c>
      <c r="BC677" s="21" t="n">
        <f aca="false">IF(AND(H677="",I677&gt;تنظیمات!$B$12*60,AM677="خالی"),1,0)</f>
        <v>0</v>
      </c>
      <c r="BD677" s="21" t="n">
        <f aca="false">IF(AND(AP677="بله",I677&lt;تنظیمات!$B$14,AO677="خیر"),1,0)</f>
        <v>0</v>
      </c>
      <c r="BE677" s="21" t="n">
        <f aca="false">IF(AN677="خیر",1,0)</f>
        <v>0</v>
      </c>
      <c r="BF677" s="21" t="n">
        <f aca="false">IF(AND(AD677="فیش مفقودی",AQ677="بله",I677&gt;تنظیمات!$B$12*60),1,0)</f>
        <v>0</v>
      </c>
      <c r="BG677" s="21" t="n">
        <f aca="false">IF(AND(AK677&gt;تنظیمات!$B$11,AL677="بله"),1,0)</f>
        <v>0</v>
      </c>
      <c r="BH677" s="21" t="n">
        <f aca="false">MIN(100,AR677*تنظیمات!$B$21+AS677*تنظیمات!$B$22+AT677*تنظیمات!$B$23+AU677*تنظیمات!$B$24+AV677*تنظیمات!$B$25+AW677*تنظیمات!$B$26+AX677*تنظیمات!$B$27+AY677*تنظیمات!$B$28+AZ677*تنظیمات!$B$29+BA677*تنظیمات!$B$30+BB677*تنظیمات!$B$31+BC677*تنظیمات!$B$32+BD677*تنظیمات!$B$33+BE677*تنظیمات!$B$34+BF677*تنظیمات!$B$35+BG677*تنظیمات!$B$36)</f>
        <v>0</v>
      </c>
      <c r="BI677" s="16" t="str">
        <f aca="false">IF(BH677&gt;=60,"بحرانی",IF(BH677&gt;=30,"مشکوک",IF(BH677&gt;0,"هشدار","عادی")))</f>
        <v>عادی</v>
      </c>
      <c r="BJ677" s="16" t="s">
        <v>338</v>
      </c>
    </row>
    <row r="678" customFormat="false" ht="15" hidden="false" customHeight="false" outlineLevel="0" collapsed="false">
      <c r="A678" s="16" t="s">
        <v>2438</v>
      </c>
      <c r="B678" s="16" t="s">
        <v>539</v>
      </c>
      <c r="C678" s="16"/>
      <c r="D678" s="16" t="s">
        <v>540</v>
      </c>
      <c r="E678" s="16" t="s">
        <v>351</v>
      </c>
      <c r="F678" s="16" t="s">
        <v>359</v>
      </c>
      <c r="G678" s="17" t="n">
        <v>46290.3877893519</v>
      </c>
      <c r="H678" s="17" t="n">
        <v>46290.423900463</v>
      </c>
      <c r="I678" s="18" t="n">
        <f aca="false">IF(H678="",ROUND((تنظیمات!$B$7-G678)*1440,0),ROUND((H678-G678)*1440,0))</f>
        <v>52</v>
      </c>
      <c r="J678" s="16" t="s">
        <v>334</v>
      </c>
      <c r="K678" s="16" t="s">
        <v>400</v>
      </c>
      <c r="L678" s="19" t="n">
        <v>0.985</v>
      </c>
      <c r="M678" s="19" t="n">
        <v>0.896</v>
      </c>
      <c r="N678" s="16" t="s">
        <v>335</v>
      </c>
      <c r="O678" s="16" t="s">
        <v>666</v>
      </c>
      <c r="P678" s="16" t="s">
        <v>402</v>
      </c>
      <c r="Q678" s="20" t="n">
        <v>46290</v>
      </c>
      <c r="R678" s="16" t="s">
        <v>2439</v>
      </c>
      <c r="S678" s="16" t="s">
        <v>452</v>
      </c>
      <c r="T678" s="17" t="n">
        <v>46290.4198032407</v>
      </c>
      <c r="U678" s="21" t="n">
        <v>1</v>
      </c>
      <c r="V678" s="21" t="n">
        <v>1</v>
      </c>
      <c r="W678" s="22" t="n">
        <v>6.6</v>
      </c>
      <c r="X678" s="16" t="s">
        <v>335</v>
      </c>
      <c r="Y678" s="16" t="s">
        <v>338</v>
      </c>
      <c r="Z678" s="16" t="s">
        <v>405</v>
      </c>
      <c r="AA678" s="16"/>
      <c r="AB678" s="23"/>
      <c r="AC678" s="17"/>
      <c r="AD678" s="16" t="s">
        <v>338</v>
      </c>
      <c r="AE678" s="16"/>
      <c r="AF678" s="16" t="str">
        <f aca="false">IF(COUNTIF(لیست_سفید!$A$2:$A$21,B678)&gt;0,"بله","خیر")</f>
        <v>خیر</v>
      </c>
      <c r="AG678" s="24" t="n">
        <f aca="false">IF(H678="","",IF(AD678="فیش مفقودی",تنظیمات!$B$6,(INT(I678/1440)*تنظیمات!$B$5+IF(MOD(I678,1440)&lt;=تنظیمات!$B$2,0,MIN(تنظیمات!$B$5,تنظیمات!$B$3+MAX(0,ROUNDUP((MOD(I678,1440)-60)/60,0))*تنظیمات!$B$4)))*INDEX(تعرفه!$B$2:$B$7,MATCH(AD678,تعرفه!$A$2:$A$7,0))))</f>
        <v>20000</v>
      </c>
      <c r="AH678" s="24" t="n">
        <v>20000</v>
      </c>
      <c r="AI678" s="24" t="n">
        <f aca="false">IF(AG678="","",AH678-AG678)</f>
        <v>0</v>
      </c>
      <c r="AJ678" s="21" t="n">
        <v>-2</v>
      </c>
      <c r="AK678" s="21" t="n">
        <v>0</v>
      </c>
      <c r="AL678" s="16" t="s">
        <v>335</v>
      </c>
      <c r="AM678" s="16"/>
      <c r="AN678" s="16" t="s">
        <v>340</v>
      </c>
      <c r="AO678" s="16" t="s">
        <v>340</v>
      </c>
      <c r="AP678" s="16" t="s">
        <v>335</v>
      </c>
      <c r="AQ678" s="16"/>
      <c r="AR678" s="21" t="n">
        <f aca="false">IF(AND(T678&lt;&gt;"",H678&lt;&gt;""),IF(AND((T678-H678)*86400&gt;=0,(T678-H678)*86400&lt;تنظیمات!$B$13),1,0),0)</f>
        <v>0</v>
      </c>
      <c r="AS678" s="21" t="n">
        <f aca="false">IF(Z678="پوز",IF(OR(AB678="",COUNTIF(پوزها!$A$2:$A$5,AA678)=0),1,0),0)</f>
        <v>0</v>
      </c>
      <c r="AT678" s="21" t="n">
        <f aca="false">IF(AI678="",0,IF(AI678&gt;0,1,0))</f>
        <v>0</v>
      </c>
      <c r="AU678" s="21" t="n">
        <f aca="false">IF(AI678="",0,IF(AI678&lt;0,1,0))</f>
        <v>0</v>
      </c>
      <c r="AV678" s="21" t="n">
        <f aca="false">IF(U678&gt;V678,1,0)</f>
        <v>0</v>
      </c>
      <c r="AW678" s="21" t="n">
        <f aca="false">IF(OR(W678&gt;تنظیمات!$B$8,X678="بله"),1,0)</f>
        <v>0</v>
      </c>
      <c r="AX678" s="21" t="n">
        <f aca="false">IF(AND(N678="بله",L678&gt;تنظیمات!$B$9),1,0)</f>
        <v>0</v>
      </c>
      <c r="AY678" s="21" t="n">
        <f aca="false">IF(Y678="معکوس",1,0)</f>
        <v>0</v>
      </c>
      <c r="AZ678" s="21" t="n">
        <f aca="false">IF(ABS(AJ678)&gt;تنظیمات!$B$10,1,0)</f>
        <v>0</v>
      </c>
      <c r="BA678" s="21" t="n">
        <f aca="false">IF(AND(OR(AD678="رایگان/VIP",AD678="جانباز"),AF678="خیر"),1,0)</f>
        <v>0</v>
      </c>
      <c r="BB678" s="21" t="n">
        <f aca="false">IF(AE678="",0,IF(COUNTIF($AE$2:$AE$1001,AE678)&gt;1,1,0))</f>
        <v>0</v>
      </c>
      <c r="BC678" s="21" t="n">
        <f aca="false">IF(AND(H678="",I678&gt;تنظیمات!$B$12*60,AM678="خالی"),1,0)</f>
        <v>0</v>
      </c>
      <c r="BD678" s="21" t="n">
        <f aca="false">IF(AND(AP678="بله",I678&lt;تنظیمات!$B$14,AO678="خیر"),1,0)</f>
        <v>0</v>
      </c>
      <c r="BE678" s="21" t="n">
        <f aca="false">IF(AN678="خیر",1,0)</f>
        <v>0</v>
      </c>
      <c r="BF678" s="21" t="n">
        <f aca="false">IF(AND(AD678="فیش مفقودی",AQ678="بله",I678&gt;تنظیمات!$B$12*60),1,0)</f>
        <v>0</v>
      </c>
      <c r="BG678" s="21" t="n">
        <f aca="false">IF(AND(AK678&gt;تنظیمات!$B$11,AL678="بله"),1,0)</f>
        <v>0</v>
      </c>
      <c r="BH678" s="21" t="n">
        <f aca="false">MIN(100,AR678*تنظیمات!$B$21+AS678*تنظیمات!$B$22+AT678*تنظیمات!$B$23+AU678*تنظیمات!$B$24+AV678*تنظیمات!$B$25+AW678*تنظیمات!$B$26+AX678*تنظیمات!$B$27+AY678*تنظیمات!$B$28+AZ678*تنظیمات!$B$29+BA678*تنظیمات!$B$30+BB678*تنظیمات!$B$31+BC678*تنظیمات!$B$32+BD678*تنظیمات!$B$33+BE678*تنظیمات!$B$34+BF678*تنظیمات!$B$35+BG678*تنظیمات!$B$36)</f>
        <v>0</v>
      </c>
      <c r="BI678" s="16" t="str">
        <f aca="false">IF(BH678&gt;=60,"بحرانی",IF(BH678&gt;=30,"مشکوک",IF(BH678&gt;0,"هشدار","عادی")))</f>
        <v>عادی</v>
      </c>
      <c r="BJ678" s="16" t="s">
        <v>338</v>
      </c>
    </row>
    <row r="679" customFormat="false" ht="15" hidden="false" customHeight="false" outlineLevel="0" collapsed="false">
      <c r="A679" s="16" t="s">
        <v>2440</v>
      </c>
      <c r="B679" s="16" t="s">
        <v>535</v>
      </c>
      <c r="C679" s="16"/>
      <c r="D679" s="16" t="s">
        <v>350</v>
      </c>
      <c r="E679" s="16" t="s">
        <v>351</v>
      </c>
      <c r="F679" s="16" t="s">
        <v>333</v>
      </c>
      <c r="G679" s="17" t="n">
        <v>46290.3899074074</v>
      </c>
      <c r="H679" s="17" t="n">
        <v>46290.4600462963</v>
      </c>
      <c r="I679" s="18" t="n">
        <f aca="false">IF(H679="",ROUND((تنظیمات!$B$7-G679)*1440,0),ROUND((H679-G679)*1440,0))</f>
        <v>101</v>
      </c>
      <c r="J679" s="16" t="s">
        <v>346</v>
      </c>
      <c r="K679" s="16" t="s">
        <v>400</v>
      </c>
      <c r="L679" s="19" t="n">
        <v>0.917</v>
      </c>
      <c r="M679" s="19" t="n">
        <v>0.897</v>
      </c>
      <c r="N679" s="16" t="s">
        <v>335</v>
      </c>
      <c r="O679" s="16" t="s">
        <v>666</v>
      </c>
      <c r="P679" s="16" t="s">
        <v>402</v>
      </c>
      <c r="Q679" s="20" t="n">
        <v>46290</v>
      </c>
      <c r="R679" s="16" t="s">
        <v>2441</v>
      </c>
      <c r="S679" s="16" t="s">
        <v>404</v>
      </c>
      <c r="T679" s="17"/>
      <c r="U679" s="21" t="n">
        <v>1</v>
      </c>
      <c r="V679" s="21" t="n">
        <v>1</v>
      </c>
      <c r="W679" s="22" t="n">
        <v>5.6</v>
      </c>
      <c r="X679" s="16" t="s">
        <v>335</v>
      </c>
      <c r="Y679" s="16" t="s">
        <v>338</v>
      </c>
      <c r="Z679" s="16" t="s">
        <v>405</v>
      </c>
      <c r="AA679" s="16"/>
      <c r="AB679" s="23"/>
      <c r="AC679" s="17"/>
      <c r="AD679" s="16" t="s">
        <v>338</v>
      </c>
      <c r="AE679" s="16"/>
      <c r="AF679" s="16" t="str">
        <f aca="false">IF(COUNTIF(لیست_سفید!$A$2:$A$21,B679)&gt;0,"بله","خیر")</f>
        <v>خیر</v>
      </c>
      <c r="AG679" s="24" t="n">
        <f aca="false">IF(H679="","",IF(AD679="فیش مفقودی",تنظیمات!$B$6,(INT(I679/1440)*تنظیمات!$B$5+IF(MOD(I679,1440)&lt;=تنظیمات!$B$2,0,MIN(تنظیمات!$B$5,تنظیمات!$B$3+MAX(0,ROUNDUP((MOD(I679,1440)-60)/60,0))*تنظیمات!$B$4)))*INDEX(تعرفه!$B$2:$B$7,MATCH(AD679,تعرفه!$A$2:$A$7,0))))</f>
        <v>34000</v>
      </c>
      <c r="AH679" s="24" t="n">
        <v>34000</v>
      </c>
      <c r="AI679" s="24" t="n">
        <f aca="false">IF(AG679="","",AH679-AG679)</f>
        <v>0</v>
      </c>
      <c r="AJ679" s="21" t="n">
        <v>0</v>
      </c>
      <c r="AK679" s="21" t="n">
        <v>0</v>
      </c>
      <c r="AL679" s="16" t="s">
        <v>335</v>
      </c>
      <c r="AM679" s="16"/>
      <c r="AN679" s="16" t="s">
        <v>340</v>
      </c>
      <c r="AO679" s="16" t="s">
        <v>340</v>
      </c>
      <c r="AP679" s="16" t="s">
        <v>335</v>
      </c>
      <c r="AQ679" s="16"/>
      <c r="AR679" s="21" t="n">
        <f aca="false">IF(AND(T679&lt;&gt;"",H679&lt;&gt;""),IF(AND((T679-H679)*86400&gt;=0,(T679-H679)*86400&lt;تنظیمات!$B$13),1,0),0)</f>
        <v>0</v>
      </c>
      <c r="AS679" s="21" t="n">
        <f aca="false">IF(Z679="پوز",IF(OR(AB679="",COUNTIF(پوزها!$A$2:$A$5,AA679)=0),1,0),0)</f>
        <v>0</v>
      </c>
      <c r="AT679" s="21" t="n">
        <f aca="false">IF(AI679="",0,IF(AI679&gt;0,1,0))</f>
        <v>0</v>
      </c>
      <c r="AU679" s="21" t="n">
        <f aca="false">IF(AI679="",0,IF(AI679&lt;0,1,0))</f>
        <v>0</v>
      </c>
      <c r="AV679" s="21" t="n">
        <f aca="false">IF(U679&gt;V679,1,0)</f>
        <v>0</v>
      </c>
      <c r="AW679" s="21" t="n">
        <f aca="false">IF(OR(W679&gt;تنظیمات!$B$8,X679="بله"),1,0)</f>
        <v>0</v>
      </c>
      <c r="AX679" s="21" t="n">
        <f aca="false">IF(AND(N679="بله",L679&gt;تنظیمات!$B$9),1,0)</f>
        <v>0</v>
      </c>
      <c r="AY679" s="21" t="n">
        <f aca="false">IF(Y679="معکوس",1,0)</f>
        <v>0</v>
      </c>
      <c r="AZ679" s="21" t="n">
        <f aca="false">IF(ABS(AJ679)&gt;تنظیمات!$B$10,1,0)</f>
        <v>0</v>
      </c>
      <c r="BA679" s="21" t="n">
        <f aca="false">IF(AND(OR(AD679="رایگان/VIP",AD679="جانباز"),AF679="خیر"),1,0)</f>
        <v>0</v>
      </c>
      <c r="BB679" s="21" t="n">
        <f aca="false">IF(AE679="",0,IF(COUNTIF($AE$2:$AE$1001,AE679)&gt;1,1,0))</f>
        <v>0</v>
      </c>
      <c r="BC679" s="21" t="n">
        <f aca="false">IF(AND(H679="",I679&gt;تنظیمات!$B$12*60,AM679="خالی"),1,0)</f>
        <v>0</v>
      </c>
      <c r="BD679" s="21" t="n">
        <f aca="false">IF(AND(AP679="بله",I679&lt;تنظیمات!$B$14,AO679="خیر"),1,0)</f>
        <v>0</v>
      </c>
      <c r="BE679" s="21" t="n">
        <f aca="false">IF(AN679="خیر",1,0)</f>
        <v>0</v>
      </c>
      <c r="BF679" s="21" t="n">
        <f aca="false">IF(AND(AD679="فیش مفقودی",AQ679="بله",I679&gt;تنظیمات!$B$12*60),1,0)</f>
        <v>0</v>
      </c>
      <c r="BG679" s="21" t="n">
        <f aca="false">IF(AND(AK679&gt;تنظیمات!$B$11,AL679="بله"),1,0)</f>
        <v>0</v>
      </c>
      <c r="BH679" s="21" t="n">
        <f aca="false">MIN(100,AR679*تنظیمات!$B$21+AS679*تنظیمات!$B$22+AT679*تنظیمات!$B$23+AU679*تنظیمات!$B$24+AV679*تنظیمات!$B$25+AW679*تنظیمات!$B$26+AX679*تنظیمات!$B$27+AY679*تنظیمات!$B$28+AZ679*تنظیمات!$B$29+BA679*تنظیمات!$B$30+BB679*تنظیمات!$B$31+BC679*تنظیمات!$B$32+BD679*تنظیمات!$B$33+BE679*تنظیمات!$B$34+BF679*تنظیمات!$B$35+BG679*تنظیمات!$B$36)</f>
        <v>0</v>
      </c>
      <c r="BI679" s="16" t="str">
        <f aca="false">IF(BH679&gt;=60,"بحرانی",IF(BH679&gt;=30,"مشکوک",IF(BH679&gt;0,"هشدار","عادی")))</f>
        <v>عادی</v>
      </c>
      <c r="BJ679" s="16" t="s">
        <v>338</v>
      </c>
    </row>
    <row r="680" customFormat="false" ht="15" hidden="false" customHeight="false" outlineLevel="0" collapsed="false">
      <c r="A680" s="16" t="s">
        <v>2442</v>
      </c>
      <c r="B680" s="16" t="s">
        <v>1117</v>
      </c>
      <c r="C680" s="16"/>
      <c r="D680" s="16" t="s">
        <v>344</v>
      </c>
      <c r="E680" s="16" t="s">
        <v>351</v>
      </c>
      <c r="F680" s="16" t="s">
        <v>333</v>
      </c>
      <c r="G680" s="17" t="n">
        <v>46290.4005324074</v>
      </c>
      <c r="H680" s="17" t="n">
        <v>46290.4303935185</v>
      </c>
      <c r="I680" s="18" t="n">
        <f aca="false">IF(H680="",ROUND((تنظیمات!$B$7-G680)*1440,0),ROUND((H680-G680)*1440,0))</f>
        <v>43</v>
      </c>
      <c r="J680" s="16" t="s">
        <v>346</v>
      </c>
      <c r="K680" s="16" t="s">
        <v>410</v>
      </c>
      <c r="L680" s="19" t="n">
        <v>0.926</v>
      </c>
      <c r="M680" s="19" t="n">
        <v>0.925</v>
      </c>
      <c r="N680" s="16" t="s">
        <v>335</v>
      </c>
      <c r="O680" s="16" t="s">
        <v>677</v>
      </c>
      <c r="P680" s="16" t="s">
        <v>402</v>
      </c>
      <c r="Q680" s="20" t="n">
        <v>46290</v>
      </c>
      <c r="R680" s="16" t="s">
        <v>2443</v>
      </c>
      <c r="S680" s="16" t="s">
        <v>404</v>
      </c>
      <c r="T680" s="17"/>
      <c r="U680" s="21" t="n">
        <v>1</v>
      </c>
      <c r="V680" s="21" t="n">
        <v>1</v>
      </c>
      <c r="W680" s="22" t="n">
        <v>3.8</v>
      </c>
      <c r="X680" s="16" t="s">
        <v>335</v>
      </c>
      <c r="Y680" s="16" t="s">
        <v>338</v>
      </c>
      <c r="Z680" s="16" t="s">
        <v>405</v>
      </c>
      <c r="AA680" s="16"/>
      <c r="AB680" s="23"/>
      <c r="AC680" s="17"/>
      <c r="AD680" s="16" t="s">
        <v>338</v>
      </c>
      <c r="AE680" s="16"/>
      <c r="AF680" s="16" t="str">
        <f aca="false">IF(COUNTIF(لیست_سفید!$A$2:$A$21,B680)&gt;0,"بله","خیر")</f>
        <v>خیر</v>
      </c>
      <c r="AG680" s="24" t="n">
        <f aca="false">IF(H680="","",IF(AD680="فیش مفقودی",تنظیمات!$B$6,(INT(I680/1440)*تنظیمات!$B$5+IF(MOD(I680,1440)&lt;=تنظیمات!$B$2,0,MIN(تنظیمات!$B$5,تنظیمات!$B$3+MAX(0,ROUNDUP((MOD(I680,1440)-60)/60,0))*تنظیمات!$B$4)))*INDEX(تعرفه!$B$2:$B$7,MATCH(AD680,تعرفه!$A$2:$A$7,0))))</f>
        <v>20000</v>
      </c>
      <c r="AH680" s="24" t="n">
        <v>20000</v>
      </c>
      <c r="AI680" s="24" t="n">
        <f aca="false">IF(AG680="","",AH680-AG680)</f>
        <v>0</v>
      </c>
      <c r="AJ680" s="21" t="n">
        <v>1</v>
      </c>
      <c r="AK680" s="21" t="n">
        <v>0</v>
      </c>
      <c r="AL680" s="16" t="s">
        <v>335</v>
      </c>
      <c r="AM680" s="16"/>
      <c r="AN680" s="16" t="s">
        <v>340</v>
      </c>
      <c r="AO680" s="16" t="s">
        <v>340</v>
      </c>
      <c r="AP680" s="16" t="s">
        <v>335</v>
      </c>
      <c r="AQ680" s="16"/>
      <c r="AR680" s="21" t="n">
        <f aca="false">IF(AND(T680&lt;&gt;"",H680&lt;&gt;""),IF(AND((T680-H680)*86400&gt;=0,(T680-H680)*86400&lt;تنظیمات!$B$13),1,0),0)</f>
        <v>0</v>
      </c>
      <c r="AS680" s="21" t="n">
        <f aca="false">IF(Z680="پوز",IF(OR(AB680="",COUNTIF(پوزها!$A$2:$A$5,AA680)=0),1,0),0)</f>
        <v>0</v>
      </c>
      <c r="AT680" s="21" t="n">
        <f aca="false">IF(AI680="",0,IF(AI680&gt;0,1,0))</f>
        <v>0</v>
      </c>
      <c r="AU680" s="21" t="n">
        <f aca="false">IF(AI680="",0,IF(AI680&lt;0,1,0))</f>
        <v>0</v>
      </c>
      <c r="AV680" s="21" t="n">
        <f aca="false">IF(U680&gt;V680,1,0)</f>
        <v>0</v>
      </c>
      <c r="AW680" s="21" t="n">
        <f aca="false">IF(OR(W680&gt;تنظیمات!$B$8,X680="بله"),1,0)</f>
        <v>0</v>
      </c>
      <c r="AX680" s="21" t="n">
        <f aca="false">IF(AND(N680="بله",L680&gt;تنظیمات!$B$9),1,0)</f>
        <v>0</v>
      </c>
      <c r="AY680" s="21" t="n">
        <f aca="false">IF(Y680="معکوس",1,0)</f>
        <v>0</v>
      </c>
      <c r="AZ680" s="21" t="n">
        <f aca="false">IF(ABS(AJ680)&gt;تنظیمات!$B$10,1,0)</f>
        <v>0</v>
      </c>
      <c r="BA680" s="21" t="n">
        <f aca="false">IF(AND(OR(AD680="رایگان/VIP",AD680="جانباز"),AF680="خیر"),1,0)</f>
        <v>0</v>
      </c>
      <c r="BB680" s="21" t="n">
        <f aca="false">IF(AE680="",0,IF(COUNTIF($AE$2:$AE$1001,AE680)&gt;1,1,0))</f>
        <v>0</v>
      </c>
      <c r="BC680" s="21" t="n">
        <f aca="false">IF(AND(H680="",I680&gt;تنظیمات!$B$12*60,AM680="خالی"),1,0)</f>
        <v>0</v>
      </c>
      <c r="BD680" s="21" t="n">
        <f aca="false">IF(AND(AP680="بله",I680&lt;تنظیمات!$B$14,AO680="خیر"),1,0)</f>
        <v>0</v>
      </c>
      <c r="BE680" s="21" t="n">
        <f aca="false">IF(AN680="خیر",1,0)</f>
        <v>0</v>
      </c>
      <c r="BF680" s="21" t="n">
        <f aca="false">IF(AND(AD680="فیش مفقودی",AQ680="بله",I680&gt;تنظیمات!$B$12*60),1,0)</f>
        <v>0</v>
      </c>
      <c r="BG680" s="21" t="n">
        <f aca="false">IF(AND(AK680&gt;تنظیمات!$B$11,AL680="بله"),1,0)</f>
        <v>0</v>
      </c>
      <c r="BH680" s="21" t="n">
        <f aca="false">MIN(100,AR680*تنظیمات!$B$21+AS680*تنظیمات!$B$22+AT680*تنظیمات!$B$23+AU680*تنظیمات!$B$24+AV680*تنظیمات!$B$25+AW680*تنظیمات!$B$26+AX680*تنظیمات!$B$27+AY680*تنظیمات!$B$28+AZ680*تنظیمات!$B$29+BA680*تنظیمات!$B$30+BB680*تنظیمات!$B$31+BC680*تنظیمات!$B$32+BD680*تنظیمات!$B$33+BE680*تنظیمات!$B$34+BF680*تنظیمات!$B$35+BG680*تنظیمات!$B$36)</f>
        <v>0</v>
      </c>
      <c r="BI680" s="16" t="str">
        <f aca="false">IF(BH680&gt;=60,"بحرانی",IF(BH680&gt;=30,"مشکوک",IF(BH680&gt;0,"هشدار","عادی")))</f>
        <v>عادی</v>
      </c>
      <c r="BJ680" s="16" t="s">
        <v>338</v>
      </c>
    </row>
    <row r="681" customFormat="false" ht="15" hidden="false" customHeight="false" outlineLevel="0" collapsed="false">
      <c r="A681" s="16" t="s">
        <v>2444</v>
      </c>
      <c r="B681" s="16" t="s">
        <v>2416</v>
      </c>
      <c r="C681" s="16"/>
      <c r="D681" s="16" t="s">
        <v>382</v>
      </c>
      <c r="E681" s="16" t="s">
        <v>363</v>
      </c>
      <c r="F681" s="16" t="s">
        <v>333</v>
      </c>
      <c r="G681" s="17" t="n">
        <v>46290.4050347222</v>
      </c>
      <c r="H681" s="17" t="n">
        <v>46290.5939236111</v>
      </c>
      <c r="I681" s="18" t="n">
        <f aca="false">IF(H681="",ROUND((تنظیمات!$B$7-G681)*1440,0),ROUND((H681-G681)*1440,0))</f>
        <v>272</v>
      </c>
      <c r="J681" s="16" t="s">
        <v>334</v>
      </c>
      <c r="K681" s="16" t="s">
        <v>400</v>
      </c>
      <c r="L681" s="19" t="n">
        <v>0.995</v>
      </c>
      <c r="M681" s="19" t="n">
        <v>0.952</v>
      </c>
      <c r="N681" s="16" t="s">
        <v>335</v>
      </c>
      <c r="O681" s="16" t="s">
        <v>425</v>
      </c>
      <c r="P681" s="16" t="s">
        <v>420</v>
      </c>
      <c r="Q681" s="20" t="n">
        <v>46290</v>
      </c>
      <c r="R681" s="16" t="s">
        <v>2445</v>
      </c>
      <c r="S681" s="16" t="s">
        <v>404</v>
      </c>
      <c r="T681" s="17"/>
      <c r="U681" s="21" t="n">
        <v>1</v>
      </c>
      <c r="V681" s="21" t="n">
        <v>1</v>
      </c>
      <c r="W681" s="22" t="n">
        <v>3.8</v>
      </c>
      <c r="X681" s="16" t="s">
        <v>335</v>
      </c>
      <c r="Y681" s="16" t="s">
        <v>338</v>
      </c>
      <c r="Z681" s="16" t="s">
        <v>413</v>
      </c>
      <c r="AA681" s="16" t="s">
        <v>427</v>
      </c>
      <c r="AB681" s="23" t="s">
        <v>2446</v>
      </c>
      <c r="AC681" s="17" t="n">
        <v>46290.5936574074</v>
      </c>
      <c r="AD681" s="16" t="s">
        <v>338</v>
      </c>
      <c r="AE681" s="16"/>
      <c r="AF681" s="16" t="str">
        <f aca="false">IF(COUNTIF(لیست_سفید!$A$2:$A$21,B681)&gt;0,"بله","خیر")</f>
        <v>خیر</v>
      </c>
      <c r="AG681" s="24" t="n">
        <f aca="false">IF(H681="","",IF(AD681="فیش مفقودی",تنظیمات!$B$6,(INT(I681/1440)*تنظیمات!$B$5+IF(MOD(I681,1440)&lt;=تنظیمات!$B$2,0,MIN(تنظیمات!$B$5,تنظیمات!$B$3+MAX(0,ROUNDUP((MOD(I681,1440)-60)/60,0))*تنظیمات!$B$4)))*INDEX(تعرفه!$B$2:$B$7,MATCH(AD681,تعرفه!$A$2:$A$7,0))))</f>
        <v>76000</v>
      </c>
      <c r="AH681" s="24" t="n">
        <v>76000</v>
      </c>
      <c r="AI681" s="24" t="n">
        <f aca="false">IF(AG681="","",AH681-AG681)</f>
        <v>0</v>
      </c>
      <c r="AJ681" s="21" t="n">
        <v>-5</v>
      </c>
      <c r="AK681" s="21" t="n">
        <v>0</v>
      </c>
      <c r="AL681" s="16" t="s">
        <v>335</v>
      </c>
      <c r="AM681" s="16"/>
      <c r="AN681" s="16" t="s">
        <v>340</v>
      </c>
      <c r="AO681" s="16" t="s">
        <v>340</v>
      </c>
      <c r="AP681" s="16" t="s">
        <v>335</v>
      </c>
      <c r="AQ681" s="16"/>
      <c r="AR681" s="21" t="n">
        <f aca="false">IF(AND(T681&lt;&gt;"",H681&lt;&gt;""),IF(AND((T681-H681)*86400&gt;=0,(T681-H681)*86400&lt;تنظیمات!$B$13),1,0),0)</f>
        <v>0</v>
      </c>
      <c r="AS681" s="21" t="n">
        <f aca="false">IF(Z681="پوز",IF(OR(AB681="",COUNTIF(پوزها!$A$2:$A$5,AA681)=0),1,0),0)</f>
        <v>0</v>
      </c>
      <c r="AT681" s="21" t="n">
        <f aca="false">IF(AI681="",0,IF(AI681&gt;0,1,0))</f>
        <v>0</v>
      </c>
      <c r="AU681" s="21" t="n">
        <f aca="false">IF(AI681="",0,IF(AI681&lt;0,1,0))</f>
        <v>0</v>
      </c>
      <c r="AV681" s="21" t="n">
        <f aca="false">IF(U681&gt;V681,1,0)</f>
        <v>0</v>
      </c>
      <c r="AW681" s="21" t="n">
        <f aca="false">IF(OR(W681&gt;تنظیمات!$B$8,X681="بله"),1,0)</f>
        <v>0</v>
      </c>
      <c r="AX681" s="21" t="n">
        <f aca="false">IF(AND(N681="بله",L681&gt;تنظیمات!$B$9),1,0)</f>
        <v>0</v>
      </c>
      <c r="AY681" s="21" t="n">
        <f aca="false">IF(Y681="معکوس",1,0)</f>
        <v>0</v>
      </c>
      <c r="AZ681" s="21" t="n">
        <f aca="false">IF(ABS(AJ681)&gt;تنظیمات!$B$10,1,0)</f>
        <v>0</v>
      </c>
      <c r="BA681" s="21" t="n">
        <f aca="false">IF(AND(OR(AD681="رایگان/VIP",AD681="جانباز"),AF681="خیر"),1,0)</f>
        <v>0</v>
      </c>
      <c r="BB681" s="21" t="n">
        <f aca="false">IF(AE681="",0,IF(COUNTIF($AE$2:$AE$1001,AE681)&gt;1,1,0))</f>
        <v>0</v>
      </c>
      <c r="BC681" s="21" t="n">
        <f aca="false">IF(AND(H681="",I681&gt;تنظیمات!$B$12*60,AM681="خالی"),1,0)</f>
        <v>0</v>
      </c>
      <c r="BD681" s="21" t="n">
        <f aca="false">IF(AND(AP681="بله",I681&lt;تنظیمات!$B$14,AO681="خیر"),1,0)</f>
        <v>0</v>
      </c>
      <c r="BE681" s="21" t="n">
        <f aca="false">IF(AN681="خیر",1,0)</f>
        <v>0</v>
      </c>
      <c r="BF681" s="21" t="n">
        <f aca="false">IF(AND(AD681="فیش مفقودی",AQ681="بله",I681&gt;تنظیمات!$B$12*60),1,0)</f>
        <v>0</v>
      </c>
      <c r="BG681" s="21" t="n">
        <f aca="false">IF(AND(AK681&gt;تنظیمات!$B$11,AL681="بله"),1,0)</f>
        <v>0</v>
      </c>
      <c r="BH681" s="21" t="n">
        <f aca="false">MIN(100,AR681*تنظیمات!$B$21+AS681*تنظیمات!$B$22+AT681*تنظیمات!$B$23+AU681*تنظیمات!$B$24+AV681*تنظیمات!$B$25+AW681*تنظیمات!$B$26+AX681*تنظیمات!$B$27+AY681*تنظیمات!$B$28+AZ681*تنظیمات!$B$29+BA681*تنظیمات!$B$30+BB681*تنظیمات!$B$31+BC681*تنظیمات!$B$32+BD681*تنظیمات!$B$33+BE681*تنظیمات!$B$34+BF681*تنظیمات!$B$35+BG681*تنظیمات!$B$36)</f>
        <v>0</v>
      </c>
      <c r="BI681" s="16" t="str">
        <f aca="false">IF(BH681&gt;=60,"بحرانی",IF(BH681&gt;=30,"مشکوک",IF(BH681&gt;0,"هشدار","عادی")))</f>
        <v>عادی</v>
      </c>
      <c r="BJ681" s="16" t="s">
        <v>338</v>
      </c>
    </row>
    <row r="682" customFormat="false" ht="15" hidden="false" customHeight="false" outlineLevel="0" collapsed="false">
      <c r="A682" s="16" t="s">
        <v>2447</v>
      </c>
      <c r="B682" s="16" t="s">
        <v>575</v>
      </c>
      <c r="C682" s="16"/>
      <c r="D682" s="16" t="s">
        <v>370</v>
      </c>
      <c r="E682" s="16" t="s">
        <v>363</v>
      </c>
      <c r="F682" s="16" t="s">
        <v>333</v>
      </c>
      <c r="G682" s="17" t="n">
        <v>46290.4058680556</v>
      </c>
      <c r="H682" s="17" t="n">
        <v>46290.5017013889</v>
      </c>
      <c r="I682" s="18" t="n">
        <f aca="false">IF(H682="",ROUND((تنظیمات!$B$7-G682)*1440,0),ROUND((H682-G682)*1440,0))</f>
        <v>138</v>
      </c>
      <c r="J682" s="16" t="s">
        <v>346</v>
      </c>
      <c r="K682" s="16" t="s">
        <v>400</v>
      </c>
      <c r="L682" s="19" t="n">
        <v>0.917</v>
      </c>
      <c r="M682" s="19" t="n">
        <v>0.993</v>
      </c>
      <c r="N682" s="16" t="s">
        <v>335</v>
      </c>
      <c r="O682" s="16" t="s">
        <v>666</v>
      </c>
      <c r="P682" s="16" t="s">
        <v>402</v>
      </c>
      <c r="Q682" s="20" t="n">
        <v>46290</v>
      </c>
      <c r="R682" s="16" t="s">
        <v>2448</v>
      </c>
      <c r="S682" s="16" t="s">
        <v>404</v>
      </c>
      <c r="T682" s="17"/>
      <c r="U682" s="21" t="n">
        <v>1</v>
      </c>
      <c r="V682" s="21" t="n">
        <v>1</v>
      </c>
      <c r="W682" s="22" t="n">
        <v>7.3</v>
      </c>
      <c r="X682" s="16" t="s">
        <v>335</v>
      </c>
      <c r="Y682" s="16" t="s">
        <v>338</v>
      </c>
      <c r="Z682" s="16" t="s">
        <v>413</v>
      </c>
      <c r="AA682" s="16" t="s">
        <v>1002</v>
      </c>
      <c r="AB682" s="23" t="s">
        <v>2449</v>
      </c>
      <c r="AC682" s="17" t="n">
        <v>46290.5010300926</v>
      </c>
      <c r="AD682" s="16" t="s">
        <v>338</v>
      </c>
      <c r="AE682" s="16"/>
      <c r="AF682" s="16" t="str">
        <f aca="false">IF(COUNTIF(لیست_سفید!$A$2:$A$21,B682)&gt;0,"بله","خیر")</f>
        <v>خیر</v>
      </c>
      <c r="AG682" s="24" t="n">
        <f aca="false">IF(H682="","",IF(AD682="فیش مفقودی",تنظیمات!$B$6,(INT(I682/1440)*تنظیمات!$B$5+IF(MOD(I682,1440)&lt;=تنظیمات!$B$2,0,MIN(تنظیمات!$B$5,تنظیمات!$B$3+MAX(0,ROUNDUP((MOD(I682,1440)-60)/60,0))*تنظیمات!$B$4)))*INDEX(تعرفه!$B$2:$B$7,MATCH(AD682,تعرفه!$A$2:$A$7,0))))</f>
        <v>48000</v>
      </c>
      <c r="AH682" s="24" t="n">
        <v>48000</v>
      </c>
      <c r="AI682" s="24" t="n">
        <f aca="false">IF(AG682="","",AH682-AG682)</f>
        <v>0</v>
      </c>
      <c r="AJ682" s="21" t="n">
        <v>-6</v>
      </c>
      <c r="AK682" s="21" t="n">
        <v>0</v>
      </c>
      <c r="AL682" s="16" t="s">
        <v>335</v>
      </c>
      <c r="AM682" s="16"/>
      <c r="AN682" s="16" t="s">
        <v>340</v>
      </c>
      <c r="AO682" s="16" t="s">
        <v>340</v>
      </c>
      <c r="AP682" s="16" t="s">
        <v>335</v>
      </c>
      <c r="AQ682" s="16"/>
      <c r="AR682" s="21" t="n">
        <f aca="false">IF(AND(T682&lt;&gt;"",H682&lt;&gt;""),IF(AND((T682-H682)*86400&gt;=0,(T682-H682)*86400&lt;تنظیمات!$B$13),1,0),0)</f>
        <v>0</v>
      </c>
      <c r="AS682" s="21" t="n">
        <f aca="false">IF(Z682="پوز",IF(OR(AB682="",COUNTIF(پوزها!$A$2:$A$5,AA682)=0),1,0),0)</f>
        <v>1</v>
      </c>
      <c r="AT682" s="21" t="n">
        <f aca="false">IF(AI682="",0,IF(AI682&gt;0,1,0))</f>
        <v>0</v>
      </c>
      <c r="AU682" s="21" t="n">
        <f aca="false">IF(AI682="",0,IF(AI682&lt;0,1,0))</f>
        <v>0</v>
      </c>
      <c r="AV682" s="21" t="n">
        <f aca="false">IF(U682&gt;V682,1,0)</f>
        <v>0</v>
      </c>
      <c r="AW682" s="21" t="n">
        <f aca="false">IF(OR(W682&gt;تنظیمات!$B$8,X682="بله"),1,0)</f>
        <v>0</v>
      </c>
      <c r="AX682" s="21" t="n">
        <f aca="false">IF(AND(N682="بله",L682&gt;تنظیمات!$B$9),1,0)</f>
        <v>0</v>
      </c>
      <c r="AY682" s="21" t="n">
        <f aca="false">IF(Y682="معکوس",1,0)</f>
        <v>0</v>
      </c>
      <c r="AZ682" s="21" t="n">
        <f aca="false">IF(ABS(AJ682)&gt;تنظیمات!$B$10,1,0)</f>
        <v>0</v>
      </c>
      <c r="BA682" s="21" t="n">
        <f aca="false">IF(AND(OR(AD682="رایگان/VIP",AD682="جانباز"),AF682="خیر"),1,0)</f>
        <v>0</v>
      </c>
      <c r="BB682" s="21" t="n">
        <f aca="false">IF(AE682="",0,IF(COUNTIF($AE$2:$AE$1001,AE682)&gt;1,1,0))</f>
        <v>0</v>
      </c>
      <c r="BC682" s="21" t="n">
        <f aca="false">IF(AND(H682="",I682&gt;تنظیمات!$B$12*60,AM682="خالی"),1,0)</f>
        <v>0</v>
      </c>
      <c r="BD682" s="21" t="n">
        <f aca="false">IF(AND(AP682="بله",I682&lt;تنظیمات!$B$14,AO682="خیر"),1,0)</f>
        <v>0</v>
      </c>
      <c r="BE682" s="21" t="n">
        <f aca="false">IF(AN682="خیر",1,0)</f>
        <v>0</v>
      </c>
      <c r="BF682" s="21" t="n">
        <f aca="false">IF(AND(AD682="فیش مفقودی",AQ682="بله",I682&gt;تنظیمات!$B$12*60),1,0)</f>
        <v>0</v>
      </c>
      <c r="BG682" s="21" t="n">
        <f aca="false">IF(AND(AK682&gt;تنظیمات!$B$11,AL682="بله"),1,0)</f>
        <v>0</v>
      </c>
      <c r="BH682" s="21" t="n">
        <f aca="false">MIN(100,AR682*تنظیمات!$B$21+AS682*تنظیمات!$B$22+AT682*تنظیمات!$B$23+AU682*تنظیمات!$B$24+AV682*تنظیمات!$B$25+AW682*تنظیمات!$B$26+AX682*تنظیمات!$B$27+AY682*تنظیمات!$B$28+AZ682*تنظیمات!$B$29+BA682*تنظیمات!$B$30+BB682*تنظیمات!$B$31+BC682*تنظیمات!$B$32+BD682*تنظیمات!$B$33+BE682*تنظیمات!$B$34+BF682*تنظیمات!$B$35+BG682*تنظیمات!$B$36)</f>
        <v>35</v>
      </c>
      <c r="BI682" s="16" t="str">
        <f aca="false">IF(BH682&gt;=60,"بحرانی",IF(BH682&gt;=30,"مشکوک",IF(BH682&gt;0,"هشدار","عادی")))</f>
        <v>مشکوک</v>
      </c>
      <c r="BJ682" s="16" t="s">
        <v>722</v>
      </c>
    </row>
    <row r="683" customFormat="false" ht="15" hidden="false" customHeight="false" outlineLevel="0" collapsed="false">
      <c r="A683" s="16" t="s">
        <v>2450</v>
      </c>
      <c r="B683" s="16" t="s">
        <v>446</v>
      </c>
      <c r="C683" s="16"/>
      <c r="D683" s="16" t="s">
        <v>331</v>
      </c>
      <c r="E683" s="16" t="s">
        <v>375</v>
      </c>
      <c r="F683" s="16" t="s">
        <v>333</v>
      </c>
      <c r="G683" s="17" t="n">
        <v>46290.4067013889</v>
      </c>
      <c r="H683" s="17" t="n">
        <v>46290.7990625</v>
      </c>
      <c r="I683" s="18" t="n">
        <f aca="false">IF(H683="",ROUND((تنظیمات!$B$7-G683)*1440,0),ROUND((H683-G683)*1440,0))</f>
        <v>565</v>
      </c>
      <c r="J683" s="16" t="s">
        <v>334</v>
      </c>
      <c r="K683" s="16" t="s">
        <v>410</v>
      </c>
      <c r="L683" s="19" t="n">
        <v>0.989</v>
      </c>
      <c r="M683" s="19" t="n">
        <v>0.963</v>
      </c>
      <c r="N683" s="16" t="s">
        <v>335</v>
      </c>
      <c r="O683" s="16" t="s">
        <v>441</v>
      </c>
      <c r="P683" s="16" t="s">
        <v>420</v>
      </c>
      <c r="Q683" s="20" t="n">
        <v>46290</v>
      </c>
      <c r="R683" s="16" t="s">
        <v>2451</v>
      </c>
      <c r="S683" s="16" t="s">
        <v>404</v>
      </c>
      <c r="T683" s="17"/>
      <c r="U683" s="21" t="n">
        <v>1</v>
      </c>
      <c r="V683" s="21" t="n">
        <v>1</v>
      </c>
      <c r="W683" s="22" t="n">
        <v>5.4</v>
      </c>
      <c r="X683" s="16" t="s">
        <v>335</v>
      </c>
      <c r="Y683" s="16" t="s">
        <v>338</v>
      </c>
      <c r="Z683" s="16" t="s">
        <v>443</v>
      </c>
      <c r="AA683" s="16"/>
      <c r="AB683" s="23"/>
      <c r="AC683" s="17"/>
      <c r="AD683" s="16" t="s">
        <v>444</v>
      </c>
      <c r="AE683" s="16"/>
      <c r="AF683" s="16" t="str">
        <f aca="false">IF(COUNTIF(لیست_سفید!$A$2:$A$21,B683)&gt;0,"بله","خیر")</f>
        <v>خیر</v>
      </c>
      <c r="AG683" s="24" t="n">
        <f aca="false">IF(H683="","",IF(AD683="فیش مفقودی",تنظیمات!$B$6,(INT(I683/1440)*تنظیمات!$B$5+IF(MOD(I683,1440)&lt;=تنظیمات!$B$2,0,MIN(تنظیمات!$B$5,تنظیمات!$B$3+MAX(0,ROUNDUP((MOD(I683,1440)-60)/60,0))*تنظیمات!$B$4)))*INDEX(تعرفه!$B$2:$B$7,MATCH(AD683,تعرفه!$A$2:$A$7,0))))</f>
        <v>0</v>
      </c>
      <c r="AH683" s="24" t="n">
        <v>0</v>
      </c>
      <c r="AI683" s="24" t="n">
        <f aca="false">IF(AG683="","",AH683-AG683)</f>
        <v>0</v>
      </c>
      <c r="AJ683" s="21" t="n">
        <v>1</v>
      </c>
      <c r="AK683" s="21" t="n">
        <v>0</v>
      </c>
      <c r="AL683" s="16" t="s">
        <v>335</v>
      </c>
      <c r="AM683" s="16"/>
      <c r="AN683" s="16" t="s">
        <v>340</v>
      </c>
      <c r="AO683" s="16" t="s">
        <v>340</v>
      </c>
      <c r="AP683" s="16" t="s">
        <v>335</v>
      </c>
      <c r="AQ683" s="16"/>
      <c r="AR683" s="21" t="n">
        <f aca="false">IF(AND(T683&lt;&gt;"",H683&lt;&gt;""),IF(AND((T683-H683)*86400&gt;=0,(T683-H683)*86400&lt;تنظیمات!$B$13),1,0),0)</f>
        <v>0</v>
      </c>
      <c r="AS683" s="21" t="n">
        <f aca="false">IF(Z683="پوز",IF(OR(AB683="",COUNTIF(پوزها!$A$2:$A$5,AA683)=0),1,0),0)</f>
        <v>0</v>
      </c>
      <c r="AT683" s="21" t="n">
        <f aca="false">IF(AI683="",0,IF(AI683&gt;0,1,0))</f>
        <v>0</v>
      </c>
      <c r="AU683" s="21" t="n">
        <f aca="false">IF(AI683="",0,IF(AI683&lt;0,1,0))</f>
        <v>0</v>
      </c>
      <c r="AV683" s="21" t="n">
        <f aca="false">IF(U683&gt;V683,1,0)</f>
        <v>0</v>
      </c>
      <c r="AW683" s="21" t="n">
        <f aca="false">IF(OR(W683&gt;تنظیمات!$B$8,X683="بله"),1,0)</f>
        <v>0</v>
      </c>
      <c r="AX683" s="21" t="n">
        <f aca="false">IF(AND(N683="بله",L683&gt;تنظیمات!$B$9),1,0)</f>
        <v>0</v>
      </c>
      <c r="AY683" s="21" t="n">
        <f aca="false">IF(Y683="معکوس",1,0)</f>
        <v>0</v>
      </c>
      <c r="AZ683" s="21" t="n">
        <f aca="false">IF(ABS(AJ683)&gt;تنظیمات!$B$10,1,0)</f>
        <v>0</v>
      </c>
      <c r="BA683" s="21" t="n">
        <f aca="false">IF(AND(OR(AD683="رایگان/VIP",AD683="جانباز"),AF683="خیر"),1,0)</f>
        <v>0</v>
      </c>
      <c r="BB683" s="21" t="n">
        <f aca="false">IF(AE683="",0,IF(COUNTIF($AE$2:$AE$1001,AE683)&gt;1,1,0))</f>
        <v>0</v>
      </c>
      <c r="BC683" s="21" t="n">
        <f aca="false">IF(AND(H683="",I683&gt;تنظیمات!$B$12*60,AM683="خالی"),1,0)</f>
        <v>0</v>
      </c>
      <c r="BD683" s="21" t="n">
        <f aca="false">IF(AND(AP683="بله",I683&lt;تنظیمات!$B$14,AO683="خیر"),1,0)</f>
        <v>0</v>
      </c>
      <c r="BE683" s="21" t="n">
        <f aca="false">IF(AN683="خیر",1,0)</f>
        <v>0</v>
      </c>
      <c r="BF683" s="21" t="n">
        <f aca="false">IF(AND(AD683="فیش مفقودی",AQ683="بله",I683&gt;تنظیمات!$B$12*60),1,0)</f>
        <v>0</v>
      </c>
      <c r="BG683" s="21" t="n">
        <f aca="false">IF(AND(AK683&gt;تنظیمات!$B$11,AL683="بله"),1,0)</f>
        <v>0</v>
      </c>
      <c r="BH683" s="21" t="n">
        <f aca="false">MIN(100,AR683*تنظیمات!$B$21+AS683*تنظیمات!$B$22+AT683*تنظیمات!$B$23+AU683*تنظیمات!$B$24+AV683*تنظیمات!$B$25+AW683*تنظیمات!$B$26+AX683*تنظیمات!$B$27+AY683*تنظیمات!$B$28+AZ683*تنظیمات!$B$29+BA683*تنظیمات!$B$30+BB683*تنظیمات!$B$31+BC683*تنظیمات!$B$32+BD683*تنظیمات!$B$33+BE683*تنظیمات!$B$34+BF683*تنظیمات!$B$35+BG683*تنظیمات!$B$36)</f>
        <v>0</v>
      </c>
      <c r="BI683" s="16" t="str">
        <f aca="false">IF(BH683&gt;=60,"بحرانی",IF(BH683&gt;=30,"مشکوک",IF(BH683&gt;0,"هشدار","عادی")))</f>
        <v>عادی</v>
      </c>
      <c r="BJ683" s="16" t="s">
        <v>338</v>
      </c>
    </row>
    <row r="684" customFormat="false" ht="15" hidden="false" customHeight="false" outlineLevel="0" collapsed="false">
      <c r="A684" s="16" t="s">
        <v>2452</v>
      </c>
      <c r="B684" s="16" t="s">
        <v>1255</v>
      </c>
      <c r="C684" s="16" t="s">
        <v>2453</v>
      </c>
      <c r="D684" s="16" t="s">
        <v>523</v>
      </c>
      <c r="E684" s="16" t="s">
        <v>390</v>
      </c>
      <c r="F684" s="16" t="s">
        <v>333</v>
      </c>
      <c r="G684" s="17" t="n">
        <v>46290.4625810185</v>
      </c>
      <c r="H684" s="17" t="n">
        <v>46290.4729976852</v>
      </c>
      <c r="I684" s="18" t="n">
        <f aca="false">IF(H684="",ROUND((تنظیمات!$B$7-G684)*1440,0),ROUND((H684-G684)*1440,0))</f>
        <v>15</v>
      </c>
      <c r="J684" s="16" t="s">
        <v>334</v>
      </c>
      <c r="K684" s="16" t="s">
        <v>400</v>
      </c>
      <c r="L684" s="19" t="n">
        <v>0.87</v>
      </c>
      <c r="M684" s="19" t="n">
        <v>0.957</v>
      </c>
      <c r="N684" s="16" t="s">
        <v>340</v>
      </c>
      <c r="O684" s="16" t="s">
        <v>666</v>
      </c>
      <c r="P684" s="16" t="s">
        <v>402</v>
      </c>
      <c r="Q684" s="20" t="n">
        <v>46290</v>
      </c>
      <c r="R684" s="16" t="s">
        <v>2454</v>
      </c>
      <c r="S684" s="16" t="s">
        <v>404</v>
      </c>
      <c r="T684" s="17"/>
      <c r="U684" s="21" t="n">
        <v>1</v>
      </c>
      <c r="V684" s="21" t="n">
        <v>1</v>
      </c>
      <c r="W684" s="22" t="n">
        <v>11.3</v>
      </c>
      <c r="X684" s="16" t="s">
        <v>335</v>
      </c>
      <c r="Y684" s="16" t="s">
        <v>338</v>
      </c>
      <c r="Z684" s="16" t="s">
        <v>413</v>
      </c>
      <c r="AA684" s="16" t="s">
        <v>427</v>
      </c>
      <c r="AB684" s="23" t="s">
        <v>2455</v>
      </c>
      <c r="AC684" s="17" t="n">
        <v>46290.4720949074</v>
      </c>
      <c r="AD684" s="16" t="s">
        <v>338</v>
      </c>
      <c r="AE684" s="16"/>
      <c r="AF684" s="16" t="str">
        <f aca="false">IF(COUNTIF(لیست_سفید!$A$2:$A$21,B684)&gt;0,"بله","خیر")</f>
        <v>خیر</v>
      </c>
      <c r="AG684" s="24" t="n">
        <f aca="false">IF(H684="","",IF(AD684="فیش مفقودی",تنظیمات!$B$6,(INT(I684/1440)*تنظیمات!$B$5+IF(MOD(I684,1440)&lt;=تنظیمات!$B$2,0,MIN(تنظیمات!$B$5,تنظیمات!$B$3+MAX(0,ROUNDUP((MOD(I684,1440)-60)/60,0))*تنظیمات!$B$4)))*INDEX(تعرفه!$B$2:$B$7,MATCH(AD684,تعرفه!$A$2:$A$7,0))))</f>
        <v>20000</v>
      </c>
      <c r="AH684" s="24" t="n">
        <v>20000</v>
      </c>
      <c r="AI684" s="24" t="n">
        <f aca="false">IF(AG684="","",AH684-AG684)</f>
        <v>0</v>
      </c>
      <c r="AJ684" s="21" t="n">
        <v>3</v>
      </c>
      <c r="AK684" s="21" t="n">
        <v>0</v>
      </c>
      <c r="AL684" s="16" t="s">
        <v>335</v>
      </c>
      <c r="AM684" s="16"/>
      <c r="AN684" s="16" t="s">
        <v>340</v>
      </c>
      <c r="AO684" s="16" t="s">
        <v>340</v>
      </c>
      <c r="AP684" s="16" t="s">
        <v>335</v>
      </c>
      <c r="AQ684" s="16"/>
      <c r="AR684" s="21" t="n">
        <f aca="false">IF(AND(T684&lt;&gt;"",H684&lt;&gt;""),IF(AND((T684-H684)*86400&gt;=0,(T684-H684)*86400&lt;تنظیمات!$B$13),1,0),0)</f>
        <v>0</v>
      </c>
      <c r="AS684" s="21" t="n">
        <f aca="false">IF(Z684="پوز",IF(OR(AB684="",COUNTIF(پوزها!$A$2:$A$5,AA684)=0),1,0),0)</f>
        <v>0</v>
      </c>
      <c r="AT684" s="21" t="n">
        <f aca="false">IF(AI684="",0,IF(AI684&gt;0,1,0))</f>
        <v>0</v>
      </c>
      <c r="AU684" s="21" t="n">
        <f aca="false">IF(AI684="",0,IF(AI684&lt;0,1,0))</f>
        <v>0</v>
      </c>
      <c r="AV684" s="21" t="n">
        <f aca="false">IF(U684&gt;V684,1,0)</f>
        <v>0</v>
      </c>
      <c r="AW684" s="21" t="n">
        <f aca="false">IF(OR(W684&gt;تنظیمات!$B$8,X684="بله"),1,0)</f>
        <v>0</v>
      </c>
      <c r="AX684" s="21" t="n">
        <f aca="false">IF(AND(N684="بله",L684&gt;تنظیمات!$B$9),1,0)</f>
        <v>1</v>
      </c>
      <c r="AY684" s="21" t="n">
        <f aca="false">IF(Y684="معکوس",1,0)</f>
        <v>0</v>
      </c>
      <c r="AZ684" s="21" t="n">
        <f aca="false">IF(ABS(AJ684)&gt;تنظیمات!$B$10,1,0)</f>
        <v>0</v>
      </c>
      <c r="BA684" s="21" t="n">
        <f aca="false">IF(AND(OR(AD684="رایگان/VIP",AD684="جانباز"),AF684="خیر"),1,0)</f>
        <v>0</v>
      </c>
      <c r="BB684" s="21" t="n">
        <f aca="false">IF(AE684="",0,IF(COUNTIF($AE$2:$AE$1001,AE684)&gt;1,1,0))</f>
        <v>0</v>
      </c>
      <c r="BC684" s="21" t="n">
        <f aca="false">IF(AND(H684="",I684&gt;تنظیمات!$B$12*60,AM684="خالی"),1,0)</f>
        <v>0</v>
      </c>
      <c r="BD684" s="21" t="n">
        <f aca="false">IF(AND(AP684="بله",I684&lt;تنظیمات!$B$14,AO684="خیر"),1,0)</f>
        <v>0</v>
      </c>
      <c r="BE684" s="21" t="n">
        <f aca="false">IF(AN684="خیر",1,0)</f>
        <v>0</v>
      </c>
      <c r="BF684" s="21" t="n">
        <f aca="false">IF(AND(AD684="فیش مفقودی",AQ684="بله",I684&gt;تنظیمات!$B$12*60),1,0)</f>
        <v>0</v>
      </c>
      <c r="BG684" s="21" t="n">
        <f aca="false">IF(AND(AK684&gt;تنظیمات!$B$11,AL684="بله"),1,0)</f>
        <v>0</v>
      </c>
      <c r="BH684" s="21" t="n">
        <f aca="false">MIN(100,AR684*تنظیمات!$B$21+AS684*تنظیمات!$B$22+AT684*تنظیمات!$B$23+AU684*تنظیمات!$B$24+AV684*تنظیمات!$B$25+AW684*تنظیمات!$B$26+AX684*تنظیمات!$B$27+AY684*تنظیمات!$B$28+AZ684*تنظیمات!$B$29+BA684*تنظیمات!$B$30+BB684*تنظیمات!$B$31+BC684*تنظیمات!$B$32+BD684*تنظیمات!$B$33+BE684*تنظیمات!$B$34+BF684*تنظیمات!$B$35+BG684*تنظیمات!$B$36)</f>
        <v>30</v>
      </c>
      <c r="BI684" s="16" t="str">
        <f aca="false">IF(BH684&gt;=60,"بحرانی",IF(BH684&gt;=30,"مشکوک",IF(BH684&gt;0,"هشدار","عادی")))</f>
        <v>مشکوک</v>
      </c>
      <c r="BJ684" s="16" t="s">
        <v>700</v>
      </c>
    </row>
    <row r="685" customFormat="false" ht="15" hidden="false" customHeight="false" outlineLevel="0" collapsed="false">
      <c r="A685" s="16" t="s">
        <v>2456</v>
      </c>
      <c r="B685" s="16" t="s">
        <v>1526</v>
      </c>
      <c r="C685" s="16"/>
      <c r="D685" s="16" t="s">
        <v>431</v>
      </c>
      <c r="E685" s="16" t="s">
        <v>351</v>
      </c>
      <c r="F685" s="16" t="s">
        <v>333</v>
      </c>
      <c r="G685" s="17" t="n">
        <v>46290.4771412037</v>
      </c>
      <c r="H685" s="17" t="n">
        <v>46290.4820023148</v>
      </c>
      <c r="I685" s="18" t="n">
        <f aca="false">IF(H685="",ROUND((تنظیمات!$B$7-G685)*1440,0),ROUND((H685-G685)*1440,0))</f>
        <v>7</v>
      </c>
      <c r="J685" s="16" t="s">
        <v>334</v>
      </c>
      <c r="K685" s="16" t="s">
        <v>400</v>
      </c>
      <c r="L685" s="19" t="n">
        <v>0.995</v>
      </c>
      <c r="M685" s="19" t="n">
        <v>0.995</v>
      </c>
      <c r="N685" s="16" t="s">
        <v>335</v>
      </c>
      <c r="O685" s="16" t="s">
        <v>666</v>
      </c>
      <c r="P685" s="16" t="s">
        <v>402</v>
      </c>
      <c r="Q685" s="20" t="n">
        <v>46290</v>
      </c>
      <c r="R685" s="16" t="s">
        <v>2457</v>
      </c>
      <c r="S685" s="16" t="s">
        <v>404</v>
      </c>
      <c r="T685" s="17"/>
      <c r="U685" s="21" t="n">
        <v>1</v>
      </c>
      <c r="V685" s="21" t="n">
        <v>1</v>
      </c>
      <c r="W685" s="22" t="n">
        <v>6.2</v>
      </c>
      <c r="X685" s="16" t="s">
        <v>335</v>
      </c>
      <c r="Y685" s="16" t="s">
        <v>338</v>
      </c>
      <c r="Z685" s="16" t="s">
        <v>628</v>
      </c>
      <c r="AA685" s="16"/>
      <c r="AB685" s="23"/>
      <c r="AC685" s="17"/>
      <c r="AD685" s="16" t="s">
        <v>338</v>
      </c>
      <c r="AE685" s="16"/>
      <c r="AF685" s="16" t="str">
        <f aca="false">IF(COUNTIF(لیست_سفید!$A$2:$A$21,B685)&gt;0,"بله","خیر")</f>
        <v>خیر</v>
      </c>
      <c r="AG685" s="24" t="n">
        <f aca="false">IF(H685="","",IF(AD685="فیش مفقودی",تنظیمات!$B$6,(INT(I685/1440)*تنظیمات!$B$5+IF(MOD(I685,1440)&lt;=تنظیمات!$B$2,0,MIN(تنظیمات!$B$5,تنظیمات!$B$3+MAX(0,ROUNDUP((MOD(I685,1440)-60)/60,0))*تنظیمات!$B$4)))*INDEX(تعرفه!$B$2:$B$7,MATCH(AD685,تعرفه!$A$2:$A$7,0))))</f>
        <v>0</v>
      </c>
      <c r="AH685" s="24" t="n">
        <v>0</v>
      </c>
      <c r="AI685" s="24" t="n">
        <f aca="false">IF(AG685="","",AH685-AG685)</f>
        <v>0</v>
      </c>
      <c r="AJ685" s="21" t="n">
        <v>1</v>
      </c>
      <c r="AK685" s="21" t="n">
        <v>0</v>
      </c>
      <c r="AL685" s="16" t="s">
        <v>335</v>
      </c>
      <c r="AM685" s="16"/>
      <c r="AN685" s="16" t="s">
        <v>340</v>
      </c>
      <c r="AO685" s="16" t="s">
        <v>340</v>
      </c>
      <c r="AP685" s="16" t="s">
        <v>335</v>
      </c>
      <c r="AQ685" s="16"/>
      <c r="AR685" s="21" t="n">
        <f aca="false">IF(AND(T685&lt;&gt;"",H685&lt;&gt;""),IF(AND((T685-H685)*86400&gt;=0,(T685-H685)*86400&lt;تنظیمات!$B$13),1,0),0)</f>
        <v>0</v>
      </c>
      <c r="AS685" s="21" t="n">
        <f aca="false">IF(Z685="پوز",IF(OR(AB685="",COUNTIF(پوزها!$A$2:$A$5,AA685)=0),1,0),0)</f>
        <v>0</v>
      </c>
      <c r="AT685" s="21" t="n">
        <f aca="false">IF(AI685="",0,IF(AI685&gt;0,1,0))</f>
        <v>0</v>
      </c>
      <c r="AU685" s="21" t="n">
        <f aca="false">IF(AI685="",0,IF(AI685&lt;0,1,0))</f>
        <v>0</v>
      </c>
      <c r="AV685" s="21" t="n">
        <f aca="false">IF(U685&gt;V685,1,0)</f>
        <v>0</v>
      </c>
      <c r="AW685" s="21" t="n">
        <f aca="false">IF(OR(W685&gt;تنظیمات!$B$8,X685="بله"),1,0)</f>
        <v>0</v>
      </c>
      <c r="AX685" s="21" t="n">
        <f aca="false">IF(AND(N685="بله",L685&gt;تنظیمات!$B$9),1,0)</f>
        <v>0</v>
      </c>
      <c r="AY685" s="21" t="n">
        <f aca="false">IF(Y685="معکوس",1,0)</f>
        <v>0</v>
      </c>
      <c r="AZ685" s="21" t="n">
        <f aca="false">IF(ABS(AJ685)&gt;تنظیمات!$B$10,1,0)</f>
        <v>0</v>
      </c>
      <c r="BA685" s="21" t="n">
        <f aca="false">IF(AND(OR(AD685="رایگان/VIP",AD685="جانباز"),AF685="خیر"),1,0)</f>
        <v>0</v>
      </c>
      <c r="BB685" s="21" t="n">
        <f aca="false">IF(AE685="",0,IF(COUNTIF($AE$2:$AE$1001,AE685)&gt;1,1,0))</f>
        <v>0</v>
      </c>
      <c r="BC685" s="21" t="n">
        <f aca="false">IF(AND(H685="",I685&gt;تنظیمات!$B$12*60,AM685="خالی"),1,0)</f>
        <v>0</v>
      </c>
      <c r="BD685" s="21" t="n">
        <f aca="false">IF(AND(AP685="بله",I685&lt;تنظیمات!$B$14,AO685="خیر"),1,0)</f>
        <v>0</v>
      </c>
      <c r="BE685" s="21" t="n">
        <f aca="false">IF(AN685="خیر",1,0)</f>
        <v>0</v>
      </c>
      <c r="BF685" s="21" t="n">
        <f aca="false">IF(AND(AD685="فیش مفقودی",AQ685="بله",I685&gt;تنظیمات!$B$12*60),1,0)</f>
        <v>0</v>
      </c>
      <c r="BG685" s="21" t="n">
        <f aca="false">IF(AND(AK685&gt;تنظیمات!$B$11,AL685="بله"),1,0)</f>
        <v>0</v>
      </c>
      <c r="BH685" s="21" t="n">
        <f aca="false">MIN(100,AR685*تنظیمات!$B$21+AS685*تنظیمات!$B$22+AT685*تنظیمات!$B$23+AU685*تنظیمات!$B$24+AV685*تنظیمات!$B$25+AW685*تنظیمات!$B$26+AX685*تنظیمات!$B$27+AY685*تنظیمات!$B$28+AZ685*تنظیمات!$B$29+BA685*تنظیمات!$B$30+BB685*تنظیمات!$B$31+BC685*تنظیمات!$B$32+BD685*تنظیمات!$B$33+BE685*تنظیمات!$B$34+BF685*تنظیمات!$B$35+BG685*تنظیمات!$B$36)</f>
        <v>0</v>
      </c>
      <c r="BI685" s="16" t="str">
        <f aca="false">IF(BH685&gt;=60,"بحرانی",IF(BH685&gt;=30,"مشکوک",IF(BH685&gt;0,"هشدار","عادی")))</f>
        <v>عادی</v>
      </c>
      <c r="BJ685" s="16" t="s">
        <v>629</v>
      </c>
    </row>
    <row r="686" customFormat="false" ht="15" hidden="false" customHeight="false" outlineLevel="0" collapsed="false">
      <c r="A686" s="16" t="s">
        <v>2458</v>
      </c>
      <c r="B686" s="16" t="s">
        <v>996</v>
      </c>
      <c r="C686" s="16"/>
      <c r="D686" s="16" t="s">
        <v>370</v>
      </c>
      <c r="E686" s="16" t="s">
        <v>345</v>
      </c>
      <c r="F686" s="16" t="s">
        <v>333</v>
      </c>
      <c r="G686" s="17" t="n">
        <v>46290.5035648148</v>
      </c>
      <c r="H686" s="17" t="n">
        <v>46290.6375925926</v>
      </c>
      <c r="I686" s="18" t="n">
        <f aca="false">IF(H686="",ROUND((تنظیمات!$B$7-G686)*1440,0),ROUND((H686-G686)*1440,0))</f>
        <v>193</v>
      </c>
      <c r="J686" s="16" t="s">
        <v>334</v>
      </c>
      <c r="K686" s="16" t="s">
        <v>400</v>
      </c>
      <c r="L686" s="19" t="n">
        <v>0.97</v>
      </c>
      <c r="M686" s="19" t="n">
        <v>0.947</v>
      </c>
      <c r="N686" s="16" t="s">
        <v>335</v>
      </c>
      <c r="O686" s="16" t="s">
        <v>425</v>
      </c>
      <c r="P686" s="16" t="s">
        <v>420</v>
      </c>
      <c r="Q686" s="20" t="n">
        <v>46290</v>
      </c>
      <c r="R686" s="16" t="s">
        <v>2459</v>
      </c>
      <c r="S686" s="16" t="s">
        <v>404</v>
      </c>
      <c r="T686" s="17"/>
      <c r="U686" s="21" t="n">
        <v>1</v>
      </c>
      <c r="V686" s="21" t="n">
        <v>1</v>
      </c>
      <c r="W686" s="22" t="n">
        <v>5.4</v>
      </c>
      <c r="X686" s="16" t="s">
        <v>335</v>
      </c>
      <c r="Y686" s="16" t="s">
        <v>338</v>
      </c>
      <c r="Z686" s="16" t="s">
        <v>413</v>
      </c>
      <c r="AA686" s="16" t="s">
        <v>427</v>
      </c>
      <c r="AB686" s="23" t="s">
        <v>2460</v>
      </c>
      <c r="AC686" s="17" t="n">
        <v>46290.6371643519</v>
      </c>
      <c r="AD686" s="16" t="s">
        <v>338</v>
      </c>
      <c r="AE686" s="16"/>
      <c r="AF686" s="16" t="str">
        <f aca="false">IF(COUNTIF(لیست_سفید!$A$2:$A$21,B686)&gt;0,"بله","خیر")</f>
        <v>خیر</v>
      </c>
      <c r="AG686" s="24" t="n">
        <f aca="false">IF(H686="","",IF(AD686="فیش مفقودی",تنظیمات!$B$6,(INT(I686/1440)*تنظیمات!$B$5+IF(MOD(I686,1440)&lt;=تنظیمات!$B$2,0,MIN(تنظیمات!$B$5,تنظیمات!$B$3+MAX(0,ROUNDUP((MOD(I686,1440)-60)/60,0))*تنظیمات!$B$4)))*INDEX(تعرفه!$B$2:$B$7,MATCH(AD686,تعرفه!$A$2:$A$7,0))))</f>
        <v>62000</v>
      </c>
      <c r="AH686" s="24" t="n">
        <v>62000</v>
      </c>
      <c r="AI686" s="24" t="n">
        <f aca="false">IF(AG686="","",AH686-AG686)</f>
        <v>0</v>
      </c>
      <c r="AJ686" s="21" t="n">
        <v>-1</v>
      </c>
      <c r="AK686" s="21" t="n">
        <v>0</v>
      </c>
      <c r="AL686" s="16" t="s">
        <v>335</v>
      </c>
      <c r="AM686" s="16"/>
      <c r="AN686" s="16" t="s">
        <v>340</v>
      </c>
      <c r="AO686" s="16" t="s">
        <v>340</v>
      </c>
      <c r="AP686" s="16" t="s">
        <v>335</v>
      </c>
      <c r="AQ686" s="16"/>
      <c r="AR686" s="21" t="n">
        <f aca="false">IF(AND(T686&lt;&gt;"",H686&lt;&gt;""),IF(AND((T686-H686)*86400&gt;=0,(T686-H686)*86400&lt;تنظیمات!$B$13),1,0),0)</f>
        <v>0</v>
      </c>
      <c r="AS686" s="21" t="n">
        <f aca="false">IF(Z686="پوز",IF(OR(AB686="",COUNTIF(پوزها!$A$2:$A$5,AA686)=0),1,0),0)</f>
        <v>0</v>
      </c>
      <c r="AT686" s="21" t="n">
        <f aca="false">IF(AI686="",0,IF(AI686&gt;0,1,0))</f>
        <v>0</v>
      </c>
      <c r="AU686" s="21" t="n">
        <f aca="false">IF(AI686="",0,IF(AI686&lt;0,1,0))</f>
        <v>0</v>
      </c>
      <c r="AV686" s="21" t="n">
        <f aca="false">IF(U686&gt;V686,1,0)</f>
        <v>0</v>
      </c>
      <c r="AW686" s="21" t="n">
        <f aca="false">IF(OR(W686&gt;تنظیمات!$B$8,X686="بله"),1,0)</f>
        <v>0</v>
      </c>
      <c r="AX686" s="21" t="n">
        <f aca="false">IF(AND(N686="بله",L686&gt;تنظیمات!$B$9),1,0)</f>
        <v>0</v>
      </c>
      <c r="AY686" s="21" t="n">
        <f aca="false">IF(Y686="معکوس",1,0)</f>
        <v>0</v>
      </c>
      <c r="AZ686" s="21" t="n">
        <f aca="false">IF(ABS(AJ686)&gt;تنظیمات!$B$10,1,0)</f>
        <v>0</v>
      </c>
      <c r="BA686" s="21" t="n">
        <f aca="false">IF(AND(OR(AD686="رایگان/VIP",AD686="جانباز"),AF686="خیر"),1,0)</f>
        <v>0</v>
      </c>
      <c r="BB686" s="21" t="n">
        <f aca="false">IF(AE686="",0,IF(COUNTIF($AE$2:$AE$1001,AE686)&gt;1,1,0))</f>
        <v>0</v>
      </c>
      <c r="BC686" s="21" t="n">
        <f aca="false">IF(AND(H686="",I686&gt;تنظیمات!$B$12*60,AM686="خالی"),1,0)</f>
        <v>0</v>
      </c>
      <c r="BD686" s="21" t="n">
        <f aca="false">IF(AND(AP686="بله",I686&lt;تنظیمات!$B$14,AO686="خیر"),1,0)</f>
        <v>0</v>
      </c>
      <c r="BE686" s="21" t="n">
        <f aca="false">IF(AN686="خیر",1,0)</f>
        <v>0</v>
      </c>
      <c r="BF686" s="21" t="n">
        <f aca="false">IF(AND(AD686="فیش مفقودی",AQ686="بله",I686&gt;تنظیمات!$B$12*60),1,0)</f>
        <v>0</v>
      </c>
      <c r="BG686" s="21" t="n">
        <f aca="false">IF(AND(AK686&gt;تنظیمات!$B$11,AL686="بله"),1,0)</f>
        <v>0</v>
      </c>
      <c r="BH686" s="21" t="n">
        <f aca="false">MIN(100,AR686*تنظیمات!$B$21+AS686*تنظیمات!$B$22+AT686*تنظیمات!$B$23+AU686*تنظیمات!$B$24+AV686*تنظیمات!$B$25+AW686*تنظیمات!$B$26+AX686*تنظیمات!$B$27+AY686*تنظیمات!$B$28+AZ686*تنظیمات!$B$29+BA686*تنظیمات!$B$30+BB686*تنظیمات!$B$31+BC686*تنظیمات!$B$32+BD686*تنظیمات!$B$33+BE686*تنظیمات!$B$34+BF686*تنظیمات!$B$35+BG686*تنظیمات!$B$36)</f>
        <v>0</v>
      </c>
      <c r="BI686" s="16" t="str">
        <f aca="false">IF(BH686&gt;=60,"بحرانی",IF(BH686&gt;=30,"مشکوک",IF(BH686&gt;0,"هشدار","عادی")))</f>
        <v>عادی</v>
      </c>
      <c r="BJ686" s="16" t="s">
        <v>338</v>
      </c>
    </row>
    <row r="687" customFormat="false" ht="15" hidden="false" customHeight="false" outlineLevel="0" collapsed="false">
      <c r="A687" s="16" t="s">
        <v>2461</v>
      </c>
      <c r="B687" s="16" t="s">
        <v>1674</v>
      </c>
      <c r="C687" s="16"/>
      <c r="D687" s="16" t="s">
        <v>386</v>
      </c>
      <c r="E687" s="16" t="s">
        <v>375</v>
      </c>
      <c r="F687" s="16" t="s">
        <v>333</v>
      </c>
      <c r="G687" s="17" t="n">
        <v>46290.5162731482</v>
      </c>
      <c r="H687" s="17" t="n">
        <v>46290.8378009259</v>
      </c>
      <c r="I687" s="18" t="n">
        <f aca="false">IF(H687="",ROUND((تنظیمات!$B$7-G687)*1440,0),ROUND((H687-G687)*1440,0))</f>
        <v>463</v>
      </c>
      <c r="J687" s="16" t="s">
        <v>334</v>
      </c>
      <c r="K687" s="16" t="s">
        <v>400</v>
      </c>
      <c r="L687" s="19" t="n">
        <v>0.937</v>
      </c>
      <c r="M687" s="19" t="n">
        <v>0.932</v>
      </c>
      <c r="N687" s="16" t="s">
        <v>335</v>
      </c>
      <c r="O687" s="16" t="s">
        <v>425</v>
      </c>
      <c r="P687" s="16" t="s">
        <v>420</v>
      </c>
      <c r="Q687" s="20" t="n">
        <v>46290</v>
      </c>
      <c r="R687" s="16" t="s">
        <v>2462</v>
      </c>
      <c r="S687" s="16" t="s">
        <v>404</v>
      </c>
      <c r="T687" s="17"/>
      <c r="U687" s="21" t="n">
        <v>1</v>
      </c>
      <c r="V687" s="21" t="n">
        <v>1</v>
      </c>
      <c r="W687" s="22" t="n">
        <v>3.9</v>
      </c>
      <c r="X687" s="16" t="s">
        <v>335</v>
      </c>
      <c r="Y687" s="16" t="s">
        <v>338</v>
      </c>
      <c r="Z687" s="16" t="s">
        <v>465</v>
      </c>
      <c r="AA687" s="16"/>
      <c r="AB687" s="23"/>
      <c r="AC687" s="17"/>
      <c r="AD687" s="16" t="s">
        <v>466</v>
      </c>
      <c r="AE687" s="16"/>
      <c r="AF687" s="16" t="str">
        <f aca="false">IF(COUNTIF(لیست_سفید!$A$2:$A$21,B687)&gt;0,"بله","خیر")</f>
        <v>بله</v>
      </c>
      <c r="AG687" s="24" t="n">
        <f aca="false">IF(H687="","",IF(AD687="فیش مفقودی",تنظیمات!$B$6,(INT(I687/1440)*تنظیمات!$B$5+IF(MOD(I687,1440)&lt;=تنظیمات!$B$2,0,MIN(تنظیمات!$B$5,تنظیمات!$B$3+MAX(0,ROUNDUP((MOD(I687,1440)-60)/60,0))*تنظیمات!$B$4)))*INDEX(تعرفه!$B$2:$B$7,MATCH(AD687,تعرفه!$A$2:$A$7,0))))</f>
        <v>0</v>
      </c>
      <c r="AH687" s="24" t="n">
        <v>0</v>
      </c>
      <c r="AI687" s="24" t="n">
        <f aca="false">IF(AG687="","",AH687-AG687)</f>
        <v>0</v>
      </c>
      <c r="AJ687" s="21" t="n">
        <v>1</v>
      </c>
      <c r="AK687" s="21" t="n">
        <v>0</v>
      </c>
      <c r="AL687" s="16" t="s">
        <v>335</v>
      </c>
      <c r="AM687" s="16"/>
      <c r="AN687" s="16" t="s">
        <v>340</v>
      </c>
      <c r="AO687" s="16" t="s">
        <v>340</v>
      </c>
      <c r="AP687" s="16" t="s">
        <v>335</v>
      </c>
      <c r="AQ687" s="16"/>
      <c r="AR687" s="21" t="n">
        <f aca="false">IF(AND(T687&lt;&gt;"",H687&lt;&gt;""),IF(AND((T687-H687)*86400&gt;=0,(T687-H687)*86400&lt;تنظیمات!$B$13),1,0),0)</f>
        <v>0</v>
      </c>
      <c r="AS687" s="21" t="n">
        <f aca="false">IF(Z687="پوز",IF(OR(AB687="",COUNTIF(پوزها!$A$2:$A$5,AA687)=0),1,0),0)</f>
        <v>0</v>
      </c>
      <c r="AT687" s="21" t="n">
        <f aca="false">IF(AI687="",0,IF(AI687&gt;0,1,0))</f>
        <v>0</v>
      </c>
      <c r="AU687" s="21" t="n">
        <f aca="false">IF(AI687="",0,IF(AI687&lt;0,1,0))</f>
        <v>0</v>
      </c>
      <c r="AV687" s="21" t="n">
        <f aca="false">IF(U687&gt;V687,1,0)</f>
        <v>0</v>
      </c>
      <c r="AW687" s="21" t="n">
        <f aca="false">IF(OR(W687&gt;تنظیمات!$B$8,X687="بله"),1,0)</f>
        <v>0</v>
      </c>
      <c r="AX687" s="21" t="n">
        <f aca="false">IF(AND(N687="بله",L687&gt;تنظیمات!$B$9),1,0)</f>
        <v>0</v>
      </c>
      <c r="AY687" s="21" t="n">
        <f aca="false">IF(Y687="معکوس",1,0)</f>
        <v>0</v>
      </c>
      <c r="AZ687" s="21" t="n">
        <f aca="false">IF(ABS(AJ687)&gt;تنظیمات!$B$10,1,0)</f>
        <v>0</v>
      </c>
      <c r="BA687" s="21" t="n">
        <f aca="false">IF(AND(OR(AD687="رایگان/VIP",AD687="جانباز"),AF687="خیر"),1,0)</f>
        <v>0</v>
      </c>
      <c r="BB687" s="21" t="n">
        <f aca="false">IF(AE687="",0,IF(COUNTIF($AE$2:$AE$1001,AE687)&gt;1,1,0))</f>
        <v>0</v>
      </c>
      <c r="BC687" s="21" t="n">
        <f aca="false">IF(AND(H687="",I687&gt;تنظیمات!$B$12*60,AM687="خالی"),1,0)</f>
        <v>0</v>
      </c>
      <c r="BD687" s="21" t="n">
        <f aca="false">IF(AND(AP687="بله",I687&lt;تنظیمات!$B$14,AO687="خیر"),1,0)</f>
        <v>0</v>
      </c>
      <c r="BE687" s="21" t="n">
        <f aca="false">IF(AN687="خیر",1,0)</f>
        <v>0</v>
      </c>
      <c r="BF687" s="21" t="n">
        <f aca="false">IF(AND(AD687="فیش مفقودی",AQ687="بله",I687&gt;تنظیمات!$B$12*60),1,0)</f>
        <v>0</v>
      </c>
      <c r="BG687" s="21" t="n">
        <f aca="false">IF(AND(AK687&gt;تنظیمات!$B$11,AL687="بله"),1,0)</f>
        <v>0</v>
      </c>
      <c r="BH687" s="21" t="n">
        <f aca="false">MIN(100,AR687*تنظیمات!$B$21+AS687*تنظیمات!$B$22+AT687*تنظیمات!$B$23+AU687*تنظیمات!$B$24+AV687*تنظیمات!$B$25+AW687*تنظیمات!$B$26+AX687*تنظیمات!$B$27+AY687*تنظیمات!$B$28+AZ687*تنظیمات!$B$29+BA687*تنظیمات!$B$30+BB687*تنظیمات!$B$31+BC687*تنظیمات!$B$32+BD687*تنظیمات!$B$33+BE687*تنظیمات!$B$34+BF687*تنظیمات!$B$35+BG687*تنظیمات!$B$36)</f>
        <v>0</v>
      </c>
      <c r="BI687" s="16" t="str">
        <f aca="false">IF(BH687&gt;=60,"بحرانی",IF(BH687&gt;=30,"مشکوک",IF(BH687&gt;0,"هشدار","عادی")))</f>
        <v>عادی</v>
      </c>
      <c r="BJ687" s="16" t="s">
        <v>338</v>
      </c>
    </row>
    <row r="688" customFormat="false" ht="15" hidden="false" customHeight="false" outlineLevel="0" collapsed="false">
      <c r="A688" s="16" t="s">
        <v>2463</v>
      </c>
      <c r="B688" s="16" t="s">
        <v>788</v>
      </c>
      <c r="C688" s="16" t="s">
        <v>2464</v>
      </c>
      <c r="D688" s="16" t="s">
        <v>508</v>
      </c>
      <c r="E688" s="16" t="s">
        <v>332</v>
      </c>
      <c r="F688" s="16" t="s">
        <v>333</v>
      </c>
      <c r="G688" s="17" t="n">
        <v>46290.5163078704</v>
      </c>
      <c r="H688" s="17" t="n">
        <v>46290.532974537</v>
      </c>
      <c r="I688" s="18" t="n">
        <f aca="false">IF(H688="",ROUND((تنظیمات!$B$7-G688)*1440,0),ROUND((H688-G688)*1440,0))</f>
        <v>24</v>
      </c>
      <c r="J688" s="16" t="s">
        <v>334</v>
      </c>
      <c r="K688" s="16" t="s">
        <v>400</v>
      </c>
      <c r="L688" s="19" t="n">
        <v>0.943</v>
      </c>
      <c r="M688" s="19" t="n">
        <v>0.909</v>
      </c>
      <c r="N688" s="16" t="s">
        <v>340</v>
      </c>
      <c r="O688" s="16" t="s">
        <v>666</v>
      </c>
      <c r="P688" s="16" t="s">
        <v>402</v>
      </c>
      <c r="Q688" s="20" t="n">
        <v>46290</v>
      </c>
      <c r="R688" s="16" t="s">
        <v>2465</v>
      </c>
      <c r="S688" s="16" t="s">
        <v>404</v>
      </c>
      <c r="T688" s="17"/>
      <c r="U688" s="21" t="n">
        <v>1</v>
      </c>
      <c r="V688" s="21" t="n">
        <v>1</v>
      </c>
      <c r="W688" s="22" t="n">
        <v>5.4</v>
      </c>
      <c r="X688" s="16" t="s">
        <v>335</v>
      </c>
      <c r="Y688" s="16" t="s">
        <v>338</v>
      </c>
      <c r="Z688" s="16" t="s">
        <v>405</v>
      </c>
      <c r="AA688" s="16"/>
      <c r="AB688" s="23"/>
      <c r="AC688" s="17"/>
      <c r="AD688" s="16" t="s">
        <v>338</v>
      </c>
      <c r="AE688" s="16"/>
      <c r="AF688" s="16" t="str">
        <f aca="false">IF(COUNTIF(لیست_سفید!$A$2:$A$21,B688)&gt;0,"بله","خیر")</f>
        <v>خیر</v>
      </c>
      <c r="AG688" s="24" t="n">
        <f aca="false">IF(H688="","",IF(AD688="فیش مفقودی",تنظیمات!$B$6,(INT(I688/1440)*تنظیمات!$B$5+IF(MOD(I688,1440)&lt;=تنظیمات!$B$2,0,MIN(تنظیمات!$B$5,تنظیمات!$B$3+MAX(0,ROUNDUP((MOD(I688,1440)-60)/60,0))*تنظیمات!$B$4)))*INDEX(تعرفه!$B$2:$B$7,MATCH(AD688,تعرفه!$A$2:$A$7,0))))</f>
        <v>20000</v>
      </c>
      <c r="AH688" s="24" t="n">
        <v>20000</v>
      </c>
      <c r="AI688" s="24" t="n">
        <f aca="false">IF(AG688="","",AH688-AG688)</f>
        <v>0</v>
      </c>
      <c r="AJ688" s="21" t="n">
        <v>1</v>
      </c>
      <c r="AK688" s="21" t="n">
        <v>0</v>
      </c>
      <c r="AL688" s="16" t="s">
        <v>335</v>
      </c>
      <c r="AM688" s="16"/>
      <c r="AN688" s="16" t="s">
        <v>340</v>
      </c>
      <c r="AO688" s="16" t="s">
        <v>340</v>
      </c>
      <c r="AP688" s="16" t="s">
        <v>335</v>
      </c>
      <c r="AQ688" s="16"/>
      <c r="AR688" s="21" t="n">
        <f aca="false">IF(AND(T688&lt;&gt;"",H688&lt;&gt;""),IF(AND((T688-H688)*86400&gt;=0,(T688-H688)*86400&lt;تنظیمات!$B$13),1,0),0)</f>
        <v>0</v>
      </c>
      <c r="AS688" s="21" t="n">
        <f aca="false">IF(Z688="پوز",IF(OR(AB688="",COUNTIF(پوزها!$A$2:$A$5,AA688)=0),1,0),0)</f>
        <v>0</v>
      </c>
      <c r="AT688" s="21" t="n">
        <f aca="false">IF(AI688="",0,IF(AI688&gt;0,1,0))</f>
        <v>0</v>
      </c>
      <c r="AU688" s="21" t="n">
        <f aca="false">IF(AI688="",0,IF(AI688&lt;0,1,0))</f>
        <v>0</v>
      </c>
      <c r="AV688" s="21" t="n">
        <f aca="false">IF(U688&gt;V688,1,0)</f>
        <v>0</v>
      </c>
      <c r="AW688" s="21" t="n">
        <f aca="false">IF(OR(W688&gt;تنظیمات!$B$8,X688="بله"),1,0)</f>
        <v>0</v>
      </c>
      <c r="AX688" s="21" t="n">
        <f aca="false">IF(AND(N688="بله",L688&gt;تنظیمات!$B$9),1,0)</f>
        <v>1</v>
      </c>
      <c r="AY688" s="21" t="n">
        <f aca="false">IF(Y688="معکوس",1,0)</f>
        <v>0</v>
      </c>
      <c r="AZ688" s="21" t="n">
        <f aca="false">IF(ABS(AJ688)&gt;تنظیمات!$B$10,1,0)</f>
        <v>0</v>
      </c>
      <c r="BA688" s="21" t="n">
        <f aca="false">IF(AND(OR(AD688="رایگان/VIP",AD688="جانباز"),AF688="خیر"),1,0)</f>
        <v>0</v>
      </c>
      <c r="BB688" s="21" t="n">
        <f aca="false">IF(AE688="",0,IF(COUNTIF($AE$2:$AE$1001,AE688)&gt;1,1,0))</f>
        <v>0</v>
      </c>
      <c r="BC688" s="21" t="n">
        <f aca="false">IF(AND(H688="",I688&gt;تنظیمات!$B$12*60,AM688="خالی"),1,0)</f>
        <v>0</v>
      </c>
      <c r="BD688" s="21" t="n">
        <f aca="false">IF(AND(AP688="بله",I688&lt;تنظیمات!$B$14,AO688="خیر"),1,0)</f>
        <v>0</v>
      </c>
      <c r="BE688" s="21" t="n">
        <f aca="false">IF(AN688="خیر",1,0)</f>
        <v>0</v>
      </c>
      <c r="BF688" s="21" t="n">
        <f aca="false">IF(AND(AD688="فیش مفقودی",AQ688="بله",I688&gt;تنظیمات!$B$12*60),1,0)</f>
        <v>0</v>
      </c>
      <c r="BG688" s="21" t="n">
        <f aca="false">IF(AND(AK688&gt;تنظیمات!$B$11,AL688="بله"),1,0)</f>
        <v>0</v>
      </c>
      <c r="BH688" s="21" t="n">
        <f aca="false">MIN(100,AR688*تنظیمات!$B$21+AS688*تنظیمات!$B$22+AT688*تنظیمات!$B$23+AU688*تنظیمات!$B$24+AV688*تنظیمات!$B$25+AW688*تنظیمات!$B$26+AX688*تنظیمات!$B$27+AY688*تنظیمات!$B$28+AZ688*تنظیمات!$B$29+BA688*تنظیمات!$B$30+BB688*تنظیمات!$B$31+BC688*تنظیمات!$B$32+BD688*تنظیمات!$B$33+BE688*تنظیمات!$B$34+BF688*تنظیمات!$B$35+BG688*تنظیمات!$B$36)</f>
        <v>30</v>
      </c>
      <c r="BI688" s="16" t="str">
        <f aca="false">IF(BH688&gt;=60,"بحرانی",IF(BH688&gt;=30,"مشکوک",IF(BH688&gt;0,"هشدار","عادی")))</f>
        <v>مشکوک</v>
      </c>
      <c r="BJ688" s="16" t="s">
        <v>622</v>
      </c>
    </row>
    <row r="689" customFormat="false" ht="15" hidden="false" customHeight="false" outlineLevel="0" collapsed="false">
      <c r="A689" s="16" t="s">
        <v>2466</v>
      </c>
      <c r="B689" s="16" t="s">
        <v>655</v>
      </c>
      <c r="C689" s="16"/>
      <c r="D689" s="16" t="s">
        <v>370</v>
      </c>
      <c r="E689" s="16" t="s">
        <v>363</v>
      </c>
      <c r="F689" s="16" t="s">
        <v>333</v>
      </c>
      <c r="G689" s="17" t="n">
        <v>46290.5231597222</v>
      </c>
      <c r="H689" s="17" t="n">
        <v>46290.6537152778</v>
      </c>
      <c r="I689" s="18" t="n">
        <f aca="false">IF(H689="",ROUND((تنظیمات!$B$7-G689)*1440,0),ROUND((H689-G689)*1440,0))</f>
        <v>188</v>
      </c>
      <c r="J689" s="16" t="s">
        <v>334</v>
      </c>
      <c r="K689" s="16" t="s">
        <v>410</v>
      </c>
      <c r="L689" s="19" t="n">
        <v>0.897</v>
      </c>
      <c r="M689" s="19" t="n">
        <v>0.926</v>
      </c>
      <c r="N689" s="16" t="s">
        <v>335</v>
      </c>
      <c r="O689" s="16" t="s">
        <v>441</v>
      </c>
      <c r="P689" s="16" t="s">
        <v>420</v>
      </c>
      <c r="Q689" s="20" t="n">
        <v>46290</v>
      </c>
      <c r="R689" s="16" t="s">
        <v>2467</v>
      </c>
      <c r="S689" s="16" t="s">
        <v>404</v>
      </c>
      <c r="T689" s="17"/>
      <c r="U689" s="21" t="n">
        <v>1</v>
      </c>
      <c r="V689" s="21" t="n">
        <v>1</v>
      </c>
      <c r="W689" s="22" t="n">
        <v>5.7</v>
      </c>
      <c r="X689" s="16" t="s">
        <v>335</v>
      </c>
      <c r="Y689" s="16" t="s">
        <v>338</v>
      </c>
      <c r="Z689" s="16" t="s">
        <v>405</v>
      </c>
      <c r="AA689" s="16"/>
      <c r="AB689" s="23"/>
      <c r="AC689" s="17"/>
      <c r="AD689" s="16" t="s">
        <v>338</v>
      </c>
      <c r="AE689" s="16"/>
      <c r="AF689" s="16" t="str">
        <f aca="false">IF(COUNTIF(لیست_سفید!$A$2:$A$21,B689)&gt;0,"بله","خیر")</f>
        <v>خیر</v>
      </c>
      <c r="AG689" s="24" t="n">
        <f aca="false">IF(H689="","",IF(AD689="فیش مفقودی",تنظیمات!$B$6,(INT(I689/1440)*تنظیمات!$B$5+IF(MOD(I689,1440)&lt;=تنظیمات!$B$2,0,MIN(تنظیمات!$B$5,تنظیمات!$B$3+MAX(0,ROUNDUP((MOD(I689,1440)-60)/60,0))*تنظیمات!$B$4)))*INDEX(تعرفه!$B$2:$B$7,MATCH(AD689,تعرفه!$A$2:$A$7,0))))</f>
        <v>62000</v>
      </c>
      <c r="AH689" s="24" t="n">
        <v>62000</v>
      </c>
      <c r="AI689" s="24" t="n">
        <f aca="false">IF(AG689="","",AH689-AG689)</f>
        <v>0</v>
      </c>
      <c r="AJ689" s="21" t="n">
        <v>-1</v>
      </c>
      <c r="AK689" s="21" t="n">
        <v>0</v>
      </c>
      <c r="AL689" s="16" t="s">
        <v>335</v>
      </c>
      <c r="AM689" s="16"/>
      <c r="AN689" s="16" t="s">
        <v>340</v>
      </c>
      <c r="AO689" s="16" t="s">
        <v>340</v>
      </c>
      <c r="AP689" s="16" t="s">
        <v>335</v>
      </c>
      <c r="AQ689" s="16"/>
      <c r="AR689" s="21" t="n">
        <f aca="false">IF(AND(T689&lt;&gt;"",H689&lt;&gt;""),IF(AND((T689-H689)*86400&gt;=0,(T689-H689)*86400&lt;تنظیمات!$B$13),1,0),0)</f>
        <v>0</v>
      </c>
      <c r="AS689" s="21" t="n">
        <f aca="false">IF(Z689="پوز",IF(OR(AB689="",COUNTIF(پوزها!$A$2:$A$5,AA689)=0),1,0),0)</f>
        <v>0</v>
      </c>
      <c r="AT689" s="21" t="n">
        <f aca="false">IF(AI689="",0,IF(AI689&gt;0,1,0))</f>
        <v>0</v>
      </c>
      <c r="AU689" s="21" t="n">
        <f aca="false">IF(AI689="",0,IF(AI689&lt;0,1,0))</f>
        <v>0</v>
      </c>
      <c r="AV689" s="21" t="n">
        <f aca="false">IF(U689&gt;V689,1,0)</f>
        <v>0</v>
      </c>
      <c r="AW689" s="21" t="n">
        <f aca="false">IF(OR(W689&gt;تنظیمات!$B$8,X689="بله"),1,0)</f>
        <v>0</v>
      </c>
      <c r="AX689" s="21" t="n">
        <f aca="false">IF(AND(N689="بله",L689&gt;تنظیمات!$B$9),1,0)</f>
        <v>0</v>
      </c>
      <c r="AY689" s="21" t="n">
        <f aca="false">IF(Y689="معکوس",1,0)</f>
        <v>0</v>
      </c>
      <c r="AZ689" s="21" t="n">
        <f aca="false">IF(ABS(AJ689)&gt;تنظیمات!$B$10,1,0)</f>
        <v>0</v>
      </c>
      <c r="BA689" s="21" t="n">
        <f aca="false">IF(AND(OR(AD689="رایگان/VIP",AD689="جانباز"),AF689="خیر"),1,0)</f>
        <v>0</v>
      </c>
      <c r="BB689" s="21" t="n">
        <f aca="false">IF(AE689="",0,IF(COUNTIF($AE$2:$AE$1001,AE689)&gt;1,1,0))</f>
        <v>0</v>
      </c>
      <c r="BC689" s="21" t="n">
        <f aca="false">IF(AND(H689="",I689&gt;تنظیمات!$B$12*60,AM689="خالی"),1,0)</f>
        <v>0</v>
      </c>
      <c r="BD689" s="21" t="n">
        <f aca="false">IF(AND(AP689="بله",I689&lt;تنظیمات!$B$14,AO689="خیر"),1,0)</f>
        <v>0</v>
      </c>
      <c r="BE689" s="21" t="n">
        <f aca="false">IF(AN689="خیر",1,0)</f>
        <v>0</v>
      </c>
      <c r="BF689" s="21" t="n">
        <f aca="false">IF(AND(AD689="فیش مفقودی",AQ689="بله",I689&gt;تنظیمات!$B$12*60),1,0)</f>
        <v>0</v>
      </c>
      <c r="BG689" s="21" t="n">
        <f aca="false">IF(AND(AK689&gt;تنظیمات!$B$11,AL689="بله"),1,0)</f>
        <v>0</v>
      </c>
      <c r="BH689" s="21" t="n">
        <f aca="false">MIN(100,AR689*تنظیمات!$B$21+AS689*تنظیمات!$B$22+AT689*تنظیمات!$B$23+AU689*تنظیمات!$B$24+AV689*تنظیمات!$B$25+AW689*تنظیمات!$B$26+AX689*تنظیمات!$B$27+AY689*تنظیمات!$B$28+AZ689*تنظیمات!$B$29+BA689*تنظیمات!$B$30+BB689*تنظیمات!$B$31+BC689*تنظیمات!$B$32+BD689*تنظیمات!$B$33+BE689*تنظیمات!$B$34+BF689*تنظیمات!$B$35+BG689*تنظیمات!$B$36)</f>
        <v>0</v>
      </c>
      <c r="BI689" s="16" t="str">
        <f aca="false">IF(BH689&gt;=60,"بحرانی",IF(BH689&gt;=30,"مشکوک",IF(BH689&gt;0,"هشدار","عادی")))</f>
        <v>عادی</v>
      </c>
      <c r="BJ689" s="16" t="s">
        <v>338</v>
      </c>
    </row>
    <row r="690" customFormat="false" ht="15" hidden="false" customHeight="false" outlineLevel="0" collapsed="false">
      <c r="A690" s="16" t="s">
        <v>2468</v>
      </c>
      <c r="B690" s="16" t="s">
        <v>349</v>
      </c>
      <c r="C690" s="16"/>
      <c r="D690" s="16" t="s">
        <v>350</v>
      </c>
      <c r="E690" s="16" t="s">
        <v>351</v>
      </c>
      <c r="F690" s="16" t="s">
        <v>333</v>
      </c>
      <c r="G690" s="17" t="n">
        <v>46290.5277314815</v>
      </c>
      <c r="H690" s="17" t="n">
        <v>46290.7360648148</v>
      </c>
      <c r="I690" s="18" t="n">
        <f aca="false">IF(H690="",ROUND((تنظیمات!$B$7-G690)*1440,0),ROUND((H690-G690)*1440,0))</f>
        <v>300</v>
      </c>
      <c r="J690" s="16" t="s">
        <v>334</v>
      </c>
      <c r="K690" s="16" t="s">
        <v>410</v>
      </c>
      <c r="L690" s="19" t="n">
        <v>0.928</v>
      </c>
      <c r="M690" s="19" t="n">
        <v>0.987</v>
      </c>
      <c r="N690" s="16" t="s">
        <v>335</v>
      </c>
      <c r="O690" s="16" t="s">
        <v>441</v>
      </c>
      <c r="P690" s="16" t="s">
        <v>420</v>
      </c>
      <c r="Q690" s="20" t="n">
        <v>46290</v>
      </c>
      <c r="R690" s="16" t="s">
        <v>2469</v>
      </c>
      <c r="S690" s="16" t="s">
        <v>404</v>
      </c>
      <c r="T690" s="17"/>
      <c r="U690" s="21" t="n">
        <v>1</v>
      </c>
      <c r="V690" s="21" t="n">
        <v>1</v>
      </c>
      <c r="W690" s="22" t="n">
        <v>4.1</v>
      </c>
      <c r="X690" s="16" t="s">
        <v>335</v>
      </c>
      <c r="Y690" s="16" t="s">
        <v>338</v>
      </c>
      <c r="Z690" s="16" t="s">
        <v>405</v>
      </c>
      <c r="AA690" s="16"/>
      <c r="AB690" s="23"/>
      <c r="AC690" s="17"/>
      <c r="AD690" s="16" t="s">
        <v>338</v>
      </c>
      <c r="AE690" s="16"/>
      <c r="AF690" s="16" t="str">
        <f aca="false">IF(COUNTIF(لیست_سفید!$A$2:$A$21,B690)&gt;0,"بله","خیر")</f>
        <v>خیر</v>
      </c>
      <c r="AG690" s="24" t="n">
        <f aca="false">IF(H690="","",IF(AD690="فیش مفقودی",تنظیمات!$B$6,(INT(I690/1440)*تنظیمات!$B$5+IF(MOD(I690,1440)&lt;=تنظیمات!$B$2,0,MIN(تنظیمات!$B$5,تنظیمات!$B$3+MAX(0,ROUNDUP((MOD(I690,1440)-60)/60,0))*تنظیمات!$B$4)))*INDEX(تعرفه!$B$2:$B$7,MATCH(AD690,تعرفه!$A$2:$A$7,0))))</f>
        <v>76000</v>
      </c>
      <c r="AH690" s="24" t="n">
        <v>76000</v>
      </c>
      <c r="AI690" s="24" t="n">
        <f aca="false">IF(AG690="","",AH690-AG690)</f>
        <v>0</v>
      </c>
      <c r="AJ690" s="21" t="n">
        <v>3</v>
      </c>
      <c r="AK690" s="21" t="n">
        <v>0</v>
      </c>
      <c r="AL690" s="16" t="s">
        <v>335</v>
      </c>
      <c r="AM690" s="16"/>
      <c r="AN690" s="16" t="s">
        <v>340</v>
      </c>
      <c r="AO690" s="16" t="s">
        <v>340</v>
      </c>
      <c r="AP690" s="16" t="s">
        <v>335</v>
      </c>
      <c r="AQ690" s="16"/>
      <c r="AR690" s="21" t="n">
        <f aca="false">IF(AND(T690&lt;&gt;"",H690&lt;&gt;""),IF(AND((T690-H690)*86400&gt;=0,(T690-H690)*86400&lt;تنظیمات!$B$13),1,0),0)</f>
        <v>0</v>
      </c>
      <c r="AS690" s="21" t="n">
        <f aca="false">IF(Z690="پوز",IF(OR(AB690="",COUNTIF(پوزها!$A$2:$A$5,AA690)=0),1,0),0)</f>
        <v>0</v>
      </c>
      <c r="AT690" s="21" t="n">
        <f aca="false">IF(AI690="",0,IF(AI690&gt;0,1,0))</f>
        <v>0</v>
      </c>
      <c r="AU690" s="21" t="n">
        <f aca="false">IF(AI690="",0,IF(AI690&lt;0,1,0))</f>
        <v>0</v>
      </c>
      <c r="AV690" s="21" t="n">
        <f aca="false">IF(U690&gt;V690,1,0)</f>
        <v>0</v>
      </c>
      <c r="AW690" s="21" t="n">
        <f aca="false">IF(OR(W690&gt;تنظیمات!$B$8,X690="بله"),1,0)</f>
        <v>0</v>
      </c>
      <c r="AX690" s="21" t="n">
        <f aca="false">IF(AND(N690="بله",L690&gt;تنظیمات!$B$9),1,0)</f>
        <v>0</v>
      </c>
      <c r="AY690" s="21" t="n">
        <f aca="false">IF(Y690="معکوس",1,0)</f>
        <v>0</v>
      </c>
      <c r="AZ690" s="21" t="n">
        <f aca="false">IF(ABS(AJ690)&gt;تنظیمات!$B$10,1,0)</f>
        <v>0</v>
      </c>
      <c r="BA690" s="21" t="n">
        <f aca="false">IF(AND(OR(AD690="رایگان/VIP",AD690="جانباز"),AF690="خیر"),1,0)</f>
        <v>0</v>
      </c>
      <c r="BB690" s="21" t="n">
        <f aca="false">IF(AE690="",0,IF(COUNTIF($AE$2:$AE$1001,AE690)&gt;1,1,0))</f>
        <v>0</v>
      </c>
      <c r="BC690" s="21" t="n">
        <f aca="false">IF(AND(H690="",I690&gt;تنظیمات!$B$12*60,AM690="خالی"),1,0)</f>
        <v>0</v>
      </c>
      <c r="BD690" s="21" t="n">
        <f aca="false">IF(AND(AP690="بله",I690&lt;تنظیمات!$B$14,AO690="خیر"),1,0)</f>
        <v>0</v>
      </c>
      <c r="BE690" s="21" t="n">
        <f aca="false">IF(AN690="خیر",1,0)</f>
        <v>0</v>
      </c>
      <c r="BF690" s="21" t="n">
        <f aca="false">IF(AND(AD690="فیش مفقودی",AQ690="بله",I690&gt;تنظیمات!$B$12*60),1,0)</f>
        <v>0</v>
      </c>
      <c r="BG690" s="21" t="n">
        <f aca="false">IF(AND(AK690&gt;تنظیمات!$B$11,AL690="بله"),1,0)</f>
        <v>0</v>
      </c>
      <c r="BH690" s="21" t="n">
        <f aca="false">MIN(100,AR690*تنظیمات!$B$21+AS690*تنظیمات!$B$22+AT690*تنظیمات!$B$23+AU690*تنظیمات!$B$24+AV690*تنظیمات!$B$25+AW690*تنظیمات!$B$26+AX690*تنظیمات!$B$27+AY690*تنظیمات!$B$28+AZ690*تنظیمات!$B$29+BA690*تنظیمات!$B$30+BB690*تنظیمات!$B$31+BC690*تنظیمات!$B$32+BD690*تنظیمات!$B$33+BE690*تنظیمات!$B$34+BF690*تنظیمات!$B$35+BG690*تنظیمات!$B$36)</f>
        <v>0</v>
      </c>
      <c r="BI690" s="16" t="str">
        <f aca="false">IF(BH690&gt;=60,"بحرانی",IF(BH690&gt;=30,"مشکوک",IF(BH690&gt;0,"هشدار","عادی")))</f>
        <v>عادی</v>
      </c>
      <c r="BJ690" s="16" t="s">
        <v>338</v>
      </c>
    </row>
    <row r="691" customFormat="false" ht="15" hidden="false" customHeight="false" outlineLevel="0" collapsed="false">
      <c r="A691" s="16" t="s">
        <v>2470</v>
      </c>
      <c r="B691" s="16" t="s">
        <v>709</v>
      </c>
      <c r="C691" s="16"/>
      <c r="D691" s="16" t="s">
        <v>440</v>
      </c>
      <c r="E691" s="16" t="s">
        <v>363</v>
      </c>
      <c r="F691" s="16" t="s">
        <v>359</v>
      </c>
      <c r="G691" s="17" t="n">
        <v>46290.5336574074</v>
      </c>
      <c r="H691" s="17" t="n">
        <v>46290.5649074074</v>
      </c>
      <c r="I691" s="18" t="n">
        <f aca="false">IF(H691="",ROUND((تنظیمات!$B$7-G691)*1440,0),ROUND((H691-G691)*1440,0))</f>
        <v>45</v>
      </c>
      <c r="J691" s="16" t="s">
        <v>346</v>
      </c>
      <c r="K691" s="16" t="s">
        <v>410</v>
      </c>
      <c r="L691" s="19" t="n">
        <v>0.872</v>
      </c>
      <c r="M691" s="19" t="n">
        <v>0.979</v>
      </c>
      <c r="N691" s="16" t="s">
        <v>335</v>
      </c>
      <c r="O691" s="16" t="s">
        <v>677</v>
      </c>
      <c r="P691" s="16" t="s">
        <v>402</v>
      </c>
      <c r="Q691" s="20" t="n">
        <v>46290</v>
      </c>
      <c r="R691" s="16" t="s">
        <v>2471</v>
      </c>
      <c r="S691" s="16" t="s">
        <v>404</v>
      </c>
      <c r="T691" s="17"/>
      <c r="U691" s="21" t="n">
        <v>1</v>
      </c>
      <c r="V691" s="21" t="n">
        <v>1</v>
      </c>
      <c r="W691" s="22" t="n">
        <v>7.9</v>
      </c>
      <c r="X691" s="16" t="s">
        <v>335</v>
      </c>
      <c r="Y691" s="16" t="s">
        <v>338</v>
      </c>
      <c r="Z691" s="16" t="s">
        <v>413</v>
      </c>
      <c r="AA691" s="16" t="s">
        <v>414</v>
      </c>
      <c r="AB691" s="23" t="s">
        <v>2472</v>
      </c>
      <c r="AC691" s="17" t="n">
        <v>46290.5646527778</v>
      </c>
      <c r="AD691" s="16" t="s">
        <v>338</v>
      </c>
      <c r="AE691" s="16"/>
      <c r="AF691" s="16" t="str">
        <f aca="false">IF(COUNTIF(لیست_سفید!$A$2:$A$21,B691)&gt;0,"بله","خیر")</f>
        <v>خیر</v>
      </c>
      <c r="AG691" s="24" t="n">
        <f aca="false">IF(H691="","",IF(AD691="فیش مفقودی",تنظیمات!$B$6,(INT(I691/1440)*تنظیمات!$B$5+IF(MOD(I691,1440)&lt;=تنظیمات!$B$2,0,MIN(تنظیمات!$B$5,تنظیمات!$B$3+MAX(0,ROUNDUP((MOD(I691,1440)-60)/60,0))*تنظیمات!$B$4)))*INDEX(تعرفه!$B$2:$B$7,MATCH(AD691,تعرفه!$A$2:$A$7,0))))</f>
        <v>20000</v>
      </c>
      <c r="AH691" s="24" t="n">
        <v>20000</v>
      </c>
      <c r="AI691" s="24" t="n">
        <f aca="false">IF(AG691="","",AH691-AG691)</f>
        <v>0</v>
      </c>
      <c r="AJ691" s="21" t="n">
        <v>0</v>
      </c>
      <c r="AK691" s="21" t="n">
        <v>0</v>
      </c>
      <c r="AL691" s="16" t="s">
        <v>335</v>
      </c>
      <c r="AM691" s="16"/>
      <c r="AN691" s="16" t="s">
        <v>340</v>
      </c>
      <c r="AO691" s="16" t="s">
        <v>340</v>
      </c>
      <c r="AP691" s="16" t="s">
        <v>335</v>
      </c>
      <c r="AQ691" s="16"/>
      <c r="AR691" s="21" t="n">
        <f aca="false">IF(AND(T691&lt;&gt;"",H691&lt;&gt;""),IF(AND((T691-H691)*86400&gt;=0,(T691-H691)*86400&lt;تنظیمات!$B$13),1,0),0)</f>
        <v>0</v>
      </c>
      <c r="AS691" s="21" t="n">
        <f aca="false">IF(Z691="پوز",IF(OR(AB691="",COUNTIF(پوزها!$A$2:$A$5,AA691)=0),1,0),0)</f>
        <v>0</v>
      </c>
      <c r="AT691" s="21" t="n">
        <f aca="false">IF(AI691="",0,IF(AI691&gt;0,1,0))</f>
        <v>0</v>
      </c>
      <c r="AU691" s="21" t="n">
        <f aca="false">IF(AI691="",0,IF(AI691&lt;0,1,0))</f>
        <v>0</v>
      </c>
      <c r="AV691" s="21" t="n">
        <f aca="false">IF(U691&gt;V691,1,0)</f>
        <v>0</v>
      </c>
      <c r="AW691" s="21" t="n">
        <f aca="false">IF(OR(W691&gt;تنظیمات!$B$8,X691="بله"),1,0)</f>
        <v>0</v>
      </c>
      <c r="AX691" s="21" t="n">
        <f aca="false">IF(AND(N691="بله",L691&gt;تنظیمات!$B$9),1,0)</f>
        <v>0</v>
      </c>
      <c r="AY691" s="21" t="n">
        <f aca="false">IF(Y691="معکوس",1,0)</f>
        <v>0</v>
      </c>
      <c r="AZ691" s="21" t="n">
        <f aca="false">IF(ABS(AJ691)&gt;تنظیمات!$B$10,1,0)</f>
        <v>0</v>
      </c>
      <c r="BA691" s="21" t="n">
        <f aca="false">IF(AND(OR(AD691="رایگان/VIP",AD691="جانباز"),AF691="خیر"),1,0)</f>
        <v>0</v>
      </c>
      <c r="BB691" s="21" t="n">
        <f aca="false">IF(AE691="",0,IF(COUNTIF($AE$2:$AE$1001,AE691)&gt;1,1,0))</f>
        <v>0</v>
      </c>
      <c r="BC691" s="21" t="n">
        <f aca="false">IF(AND(H691="",I691&gt;تنظیمات!$B$12*60,AM691="خالی"),1,0)</f>
        <v>0</v>
      </c>
      <c r="BD691" s="21" t="n">
        <f aca="false">IF(AND(AP691="بله",I691&lt;تنظیمات!$B$14,AO691="خیر"),1,0)</f>
        <v>0</v>
      </c>
      <c r="BE691" s="21" t="n">
        <f aca="false">IF(AN691="خیر",1,0)</f>
        <v>0</v>
      </c>
      <c r="BF691" s="21" t="n">
        <f aca="false">IF(AND(AD691="فیش مفقودی",AQ691="بله",I691&gt;تنظیمات!$B$12*60),1,0)</f>
        <v>0</v>
      </c>
      <c r="BG691" s="21" t="n">
        <f aca="false">IF(AND(AK691&gt;تنظیمات!$B$11,AL691="بله"),1,0)</f>
        <v>0</v>
      </c>
      <c r="BH691" s="21" t="n">
        <f aca="false">MIN(100,AR691*تنظیمات!$B$21+AS691*تنظیمات!$B$22+AT691*تنظیمات!$B$23+AU691*تنظیمات!$B$24+AV691*تنظیمات!$B$25+AW691*تنظیمات!$B$26+AX691*تنظیمات!$B$27+AY691*تنظیمات!$B$28+AZ691*تنظیمات!$B$29+BA691*تنظیمات!$B$30+BB691*تنظیمات!$B$31+BC691*تنظیمات!$B$32+BD691*تنظیمات!$B$33+BE691*تنظیمات!$B$34+BF691*تنظیمات!$B$35+BG691*تنظیمات!$B$36)</f>
        <v>0</v>
      </c>
      <c r="BI691" s="16" t="str">
        <f aca="false">IF(BH691&gt;=60,"بحرانی",IF(BH691&gt;=30,"مشکوک",IF(BH691&gt;0,"هشدار","عادی")))</f>
        <v>عادی</v>
      </c>
      <c r="BJ691" s="16" t="s">
        <v>338</v>
      </c>
    </row>
    <row r="692" customFormat="false" ht="15" hidden="false" customHeight="false" outlineLevel="0" collapsed="false">
      <c r="A692" s="16" t="s">
        <v>2473</v>
      </c>
      <c r="B692" s="16" t="s">
        <v>1065</v>
      </c>
      <c r="C692" s="16"/>
      <c r="D692" s="16" t="s">
        <v>344</v>
      </c>
      <c r="E692" s="16" t="s">
        <v>345</v>
      </c>
      <c r="F692" s="16" t="s">
        <v>333</v>
      </c>
      <c r="G692" s="17" t="n">
        <v>46290.5405208333</v>
      </c>
      <c r="H692" s="17" t="n">
        <v>46290.7703819444</v>
      </c>
      <c r="I692" s="18" t="n">
        <f aca="false">IF(H692="",ROUND((تنظیمات!$B$7-G692)*1440,0),ROUND((H692-G692)*1440,0))</f>
        <v>331</v>
      </c>
      <c r="J692" s="16" t="s">
        <v>334</v>
      </c>
      <c r="K692" s="16" t="s">
        <v>410</v>
      </c>
      <c r="L692" s="19" t="n">
        <v>0.91</v>
      </c>
      <c r="M692" s="19" t="n">
        <v>0.927</v>
      </c>
      <c r="N692" s="16" t="s">
        <v>335</v>
      </c>
      <c r="O692" s="16" t="s">
        <v>441</v>
      </c>
      <c r="P692" s="16" t="s">
        <v>420</v>
      </c>
      <c r="Q692" s="20" t="n">
        <v>46290</v>
      </c>
      <c r="R692" s="16" t="s">
        <v>2474</v>
      </c>
      <c r="S692" s="16" t="s">
        <v>404</v>
      </c>
      <c r="T692" s="17"/>
      <c r="U692" s="21" t="n">
        <v>1</v>
      </c>
      <c r="V692" s="21" t="n">
        <v>1</v>
      </c>
      <c r="W692" s="22" t="n">
        <v>4.9</v>
      </c>
      <c r="X692" s="16" t="s">
        <v>335</v>
      </c>
      <c r="Y692" s="16" t="s">
        <v>338</v>
      </c>
      <c r="Z692" s="16" t="s">
        <v>405</v>
      </c>
      <c r="AA692" s="16"/>
      <c r="AB692" s="23"/>
      <c r="AC692" s="17"/>
      <c r="AD692" s="16" t="s">
        <v>338</v>
      </c>
      <c r="AE692" s="16"/>
      <c r="AF692" s="16" t="str">
        <f aca="false">IF(COUNTIF(لیست_سفید!$A$2:$A$21,B692)&gt;0,"بله","خیر")</f>
        <v>خیر</v>
      </c>
      <c r="AG692" s="24" t="n">
        <f aca="false">IF(H692="","",IF(AD692="فیش مفقودی",تنظیمات!$B$6,(INT(I692/1440)*تنظیمات!$B$5+IF(MOD(I692,1440)&lt;=تنظیمات!$B$2,0,MIN(تنظیمات!$B$5,تنظیمات!$B$3+MAX(0,ROUNDUP((MOD(I692,1440)-60)/60,0))*تنظیمات!$B$4)))*INDEX(تعرفه!$B$2:$B$7,MATCH(AD692,تعرفه!$A$2:$A$7,0))))</f>
        <v>90000</v>
      </c>
      <c r="AH692" s="24" t="n">
        <v>90000</v>
      </c>
      <c r="AI692" s="24" t="n">
        <f aca="false">IF(AG692="","",AH692-AG692)</f>
        <v>0</v>
      </c>
      <c r="AJ692" s="21" t="n">
        <v>2</v>
      </c>
      <c r="AK692" s="21" t="n">
        <v>0</v>
      </c>
      <c r="AL692" s="16" t="s">
        <v>335</v>
      </c>
      <c r="AM692" s="16"/>
      <c r="AN692" s="16" t="s">
        <v>340</v>
      </c>
      <c r="AO692" s="16" t="s">
        <v>340</v>
      </c>
      <c r="AP692" s="16" t="s">
        <v>335</v>
      </c>
      <c r="AQ692" s="16"/>
      <c r="AR692" s="21" t="n">
        <f aca="false">IF(AND(T692&lt;&gt;"",H692&lt;&gt;""),IF(AND((T692-H692)*86400&gt;=0,(T692-H692)*86400&lt;تنظیمات!$B$13),1,0),0)</f>
        <v>0</v>
      </c>
      <c r="AS692" s="21" t="n">
        <f aca="false">IF(Z692="پوز",IF(OR(AB692="",COUNTIF(پوزها!$A$2:$A$5,AA692)=0),1,0),0)</f>
        <v>0</v>
      </c>
      <c r="AT692" s="21" t="n">
        <f aca="false">IF(AI692="",0,IF(AI692&gt;0,1,0))</f>
        <v>0</v>
      </c>
      <c r="AU692" s="21" t="n">
        <f aca="false">IF(AI692="",0,IF(AI692&lt;0,1,0))</f>
        <v>0</v>
      </c>
      <c r="AV692" s="21" t="n">
        <f aca="false">IF(U692&gt;V692,1,0)</f>
        <v>0</v>
      </c>
      <c r="AW692" s="21" t="n">
        <f aca="false">IF(OR(W692&gt;تنظیمات!$B$8,X692="بله"),1,0)</f>
        <v>0</v>
      </c>
      <c r="AX692" s="21" t="n">
        <f aca="false">IF(AND(N692="بله",L692&gt;تنظیمات!$B$9),1,0)</f>
        <v>0</v>
      </c>
      <c r="AY692" s="21" t="n">
        <f aca="false">IF(Y692="معکوس",1,0)</f>
        <v>0</v>
      </c>
      <c r="AZ692" s="21" t="n">
        <f aca="false">IF(ABS(AJ692)&gt;تنظیمات!$B$10,1,0)</f>
        <v>0</v>
      </c>
      <c r="BA692" s="21" t="n">
        <f aca="false">IF(AND(OR(AD692="رایگان/VIP",AD692="جانباز"),AF692="خیر"),1,0)</f>
        <v>0</v>
      </c>
      <c r="BB692" s="21" t="n">
        <f aca="false">IF(AE692="",0,IF(COUNTIF($AE$2:$AE$1001,AE692)&gt;1,1,0))</f>
        <v>0</v>
      </c>
      <c r="BC692" s="21" t="n">
        <f aca="false">IF(AND(H692="",I692&gt;تنظیمات!$B$12*60,AM692="خالی"),1,0)</f>
        <v>0</v>
      </c>
      <c r="BD692" s="21" t="n">
        <f aca="false">IF(AND(AP692="بله",I692&lt;تنظیمات!$B$14,AO692="خیر"),1,0)</f>
        <v>0</v>
      </c>
      <c r="BE692" s="21" t="n">
        <f aca="false">IF(AN692="خیر",1,0)</f>
        <v>0</v>
      </c>
      <c r="BF692" s="21" t="n">
        <f aca="false">IF(AND(AD692="فیش مفقودی",AQ692="بله",I692&gt;تنظیمات!$B$12*60),1,0)</f>
        <v>0</v>
      </c>
      <c r="BG692" s="21" t="n">
        <f aca="false">IF(AND(AK692&gt;تنظیمات!$B$11,AL692="بله"),1,0)</f>
        <v>0</v>
      </c>
      <c r="BH692" s="21" t="n">
        <f aca="false">MIN(100,AR692*تنظیمات!$B$21+AS692*تنظیمات!$B$22+AT692*تنظیمات!$B$23+AU692*تنظیمات!$B$24+AV692*تنظیمات!$B$25+AW692*تنظیمات!$B$26+AX692*تنظیمات!$B$27+AY692*تنظیمات!$B$28+AZ692*تنظیمات!$B$29+BA692*تنظیمات!$B$30+BB692*تنظیمات!$B$31+BC692*تنظیمات!$B$32+BD692*تنظیمات!$B$33+BE692*تنظیمات!$B$34+BF692*تنظیمات!$B$35+BG692*تنظیمات!$B$36)</f>
        <v>0</v>
      </c>
      <c r="BI692" s="16" t="str">
        <f aca="false">IF(BH692&gt;=60,"بحرانی",IF(BH692&gt;=30,"مشکوک",IF(BH692&gt;0,"هشدار","عادی")))</f>
        <v>عادی</v>
      </c>
      <c r="BJ692" s="16" t="s">
        <v>338</v>
      </c>
    </row>
    <row r="693" customFormat="false" ht="15" hidden="false" customHeight="false" outlineLevel="0" collapsed="false">
      <c r="A693" s="16" t="s">
        <v>2475</v>
      </c>
      <c r="B693" s="16" t="s">
        <v>2476</v>
      </c>
      <c r="C693" s="16"/>
      <c r="D693" s="16" t="s">
        <v>523</v>
      </c>
      <c r="E693" s="16" t="s">
        <v>351</v>
      </c>
      <c r="F693" s="16" t="s">
        <v>333</v>
      </c>
      <c r="G693" s="17" t="n">
        <v>46290.5442939815</v>
      </c>
      <c r="H693" s="17" t="n">
        <v>46290.6088773148</v>
      </c>
      <c r="I693" s="18" t="n">
        <f aca="false">IF(H693="",ROUND((تنظیمات!$B$7-G693)*1440,0),ROUND((H693-G693)*1440,0))</f>
        <v>93</v>
      </c>
      <c r="J693" s="16" t="s">
        <v>334</v>
      </c>
      <c r="K693" s="16" t="s">
        <v>400</v>
      </c>
      <c r="L693" s="19" t="n">
        <v>0.935</v>
      </c>
      <c r="M693" s="19" t="n">
        <v>0.994</v>
      </c>
      <c r="N693" s="16" t="s">
        <v>335</v>
      </c>
      <c r="O693" s="16" t="s">
        <v>425</v>
      </c>
      <c r="P693" s="16" t="s">
        <v>420</v>
      </c>
      <c r="Q693" s="20" t="n">
        <v>46290</v>
      </c>
      <c r="R693" s="16" t="s">
        <v>2477</v>
      </c>
      <c r="S693" s="16" t="s">
        <v>404</v>
      </c>
      <c r="T693" s="17"/>
      <c r="U693" s="21" t="n">
        <v>1</v>
      </c>
      <c r="V693" s="21" t="n">
        <v>1</v>
      </c>
      <c r="W693" s="22" t="n">
        <v>4.9</v>
      </c>
      <c r="X693" s="16" t="s">
        <v>335</v>
      </c>
      <c r="Y693" s="16" t="s">
        <v>338</v>
      </c>
      <c r="Z693" s="16" t="s">
        <v>413</v>
      </c>
      <c r="AA693" s="16" t="s">
        <v>427</v>
      </c>
      <c r="AB693" s="23" t="s">
        <v>2478</v>
      </c>
      <c r="AC693" s="17" t="n">
        <v>46290.6078356481</v>
      </c>
      <c r="AD693" s="16" t="s">
        <v>338</v>
      </c>
      <c r="AE693" s="16"/>
      <c r="AF693" s="16" t="str">
        <f aca="false">IF(COUNTIF(لیست_سفید!$A$2:$A$21,B693)&gt;0,"بله","خیر")</f>
        <v>خیر</v>
      </c>
      <c r="AG693" s="24" t="n">
        <f aca="false">IF(H693="","",IF(AD693="فیش مفقودی",تنظیمات!$B$6,(INT(I693/1440)*تنظیمات!$B$5+IF(MOD(I693,1440)&lt;=تنظیمات!$B$2,0,MIN(تنظیمات!$B$5,تنظیمات!$B$3+MAX(0,ROUNDUP((MOD(I693,1440)-60)/60,0))*تنظیمات!$B$4)))*INDEX(تعرفه!$B$2:$B$7,MATCH(AD693,تعرفه!$A$2:$A$7,0))))</f>
        <v>34000</v>
      </c>
      <c r="AH693" s="24" t="n">
        <v>34000</v>
      </c>
      <c r="AI693" s="24" t="n">
        <f aca="false">IF(AG693="","",AH693-AG693)</f>
        <v>0</v>
      </c>
      <c r="AJ693" s="21" t="n">
        <v>1</v>
      </c>
      <c r="AK693" s="21" t="n">
        <v>0</v>
      </c>
      <c r="AL693" s="16" t="s">
        <v>335</v>
      </c>
      <c r="AM693" s="16"/>
      <c r="AN693" s="16" t="s">
        <v>340</v>
      </c>
      <c r="AO693" s="16" t="s">
        <v>340</v>
      </c>
      <c r="AP693" s="16" t="s">
        <v>335</v>
      </c>
      <c r="AQ693" s="16"/>
      <c r="AR693" s="21" t="n">
        <f aca="false">IF(AND(T693&lt;&gt;"",H693&lt;&gt;""),IF(AND((T693-H693)*86400&gt;=0,(T693-H693)*86400&lt;تنظیمات!$B$13),1,0),0)</f>
        <v>0</v>
      </c>
      <c r="AS693" s="21" t="n">
        <f aca="false">IF(Z693="پوز",IF(OR(AB693="",COUNTIF(پوزها!$A$2:$A$5,AA693)=0),1,0),0)</f>
        <v>0</v>
      </c>
      <c r="AT693" s="21" t="n">
        <f aca="false">IF(AI693="",0,IF(AI693&gt;0,1,0))</f>
        <v>0</v>
      </c>
      <c r="AU693" s="21" t="n">
        <f aca="false">IF(AI693="",0,IF(AI693&lt;0,1,0))</f>
        <v>0</v>
      </c>
      <c r="AV693" s="21" t="n">
        <f aca="false">IF(U693&gt;V693,1,0)</f>
        <v>0</v>
      </c>
      <c r="AW693" s="21" t="n">
        <f aca="false">IF(OR(W693&gt;تنظیمات!$B$8,X693="بله"),1,0)</f>
        <v>0</v>
      </c>
      <c r="AX693" s="21" t="n">
        <f aca="false">IF(AND(N693="بله",L693&gt;تنظیمات!$B$9),1,0)</f>
        <v>0</v>
      </c>
      <c r="AY693" s="21" t="n">
        <f aca="false">IF(Y693="معکوس",1,0)</f>
        <v>0</v>
      </c>
      <c r="AZ693" s="21" t="n">
        <f aca="false">IF(ABS(AJ693)&gt;تنظیمات!$B$10,1,0)</f>
        <v>0</v>
      </c>
      <c r="BA693" s="21" t="n">
        <f aca="false">IF(AND(OR(AD693="رایگان/VIP",AD693="جانباز"),AF693="خیر"),1,0)</f>
        <v>0</v>
      </c>
      <c r="BB693" s="21" t="n">
        <f aca="false">IF(AE693="",0,IF(COUNTIF($AE$2:$AE$1001,AE693)&gt;1,1,0))</f>
        <v>0</v>
      </c>
      <c r="BC693" s="21" t="n">
        <f aca="false">IF(AND(H693="",I693&gt;تنظیمات!$B$12*60,AM693="خالی"),1,0)</f>
        <v>0</v>
      </c>
      <c r="BD693" s="21" t="n">
        <f aca="false">IF(AND(AP693="بله",I693&lt;تنظیمات!$B$14,AO693="خیر"),1,0)</f>
        <v>0</v>
      </c>
      <c r="BE693" s="21" t="n">
        <f aca="false">IF(AN693="خیر",1,0)</f>
        <v>0</v>
      </c>
      <c r="BF693" s="21" t="n">
        <f aca="false">IF(AND(AD693="فیش مفقودی",AQ693="بله",I693&gt;تنظیمات!$B$12*60),1,0)</f>
        <v>0</v>
      </c>
      <c r="BG693" s="21" t="n">
        <f aca="false">IF(AND(AK693&gt;تنظیمات!$B$11,AL693="بله"),1,0)</f>
        <v>0</v>
      </c>
      <c r="BH693" s="21" t="n">
        <f aca="false">MIN(100,AR693*تنظیمات!$B$21+AS693*تنظیمات!$B$22+AT693*تنظیمات!$B$23+AU693*تنظیمات!$B$24+AV693*تنظیمات!$B$25+AW693*تنظیمات!$B$26+AX693*تنظیمات!$B$27+AY693*تنظیمات!$B$28+AZ693*تنظیمات!$B$29+BA693*تنظیمات!$B$30+BB693*تنظیمات!$B$31+BC693*تنظیمات!$B$32+BD693*تنظیمات!$B$33+BE693*تنظیمات!$B$34+BF693*تنظیمات!$B$35+BG693*تنظیمات!$B$36)</f>
        <v>0</v>
      </c>
      <c r="BI693" s="16" t="str">
        <f aca="false">IF(BH693&gt;=60,"بحرانی",IF(BH693&gt;=30,"مشکوک",IF(BH693&gt;0,"هشدار","عادی")))</f>
        <v>عادی</v>
      </c>
      <c r="BJ693" s="16" t="s">
        <v>338</v>
      </c>
    </row>
    <row r="694" customFormat="false" ht="15" hidden="false" customHeight="false" outlineLevel="0" collapsed="false">
      <c r="A694" s="16" t="s">
        <v>2479</v>
      </c>
      <c r="B694" s="16" t="s">
        <v>1227</v>
      </c>
      <c r="C694" s="16"/>
      <c r="D694" s="16" t="s">
        <v>386</v>
      </c>
      <c r="E694" s="16" t="s">
        <v>363</v>
      </c>
      <c r="F694" s="16" t="s">
        <v>333</v>
      </c>
      <c r="G694" s="17" t="n">
        <v>46290.5496296296</v>
      </c>
      <c r="H694" s="17" t="n">
        <v>46290.5739351852</v>
      </c>
      <c r="I694" s="18" t="n">
        <f aca="false">IF(H694="",ROUND((تنظیمات!$B$7-G694)*1440,0),ROUND((H694-G694)*1440,0))</f>
        <v>35</v>
      </c>
      <c r="J694" s="16" t="s">
        <v>346</v>
      </c>
      <c r="K694" s="16" t="s">
        <v>410</v>
      </c>
      <c r="L694" s="19" t="n">
        <v>0.921</v>
      </c>
      <c r="M694" s="19" t="n">
        <v>0.965</v>
      </c>
      <c r="N694" s="16" t="s">
        <v>335</v>
      </c>
      <c r="O694" s="16" t="s">
        <v>677</v>
      </c>
      <c r="P694" s="16" t="s">
        <v>402</v>
      </c>
      <c r="Q694" s="20" t="n">
        <v>46290</v>
      </c>
      <c r="R694" s="16" t="s">
        <v>2480</v>
      </c>
      <c r="S694" s="16" t="s">
        <v>404</v>
      </c>
      <c r="T694" s="17"/>
      <c r="U694" s="21" t="n">
        <v>1</v>
      </c>
      <c r="V694" s="21" t="n">
        <v>1</v>
      </c>
      <c r="W694" s="22" t="n">
        <v>6.7</v>
      </c>
      <c r="X694" s="16" t="s">
        <v>335</v>
      </c>
      <c r="Y694" s="16" t="s">
        <v>338</v>
      </c>
      <c r="Z694" s="16" t="s">
        <v>405</v>
      </c>
      <c r="AA694" s="16"/>
      <c r="AB694" s="23"/>
      <c r="AC694" s="17"/>
      <c r="AD694" s="16" t="s">
        <v>338</v>
      </c>
      <c r="AE694" s="16"/>
      <c r="AF694" s="16" t="str">
        <f aca="false">IF(COUNTIF(لیست_سفید!$A$2:$A$21,B694)&gt;0,"بله","خیر")</f>
        <v>خیر</v>
      </c>
      <c r="AG694" s="24" t="n">
        <f aca="false">IF(H694="","",IF(AD694="فیش مفقودی",تنظیمات!$B$6,(INT(I694/1440)*تنظیمات!$B$5+IF(MOD(I694,1440)&lt;=تنظیمات!$B$2,0,MIN(تنظیمات!$B$5,تنظیمات!$B$3+MAX(0,ROUNDUP((MOD(I694,1440)-60)/60,0))*تنظیمات!$B$4)))*INDEX(تعرفه!$B$2:$B$7,MATCH(AD694,تعرفه!$A$2:$A$7,0))))</f>
        <v>20000</v>
      </c>
      <c r="AH694" s="24" t="n">
        <v>20000</v>
      </c>
      <c r="AI694" s="24" t="n">
        <f aca="false">IF(AG694="","",AH694-AG694)</f>
        <v>0</v>
      </c>
      <c r="AJ694" s="21" t="n">
        <v>-1</v>
      </c>
      <c r="AK694" s="21" t="n">
        <v>0</v>
      </c>
      <c r="AL694" s="16" t="s">
        <v>335</v>
      </c>
      <c r="AM694" s="16"/>
      <c r="AN694" s="16" t="s">
        <v>340</v>
      </c>
      <c r="AO694" s="16" t="s">
        <v>340</v>
      </c>
      <c r="AP694" s="16" t="s">
        <v>335</v>
      </c>
      <c r="AQ694" s="16"/>
      <c r="AR694" s="21" t="n">
        <f aca="false">IF(AND(T694&lt;&gt;"",H694&lt;&gt;""),IF(AND((T694-H694)*86400&gt;=0,(T694-H694)*86400&lt;تنظیمات!$B$13),1,0),0)</f>
        <v>0</v>
      </c>
      <c r="AS694" s="21" t="n">
        <f aca="false">IF(Z694="پوز",IF(OR(AB694="",COUNTIF(پوزها!$A$2:$A$5,AA694)=0),1,0),0)</f>
        <v>0</v>
      </c>
      <c r="AT694" s="21" t="n">
        <f aca="false">IF(AI694="",0,IF(AI694&gt;0,1,0))</f>
        <v>0</v>
      </c>
      <c r="AU694" s="21" t="n">
        <f aca="false">IF(AI694="",0,IF(AI694&lt;0,1,0))</f>
        <v>0</v>
      </c>
      <c r="AV694" s="21" t="n">
        <f aca="false">IF(U694&gt;V694,1,0)</f>
        <v>0</v>
      </c>
      <c r="AW694" s="21" t="n">
        <f aca="false">IF(OR(W694&gt;تنظیمات!$B$8,X694="بله"),1,0)</f>
        <v>0</v>
      </c>
      <c r="AX694" s="21" t="n">
        <f aca="false">IF(AND(N694="بله",L694&gt;تنظیمات!$B$9),1,0)</f>
        <v>0</v>
      </c>
      <c r="AY694" s="21" t="n">
        <f aca="false">IF(Y694="معکوس",1,0)</f>
        <v>0</v>
      </c>
      <c r="AZ694" s="21" t="n">
        <f aca="false">IF(ABS(AJ694)&gt;تنظیمات!$B$10,1,0)</f>
        <v>0</v>
      </c>
      <c r="BA694" s="21" t="n">
        <f aca="false">IF(AND(OR(AD694="رایگان/VIP",AD694="جانباز"),AF694="خیر"),1,0)</f>
        <v>0</v>
      </c>
      <c r="BB694" s="21" t="n">
        <f aca="false">IF(AE694="",0,IF(COUNTIF($AE$2:$AE$1001,AE694)&gt;1,1,0))</f>
        <v>0</v>
      </c>
      <c r="BC694" s="21" t="n">
        <f aca="false">IF(AND(H694="",I694&gt;تنظیمات!$B$12*60,AM694="خالی"),1,0)</f>
        <v>0</v>
      </c>
      <c r="BD694" s="21" t="n">
        <f aca="false">IF(AND(AP694="بله",I694&lt;تنظیمات!$B$14,AO694="خیر"),1,0)</f>
        <v>0</v>
      </c>
      <c r="BE694" s="21" t="n">
        <f aca="false">IF(AN694="خیر",1,0)</f>
        <v>0</v>
      </c>
      <c r="BF694" s="21" t="n">
        <f aca="false">IF(AND(AD694="فیش مفقودی",AQ694="بله",I694&gt;تنظیمات!$B$12*60),1,0)</f>
        <v>0</v>
      </c>
      <c r="BG694" s="21" t="n">
        <f aca="false">IF(AND(AK694&gt;تنظیمات!$B$11,AL694="بله"),1,0)</f>
        <v>0</v>
      </c>
      <c r="BH694" s="21" t="n">
        <f aca="false">MIN(100,AR694*تنظیمات!$B$21+AS694*تنظیمات!$B$22+AT694*تنظیمات!$B$23+AU694*تنظیمات!$B$24+AV694*تنظیمات!$B$25+AW694*تنظیمات!$B$26+AX694*تنظیمات!$B$27+AY694*تنظیمات!$B$28+AZ694*تنظیمات!$B$29+BA694*تنظیمات!$B$30+BB694*تنظیمات!$B$31+BC694*تنظیمات!$B$32+BD694*تنظیمات!$B$33+BE694*تنظیمات!$B$34+BF694*تنظیمات!$B$35+BG694*تنظیمات!$B$36)</f>
        <v>0</v>
      </c>
      <c r="BI694" s="16" t="str">
        <f aca="false">IF(BH694&gt;=60,"بحرانی",IF(BH694&gt;=30,"مشکوک",IF(BH694&gt;0,"هشدار","عادی")))</f>
        <v>عادی</v>
      </c>
      <c r="BJ694" s="16" t="s">
        <v>338</v>
      </c>
    </row>
    <row r="695" customFormat="false" ht="15" hidden="false" customHeight="false" outlineLevel="0" collapsed="false">
      <c r="A695" s="16" t="s">
        <v>2481</v>
      </c>
      <c r="B695" s="16" t="s">
        <v>843</v>
      </c>
      <c r="C695" s="16"/>
      <c r="D695" s="16" t="s">
        <v>540</v>
      </c>
      <c r="E695" s="16" t="s">
        <v>332</v>
      </c>
      <c r="F695" s="16" t="s">
        <v>359</v>
      </c>
      <c r="G695" s="17" t="n">
        <v>46290.5519444444</v>
      </c>
      <c r="H695" s="17" t="n">
        <v>46290.5727777778</v>
      </c>
      <c r="I695" s="18" t="n">
        <f aca="false">IF(H695="",ROUND((تنظیمات!$B$7-G695)*1440,0),ROUND((H695-G695)*1440,0))</f>
        <v>30</v>
      </c>
      <c r="J695" s="16" t="s">
        <v>346</v>
      </c>
      <c r="K695" s="16" t="s">
        <v>410</v>
      </c>
      <c r="L695" s="19" t="n">
        <v>0.941</v>
      </c>
      <c r="M695" s="19" t="n">
        <v>0.952</v>
      </c>
      <c r="N695" s="16" t="s">
        <v>335</v>
      </c>
      <c r="O695" s="16" t="s">
        <v>677</v>
      </c>
      <c r="P695" s="16" t="s">
        <v>402</v>
      </c>
      <c r="Q695" s="20" t="n">
        <v>46290</v>
      </c>
      <c r="R695" s="16" t="s">
        <v>2482</v>
      </c>
      <c r="S695" s="16" t="s">
        <v>404</v>
      </c>
      <c r="T695" s="17"/>
      <c r="U695" s="21" t="n">
        <v>1</v>
      </c>
      <c r="V695" s="21" t="n">
        <v>1</v>
      </c>
      <c r="W695" s="22" t="n">
        <v>6.5</v>
      </c>
      <c r="X695" s="16" t="s">
        <v>335</v>
      </c>
      <c r="Y695" s="16" t="s">
        <v>338</v>
      </c>
      <c r="Z695" s="16" t="s">
        <v>405</v>
      </c>
      <c r="AA695" s="16"/>
      <c r="AB695" s="23"/>
      <c r="AC695" s="17"/>
      <c r="AD695" s="16" t="s">
        <v>338</v>
      </c>
      <c r="AE695" s="16"/>
      <c r="AF695" s="16" t="str">
        <f aca="false">IF(COUNTIF(لیست_سفید!$A$2:$A$21,B695)&gt;0,"بله","خیر")</f>
        <v>خیر</v>
      </c>
      <c r="AG695" s="24" t="n">
        <f aca="false">IF(H695="","",IF(AD695="فیش مفقودی",تنظیمات!$B$6,(INT(I695/1440)*تنظیمات!$B$5+IF(MOD(I695,1440)&lt;=تنظیمات!$B$2,0,MIN(تنظیمات!$B$5,تنظیمات!$B$3+MAX(0,ROUNDUP((MOD(I695,1440)-60)/60,0))*تنظیمات!$B$4)))*INDEX(تعرفه!$B$2:$B$7,MATCH(AD695,تعرفه!$A$2:$A$7,0))))</f>
        <v>20000</v>
      </c>
      <c r="AH695" s="24" t="n">
        <v>20000</v>
      </c>
      <c r="AI695" s="24" t="n">
        <f aca="false">IF(AG695="","",AH695-AG695)</f>
        <v>0</v>
      </c>
      <c r="AJ695" s="21" t="n">
        <v>-1</v>
      </c>
      <c r="AK695" s="21" t="n">
        <v>0</v>
      </c>
      <c r="AL695" s="16" t="s">
        <v>335</v>
      </c>
      <c r="AM695" s="16"/>
      <c r="AN695" s="16" t="s">
        <v>340</v>
      </c>
      <c r="AO695" s="16" t="s">
        <v>340</v>
      </c>
      <c r="AP695" s="16" t="s">
        <v>335</v>
      </c>
      <c r="AQ695" s="16"/>
      <c r="AR695" s="21" t="n">
        <f aca="false">IF(AND(T695&lt;&gt;"",H695&lt;&gt;""),IF(AND((T695-H695)*86400&gt;=0,(T695-H695)*86400&lt;تنظیمات!$B$13),1,0),0)</f>
        <v>0</v>
      </c>
      <c r="AS695" s="21" t="n">
        <f aca="false">IF(Z695="پوز",IF(OR(AB695="",COUNTIF(پوزها!$A$2:$A$5,AA695)=0),1,0),0)</f>
        <v>0</v>
      </c>
      <c r="AT695" s="21" t="n">
        <f aca="false">IF(AI695="",0,IF(AI695&gt;0,1,0))</f>
        <v>0</v>
      </c>
      <c r="AU695" s="21" t="n">
        <f aca="false">IF(AI695="",0,IF(AI695&lt;0,1,0))</f>
        <v>0</v>
      </c>
      <c r="AV695" s="21" t="n">
        <f aca="false">IF(U695&gt;V695,1,0)</f>
        <v>0</v>
      </c>
      <c r="AW695" s="21" t="n">
        <f aca="false">IF(OR(W695&gt;تنظیمات!$B$8,X695="بله"),1,0)</f>
        <v>0</v>
      </c>
      <c r="AX695" s="21" t="n">
        <f aca="false">IF(AND(N695="بله",L695&gt;تنظیمات!$B$9),1,0)</f>
        <v>0</v>
      </c>
      <c r="AY695" s="21" t="n">
        <f aca="false">IF(Y695="معکوس",1,0)</f>
        <v>0</v>
      </c>
      <c r="AZ695" s="21" t="n">
        <f aca="false">IF(ABS(AJ695)&gt;تنظیمات!$B$10,1,0)</f>
        <v>0</v>
      </c>
      <c r="BA695" s="21" t="n">
        <f aca="false">IF(AND(OR(AD695="رایگان/VIP",AD695="جانباز"),AF695="خیر"),1,0)</f>
        <v>0</v>
      </c>
      <c r="BB695" s="21" t="n">
        <f aca="false">IF(AE695="",0,IF(COUNTIF($AE$2:$AE$1001,AE695)&gt;1,1,0))</f>
        <v>0</v>
      </c>
      <c r="BC695" s="21" t="n">
        <f aca="false">IF(AND(H695="",I695&gt;تنظیمات!$B$12*60,AM695="خالی"),1,0)</f>
        <v>0</v>
      </c>
      <c r="BD695" s="21" t="n">
        <f aca="false">IF(AND(AP695="بله",I695&lt;تنظیمات!$B$14,AO695="خیر"),1,0)</f>
        <v>0</v>
      </c>
      <c r="BE695" s="21" t="n">
        <f aca="false">IF(AN695="خیر",1,0)</f>
        <v>0</v>
      </c>
      <c r="BF695" s="21" t="n">
        <f aca="false">IF(AND(AD695="فیش مفقودی",AQ695="بله",I695&gt;تنظیمات!$B$12*60),1,0)</f>
        <v>0</v>
      </c>
      <c r="BG695" s="21" t="n">
        <f aca="false">IF(AND(AK695&gt;تنظیمات!$B$11,AL695="بله"),1,0)</f>
        <v>0</v>
      </c>
      <c r="BH695" s="21" t="n">
        <f aca="false">MIN(100,AR695*تنظیمات!$B$21+AS695*تنظیمات!$B$22+AT695*تنظیمات!$B$23+AU695*تنظیمات!$B$24+AV695*تنظیمات!$B$25+AW695*تنظیمات!$B$26+AX695*تنظیمات!$B$27+AY695*تنظیمات!$B$28+AZ695*تنظیمات!$B$29+BA695*تنظیمات!$B$30+BB695*تنظیمات!$B$31+BC695*تنظیمات!$B$32+BD695*تنظیمات!$B$33+BE695*تنظیمات!$B$34+BF695*تنظیمات!$B$35+BG695*تنظیمات!$B$36)</f>
        <v>0</v>
      </c>
      <c r="BI695" s="16" t="str">
        <f aca="false">IF(BH695&gt;=60,"بحرانی",IF(BH695&gt;=30,"مشکوک",IF(BH695&gt;0,"هشدار","عادی")))</f>
        <v>عادی</v>
      </c>
      <c r="BJ695" s="16" t="s">
        <v>338</v>
      </c>
    </row>
    <row r="696" customFormat="false" ht="15" hidden="false" customHeight="false" outlineLevel="0" collapsed="false">
      <c r="A696" s="16" t="s">
        <v>2483</v>
      </c>
      <c r="B696" s="16" t="s">
        <v>2291</v>
      </c>
      <c r="C696" s="16" t="s">
        <v>2484</v>
      </c>
      <c r="D696" s="16" t="s">
        <v>350</v>
      </c>
      <c r="E696" s="16" t="s">
        <v>332</v>
      </c>
      <c r="F696" s="16" t="s">
        <v>333</v>
      </c>
      <c r="G696" s="17" t="n">
        <v>46290.5541898148</v>
      </c>
      <c r="H696" s="17" t="n">
        <v>46290.5653009259</v>
      </c>
      <c r="I696" s="18" t="n">
        <f aca="false">IF(H696="",ROUND((تنظیمات!$B$7-G696)*1440,0),ROUND((H696-G696)*1440,0))</f>
        <v>16</v>
      </c>
      <c r="J696" s="16" t="s">
        <v>334</v>
      </c>
      <c r="K696" s="16" t="s">
        <v>400</v>
      </c>
      <c r="L696" s="19" t="n">
        <v>0.948</v>
      </c>
      <c r="M696" s="19" t="n">
        <v>0.88</v>
      </c>
      <c r="N696" s="16" t="s">
        <v>340</v>
      </c>
      <c r="O696" s="16" t="s">
        <v>666</v>
      </c>
      <c r="P696" s="16" t="s">
        <v>402</v>
      </c>
      <c r="Q696" s="20" t="n">
        <v>46290</v>
      </c>
      <c r="R696" s="16" t="s">
        <v>2485</v>
      </c>
      <c r="S696" s="16" t="s">
        <v>404</v>
      </c>
      <c r="T696" s="17"/>
      <c r="U696" s="21" t="n">
        <v>1</v>
      </c>
      <c r="V696" s="21" t="n">
        <v>1</v>
      </c>
      <c r="W696" s="22" t="n">
        <v>6.3</v>
      </c>
      <c r="X696" s="16" t="s">
        <v>335</v>
      </c>
      <c r="Y696" s="16" t="s">
        <v>338</v>
      </c>
      <c r="Z696" s="16" t="s">
        <v>413</v>
      </c>
      <c r="AA696" s="16" t="s">
        <v>427</v>
      </c>
      <c r="AB696" s="23" t="s">
        <v>2486</v>
      </c>
      <c r="AC696" s="17" t="n">
        <v>46290.5647916667</v>
      </c>
      <c r="AD696" s="16" t="s">
        <v>338</v>
      </c>
      <c r="AE696" s="16"/>
      <c r="AF696" s="16" t="str">
        <f aca="false">IF(COUNTIF(لیست_سفید!$A$2:$A$21,B696)&gt;0,"بله","خیر")</f>
        <v>خیر</v>
      </c>
      <c r="AG696" s="24" t="n">
        <f aca="false">IF(H696="","",IF(AD696="فیش مفقودی",تنظیمات!$B$6,(INT(I696/1440)*تنظیمات!$B$5+IF(MOD(I696,1440)&lt;=تنظیمات!$B$2,0,MIN(تنظیمات!$B$5,تنظیمات!$B$3+MAX(0,ROUNDUP((MOD(I696,1440)-60)/60,0))*تنظیمات!$B$4)))*INDEX(تعرفه!$B$2:$B$7,MATCH(AD696,تعرفه!$A$2:$A$7,0))))</f>
        <v>20000</v>
      </c>
      <c r="AH696" s="24" t="n">
        <v>20000</v>
      </c>
      <c r="AI696" s="24" t="n">
        <f aca="false">IF(AG696="","",AH696-AG696)</f>
        <v>0</v>
      </c>
      <c r="AJ696" s="21" t="n">
        <v>-3</v>
      </c>
      <c r="AK696" s="21" t="n">
        <v>0</v>
      </c>
      <c r="AL696" s="16" t="s">
        <v>335</v>
      </c>
      <c r="AM696" s="16"/>
      <c r="AN696" s="16" t="s">
        <v>340</v>
      </c>
      <c r="AO696" s="16" t="s">
        <v>340</v>
      </c>
      <c r="AP696" s="16" t="s">
        <v>335</v>
      </c>
      <c r="AQ696" s="16"/>
      <c r="AR696" s="21" t="n">
        <f aca="false">IF(AND(T696&lt;&gt;"",H696&lt;&gt;""),IF(AND((T696-H696)*86400&gt;=0,(T696-H696)*86400&lt;تنظیمات!$B$13),1,0),0)</f>
        <v>0</v>
      </c>
      <c r="AS696" s="21" t="n">
        <f aca="false">IF(Z696="پوز",IF(OR(AB696="",COUNTIF(پوزها!$A$2:$A$5,AA696)=0),1,0),0)</f>
        <v>0</v>
      </c>
      <c r="AT696" s="21" t="n">
        <f aca="false">IF(AI696="",0,IF(AI696&gt;0,1,0))</f>
        <v>0</v>
      </c>
      <c r="AU696" s="21" t="n">
        <f aca="false">IF(AI696="",0,IF(AI696&lt;0,1,0))</f>
        <v>0</v>
      </c>
      <c r="AV696" s="21" t="n">
        <f aca="false">IF(U696&gt;V696,1,0)</f>
        <v>0</v>
      </c>
      <c r="AW696" s="21" t="n">
        <f aca="false">IF(OR(W696&gt;تنظیمات!$B$8,X696="بله"),1,0)</f>
        <v>0</v>
      </c>
      <c r="AX696" s="21" t="n">
        <f aca="false">IF(AND(N696="بله",L696&gt;تنظیمات!$B$9),1,0)</f>
        <v>1</v>
      </c>
      <c r="AY696" s="21" t="n">
        <f aca="false">IF(Y696="معکوس",1,0)</f>
        <v>0</v>
      </c>
      <c r="AZ696" s="21" t="n">
        <f aca="false">IF(ABS(AJ696)&gt;تنظیمات!$B$10,1,0)</f>
        <v>0</v>
      </c>
      <c r="BA696" s="21" t="n">
        <f aca="false">IF(AND(OR(AD696="رایگان/VIP",AD696="جانباز"),AF696="خیر"),1,0)</f>
        <v>0</v>
      </c>
      <c r="BB696" s="21" t="n">
        <f aca="false">IF(AE696="",0,IF(COUNTIF($AE$2:$AE$1001,AE696)&gt;1,1,0))</f>
        <v>0</v>
      </c>
      <c r="BC696" s="21" t="n">
        <f aca="false">IF(AND(H696="",I696&gt;تنظیمات!$B$12*60,AM696="خالی"),1,0)</f>
        <v>0</v>
      </c>
      <c r="BD696" s="21" t="n">
        <f aca="false">IF(AND(AP696="بله",I696&lt;تنظیمات!$B$14,AO696="خیر"),1,0)</f>
        <v>0</v>
      </c>
      <c r="BE696" s="21" t="n">
        <f aca="false">IF(AN696="خیر",1,0)</f>
        <v>0</v>
      </c>
      <c r="BF696" s="21" t="n">
        <f aca="false">IF(AND(AD696="فیش مفقودی",AQ696="بله",I696&gt;تنظیمات!$B$12*60),1,0)</f>
        <v>0</v>
      </c>
      <c r="BG696" s="21" t="n">
        <f aca="false">IF(AND(AK696&gt;تنظیمات!$B$11,AL696="بله"),1,0)</f>
        <v>0</v>
      </c>
      <c r="BH696" s="21" t="n">
        <f aca="false">MIN(100,AR696*تنظیمات!$B$21+AS696*تنظیمات!$B$22+AT696*تنظیمات!$B$23+AU696*تنظیمات!$B$24+AV696*تنظیمات!$B$25+AW696*تنظیمات!$B$26+AX696*تنظیمات!$B$27+AY696*تنظیمات!$B$28+AZ696*تنظیمات!$B$29+BA696*تنظیمات!$B$30+BB696*تنظیمات!$B$31+BC696*تنظیمات!$B$32+BD696*تنظیمات!$B$33+BE696*تنظیمات!$B$34+BF696*تنظیمات!$B$35+BG696*تنظیمات!$B$36)</f>
        <v>30</v>
      </c>
      <c r="BI696" s="16" t="str">
        <f aca="false">IF(BH696&gt;=60,"بحرانی",IF(BH696&gt;=30,"مشکوک",IF(BH696&gt;0,"هشدار","عادی")))</f>
        <v>مشکوک</v>
      </c>
      <c r="BJ696" s="16" t="s">
        <v>622</v>
      </c>
    </row>
    <row r="697" customFormat="false" ht="15" hidden="false" customHeight="false" outlineLevel="0" collapsed="false">
      <c r="A697" s="16" t="s">
        <v>2487</v>
      </c>
      <c r="B697" s="16" t="s">
        <v>867</v>
      </c>
      <c r="C697" s="16"/>
      <c r="D697" s="16" t="s">
        <v>331</v>
      </c>
      <c r="E697" s="16" t="s">
        <v>375</v>
      </c>
      <c r="F697" s="16" t="s">
        <v>333</v>
      </c>
      <c r="G697" s="17" t="n">
        <v>46290.5780092593</v>
      </c>
      <c r="H697" s="17" t="n">
        <v>46290.5863425926</v>
      </c>
      <c r="I697" s="18" t="n">
        <f aca="false">IF(H697="",ROUND((تنظیمات!$B$7-G697)*1440,0),ROUND((H697-G697)*1440,0))</f>
        <v>12</v>
      </c>
      <c r="J697" s="16" t="s">
        <v>346</v>
      </c>
      <c r="K697" s="16" t="s">
        <v>410</v>
      </c>
      <c r="L697" s="19" t="n">
        <v>0.913</v>
      </c>
      <c r="M697" s="19" t="n">
        <v>0.953</v>
      </c>
      <c r="N697" s="16" t="s">
        <v>335</v>
      </c>
      <c r="O697" s="16" t="s">
        <v>441</v>
      </c>
      <c r="P697" s="16" t="s">
        <v>420</v>
      </c>
      <c r="Q697" s="20" t="n">
        <v>46290</v>
      </c>
      <c r="R697" s="16" t="s">
        <v>2488</v>
      </c>
      <c r="S697" s="16" t="s">
        <v>404</v>
      </c>
      <c r="T697" s="17"/>
      <c r="U697" s="21" t="n">
        <v>1</v>
      </c>
      <c r="V697" s="21" t="n">
        <v>1</v>
      </c>
      <c r="W697" s="22" t="n">
        <v>6.3</v>
      </c>
      <c r="X697" s="16" t="s">
        <v>335</v>
      </c>
      <c r="Y697" s="16" t="s">
        <v>338</v>
      </c>
      <c r="Z697" s="16" t="s">
        <v>413</v>
      </c>
      <c r="AA697" s="16" t="s">
        <v>414</v>
      </c>
      <c r="AB697" s="23" t="s">
        <v>2489</v>
      </c>
      <c r="AC697" s="17" t="n">
        <v>46290.5853819445</v>
      </c>
      <c r="AD697" s="16" t="s">
        <v>338</v>
      </c>
      <c r="AE697" s="16"/>
      <c r="AF697" s="16" t="str">
        <f aca="false">IF(COUNTIF(لیست_سفید!$A$2:$A$21,B697)&gt;0,"بله","خیر")</f>
        <v>خیر</v>
      </c>
      <c r="AG697" s="24" t="n">
        <f aca="false">IF(H697="","",IF(AD697="فیش مفقودی",تنظیمات!$B$6,(INT(I697/1440)*تنظیمات!$B$5+IF(MOD(I697,1440)&lt;=تنظیمات!$B$2,0,MIN(تنظیمات!$B$5,تنظیمات!$B$3+MAX(0,ROUNDUP((MOD(I697,1440)-60)/60,0))*تنظیمات!$B$4)))*INDEX(تعرفه!$B$2:$B$7,MATCH(AD697,تعرفه!$A$2:$A$7,0))))</f>
        <v>20000</v>
      </c>
      <c r="AH697" s="24" t="n">
        <v>20000</v>
      </c>
      <c r="AI697" s="24" t="n">
        <f aca="false">IF(AG697="","",AH697-AG697)</f>
        <v>0</v>
      </c>
      <c r="AJ697" s="21" t="n">
        <v>1</v>
      </c>
      <c r="AK697" s="21" t="n">
        <v>0</v>
      </c>
      <c r="AL697" s="16" t="s">
        <v>335</v>
      </c>
      <c r="AM697" s="16"/>
      <c r="AN697" s="16" t="s">
        <v>340</v>
      </c>
      <c r="AO697" s="16" t="s">
        <v>340</v>
      </c>
      <c r="AP697" s="16" t="s">
        <v>335</v>
      </c>
      <c r="AQ697" s="16"/>
      <c r="AR697" s="21" t="n">
        <f aca="false">IF(AND(T697&lt;&gt;"",H697&lt;&gt;""),IF(AND((T697-H697)*86400&gt;=0,(T697-H697)*86400&lt;تنظیمات!$B$13),1,0),0)</f>
        <v>0</v>
      </c>
      <c r="AS697" s="21" t="n">
        <f aca="false">IF(Z697="پوز",IF(OR(AB697="",COUNTIF(پوزها!$A$2:$A$5,AA697)=0),1,0),0)</f>
        <v>0</v>
      </c>
      <c r="AT697" s="21" t="n">
        <f aca="false">IF(AI697="",0,IF(AI697&gt;0,1,0))</f>
        <v>0</v>
      </c>
      <c r="AU697" s="21" t="n">
        <f aca="false">IF(AI697="",0,IF(AI697&lt;0,1,0))</f>
        <v>0</v>
      </c>
      <c r="AV697" s="21" t="n">
        <f aca="false">IF(U697&gt;V697,1,0)</f>
        <v>0</v>
      </c>
      <c r="AW697" s="21" t="n">
        <f aca="false">IF(OR(W697&gt;تنظیمات!$B$8,X697="بله"),1,0)</f>
        <v>0</v>
      </c>
      <c r="AX697" s="21" t="n">
        <f aca="false">IF(AND(N697="بله",L697&gt;تنظیمات!$B$9),1,0)</f>
        <v>0</v>
      </c>
      <c r="AY697" s="21" t="n">
        <f aca="false">IF(Y697="معکوس",1,0)</f>
        <v>0</v>
      </c>
      <c r="AZ697" s="21" t="n">
        <f aca="false">IF(ABS(AJ697)&gt;تنظیمات!$B$10,1,0)</f>
        <v>0</v>
      </c>
      <c r="BA697" s="21" t="n">
        <f aca="false">IF(AND(OR(AD697="رایگان/VIP",AD697="جانباز"),AF697="خیر"),1,0)</f>
        <v>0</v>
      </c>
      <c r="BB697" s="21" t="n">
        <f aca="false">IF(AE697="",0,IF(COUNTIF($AE$2:$AE$1001,AE697)&gt;1,1,0))</f>
        <v>0</v>
      </c>
      <c r="BC697" s="21" t="n">
        <f aca="false">IF(AND(H697="",I697&gt;تنظیمات!$B$12*60,AM697="خالی"),1,0)</f>
        <v>0</v>
      </c>
      <c r="BD697" s="21" t="n">
        <f aca="false">IF(AND(AP697="بله",I697&lt;تنظیمات!$B$14,AO697="خیر"),1,0)</f>
        <v>0</v>
      </c>
      <c r="BE697" s="21" t="n">
        <f aca="false">IF(AN697="خیر",1,0)</f>
        <v>0</v>
      </c>
      <c r="BF697" s="21" t="n">
        <f aca="false">IF(AND(AD697="فیش مفقودی",AQ697="بله",I697&gt;تنظیمات!$B$12*60),1,0)</f>
        <v>0</v>
      </c>
      <c r="BG697" s="21" t="n">
        <f aca="false">IF(AND(AK697&gt;تنظیمات!$B$11,AL697="بله"),1,0)</f>
        <v>0</v>
      </c>
      <c r="BH697" s="21" t="n">
        <f aca="false">MIN(100,AR697*تنظیمات!$B$21+AS697*تنظیمات!$B$22+AT697*تنظیمات!$B$23+AU697*تنظیمات!$B$24+AV697*تنظیمات!$B$25+AW697*تنظیمات!$B$26+AX697*تنظیمات!$B$27+AY697*تنظیمات!$B$28+AZ697*تنظیمات!$B$29+BA697*تنظیمات!$B$30+BB697*تنظیمات!$B$31+BC697*تنظیمات!$B$32+BD697*تنظیمات!$B$33+BE697*تنظیمات!$B$34+BF697*تنظیمات!$B$35+BG697*تنظیمات!$B$36)</f>
        <v>0</v>
      </c>
      <c r="BI697" s="16" t="str">
        <f aca="false">IF(BH697&gt;=60,"بحرانی",IF(BH697&gt;=30,"مشکوک",IF(BH697&gt;0,"هشدار","عادی")))</f>
        <v>عادی</v>
      </c>
      <c r="BJ697" s="16" t="s">
        <v>338</v>
      </c>
    </row>
    <row r="698" customFormat="false" ht="15" hidden="false" customHeight="false" outlineLevel="0" collapsed="false">
      <c r="A698" s="16" t="s">
        <v>2490</v>
      </c>
      <c r="B698" s="16" t="s">
        <v>2491</v>
      </c>
      <c r="C698" s="16"/>
      <c r="D698" s="16" t="s">
        <v>469</v>
      </c>
      <c r="E698" s="16" t="s">
        <v>375</v>
      </c>
      <c r="F698" s="16" t="s">
        <v>359</v>
      </c>
      <c r="G698" s="17" t="n">
        <v>46290.5858449074</v>
      </c>
      <c r="H698" s="17" t="n">
        <v>46290.7455671296</v>
      </c>
      <c r="I698" s="18" t="n">
        <f aca="false">IF(H698="",ROUND((تنظیمات!$B$7-G698)*1440,0),ROUND((H698-G698)*1440,0))</f>
        <v>230</v>
      </c>
      <c r="J698" s="16" t="s">
        <v>334</v>
      </c>
      <c r="K698" s="16" t="s">
        <v>410</v>
      </c>
      <c r="L698" s="19" t="n">
        <v>0.954</v>
      </c>
      <c r="M698" s="19" t="n">
        <v>0.944</v>
      </c>
      <c r="N698" s="16" t="s">
        <v>335</v>
      </c>
      <c r="O698" s="16" t="s">
        <v>441</v>
      </c>
      <c r="P698" s="16" t="s">
        <v>420</v>
      </c>
      <c r="Q698" s="20" t="n">
        <v>46290</v>
      </c>
      <c r="R698" s="16" t="s">
        <v>2492</v>
      </c>
      <c r="S698" s="16" t="s">
        <v>404</v>
      </c>
      <c r="T698" s="17"/>
      <c r="U698" s="21" t="n">
        <v>1</v>
      </c>
      <c r="V698" s="21" t="n">
        <v>1</v>
      </c>
      <c r="W698" s="22" t="n">
        <v>4</v>
      </c>
      <c r="X698" s="16" t="s">
        <v>335</v>
      </c>
      <c r="Y698" s="16" t="s">
        <v>338</v>
      </c>
      <c r="Z698" s="16" t="s">
        <v>413</v>
      </c>
      <c r="AA698" s="16" t="s">
        <v>414</v>
      </c>
      <c r="AB698" s="23" t="s">
        <v>2493</v>
      </c>
      <c r="AC698" s="17" t="n">
        <v>46290.7453009259</v>
      </c>
      <c r="AD698" s="16" t="s">
        <v>338</v>
      </c>
      <c r="AE698" s="16"/>
      <c r="AF698" s="16" t="str">
        <f aca="false">IF(COUNTIF(لیست_سفید!$A$2:$A$21,B698)&gt;0,"بله","خیر")</f>
        <v>خیر</v>
      </c>
      <c r="AG698" s="24" t="n">
        <f aca="false">IF(H698="","",IF(AD698="فیش مفقودی",تنظیمات!$B$6,(INT(I698/1440)*تنظیمات!$B$5+IF(MOD(I698,1440)&lt;=تنظیمات!$B$2,0,MIN(تنظیمات!$B$5,تنظیمات!$B$3+MAX(0,ROUNDUP((MOD(I698,1440)-60)/60,0))*تنظیمات!$B$4)))*INDEX(تعرفه!$B$2:$B$7,MATCH(AD698,تعرفه!$A$2:$A$7,0))))</f>
        <v>62000</v>
      </c>
      <c r="AH698" s="24" t="n">
        <v>62000</v>
      </c>
      <c r="AI698" s="24" t="n">
        <f aca="false">IF(AG698="","",AH698-AG698)</f>
        <v>0</v>
      </c>
      <c r="AJ698" s="21" t="n">
        <v>3</v>
      </c>
      <c r="AK698" s="21" t="n">
        <v>0</v>
      </c>
      <c r="AL698" s="16" t="s">
        <v>335</v>
      </c>
      <c r="AM698" s="16"/>
      <c r="AN698" s="16" t="s">
        <v>340</v>
      </c>
      <c r="AO698" s="16" t="s">
        <v>340</v>
      </c>
      <c r="AP698" s="16" t="s">
        <v>335</v>
      </c>
      <c r="AQ698" s="16"/>
      <c r="AR698" s="21" t="n">
        <f aca="false">IF(AND(T698&lt;&gt;"",H698&lt;&gt;""),IF(AND((T698-H698)*86400&gt;=0,(T698-H698)*86400&lt;تنظیمات!$B$13),1,0),0)</f>
        <v>0</v>
      </c>
      <c r="AS698" s="21" t="n">
        <f aca="false">IF(Z698="پوز",IF(OR(AB698="",COUNTIF(پوزها!$A$2:$A$5,AA698)=0),1,0),0)</f>
        <v>0</v>
      </c>
      <c r="AT698" s="21" t="n">
        <f aca="false">IF(AI698="",0,IF(AI698&gt;0,1,0))</f>
        <v>0</v>
      </c>
      <c r="AU698" s="21" t="n">
        <f aca="false">IF(AI698="",0,IF(AI698&lt;0,1,0))</f>
        <v>0</v>
      </c>
      <c r="AV698" s="21" t="n">
        <f aca="false">IF(U698&gt;V698,1,0)</f>
        <v>0</v>
      </c>
      <c r="AW698" s="21" t="n">
        <f aca="false">IF(OR(W698&gt;تنظیمات!$B$8,X698="بله"),1,0)</f>
        <v>0</v>
      </c>
      <c r="AX698" s="21" t="n">
        <f aca="false">IF(AND(N698="بله",L698&gt;تنظیمات!$B$9),1,0)</f>
        <v>0</v>
      </c>
      <c r="AY698" s="21" t="n">
        <f aca="false">IF(Y698="معکوس",1,0)</f>
        <v>0</v>
      </c>
      <c r="AZ698" s="21" t="n">
        <f aca="false">IF(ABS(AJ698)&gt;تنظیمات!$B$10,1,0)</f>
        <v>0</v>
      </c>
      <c r="BA698" s="21" t="n">
        <f aca="false">IF(AND(OR(AD698="رایگان/VIP",AD698="جانباز"),AF698="خیر"),1,0)</f>
        <v>0</v>
      </c>
      <c r="BB698" s="21" t="n">
        <f aca="false">IF(AE698="",0,IF(COUNTIF($AE$2:$AE$1001,AE698)&gt;1,1,0))</f>
        <v>0</v>
      </c>
      <c r="BC698" s="21" t="n">
        <f aca="false">IF(AND(H698="",I698&gt;تنظیمات!$B$12*60,AM698="خالی"),1,0)</f>
        <v>0</v>
      </c>
      <c r="BD698" s="21" t="n">
        <f aca="false">IF(AND(AP698="بله",I698&lt;تنظیمات!$B$14,AO698="خیر"),1,0)</f>
        <v>0</v>
      </c>
      <c r="BE698" s="21" t="n">
        <f aca="false">IF(AN698="خیر",1,0)</f>
        <v>0</v>
      </c>
      <c r="BF698" s="21" t="n">
        <f aca="false">IF(AND(AD698="فیش مفقودی",AQ698="بله",I698&gt;تنظیمات!$B$12*60),1,0)</f>
        <v>0</v>
      </c>
      <c r="BG698" s="21" t="n">
        <f aca="false">IF(AND(AK698&gt;تنظیمات!$B$11,AL698="بله"),1,0)</f>
        <v>0</v>
      </c>
      <c r="BH698" s="21" t="n">
        <f aca="false">MIN(100,AR698*تنظیمات!$B$21+AS698*تنظیمات!$B$22+AT698*تنظیمات!$B$23+AU698*تنظیمات!$B$24+AV698*تنظیمات!$B$25+AW698*تنظیمات!$B$26+AX698*تنظیمات!$B$27+AY698*تنظیمات!$B$28+AZ698*تنظیمات!$B$29+BA698*تنظیمات!$B$30+BB698*تنظیمات!$B$31+BC698*تنظیمات!$B$32+BD698*تنظیمات!$B$33+BE698*تنظیمات!$B$34+BF698*تنظیمات!$B$35+BG698*تنظیمات!$B$36)</f>
        <v>0</v>
      </c>
      <c r="BI698" s="16" t="str">
        <f aca="false">IF(BH698&gt;=60,"بحرانی",IF(BH698&gt;=30,"مشکوک",IF(BH698&gt;0,"هشدار","عادی")))</f>
        <v>عادی</v>
      </c>
      <c r="BJ698" s="16" t="s">
        <v>338</v>
      </c>
    </row>
    <row r="699" customFormat="false" ht="15" hidden="false" customHeight="false" outlineLevel="0" collapsed="false">
      <c r="A699" s="16" t="s">
        <v>2494</v>
      </c>
      <c r="B699" s="16" t="s">
        <v>777</v>
      </c>
      <c r="C699" s="16"/>
      <c r="D699" s="16" t="s">
        <v>450</v>
      </c>
      <c r="E699" s="16" t="s">
        <v>345</v>
      </c>
      <c r="F699" s="16" t="s">
        <v>333</v>
      </c>
      <c r="G699" s="17" t="n">
        <v>46290.5951967593</v>
      </c>
      <c r="H699" s="17" t="n">
        <v>46290.6306134259</v>
      </c>
      <c r="I699" s="18" t="n">
        <f aca="false">IF(H699="",ROUND((تنظیمات!$B$7-G699)*1440,0),ROUND((H699-G699)*1440,0))</f>
        <v>51</v>
      </c>
      <c r="J699" s="16" t="s">
        <v>346</v>
      </c>
      <c r="K699" s="16" t="s">
        <v>410</v>
      </c>
      <c r="L699" s="19" t="n">
        <v>0.934</v>
      </c>
      <c r="M699" s="19" t="n">
        <v>0.974</v>
      </c>
      <c r="N699" s="16" t="s">
        <v>335</v>
      </c>
      <c r="O699" s="16" t="s">
        <v>441</v>
      </c>
      <c r="P699" s="16" t="s">
        <v>420</v>
      </c>
      <c r="Q699" s="20" t="n">
        <v>46290</v>
      </c>
      <c r="R699" s="16" t="s">
        <v>2495</v>
      </c>
      <c r="S699" s="16" t="s">
        <v>404</v>
      </c>
      <c r="T699" s="17"/>
      <c r="U699" s="21" t="n">
        <v>1</v>
      </c>
      <c r="V699" s="21" t="n">
        <v>1</v>
      </c>
      <c r="W699" s="22" t="n">
        <v>4.9</v>
      </c>
      <c r="X699" s="16" t="s">
        <v>335</v>
      </c>
      <c r="Y699" s="16" t="s">
        <v>338</v>
      </c>
      <c r="Z699" s="16" t="s">
        <v>413</v>
      </c>
      <c r="AA699" s="16" t="s">
        <v>414</v>
      </c>
      <c r="AB699" s="23" t="s">
        <v>2496</v>
      </c>
      <c r="AC699" s="17" t="n">
        <v>46290.6301851852</v>
      </c>
      <c r="AD699" s="16" t="s">
        <v>338</v>
      </c>
      <c r="AE699" s="16"/>
      <c r="AF699" s="16" t="str">
        <f aca="false">IF(COUNTIF(لیست_سفید!$A$2:$A$21,B699)&gt;0,"بله","خیر")</f>
        <v>خیر</v>
      </c>
      <c r="AG699" s="24" t="n">
        <f aca="false">IF(H699="","",IF(AD699="فیش مفقودی",تنظیمات!$B$6,(INT(I699/1440)*تنظیمات!$B$5+IF(MOD(I699,1440)&lt;=تنظیمات!$B$2,0,MIN(تنظیمات!$B$5,تنظیمات!$B$3+MAX(0,ROUNDUP((MOD(I699,1440)-60)/60,0))*تنظیمات!$B$4)))*INDEX(تعرفه!$B$2:$B$7,MATCH(AD699,تعرفه!$A$2:$A$7,0))))</f>
        <v>20000</v>
      </c>
      <c r="AH699" s="24" t="n">
        <v>20000</v>
      </c>
      <c r="AI699" s="24" t="n">
        <f aca="false">IF(AG699="","",AH699-AG699)</f>
        <v>0</v>
      </c>
      <c r="AJ699" s="21" t="n">
        <v>0</v>
      </c>
      <c r="AK699" s="21" t="n">
        <v>0</v>
      </c>
      <c r="AL699" s="16" t="s">
        <v>335</v>
      </c>
      <c r="AM699" s="16"/>
      <c r="AN699" s="16" t="s">
        <v>340</v>
      </c>
      <c r="AO699" s="16" t="s">
        <v>340</v>
      </c>
      <c r="AP699" s="16" t="s">
        <v>335</v>
      </c>
      <c r="AQ699" s="16"/>
      <c r="AR699" s="21" t="n">
        <f aca="false">IF(AND(T699&lt;&gt;"",H699&lt;&gt;""),IF(AND((T699-H699)*86400&gt;=0,(T699-H699)*86400&lt;تنظیمات!$B$13),1,0),0)</f>
        <v>0</v>
      </c>
      <c r="AS699" s="21" t="n">
        <f aca="false">IF(Z699="پوز",IF(OR(AB699="",COUNTIF(پوزها!$A$2:$A$5,AA699)=0),1,0),0)</f>
        <v>0</v>
      </c>
      <c r="AT699" s="21" t="n">
        <f aca="false">IF(AI699="",0,IF(AI699&gt;0,1,0))</f>
        <v>0</v>
      </c>
      <c r="AU699" s="21" t="n">
        <f aca="false">IF(AI699="",0,IF(AI699&lt;0,1,0))</f>
        <v>0</v>
      </c>
      <c r="AV699" s="21" t="n">
        <f aca="false">IF(U699&gt;V699,1,0)</f>
        <v>0</v>
      </c>
      <c r="AW699" s="21" t="n">
        <f aca="false">IF(OR(W699&gt;تنظیمات!$B$8,X699="بله"),1,0)</f>
        <v>0</v>
      </c>
      <c r="AX699" s="21" t="n">
        <f aca="false">IF(AND(N699="بله",L699&gt;تنظیمات!$B$9),1,0)</f>
        <v>0</v>
      </c>
      <c r="AY699" s="21" t="n">
        <f aca="false">IF(Y699="معکوس",1,0)</f>
        <v>0</v>
      </c>
      <c r="AZ699" s="21" t="n">
        <f aca="false">IF(ABS(AJ699)&gt;تنظیمات!$B$10,1,0)</f>
        <v>0</v>
      </c>
      <c r="BA699" s="21" t="n">
        <f aca="false">IF(AND(OR(AD699="رایگان/VIP",AD699="جانباز"),AF699="خیر"),1,0)</f>
        <v>0</v>
      </c>
      <c r="BB699" s="21" t="n">
        <f aca="false">IF(AE699="",0,IF(COUNTIF($AE$2:$AE$1001,AE699)&gt;1,1,0))</f>
        <v>0</v>
      </c>
      <c r="BC699" s="21" t="n">
        <f aca="false">IF(AND(H699="",I699&gt;تنظیمات!$B$12*60,AM699="خالی"),1,0)</f>
        <v>0</v>
      </c>
      <c r="BD699" s="21" t="n">
        <f aca="false">IF(AND(AP699="بله",I699&lt;تنظیمات!$B$14,AO699="خیر"),1,0)</f>
        <v>0</v>
      </c>
      <c r="BE699" s="21" t="n">
        <f aca="false">IF(AN699="خیر",1,0)</f>
        <v>0</v>
      </c>
      <c r="BF699" s="21" t="n">
        <f aca="false">IF(AND(AD699="فیش مفقودی",AQ699="بله",I699&gt;تنظیمات!$B$12*60),1,0)</f>
        <v>0</v>
      </c>
      <c r="BG699" s="21" t="n">
        <f aca="false">IF(AND(AK699&gt;تنظیمات!$B$11,AL699="بله"),1,0)</f>
        <v>0</v>
      </c>
      <c r="BH699" s="21" t="n">
        <f aca="false">MIN(100,AR699*تنظیمات!$B$21+AS699*تنظیمات!$B$22+AT699*تنظیمات!$B$23+AU699*تنظیمات!$B$24+AV699*تنظیمات!$B$25+AW699*تنظیمات!$B$26+AX699*تنظیمات!$B$27+AY699*تنظیمات!$B$28+AZ699*تنظیمات!$B$29+BA699*تنظیمات!$B$30+BB699*تنظیمات!$B$31+BC699*تنظیمات!$B$32+BD699*تنظیمات!$B$33+BE699*تنظیمات!$B$34+BF699*تنظیمات!$B$35+BG699*تنظیمات!$B$36)</f>
        <v>0</v>
      </c>
      <c r="BI699" s="16" t="str">
        <f aca="false">IF(BH699&gt;=60,"بحرانی",IF(BH699&gt;=30,"مشکوک",IF(BH699&gt;0,"هشدار","عادی")))</f>
        <v>عادی</v>
      </c>
      <c r="BJ699" s="16" t="s">
        <v>338</v>
      </c>
    </row>
    <row r="700" customFormat="false" ht="15" hidden="false" customHeight="false" outlineLevel="0" collapsed="false">
      <c r="A700" s="16" t="s">
        <v>2497</v>
      </c>
      <c r="B700" s="16" t="s">
        <v>835</v>
      </c>
      <c r="C700" s="16" t="s">
        <v>2498</v>
      </c>
      <c r="D700" s="16" t="s">
        <v>344</v>
      </c>
      <c r="E700" s="16" t="s">
        <v>375</v>
      </c>
      <c r="F700" s="16" t="s">
        <v>333</v>
      </c>
      <c r="G700" s="17" t="n">
        <v>46290.6134606482</v>
      </c>
      <c r="H700" s="17" t="n">
        <v>46290.6454050926</v>
      </c>
      <c r="I700" s="18" t="n">
        <f aca="false">IF(H700="",ROUND((تنظیمات!$B$7-G700)*1440,0),ROUND((H700-G700)*1440,0))</f>
        <v>46</v>
      </c>
      <c r="J700" s="16" t="s">
        <v>346</v>
      </c>
      <c r="K700" s="16" t="s">
        <v>400</v>
      </c>
      <c r="L700" s="19" t="n">
        <v>0.675</v>
      </c>
      <c r="M700" s="19" t="n">
        <v>0.912</v>
      </c>
      <c r="N700" s="16" t="s">
        <v>340</v>
      </c>
      <c r="O700" s="16" t="s">
        <v>425</v>
      </c>
      <c r="P700" s="16" t="s">
        <v>420</v>
      </c>
      <c r="Q700" s="20" t="n">
        <v>46290</v>
      </c>
      <c r="R700" s="16" t="s">
        <v>2499</v>
      </c>
      <c r="S700" s="16" t="s">
        <v>404</v>
      </c>
      <c r="T700" s="17"/>
      <c r="U700" s="21" t="n">
        <v>1</v>
      </c>
      <c r="V700" s="21" t="n">
        <v>1</v>
      </c>
      <c r="W700" s="22" t="n">
        <v>5.5</v>
      </c>
      <c r="X700" s="16" t="s">
        <v>335</v>
      </c>
      <c r="Y700" s="16" t="s">
        <v>338</v>
      </c>
      <c r="Z700" s="16" t="s">
        <v>405</v>
      </c>
      <c r="AA700" s="16"/>
      <c r="AB700" s="23"/>
      <c r="AC700" s="17"/>
      <c r="AD700" s="16" t="s">
        <v>481</v>
      </c>
      <c r="AE700" s="16" t="s">
        <v>2500</v>
      </c>
      <c r="AF700" s="16" t="str">
        <f aca="false">IF(COUNTIF(لیست_سفید!$A$2:$A$21,B700)&gt;0,"بله","خیر")</f>
        <v>خیر</v>
      </c>
      <c r="AG700" s="24" t="n">
        <f aca="false">IF(H700="","",IF(AD700="فیش مفقودی",تنظیمات!$B$6,(INT(I700/1440)*تنظیمات!$B$5+IF(MOD(I700,1440)&lt;=تنظیمات!$B$2,0,MIN(تنظیمات!$B$5,تنظیمات!$B$3+MAX(0,ROUNDUP((MOD(I700,1440)-60)/60,0))*تنظیمات!$B$4)))*INDEX(تعرفه!$B$2:$B$7,MATCH(AD700,تعرفه!$A$2:$A$7,0))))</f>
        <v>10000</v>
      </c>
      <c r="AH700" s="24" t="n">
        <v>10000</v>
      </c>
      <c r="AI700" s="24" t="n">
        <f aca="false">IF(AG700="","",AH700-AG700)</f>
        <v>0</v>
      </c>
      <c r="AJ700" s="21" t="n">
        <v>0</v>
      </c>
      <c r="AK700" s="21" t="n">
        <v>0</v>
      </c>
      <c r="AL700" s="16" t="s">
        <v>335</v>
      </c>
      <c r="AM700" s="16"/>
      <c r="AN700" s="16" t="s">
        <v>340</v>
      </c>
      <c r="AO700" s="16" t="s">
        <v>340</v>
      </c>
      <c r="AP700" s="16" t="s">
        <v>335</v>
      </c>
      <c r="AQ700" s="16"/>
      <c r="AR700" s="21" t="n">
        <f aca="false">IF(AND(T700&lt;&gt;"",H700&lt;&gt;""),IF(AND((T700-H700)*86400&gt;=0,(T700-H700)*86400&lt;تنظیمات!$B$13),1,0),0)</f>
        <v>0</v>
      </c>
      <c r="AS700" s="21" t="n">
        <f aca="false">IF(Z700="پوز",IF(OR(AB700="",COUNTIF(پوزها!$A$2:$A$5,AA700)=0),1,0),0)</f>
        <v>0</v>
      </c>
      <c r="AT700" s="21" t="n">
        <f aca="false">IF(AI700="",0,IF(AI700&gt;0,1,0))</f>
        <v>0</v>
      </c>
      <c r="AU700" s="21" t="n">
        <f aca="false">IF(AI700="",0,IF(AI700&lt;0,1,0))</f>
        <v>0</v>
      </c>
      <c r="AV700" s="21" t="n">
        <f aca="false">IF(U700&gt;V700,1,0)</f>
        <v>0</v>
      </c>
      <c r="AW700" s="21" t="n">
        <f aca="false">IF(OR(W700&gt;تنظیمات!$B$8,X700="بله"),1,0)</f>
        <v>0</v>
      </c>
      <c r="AX700" s="21" t="n">
        <f aca="false">IF(AND(N700="بله",L700&gt;تنظیمات!$B$9),1,0)</f>
        <v>0</v>
      </c>
      <c r="AY700" s="21" t="n">
        <f aca="false">IF(Y700="معکوس",1,0)</f>
        <v>0</v>
      </c>
      <c r="AZ700" s="21" t="n">
        <f aca="false">IF(ABS(AJ700)&gt;تنظیمات!$B$10,1,0)</f>
        <v>0</v>
      </c>
      <c r="BA700" s="21" t="n">
        <f aca="false">IF(AND(OR(AD700="رایگان/VIP",AD700="جانباز"),AF700="خیر"),1,0)</f>
        <v>0</v>
      </c>
      <c r="BB700" s="21" t="n">
        <f aca="false">IF(AE700="",0,IF(COUNTIF($AE$2:$AE$1001,AE700)&gt;1,1,0))</f>
        <v>0</v>
      </c>
      <c r="BC700" s="21" t="n">
        <f aca="false">IF(AND(H700="",I700&gt;تنظیمات!$B$12*60,AM700="خالی"),1,0)</f>
        <v>0</v>
      </c>
      <c r="BD700" s="21" t="n">
        <f aca="false">IF(AND(AP700="بله",I700&lt;تنظیمات!$B$14,AO700="خیر"),1,0)</f>
        <v>0</v>
      </c>
      <c r="BE700" s="21" t="n">
        <f aca="false">IF(AN700="خیر",1,0)</f>
        <v>0</v>
      </c>
      <c r="BF700" s="21" t="n">
        <f aca="false">IF(AND(AD700="فیش مفقودی",AQ700="بله",I700&gt;تنظیمات!$B$12*60),1,0)</f>
        <v>0</v>
      </c>
      <c r="BG700" s="21" t="n">
        <f aca="false">IF(AND(AK700&gt;تنظیمات!$B$11,AL700="بله"),1,0)</f>
        <v>0</v>
      </c>
      <c r="BH700" s="21" t="n">
        <f aca="false">MIN(100,AR700*تنظیمات!$B$21+AS700*تنظیمات!$B$22+AT700*تنظیمات!$B$23+AU700*تنظیمات!$B$24+AV700*تنظیمات!$B$25+AW700*تنظیمات!$B$26+AX700*تنظیمات!$B$27+AY700*تنظیمات!$B$28+AZ700*تنظیمات!$B$29+BA700*تنظیمات!$B$30+BB700*تنظیمات!$B$31+BC700*تنظیمات!$B$32+BD700*تنظیمات!$B$33+BE700*تنظیمات!$B$34+BF700*تنظیمات!$B$35+BG700*تنظیمات!$B$36)</f>
        <v>0</v>
      </c>
      <c r="BI700" s="16" t="str">
        <f aca="false">IF(BH700&gt;=60,"بحرانی",IF(BH700&gt;=30,"مشکوک",IF(BH700&gt;0,"هشدار","عادی")))</f>
        <v>عادی</v>
      </c>
      <c r="BJ700" s="16" t="s">
        <v>338</v>
      </c>
    </row>
    <row r="701" customFormat="false" ht="15" hidden="false" customHeight="false" outlineLevel="0" collapsed="false">
      <c r="A701" s="16" t="s">
        <v>2501</v>
      </c>
      <c r="B701" s="16" t="s">
        <v>936</v>
      </c>
      <c r="C701" s="16"/>
      <c r="D701" s="16" t="s">
        <v>440</v>
      </c>
      <c r="E701" s="16" t="s">
        <v>332</v>
      </c>
      <c r="F701" s="16" t="s">
        <v>359</v>
      </c>
      <c r="G701" s="17" t="n">
        <v>46290.6135416667</v>
      </c>
      <c r="H701" s="17" t="n">
        <v>46290.6788194445</v>
      </c>
      <c r="I701" s="18" t="n">
        <f aca="false">IF(H701="",ROUND((تنظیمات!$B$7-G701)*1440,0),ROUND((H701-G701)*1440,0))</f>
        <v>94</v>
      </c>
      <c r="J701" s="16" t="s">
        <v>346</v>
      </c>
      <c r="K701" s="16" t="s">
        <v>400</v>
      </c>
      <c r="L701" s="19" t="n">
        <v>0.995</v>
      </c>
      <c r="M701" s="19" t="n">
        <v>0.985</v>
      </c>
      <c r="N701" s="16" t="s">
        <v>335</v>
      </c>
      <c r="O701" s="16" t="s">
        <v>425</v>
      </c>
      <c r="P701" s="16" t="s">
        <v>420</v>
      </c>
      <c r="Q701" s="20" t="n">
        <v>46290</v>
      </c>
      <c r="R701" s="16" t="s">
        <v>2502</v>
      </c>
      <c r="S701" s="16" t="s">
        <v>404</v>
      </c>
      <c r="T701" s="17"/>
      <c r="U701" s="21" t="n">
        <v>1</v>
      </c>
      <c r="V701" s="21" t="n">
        <v>1</v>
      </c>
      <c r="W701" s="22" t="n">
        <v>6.3</v>
      </c>
      <c r="X701" s="16" t="s">
        <v>335</v>
      </c>
      <c r="Y701" s="16" t="s">
        <v>338</v>
      </c>
      <c r="Z701" s="16" t="s">
        <v>413</v>
      </c>
      <c r="AA701" s="16" t="s">
        <v>427</v>
      </c>
      <c r="AB701" s="23" t="s">
        <v>2503</v>
      </c>
      <c r="AC701" s="17" t="n">
        <v>46290.6783680556</v>
      </c>
      <c r="AD701" s="16" t="s">
        <v>338</v>
      </c>
      <c r="AE701" s="16"/>
      <c r="AF701" s="16" t="str">
        <f aca="false">IF(COUNTIF(لیست_سفید!$A$2:$A$21,B701)&gt;0,"بله","خیر")</f>
        <v>خیر</v>
      </c>
      <c r="AG701" s="24" t="n">
        <f aca="false">IF(H701="","",IF(AD701="فیش مفقودی",تنظیمات!$B$6,(INT(I701/1440)*تنظیمات!$B$5+IF(MOD(I701,1440)&lt;=تنظیمات!$B$2,0,MIN(تنظیمات!$B$5,تنظیمات!$B$3+MAX(0,ROUNDUP((MOD(I701,1440)-60)/60,0))*تنظیمات!$B$4)))*INDEX(تعرفه!$B$2:$B$7,MATCH(AD701,تعرفه!$A$2:$A$7,0))))</f>
        <v>34000</v>
      </c>
      <c r="AH701" s="24" t="n">
        <v>34000</v>
      </c>
      <c r="AI701" s="24" t="n">
        <f aca="false">IF(AG701="","",AH701-AG701)</f>
        <v>0</v>
      </c>
      <c r="AJ701" s="21" t="n">
        <v>3</v>
      </c>
      <c r="AK701" s="21" t="n">
        <v>0</v>
      </c>
      <c r="AL701" s="16" t="s">
        <v>335</v>
      </c>
      <c r="AM701" s="16"/>
      <c r="AN701" s="16" t="s">
        <v>340</v>
      </c>
      <c r="AO701" s="16" t="s">
        <v>340</v>
      </c>
      <c r="AP701" s="16" t="s">
        <v>335</v>
      </c>
      <c r="AQ701" s="16"/>
      <c r="AR701" s="21" t="n">
        <f aca="false">IF(AND(T701&lt;&gt;"",H701&lt;&gt;""),IF(AND((T701-H701)*86400&gt;=0,(T701-H701)*86400&lt;تنظیمات!$B$13),1,0),0)</f>
        <v>0</v>
      </c>
      <c r="AS701" s="21" t="n">
        <f aca="false">IF(Z701="پوز",IF(OR(AB701="",COUNTIF(پوزها!$A$2:$A$5,AA701)=0),1,0),0)</f>
        <v>0</v>
      </c>
      <c r="AT701" s="21" t="n">
        <f aca="false">IF(AI701="",0,IF(AI701&gt;0,1,0))</f>
        <v>0</v>
      </c>
      <c r="AU701" s="21" t="n">
        <f aca="false">IF(AI701="",0,IF(AI701&lt;0,1,0))</f>
        <v>0</v>
      </c>
      <c r="AV701" s="21" t="n">
        <f aca="false">IF(U701&gt;V701,1,0)</f>
        <v>0</v>
      </c>
      <c r="AW701" s="21" t="n">
        <f aca="false">IF(OR(W701&gt;تنظیمات!$B$8,X701="بله"),1,0)</f>
        <v>0</v>
      </c>
      <c r="AX701" s="21" t="n">
        <f aca="false">IF(AND(N701="بله",L701&gt;تنظیمات!$B$9),1,0)</f>
        <v>0</v>
      </c>
      <c r="AY701" s="21" t="n">
        <f aca="false">IF(Y701="معکوس",1,0)</f>
        <v>0</v>
      </c>
      <c r="AZ701" s="21" t="n">
        <f aca="false">IF(ABS(AJ701)&gt;تنظیمات!$B$10,1,0)</f>
        <v>0</v>
      </c>
      <c r="BA701" s="21" t="n">
        <f aca="false">IF(AND(OR(AD701="رایگان/VIP",AD701="جانباز"),AF701="خیر"),1,0)</f>
        <v>0</v>
      </c>
      <c r="BB701" s="21" t="n">
        <f aca="false">IF(AE701="",0,IF(COUNTIF($AE$2:$AE$1001,AE701)&gt;1,1,0))</f>
        <v>0</v>
      </c>
      <c r="BC701" s="21" t="n">
        <f aca="false">IF(AND(H701="",I701&gt;تنظیمات!$B$12*60,AM701="خالی"),1,0)</f>
        <v>0</v>
      </c>
      <c r="BD701" s="21" t="n">
        <f aca="false">IF(AND(AP701="بله",I701&lt;تنظیمات!$B$14,AO701="خیر"),1,0)</f>
        <v>0</v>
      </c>
      <c r="BE701" s="21" t="n">
        <f aca="false">IF(AN701="خیر",1,0)</f>
        <v>0</v>
      </c>
      <c r="BF701" s="21" t="n">
        <f aca="false">IF(AND(AD701="فیش مفقودی",AQ701="بله",I701&gt;تنظیمات!$B$12*60),1,0)</f>
        <v>0</v>
      </c>
      <c r="BG701" s="21" t="n">
        <f aca="false">IF(AND(AK701&gt;تنظیمات!$B$11,AL701="بله"),1,0)</f>
        <v>0</v>
      </c>
      <c r="BH701" s="21" t="n">
        <f aca="false">MIN(100,AR701*تنظیمات!$B$21+AS701*تنظیمات!$B$22+AT701*تنظیمات!$B$23+AU701*تنظیمات!$B$24+AV701*تنظیمات!$B$25+AW701*تنظیمات!$B$26+AX701*تنظیمات!$B$27+AY701*تنظیمات!$B$28+AZ701*تنظیمات!$B$29+BA701*تنظیمات!$B$30+BB701*تنظیمات!$B$31+BC701*تنظیمات!$B$32+BD701*تنظیمات!$B$33+BE701*تنظیمات!$B$34+BF701*تنظیمات!$B$35+BG701*تنظیمات!$B$36)</f>
        <v>0</v>
      </c>
      <c r="BI701" s="16" t="str">
        <f aca="false">IF(BH701&gt;=60,"بحرانی",IF(BH701&gt;=30,"مشکوک",IF(BH701&gt;0,"هشدار","عادی")))</f>
        <v>عادی</v>
      </c>
      <c r="BJ701" s="16" t="s">
        <v>338</v>
      </c>
    </row>
    <row r="702" customFormat="false" ht="15" hidden="false" customHeight="false" outlineLevel="0" collapsed="false">
      <c r="A702" s="16" t="s">
        <v>2504</v>
      </c>
      <c r="B702" s="16" t="s">
        <v>2505</v>
      </c>
      <c r="C702" s="16"/>
      <c r="D702" s="16" t="s">
        <v>523</v>
      </c>
      <c r="E702" s="16" t="s">
        <v>363</v>
      </c>
      <c r="F702" s="16" t="s">
        <v>333</v>
      </c>
      <c r="G702" s="17" t="n">
        <v>46290.6320949074</v>
      </c>
      <c r="H702" s="17" t="n">
        <v>46290.8397337963</v>
      </c>
      <c r="I702" s="18" t="n">
        <f aca="false">IF(H702="",ROUND((تنظیمات!$B$7-G702)*1440,0),ROUND((H702-G702)*1440,0))</f>
        <v>299</v>
      </c>
      <c r="J702" s="16" t="s">
        <v>334</v>
      </c>
      <c r="K702" s="16" t="s">
        <v>400</v>
      </c>
      <c r="L702" s="19" t="n">
        <v>0.859</v>
      </c>
      <c r="M702" s="19" t="n">
        <v>0.922</v>
      </c>
      <c r="N702" s="16" t="s">
        <v>335</v>
      </c>
      <c r="O702" s="16" t="s">
        <v>425</v>
      </c>
      <c r="P702" s="16" t="s">
        <v>420</v>
      </c>
      <c r="Q702" s="20" t="n">
        <v>46290</v>
      </c>
      <c r="R702" s="16" t="s">
        <v>2506</v>
      </c>
      <c r="S702" s="16" t="s">
        <v>404</v>
      </c>
      <c r="T702" s="17"/>
      <c r="U702" s="21" t="n">
        <v>1</v>
      </c>
      <c r="V702" s="21" t="n">
        <v>1</v>
      </c>
      <c r="W702" s="22" t="n">
        <v>5.8</v>
      </c>
      <c r="X702" s="16" t="s">
        <v>335</v>
      </c>
      <c r="Y702" s="16" t="s">
        <v>338</v>
      </c>
      <c r="Z702" s="16" t="s">
        <v>443</v>
      </c>
      <c r="AA702" s="16"/>
      <c r="AB702" s="23"/>
      <c r="AC702" s="17"/>
      <c r="AD702" s="16" t="s">
        <v>444</v>
      </c>
      <c r="AE702" s="16"/>
      <c r="AF702" s="16" t="str">
        <f aca="false">IF(COUNTIF(لیست_سفید!$A$2:$A$21,B702)&gt;0,"بله","خیر")</f>
        <v>خیر</v>
      </c>
      <c r="AG702" s="24" t="n">
        <f aca="false">IF(H702="","",IF(AD702="فیش مفقودی",تنظیمات!$B$6,(INT(I702/1440)*تنظیمات!$B$5+IF(MOD(I702,1440)&lt;=تنظیمات!$B$2,0,MIN(تنظیمات!$B$5,تنظیمات!$B$3+MAX(0,ROUNDUP((MOD(I702,1440)-60)/60,0))*تنظیمات!$B$4)))*INDEX(تعرفه!$B$2:$B$7,MATCH(AD702,تعرفه!$A$2:$A$7,0))))</f>
        <v>0</v>
      </c>
      <c r="AH702" s="24" t="n">
        <v>0</v>
      </c>
      <c r="AI702" s="24" t="n">
        <f aca="false">IF(AG702="","",AH702-AG702)</f>
        <v>0</v>
      </c>
      <c r="AJ702" s="21" t="n">
        <v>-3</v>
      </c>
      <c r="AK702" s="21" t="n">
        <v>0</v>
      </c>
      <c r="AL702" s="16" t="s">
        <v>335</v>
      </c>
      <c r="AM702" s="16"/>
      <c r="AN702" s="16" t="s">
        <v>340</v>
      </c>
      <c r="AO702" s="16" t="s">
        <v>340</v>
      </c>
      <c r="AP702" s="16" t="s">
        <v>335</v>
      </c>
      <c r="AQ702" s="16"/>
      <c r="AR702" s="21" t="n">
        <f aca="false">IF(AND(T702&lt;&gt;"",H702&lt;&gt;""),IF(AND((T702-H702)*86400&gt;=0,(T702-H702)*86400&lt;تنظیمات!$B$13),1,0),0)</f>
        <v>0</v>
      </c>
      <c r="AS702" s="21" t="n">
        <f aca="false">IF(Z702="پوز",IF(OR(AB702="",COUNTIF(پوزها!$A$2:$A$5,AA702)=0),1,0),0)</f>
        <v>0</v>
      </c>
      <c r="AT702" s="21" t="n">
        <f aca="false">IF(AI702="",0,IF(AI702&gt;0,1,0))</f>
        <v>0</v>
      </c>
      <c r="AU702" s="21" t="n">
        <f aca="false">IF(AI702="",0,IF(AI702&lt;0,1,0))</f>
        <v>0</v>
      </c>
      <c r="AV702" s="21" t="n">
        <f aca="false">IF(U702&gt;V702,1,0)</f>
        <v>0</v>
      </c>
      <c r="AW702" s="21" t="n">
        <f aca="false">IF(OR(W702&gt;تنظیمات!$B$8,X702="بله"),1,0)</f>
        <v>0</v>
      </c>
      <c r="AX702" s="21" t="n">
        <f aca="false">IF(AND(N702="بله",L702&gt;تنظیمات!$B$9),1,0)</f>
        <v>0</v>
      </c>
      <c r="AY702" s="21" t="n">
        <f aca="false">IF(Y702="معکوس",1,0)</f>
        <v>0</v>
      </c>
      <c r="AZ702" s="21" t="n">
        <f aca="false">IF(ABS(AJ702)&gt;تنظیمات!$B$10,1,0)</f>
        <v>0</v>
      </c>
      <c r="BA702" s="21" t="n">
        <f aca="false">IF(AND(OR(AD702="رایگان/VIP",AD702="جانباز"),AF702="خیر"),1,0)</f>
        <v>0</v>
      </c>
      <c r="BB702" s="21" t="n">
        <f aca="false">IF(AE702="",0,IF(COUNTIF($AE$2:$AE$1001,AE702)&gt;1,1,0))</f>
        <v>0</v>
      </c>
      <c r="BC702" s="21" t="n">
        <f aca="false">IF(AND(H702="",I702&gt;تنظیمات!$B$12*60,AM702="خالی"),1,0)</f>
        <v>0</v>
      </c>
      <c r="BD702" s="21" t="n">
        <f aca="false">IF(AND(AP702="بله",I702&lt;تنظیمات!$B$14,AO702="خیر"),1,0)</f>
        <v>0</v>
      </c>
      <c r="BE702" s="21" t="n">
        <f aca="false">IF(AN702="خیر",1,0)</f>
        <v>0</v>
      </c>
      <c r="BF702" s="21" t="n">
        <f aca="false">IF(AND(AD702="فیش مفقودی",AQ702="بله",I702&gt;تنظیمات!$B$12*60),1,0)</f>
        <v>0</v>
      </c>
      <c r="BG702" s="21" t="n">
        <f aca="false">IF(AND(AK702&gt;تنظیمات!$B$11,AL702="بله"),1,0)</f>
        <v>0</v>
      </c>
      <c r="BH702" s="21" t="n">
        <f aca="false">MIN(100,AR702*تنظیمات!$B$21+AS702*تنظیمات!$B$22+AT702*تنظیمات!$B$23+AU702*تنظیمات!$B$24+AV702*تنظیمات!$B$25+AW702*تنظیمات!$B$26+AX702*تنظیمات!$B$27+AY702*تنظیمات!$B$28+AZ702*تنظیمات!$B$29+BA702*تنظیمات!$B$30+BB702*تنظیمات!$B$31+BC702*تنظیمات!$B$32+BD702*تنظیمات!$B$33+BE702*تنظیمات!$B$34+BF702*تنظیمات!$B$35+BG702*تنظیمات!$B$36)</f>
        <v>0</v>
      </c>
      <c r="BI702" s="16" t="str">
        <f aca="false">IF(BH702&gt;=60,"بحرانی",IF(BH702&gt;=30,"مشکوک",IF(BH702&gt;0,"هشدار","عادی")))</f>
        <v>عادی</v>
      </c>
      <c r="BJ702" s="16" t="s">
        <v>338</v>
      </c>
    </row>
    <row r="703" customFormat="false" ht="15" hidden="false" customHeight="false" outlineLevel="0" collapsed="false">
      <c r="A703" s="16" t="s">
        <v>2507</v>
      </c>
      <c r="B703" s="16" t="s">
        <v>1430</v>
      </c>
      <c r="C703" s="16"/>
      <c r="D703" s="16" t="s">
        <v>440</v>
      </c>
      <c r="E703" s="16" t="s">
        <v>351</v>
      </c>
      <c r="F703" s="16" t="s">
        <v>359</v>
      </c>
      <c r="G703" s="17" t="n">
        <v>46290.6385069444</v>
      </c>
      <c r="H703" s="17" t="n">
        <v>46290.7072569444</v>
      </c>
      <c r="I703" s="18" t="n">
        <f aca="false">IF(H703="",ROUND((تنظیمات!$B$7-G703)*1440,0),ROUND((H703-G703)*1440,0))</f>
        <v>99</v>
      </c>
      <c r="J703" s="16" t="s">
        <v>346</v>
      </c>
      <c r="K703" s="16" t="s">
        <v>400</v>
      </c>
      <c r="L703" s="19" t="n">
        <v>0.941</v>
      </c>
      <c r="M703" s="19" t="n">
        <v>0.959</v>
      </c>
      <c r="N703" s="16" t="s">
        <v>335</v>
      </c>
      <c r="O703" s="16" t="s">
        <v>425</v>
      </c>
      <c r="P703" s="16" t="s">
        <v>420</v>
      </c>
      <c r="Q703" s="20" t="n">
        <v>46290</v>
      </c>
      <c r="R703" s="16" t="s">
        <v>2508</v>
      </c>
      <c r="S703" s="16" t="s">
        <v>404</v>
      </c>
      <c r="T703" s="17"/>
      <c r="U703" s="21" t="n">
        <v>1</v>
      </c>
      <c r="V703" s="21" t="n">
        <v>1</v>
      </c>
      <c r="W703" s="22" t="n">
        <v>6.4</v>
      </c>
      <c r="X703" s="16" t="s">
        <v>335</v>
      </c>
      <c r="Y703" s="16" t="s">
        <v>338</v>
      </c>
      <c r="Z703" s="16" t="s">
        <v>413</v>
      </c>
      <c r="AA703" s="16" t="s">
        <v>427</v>
      </c>
      <c r="AB703" s="23" t="s">
        <v>2509</v>
      </c>
      <c r="AC703" s="17" t="n">
        <v>46290.7067013889</v>
      </c>
      <c r="AD703" s="16" t="s">
        <v>338</v>
      </c>
      <c r="AE703" s="16"/>
      <c r="AF703" s="16" t="str">
        <f aca="false">IF(COUNTIF(لیست_سفید!$A$2:$A$21,B703)&gt;0,"بله","خیر")</f>
        <v>خیر</v>
      </c>
      <c r="AG703" s="24" t="n">
        <f aca="false">IF(H703="","",IF(AD703="فیش مفقودی",تنظیمات!$B$6,(INT(I703/1440)*تنظیمات!$B$5+IF(MOD(I703,1440)&lt;=تنظیمات!$B$2,0,MIN(تنظیمات!$B$5,تنظیمات!$B$3+MAX(0,ROUNDUP((MOD(I703,1440)-60)/60,0))*تنظیمات!$B$4)))*INDEX(تعرفه!$B$2:$B$7,MATCH(AD703,تعرفه!$A$2:$A$7,0))))</f>
        <v>34000</v>
      </c>
      <c r="AH703" s="24" t="n">
        <v>34000</v>
      </c>
      <c r="AI703" s="24" t="n">
        <f aca="false">IF(AG703="","",AH703-AG703)</f>
        <v>0</v>
      </c>
      <c r="AJ703" s="21" t="n">
        <v>-1</v>
      </c>
      <c r="AK703" s="21" t="n">
        <v>0</v>
      </c>
      <c r="AL703" s="16" t="s">
        <v>335</v>
      </c>
      <c r="AM703" s="16"/>
      <c r="AN703" s="16" t="s">
        <v>340</v>
      </c>
      <c r="AO703" s="16" t="s">
        <v>340</v>
      </c>
      <c r="AP703" s="16" t="s">
        <v>335</v>
      </c>
      <c r="AQ703" s="16"/>
      <c r="AR703" s="21" t="n">
        <f aca="false">IF(AND(T703&lt;&gt;"",H703&lt;&gt;""),IF(AND((T703-H703)*86400&gt;=0,(T703-H703)*86400&lt;تنظیمات!$B$13),1,0),0)</f>
        <v>0</v>
      </c>
      <c r="AS703" s="21" t="n">
        <f aca="false">IF(Z703="پوز",IF(OR(AB703="",COUNTIF(پوزها!$A$2:$A$5,AA703)=0),1,0),0)</f>
        <v>0</v>
      </c>
      <c r="AT703" s="21" t="n">
        <f aca="false">IF(AI703="",0,IF(AI703&gt;0,1,0))</f>
        <v>0</v>
      </c>
      <c r="AU703" s="21" t="n">
        <f aca="false">IF(AI703="",0,IF(AI703&lt;0,1,0))</f>
        <v>0</v>
      </c>
      <c r="AV703" s="21" t="n">
        <f aca="false">IF(U703&gt;V703,1,0)</f>
        <v>0</v>
      </c>
      <c r="AW703" s="21" t="n">
        <f aca="false">IF(OR(W703&gt;تنظیمات!$B$8,X703="بله"),1,0)</f>
        <v>0</v>
      </c>
      <c r="AX703" s="21" t="n">
        <f aca="false">IF(AND(N703="بله",L703&gt;تنظیمات!$B$9),1,0)</f>
        <v>0</v>
      </c>
      <c r="AY703" s="21" t="n">
        <f aca="false">IF(Y703="معکوس",1,0)</f>
        <v>0</v>
      </c>
      <c r="AZ703" s="21" t="n">
        <f aca="false">IF(ABS(AJ703)&gt;تنظیمات!$B$10,1,0)</f>
        <v>0</v>
      </c>
      <c r="BA703" s="21" t="n">
        <f aca="false">IF(AND(OR(AD703="رایگان/VIP",AD703="جانباز"),AF703="خیر"),1,0)</f>
        <v>0</v>
      </c>
      <c r="BB703" s="21" t="n">
        <f aca="false">IF(AE703="",0,IF(COUNTIF($AE$2:$AE$1001,AE703)&gt;1,1,0))</f>
        <v>0</v>
      </c>
      <c r="BC703" s="21" t="n">
        <f aca="false">IF(AND(H703="",I703&gt;تنظیمات!$B$12*60,AM703="خالی"),1,0)</f>
        <v>0</v>
      </c>
      <c r="BD703" s="21" t="n">
        <f aca="false">IF(AND(AP703="بله",I703&lt;تنظیمات!$B$14,AO703="خیر"),1,0)</f>
        <v>0</v>
      </c>
      <c r="BE703" s="21" t="n">
        <f aca="false">IF(AN703="خیر",1,0)</f>
        <v>0</v>
      </c>
      <c r="BF703" s="21" t="n">
        <f aca="false">IF(AND(AD703="فیش مفقودی",AQ703="بله",I703&gt;تنظیمات!$B$12*60),1,0)</f>
        <v>0</v>
      </c>
      <c r="BG703" s="21" t="n">
        <f aca="false">IF(AND(AK703&gt;تنظیمات!$B$11,AL703="بله"),1,0)</f>
        <v>0</v>
      </c>
      <c r="BH703" s="21" t="n">
        <f aca="false">MIN(100,AR703*تنظیمات!$B$21+AS703*تنظیمات!$B$22+AT703*تنظیمات!$B$23+AU703*تنظیمات!$B$24+AV703*تنظیمات!$B$25+AW703*تنظیمات!$B$26+AX703*تنظیمات!$B$27+AY703*تنظیمات!$B$28+AZ703*تنظیمات!$B$29+BA703*تنظیمات!$B$30+BB703*تنظیمات!$B$31+BC703*تنظیمات!$B$32+BD703*تنظیمات!$B$33+BE703*تنظیمات!$B$34+BF703*تنظیمات!$B$35+BG703*تنظیمات!$B$36)</f>
        <v>0</v>
      </c>
      <c r="BI703" s="16" t="str">
        <f aca="false">IF(BH703&gt;=60,"بحرانی",IF(BH703&gt;=30,"مشکوک",IF(BH703&gt;0,"هشدار","عادی")))</f>
        <v>عادی</v>
      </c>
      <c r="BJ703" s="16" t="s">
        <v>338</v>
      </c>
    </row>
    <row r="704" customFormat="false" ht="15" hidden="false" customHeight="false" outlineLevel="0" collapsed="false">
      <c r="A704" s="16" t="s">
        <v>2510</v>
      </c>
      <c r="B704" s="16" t="s">
        <v>1206</v>
      </c>
      <c r="C704" s="16"/>
      <c r="D704" s="16" t="s">
        <v>450</v>
      </c>
      <c r="E704" s="16" t="s">
        <v>351</v>
      </c>
      <c r="F704" s="16" t="s">
        <v>333</v>
      </c>
      <c r="G704" s="17" t="n">
        <v>46290.6392013889</v>
      </c>
      <c r="H704" s="17" t="n">
        <v>46290.6690625</v>
      </c>
      <c r="I704" s="18" t="n">
        <f aca="false">IF(H704="",ROUND((تنظیمات!$B$7-G704)*1440,0),ROUND((H704-G704)*1440,0))</f>
        <v>43</v>
      </c>
      <c r="J704" s="16" t="s">
        <v>334</v>
      </c>
      <c r="K704" s="16" t="s">
        <v>400</v>
      </c>
      <c r="L704" s="19" t="n">
        <v>0.909</v>
      </c>
      <c r="M704" s="19" t="n">
        <v>0.923</v>
      </c>
      <c r="N704" s="16" t="s">
        <v>335</v>
      </c>
      <c r="O704" s="16" t="s">
        <v>425</v>
      </c>
      <c r="P704" s="16" t="s">
        <v>420</v>
      </c>
      <c r="Q704" s="20" t="n">
        <v>46290</v>
      </c>
      <c r="R704" s="16" t="s">
        <v>2511</v>
      </c>
      <c r="S704" s="16" t="s">
        <v>404</v>
      </c>
      <c r="T704" s="17"/>
      <c r="U704" s="21" t="n">
        <v>1</v>
      </c>
      <c r="V704" s="21" t="n">
        <v>1</v>
      </c>
      <c r="W704" s="22" t="n">
        <v>7.4</v>
      </c>
      <c r="X704" s="16" t="s">
        <v>335</v>
      </c>
      <c r="Y704" s="16" t="s">
        <v>338</v>
      </c>
      <c r="Z704" s="16" t="s">
        <v>405</v>
      </c>
      <c r="AA704" s="16"/>
      <c r="AB704" s="23"/>
      <c r="AC704" s="17"/>
      <c r="AD704" s="16" t="s">
        <v>338</v>
      </c>
      <c r="AE704" s="16"/>
      <c r="AF704" s="16" t="str">
        <f aca="false">IF(COUNTIF(لیست_سفید!$A$2:$A$21,B704)&gt;0,"بله","خیر")</f>
        <v>خیر</v>
      </c>
      <c r="AG704" s="24" t="n">
        <f aca="false">IF(H704="","",IF(AD704="فیش مفقودی",تنظیمات!$B$6,(INT(I704/1440)*تنظیمات!$B$5+IF(MOD(I704,1440)&lt;=تنظیمات!$B$2,0,MIN(تنظیمات!$B$5,تنظیمات!$B$3+MAX(0,ROUNDUP((MOD(I704,1440)-60)/60,0))*تنظیمات!$B$4)))*INDEX(تعرفه!$B$2:$B$7,MATCH(AD704,تعرفه!$A$2:$A$7,0))))</f>
        <v>20000</v>
      </c>
      <c r="AH704" s="24" t="n">
        <v>20000</v>
      </c>
      <c r="AI704" s="24" t="n">
        <f aca="false">IF(AG704="","",AH704-AG704)</f>
        <v>0</v>
      </c>
      <c r="AJ704" s="21" t="n">
        <v>2</v>
      </c>
      <c r="AK704" s="21" t="n">
        <v>0</v>
      </c>
      <c r="AL704" s="16" t="s">
        <v>335</v>
      </c>
      <c r="AM704" s="16"/>
      <c r="AN704" s="16" t="s">
        <v>340</v>
      </c>
      <c r="AO704" s="16" t="s">
        <v>340</v>
      </c>
      <c r="AP704" s="16" t="s">
        <v>335</v>
      </c>
      <c r="AQ704" s="16"/>
      <c r="AR704" s="21" t="n">
        <f aca="false">IF(AND(T704&lt;&gt;"",H704&lt;&gt;""),IF(AND((T704-H704)*86400&gt;=0,(T704-H704)*86400&lt;تنظیمات!$B$13),1,0),0)</f>
        <v>0</v>
      </c>
      <c r="AS704" s="21" t="n">
        <f aca="false">IF(Z704="پوز",IF(OR(AB704="",COUNTIF(پوزها!$A$2:$A$5,AA704)=0),1,0),0)</f>
        <v>0</v>
      </c>
      <c r="AT704" s="21" t="n">
        <f aca="false">IF(AI704="",0,IF(AI704&gt;0,1,0))</f>
        <v>0</v>
      </c>
      <c r="AU704" s="21" t="n">
        <f aca="false">IF(AI704="",0,IF(AI704&lt;0,1,0))</f>
        <v>0</v>
      </c>
      <c r="AV704" s="21" t="n">
        <f aca="false">IF(U704&gt;V704,1,0)</f>
        <v>0</v>
      </c>
      <c r="AW704" s="21" t="n">
        <f aca="false">IF(OR(W704&gt;تنظیمات!$B$8,X704="بله"),1,0)</f>
        <v>0</v>
      </c>
      <c r="AX704" s="21" t="n">
        <f aca="false">IF(AND(N704="بله",L704&gt;تنظیمات!$B$9),1,0)</f>
        <v>0</v>
      </c>
      <c r="AY704" s="21" t="n">
        <f aca="false">IF(Y704="معکوس",1,0)</f>
        <v>0</v>
      </c>
      <c r="AZ704" s="21" t="n">
        <f aca="false">IF(ABS(AJ704)&gt;تنظیمات!$B$10,1,0)</f>
        <v>0</v>
      </c>
      <c r="BA704" s="21" t="n">
        <f aca="false">IF(AND(OR(AD704="رایگان/VIP",AD704="جانباز"),AF704="خیر"),1,0)</f>
        <v>0</v>
      </c>
      <c r="BB704" s="21" t="n">
        <f aca="false">IF(AE704="",0,IF(COUNTIF($AE$2:$AE$1001,AE704)&gt;1,1,0))</f>
        <v>0</v>
      </c>
      <c r="BC704" s="21" t="n">
        <f aca="false">IF(AND(H704="",I704&gt;تنظیمات!$B$12*60,AM704="خالی"),1,0)</f>
        <v>0</v>
      </c>
      <c r="BD704" s="21" t="n">
        <f aca="false">IF(AND(AP704="بله",I704&lt;تنظیمات!$B$14,AO704="خیر"),1,0)</f>
        <v>0</v>
      </c>
      <c r="BE704" s="21" t="n">
        <f aca="false">IF(AN704="خیر",1,0)</f>
        <v>0</v>
      </c>
      <c r="BF704" s="21" t="n">
        <f aca="false">IF(AND(AD704="فیش مفقودی",AQ704="بله",I704&gt;تنظیمات!$B$12*60),1,0)</f>
        <v>0</v>
      </c>
      <c r="BG704" s="21" t="n">
        <f aca="false">IF(AND(AK704&gt;تنظیمات!$B$11,AL704="بله"),1,0)</f>
        <v>0</v>
      </c>
      <c r="BH704" s="21" t="n">
        <f aca="false">MIN(100,AR704*تنظیمات!$B$21+AS704*تنظیمات!$B$22+AT704*تنظیمات!$B$23+AU704*تنظیمات!$B$24+AV704*تنظیمات!$B$25+AW704*تنظیمات!$B$26+AX704*تنظیمات!$B$27+AY704*تنظیمات!$B$28+AZ704*تنظیمات!$B$29+BA704*تنظیمات!$B$30+BB704*تنظیمات!$B$31+BC704*تنظیمات!$B$32+BD704*تنظیمات!$B$33+BE704*تنظیمات!$B$34+BF704*تنظیمات!$B$35+BG704*تنظیمات!$B$36)</f>
        <v>0</v>
      </c>
      <c r="BI704" s="16" t="str">
        <f aca="false">IF(BH704&gt;=60,"بحرانی",IF(BH704&gt;=30,"مشکوک",IF(BH704&gt;0,"هشدار","عادی")))</f>
        <v>عادی</v>
      </c>
      <c r="BJ704" s="16" t="s">
        <v>338</v>
      </c>
    </row>
    <row r="705" customFormat="false" ht="15" hidden="false" customHeight="false" outlineLevel="0" collapsed="false">
      <c r="A705" s="16" t="s">
        <v>2512</v>
      </c>
      <c r="B705" s="16" t="s">
        <v>672</v>
      </c>
      <c r="C705" s="16"/>
      <c r="D705" s="16" t="s">
        <v>418</v>
      </c>
      <c r="E705" s="16" t="s">
        <v>345</v>
      </c>
      <c r="F705" s="16" t="s">
        <v>333</v>
      </c>
      <c r="G705" s="17" t="n">
        <v>46290.6553009259</v>
      </c>
      <c r="H705" s="17" t="n">
        <v>46290.6886342593</v>
      </c>
      <c r="I705" s="18" t="n">
        <f aca="false">IF(H705="",ROUND((تنظیمات!$B$7-G705)*1440,0),ROUND((H705-G705)*1440,0))</f>
        <v>48</v>
      </c>
      <c r="J705" s="16" t="s">
        <v>334</v>
      </c>
      <c r="K705" s="16" t="s">
        <v>410</v>
      </c>
      <c r="L705" s="19" t="n">
        <v>0.933</v>
      </c>
      <c r="M705" s="19" t="n">
        <v>0.928</v>
      </c>
      <c r="N705" s="16" t="s">
        <v>335</v>
      </c>
      <c r="O705" s="16" t="s">
        <v>441</v>
      </c>
      <c r="P705" s="16" t="s">
        <v>420</v>
      </c>
      <c r="Q705" s="20" t="n">
        <v>46290</v>
      </c>
      <c r="R705" s="16" t="s">
        <v>2513</v>
      </c>
      <c r="S705" s="16" t="s">
        <v>404</v>
      </c>
      <c r="T705" s="17"/>
      <c r="U705" s="21" t="n">
        <v>1</v>
      </c>
      <c r="V705" s="21" t="n">
        <v>1</v>
      </c>
      <c r="W705" s="22" t="n">
        <v>5.6</v>
      </c>
      <c r="X705" s="16" t="s">
        <v>335</v>
      </c>
      <c r="Y705" s="16" t="s">
        <v>338</v>
      </c>
      <c r="Z705" s="16" t="s">
        <v>413</v>
      </c>
      <c r="AA705" s="16" t="s">
        <v>414</v>
      </c>
      <c r="AB705" s="23" t="s">
        <v>2514</v>
      </c>
      <c r="AC705" s="17" t="n">
        <v>46290.6877662037</v>
      </c>
      <c r="AD705" s="16" t="s">
        <v>338</v>
      </c>
      <c r="AE705" s="16"/>
      <c r="AF705" s="16" t="str">
        <f aca="false">IF(COUNTIF(لیست_سفید!$A$2:$A$21,B705)&gt;0,"بله","خیر")</f>
        <v>خیر</v>
      </c>
      <c r="AG705" s="24" t="n">
        <f aca="false">IF(H705="","",IF(AD705="فیش مفقودی",تنظیمات!$B$6,(INT(I705/1440)*تنظیمات!$B$5+IF(MOD(I705,1440)&lt;=تنظیمات!$B$2,0,MIN(تنظیمات!$B$5,تنظیمات!$B$3+MAX(0,ROUNDUP((MOD(I705,1440)-60)/60,0))*تنظیمات!$B$4)))*INDEX(تعرفه!$B$2:$B$7,MATCH(AD705,تعرفه!$A$2:$A$7,0))))</f>
        <v>20000</v>
      </c>
      <c r="AH705" s="24" t="n">
        <v>20000</v>
      </c>
      <c r="AI705" s="24" t="n">
        <f aca="false">IF(AG705="","",AH705-AG705)</f>
        <v>0</v>
      </c>
      <c r="AJ705" s="21" t="n">
        <v>-1</v>
      </c>
      <c r="AK705" s="21" t="n">
        <v>0</v>
      </c>
      <c r="AL705" s="16" t="s">
        <v>335</v>
      </c>
      <c r="AM705" s="16"/>
      <c r="AN705" s="16" t="s">
        <v>340</v>
      </c>
      <c r="AO705" s="16" t="s">
        <v>340</v>
      </c>
      <c r="AP705" s="16" t="s">
        <v>335</v>
      </c>
      <c r="AQ705" s="16"/>
      <c r="AR705" s="21" t="n">
        <f aca="false">IF(AND(T705&lt;&gt;"",H705&lt;&gt;""),IF(AND((T705-H705)*86400&gt;=0,(T705-H705)*86400&lt;تنظیمات!$B$13),1,0),0)</f>
        <v>0</v>
      </c>
      <c r="AS705" s="21" t="n">
        <f aca="false">IF(Z705="پوز",IF(OR(AB705="",COUNTIF(پوزها!$A$2:$A$5,AA705)=0),1,0),0)</f>
        <v>0</v>
      </c>
      <c r="AT705" s="21" t="n">
        <f aca="false">IF(AI705="",0,IF(AI705&gt;0,1,0))</f>
        <v>0</v>
      </c>
      <c r="AU705" s="21" t="n">
        <f aca="false">IF(AI705="",0,IF(AI705&lt;0,1,0))</f>
        <v>0</v>
      </c>
      <c r="AV705" s="21" t="n">
        <f aca="false">IF(U705&gt;V705,1,0)</f>
        <v>0</v>
      </c>
      <c r="AW705" s="21" t="n">
        <f aca="false">IF(OR(W705&gt;تنظیمات!$B$8,X705="بله"),1,0)</f>
        <v>0</v>
      </c>
      <c r="AX705" s="21" t="n">
        <f aca="false">IF(AND(N705="بله",L705&gt;تنظیمات!$B$9),1,0)</f>
        <v>0</v>
      </c>
      <c r="AY705" s="21" t="n">
        <f aca="false">IF(Y705="معکوس",1,0)</f>
        <v>0</v>
      </c>
      <c r="AZ705" s="21" t="n">
        <f aca="false">IF(ABS(AJ705)&gt;تنظیمات!$B$10,1,0)</f>
        <v>0</v>
      </c>
      <c r="BA705" s="21" t="n">
        <f aca="false">IF(AND(OR(AD705="رایگان/VIP",AD705="جانباز"),AF705="خیر"),1,0)</f>
        <v>0</v>
      </c>
      <c r="BB705" s="21" t="n">
        <f aca="false">IF(AE705="",0,IF(COUNTIF($AE$2:$AE$1001,AE705)&gt;1,1,0))</f>
        <v>0</v>
      </c>
      <c r="BC705" s="21" t="n">
        <f aca="false">IF(AND(H705="",I705&gt;تنظیمات!$B$12*60,AM705="خالی"),1,0)</f>
        <v>0</v>
      </c>
      <c r="BD705" s="21" t="n">
        <f aca="false">IF(AND(AP705="بله",I705&lt;تنظیمات!$B$14,AO705="خیر"),1,0)</f>
        <v>0</v>
      </c>
      <c r="BE705" s="21" t="n">
        <f aca="false">IF(AN705="خیر",1,0)</f>
        <v>0</v>
      </c>
      <c r="BF705" s="21" t="n">
        <f aca="false">IF(AND(AD705="فیش مفقودی",AQ705="بله",I705&gt;تنظیمات!$B$12*60),1,0)</f>
        <v>0</v>
      </c>
      <c r="BG705" s="21" t="n">
        <f aca="false">IF(AND(AK705&gt;تنظیمات!$B$11,AL705="بله"),1,0)</f>
        <v>0</v>
      </c>
      <c r="BH705" s="21" t="n">
        <f aca="false">MIN(100,AR705*تنظیمات!$B$21+AS705*تنظیمات!$B$22+AT705*تنظیمات!$B$23+AU705*تنظیمات!$B$24+AV705*تنظیمات!$B$25+AW705*تنظیمات!$B$26+AX705*تنظیمات!$B$27+AY705*تنظیمات!$B$28+AZ705*تنظیمات!$B$29+BA705*تنظیمات!$B$30+BB705*تنظیمات!$B$31+BC705*تنظیمات!$B$32+BD705*تنظیمات!$B$33+BE705*تنظیمات!$B$34+BF705*تنظیمات!$B$35+BG705*تنظیمات!$B$36)</f>
        <v>0</v>
      </c>
      <c r="BI705" s="16" t="str">
        <f aca="false">IF(BH705&gt;=60,"بحرانی",IF(BH705&gt;=30,"مشکوک",IF(BH705&gt;0,"هشدار","عادی")))</f>
        <v>عادی</v>
      </c>
      <c r="BJ705" s="16" t="s">
        <v>338</v>
      </c>
    </row>
    <row r="706" customFormat="false" ht="15" hidden="false" customHeight="false" outlineLevel="0" collapsed="false">
      <c r="A706" s="16" t="s">
        <v>2515</v>
      </c>
      <c r="B706" s="16" t="s">
        <v>693</v>
      </c>
      <c r="C706" s="16"/>
      <c r="D706" s="16" t="s">
        <v>531</v>
      </c>
      <c r="E706" s="16" t="s">
        <v>390</v>
      </c>
      <c r="F706" s="16" t="s">
        <v>333</v>
      </c>
      <c r="G706" s="17" t="n">
        <v>46290.660474537</v>
      </c>
      <c r="H706" s="17" t="n">
        <v>46290.6736689815</v>
      </c>
      <c r="I706" s="18" t="n">
        <f aca="false">IF(H706="",ROUND((تنظیمات!$B$7-G706)*1440,0),ROUND((H706-G706)*1440,0))</f>
        <v>19</v>
      </c>
      <c r="J706" s="16" t="s">
        <v>346</v>
      </c>
      <c r="K706" s="16" t="s">
        <v>410</v>
      </c>
      <c r="L706" s="19" t="n">
        <v>0.961</v>
      </c>
      <c r="M706" s="19" t="n">
        <v>0.925</v>
      </c>
      <c r="N706" s="16" t="s">
        <v>335</v>
      </c>
      <c r="O706" s="16" t="s">
        <v>441</v>
      </c>
      <c r="P706" s="16" t="s">
        <v>420</v>
      </c>
      <c r="Q706" s="20" t="n">
        <v>46290</v>
      </c>
      <c r="R706" s="16" t="s">
        <v>2516</v>
      </c>
      <c r="S706" s="16" t="s">
        <v>404</v>
      </c>
      <c r="T706" s="17"/>
      <c r="U706" s="21" t="n">
        <v>1</v>
      </c>
      <c r="V706" s="21" t="n">
        <v>1</v>
      </c>
      <c r="W706" s="22" t="n">
        <v>4.6</v>
      </c>
      <c r="X706" s="16" t="s">
        <v>335</v>
      </c>
      <c r="Y706" s="16" t="s">
        <v>338</v>
      </c>
      <c r="Z706" s="16" t="s">
        <v>413</v>
      </c>
      <c r="AA706" s="16" t="s">
        <v>414</v>
      </c>
      <c r="AB706" s="23" t="s">
        <v>2517</v>
      </c>
      <c r="AC706" s="17" t="n">
        <v>46290.6731018519</v>
      </c>
      <c r="AD706" s="16" t="s">
        <v>338</v>
      </c>
      <c r="AE706" s="16"/>
      <c r="AF706" s="16" t="str">
        <f aca="false">IF(COUNTIF(لیست_سفید!$A$2:$A$21,B706)&gt;0,"بله","خیر")</f>
        <v>خیر</v>
      </c>
      <c r="AG706" s="24" t="n">
        <f aca="false">IF(H706="","",IF(AD706="فیش مفقودی",تنظیمات!$B$6,(INT(I706/1440)*تنظیمات!$B$5+IF(MOD(I706,1440)&lt;=تنظیمات!$B$2,0,MIN(تنظیمات!$B$5,تنظیمات!$B$3+MAX(0,ROUNDUP((MOD(I706,1440)-60)/60,0))*تنظیمات!$B$4)))*INDEX(تعرفه!$B$2:$B$7,MATCH(AD706,تعرفه!$A$2:$A$7,0))))</f>
        <v>20000</v>
      </c>
      <c r="AH706" s="24" t="n">
        <v>20000</v>
      </c>
      <c r="AI706" s="24" t="n">
        <f aca="false">IF(AG706="","",AH706-AG706)</f>
        <v>0</v>
      </c>
      <c r="AJ706" s="21" t="n">
        <v>0</v>
      </c>
      <c r="AK706" s="21" t="n">
        <v>0</v>
      </c>
      <c r="AL706" s="16" t="s">
        <v>335</v>
      </c>
      <c r="AM706" s="16"/>
      <c r="AN706" s="16" t="s">
        <v>340</v>
      </c>
      <c r="AO706" s="16" t="s">
        <v>340</v>
      </c>
      <c r="AP706" s="16" t="s">
        <v>335</v>
      </c>
      <c r="AQ706" s="16"/>
      <c r="AR706" s="21" t="n">
        <f aca="false">IF(AND(T706&lt;&gt;"",H706&lt;&gt;""),IF(AND((T706-H706)*86400&gt;=0,(T706-H706)*86400&lt;تنظیمات!$B$13),1,0),0)</f>
        <v>0</v>
      </c>
      <c r="AS706" s="21" t="n">
        <f aca="false">IF(Z706="پوز",IF(OR(AB706="",COUNTIF(پوزها!$A$2:$A$5,AA706)=0),1,0),0)</f>
        <v>0</v>
      </c>
      <c r="AT706" s="21" t="n">
        <f aca="false">IF(AI706="",0,IF(AI706&gt;0,1,0))</f>
        <v>0</v>
      </c>
      <c r="AU706" s="21" t="n">
        <f aca="false">IF(AI706="",0,IF(AI706&lt;0,1,0))</f>
        <v>0</v>
      </c>
      <c r="AV706" s="21" t="n">
        <f aca="false">IF(U706&gt;V706,1,0)</f>
        <v>0</v>
      </c>
      <c r="AW706" s="21" t="n">
        <f aca="false">IF(OR(W706&gt;تنظیمات!$B$8,X706="بله"),1,0)</f>
        <v>0</v>
      </c>
      <c r="AX706" s="21" t="n">
        <f aca="false">IF(AND(N706="بله",L706&gt;تنظیمات!$B$9),1,0)</f>
        <v>0</v>
      </c>
      <c r="AY706" s="21" t="n">
        <f aca="false">IF(Y706="معکوس",1,0)</f>
        <v>0</v>
      </c>
      <c r="AZ706" s="21" t="n">
        <f aca="false">IF(ABS(AJ706)&gt;تنظیمات!$B$10,1,0)</f>
        <v>0</v>
      </c>
      <c r="BA706" s="21" t="n">
        <f aca="false">IF(AND(OR(AD706="رایگان/VIP",AD706="جانباز"),AF706="خیر"),1,0)</f>
        <v>0</v>
      </c>
      <c r="BB706" s="21" t="n">
        <f aca="false">IF(AE706="",0,IF(COUNTIF($AE$2:$AE$1001,AE706)&gt;1,1,0))</f>
        <v>0</v>
      </c>
      <c r="BC706" s="21" t="n">
        <f aca="false">IF(AND(H706="",I706&gt;تنظیمات!$B$12*60,AM706="خالی"),1,0)</f>
        <v>0</v>
      </c>
      <c r="BD706" s="21" t="n">
        <f aca="false">IF(AND(AP706="بله",I706&lt;تنظیمات!$B$14,AO706="خیر"),1,0)</f>
        <v>0</v>
      </c>
      <c r="BE706" s="21" t="n">
        <f aca="false">IF(AN706="خیر",1,0)</f>
        <v>0</v>
      </c>
      <c r="BF706" s="21" t="n">
        <f aca="false">IF(AND(AD706="فیش مفقودی",AQ706="بله",I706&gt;تنظیمات!$B$12*60),1,0)</f>
        <v>0</v>
      </c>
      <c r="BG706" s="21" t="n">
        <f aca="false">IF(AND(AK706&gt;تنظیمات!$B$11,AL706="بله"),1,0)</f>
        <v>0</v>
      </c>
      <c r="BH706" s="21" t="n">
        <f aca="false">MIN(100,AR706*تنظیمات!$B$21+AS706*تنظیمات!$B$22+AT706*تنظیمات!$B$23+AU706*تنظیمات!$B$24+AV706*تنظیمات!$B$25+AW706*تنظیمات!$B$26+AX706*تنظیمات!$B$27+AY706*تنظیمات!$B$28+AZ706*تنظیمات!$B$29+BA706*تنظیمات!$B$30+BB706*تنظیمات!$B$31+BC706*تنظیمات!$B$32+BD706*تنظیمات!$B$33+BE706*تنظیمات!$B$34+BF706*تنظیمات!$B$35+BG706*تنظیمات!$B$36)</f>
        <v>0</v>
      </c>
      <c r="BI706" s="16" t="str">
        <f aca="false">IF(BH706&gt;=60,"بحرانی",IF(BH706&gt;=30,"مشکوک",IF(BH706&gt;0,"هشدار","عادی")))</f>
        <v>عادی</v>
      </c>
      <c r="BJ706" s="16" t="s">
        <v>338</v>
      </c>
    </row>
    <row r="707" customFormat="false" ht="15" hidden="false" customHeight="false" outlineLevel="0" collapsed="false">
      <c r="A707" s="16" t="s">
        <v>2518</v>
      </c>
      <c r="B707" s="16" t="s">
        <v>812</v>
      </c>
      <c r="C707" s="16"/>
      <c r="D707" s="16" t="s">
        <v>531</v>
      </c>
      <c r="E707" s="16" t="s">
        <v>351</v>
      </c>
      <c r="F707" s="16" t="s">
        <v>333</v>
      </c>
      <c r="G707" s="17" t="n">
        <v>46290.660625</v>
      </c>
      <c r="H707" s="17" t="n">
        <v>46292.6939583333</v>
      </c>
      <c r="I707" s="18" t="n">
        <f aca="false">IF(H707="",ROUND((تنظیمات!$B$7-G707)*1440,0),ROUND((H707-G707)*1440,0))</f>
        <v>2928</v>
      </c>
      <c r="J707" s="16" t="s">
        <v>346</v>
      </c>
      <c r="K707" s="16" t="s">
        <v>400</v>
      </c>
      <c r="L707" s="19" t="n">
        <v>0.941</v>
      </c>
      <c r="M707" s="19" t="n">
        <v>0.947</v>
      </c>
      <c r="N707" s="16" t="s">
        <v>335</v>
      </c>
      <c r="O707" s="16" t="s">
        <v>411</v>
      </c>
      <c r="P707" s="16" t="s">
        <v>420</v>
      </c>
      <c r="Q707" s="20" t="n">
        <v>46292</v>
      </c>
      <c r="R707" s="16" t="s">
        <v>2519</v>
      </c>
      <c r="S707" s="16" t="s">
        <v>404</v>
      </c>
      <c r="T707" s="17"/>
      <c r="U707" s="21" t="n">
        <v>1</v>
      </c>
      <c r="V707" s="21" t="n">
        <v>1</v>
      </c>
      <c r="W707" s="22" t="n">
        <v>6</v>
      </c>
      <c r="X707" s="16" t="s">
        <v>335</v>
      </c>
      <c r="Y707" s="16" t="s">
        <v>338</v>
      </c>
      <c r="Z707" s="16" t="s">
        <v>405</v>
      </c>
      <c r="AA707" s="16"/>
      <c r="AB707" s="23"/>
      <c r="AC707" s="17"/>
      <c r="AD707" s="16" t="s">
        <v>338</v>
      </c>
      <c r="AE707" s="16"/>
      <c r="AF707" s="16" t="str">
        <f aca="false">IF(COUNTIF(لیست_سفید!$A$2:$A$21,B707)&gt;0,"بله","خیر")</f>
        <v>خیر</v>
      </c>
      <c r="AG707" s="24" t="n">
        <f aca="false">IF(H707="","",IF(AD707="فیش مفقودی",تنظیمات!$B$6,(INT(I707/1440)*تنظیمات!$B$5+IF(MOD(I707,1440)&lt;=تنظیمات!$B$2,0,MIN(تنظیمات!$B$5,تنظیمات!$B$3+MAX(0,ROUNDUP((MOD(I707,1440)-60)/60,0))*تنظیمات!$B$4)))*INDEX(تعرفه!$B$2:$B$7,MATCH(AD707,تعرفه!$A$2:$A$7,0))))</f>
        <v>380000</v>
      </c>
      <c r="AH707" s="24" t="n">
        <v>380000</v>
      </c>
      <c r="AI707" s="24" t="n">
        <f aca="false">IF(AG707="","",AH707-AG707)</f>
        <v>0</v>
      </c>
      <c r="AJ707" s="21" t="n">
        <v>1</v>
      </c>
      <c r="AK707" s="21" t="n">
        <v>0</v>
      </c>
      <c r="AL707" s="16" t="s">
        <v>335</v>
      </c>
      <c r="AM707" s="16"/>
      <c r="AN707" s="16" t="s">
        <v>340</v>
      </c>
      <c r="AO707" s="16" t="s">
        <v>340</v>
      </c>
      <c r="AP707" s="16" t="s">
        <v>335</v>
      </c>
      <c r="AQ707" s="16"/>
      <c r="AR707" s="21" t="n">
        <f aca="false">IF(AND(T707&lt;&gt;"",H707&lt;&gt;""),IF(AND((T707-H707)*86400&gt;=0,(T707-H707)*86400&lt;تنظیمات!$B$13),1,0),0)</f>
        <v>0</v>
      </c>
      <c r="AS707" s="21" t="n">
        <f aca="false">IF(Z707="پوز",IF(OR(AB707="",COUNTIF(پوزها!$A$2:$A$5,AA707)=0),1,0),0)</f>
        <v>0</v>
      </c>
      <c r="AT707" s="21" t="n">
        <f aca="false">IF(AI707="",0,IF(AI707&gt;0,1,0))</f>
        <v>0</v>
      </c>
      <c r="AU707" s="21" t="n">
        <f aca="false">IF(AI707="",0,IF(AI707&lt;0,1,0))</f>
        <v>0</v>
      </c>
      <c r="AV707" s="21" t="n">
        <f aca="false">IF(U707&gt;V707,1,0)</f>
        <v>0</v>
      </c>
      <c r="AW707" s="21" t="n">
        <f aca="false">IF(OR(W707&gt;تنظیمات!$B$8,X707="بله"),1,0)</f>
        <v>0</v>
      </c>
      <c r="AX707" s="21" t="n">
        <f aca="false">IF(AND(N707="بله",L707&gt;تنظیمات!$B$9),1,0)</f>
        <v>0</v>
      </c>
      <c r="AY707" s="21" t="n">
        <f aca="false">IF(Y707="معکوس",1,0)</f>
        <v>0</v>
      </c>
      <c r="AZ707" s="21" t="n">
        <f aca="false">IF(ABS(AJ707)&gt;تنظیمات!$B$10,1,0)</f>
        <v>0</v>
      </c>
      <c r="BA707" s="21" t="n">
        <f aca="false">IF(AND(OR(AD707="رایگان/VIP",AD707="جانباز"),AF707="خیر"),1,0)</f>
        <v>0</v>
      </c>
      <c r="BB707" s="21" t="n">
        <f aca="false">IF(AE707="",0,IF(COUNTIF($AE$2:$AE$1001,AE707)&gt;1,1,0))</f>
        <v>0</v>
      </c>
      <c r="BC707" s="21" t="n">
        <f aca="false">IF(AND(H707="",I707&gt;تنظیمات!$B$12*60,AM707="خالی"),1,0)</f>
        <v>0</v>
      </c>
      <c r="BD707" s="21" t="n">
        <f aca="false">IF(AND(AP707="بله",I707&lt;تنظیمات!$B$14,AO707="خیر"),1,0)</f>
        <v>0</v>
      </c>
      <c r="BE707" s="21" t="n">
        <f aca="false">IF(AN707="خیر",1,0)</f>
        <v>0</v>
      </c>
      <c r="BF707" s="21" t="n">
        <f aca="false">IF(AND(AD707="فیش مفقودی",AQ707="بله",I707&gt;تنظیمات!$B$12*60),1,0)</f>
        <v>0</v>
      </c>
      <c r="BG707" s="21" t="n">
        <f aca="false">IF(AND(AK707&gt;تنظیمات!$B$11,AL707="بله"),1,0)</f>
        <v>0</v>
      </c>
      <c r="BH707" s="21" t="n">
        <f aca="false">MIN(100,AR707*تنظیمات!$B$21+AS707*تنظیمات!$B$22+AT707*تنظیمات!$B$23+AU707*تنظیمات!$B$24+AV707*تنظیمات!$B$25+AW707*تنظیمات!$B$26+AX707*تنظیمات!$B$27+AY707*تنظیمات!$B$28+AZ707*تنظیمات!$B$29+BA707*تنظیمات!$B$30+BB707*تنظیمات!$B$31+BC707*تنظیمات!$B$32+BD707*تنظیمات!$B$33+BE707*تنظیمات!$B$34+BF707*تنظیمات!$B$35+BG707*تنظیمات!$B$36)</f>
        <v>0</v>
      </c>
      <c r="BI707" s="16" t="str">
        <f aca="false">IF(BH707&gt;=60,"بحرانی",IF(BH707&gt;=30,"مشکوک",IF(BH707&gt;0,"هشدار","عادی")))</f>
        <v>عادی</v>
      </c>
      <c r="BJ707" s="16" t="s">
        <v>338</v>
      </c>
    </row>
    <row r="708" customFormat="false" ht="15" hidden="false" customHeight="false" outlineLevel="0" collapsed="false">
      <c r="A708" s="16" t="s">
        <v>2520</v>
      </c>
      <c r="B708" s="16" t="s">
        <v>1255</v>
      </c>
      <c r="C708" s="16"/>
      <c r="D708" s="16" t="s">
        <v>523</v>
      </c>
      <c r="E708" s="16" t="s">
        <v>390</v>
      </c>
      <c r="F708" s="16" t="s">
        <v>333</v>
      </c>
      <c r="G708" s="17" t="n">
        <v>46290.6696296296</v>
      </c>
      <c r="H708" s="17" t="n">
        <v>46290.7869907407</v>
      </c>
      <c r="I708" s="18" t="n">
        <f aca="false">IF(H708="",ROUND((تنظیمات!$B$7-G708)*1440,0),ROUND((H708-G708)*1440,0))</f>
        <v>169</v>
      </c>
      <c r="J708" s="16" t="s">
        <v>346</v>
      </c>
      <c r="K708" s="16" t="s">
        <v>400</v>
      </c>
      <c r="L708" s="19" t="n">
        <v>0.946</v>
      </c>
      <c r="M708" s="19" t="n">
        <v>0.951</v>
      </c>
      <c r="N708" s="16" t="s">
        <v>335</v>
      </c>
      <c r="O708" s="16" t="s">
        <v>425</v>
      </c>
      <c r="P708" s="16" t="s">
        <v>420</v>
      </c>
      <c r="Q708" s="20" t="n">
        <v>46290</v>
      </c>
      <c r="R708" s="16" t="s">
        <v>2521</v>
      </c>
      <c r="S708" s="16" t="s">
        <v>404</v>
      </c>
      <c r="T708" s="17"/>
      <c r="U708" s="21" t="n">
        <v>1</v>
      </c>
      <c r="V708" s="21" t="n">
        <v>1</v>
      </c>
      <c r="W708" s="22" t="n">
        <v>6.3</v>
      </c>
      <c r="X708" s="16" t="s">
        <v>335</v>
      </c>
      <c r="Y708" s="16" t="s">
        <v>338</v>
      </c>
      <c r="Z708" s="16" t="s">
        <v>413</v>
      </c>
      <c r="AA708" s="16" t="s">
        <v>427</v>
      </c>
      <c r="AB708" s="23" t="s">
        <v>2522</v>
      </c>
      <c r="AC708" s="17" t="n">
        <v>46290.786712963</v>
      </c>
      <c r="AD708" s="16" t="s">
        <v>338</v>
      </c>
      <c r="AE708" s="16"/>
      <c r="AF708" s="16" t="str">
        <f aca="false">IF(COUNTIF(لیست_سفید!$A$2:$A$21,B708)&gt;0,"بله","خیر")</f>
        <v>خیر</v>
      </c>
      <c r="AG708" s="24" t="n">
        <f aca="false">IF(H708="","",IF(AD708="فیش مفقودی",تنظیمات!$B$6,(INT(I708/1440)*تنظیمات!$B$5+IF(MOD(I708,1440)&lt;=تنظیمات!$B$2,0,MIN(تنظیمات!$B$5,تنظیمات!$B$3+MAX(0,ROUNDUP((MOD(I708,1440)-60)/60,0))*تنظیمات!$B$4)))*INDEX(تعرفه!$B$2:$B$7,MATCH(AD708,تعرفه!$A$2:$A$7,0))))</f>
        <v>48000</v>
      </c>
      <c r="AH708" s="24" t="n">
        <v>48000</v>
      </c>
      <c r="AI708" s="24" t="n">
        <f aca="false">IF(AG708="","",AH708-AG708)</f>
        <v>0</v>
      </c>
      <c r="AJ708" s="21" t="n">
        <v>-1</v>
      </c>
      <c r="AK708" s="21" t="n">
        <v>0</v>
      </c>
      <c r="AL708" s="16" t="s">
        <v>335</v>
      </c>
      <c r="AM708" s="16"/>
      <c r="AN708" s="16" t="s">
        <v>340</v>
      </c>
      <c r="AO708" s="16" t="s">
        <v>340</v>
      </c>
      <c r="AP708" s="16" t="s">
        <v>335</v>
      </c>
      <c r="AQ708" s="16"/>
      <c r="AR708" s="21" t="n">
        <f aca="false">IF(AND(T708&lt;&gt;"",H708&lt;&gt;""),IF(AND((T708-H708)*86400&gt;=0,(T708-H708)*86400&lt;تنظیمات!$B$13),1,0),0)</f>
        <v>0</v>
      </c>
      <c r="AS708" s="21" t="n">
        <f aca="false">IF(Z708="پوز",IF(OR(AB708="",COUNTIF(پوزها!$A$2:$A$5,AA708)=0),1,0),0)</f>
        <v>0</v>
      </c>
      <c r="AT708" s="21" t="n">
        <f aca="false">IF(AI708="",0,IF(AI708&gt;0,1,0))</f>
        <v>0</v>
      </c>
      <c r="AU708" s="21" t="n">
        <f aca="false">IF(AI708="",0,IF(AI708&lt;0,1,0))</f>
        <v>0</v>
      </c>
      <c r="AV708" s="21" t="n">
        <f aca="false">IF(U708&gt;V708,1,0)</f>
        <v>0</v>
      </c>
      <c r="AW708" s="21" t="n">
        <f aca="false">IF(OR(W708&gt;تنظیمات!$B$8,X708="بله"),1,0)</f>
        <v>0</v>
      </c>
      <c r="AX708" s="21" t="n">
        <f aca="false">IF(AND(N708="بله",L708&gt;تنظیمات!$B$9),1,0)</f>
        <v>0</v>
      </c>
      <c r="AY708" s="21" t="n">
        <f aca="false">IF(Y708="معکوس",1,0)</f>
        <v>0</v>
      </c>
      <c r="AZ708" s="21" t="n">
        <f aca="false">IF(ABS(AJ708)&gt;تنظیمات!$B$10,1,0)</f>
        <v>0</v>
      </c>
      <c r="BA708" s="21" t="n">
        <f aca="false">IF(AND(OR(AD708="رایگان/VIP",AD708="جانباز"),AF708="خیر"),1,0)</f>
        <v>0</v>
      </c>
      <c r="BB708" s="21" t="n">
        <f aca="false">IF(AE708="",0,IF(COUNTIF($AE$2:$AE$1001,AE708)&gt;1,1,0))</f>
        <v>0</v>
      </c>
      <c r="BC708" s="21" t="n">
        <f aca="false">IF(AND(H708="",I708&gt;تنظیمات!$B$12*60,AM708="خالی"),1,0)</f>
        <v>0</v>
      </c>
      <c r="BD708" s="21" t="n">
        <f aca="false">IF(AND(AP708="بله",I708&lt;تنظیمات!$B$14,AO708="خیر"),1,0)</f>
        <v>0</v>
      </c>
      <c r="BE708" s="21" t="n">
        <f aca="false">IF(AN708="خیر",1,0)</f>
        <v>0</v>
      </c>
      <c r="BF708" s="21" t="n">
        <f aca="false">IF(AND(AD708="فیش مفقودی",AQ708="بله",I708&gt;تنظیمات!$B$12*60),1,0)</f>
        <v>0</v>
      </c>
      <c r="BG708" s="21" t="n">
        <f aca="false">IF(AND(AK708&gt;تنظیمات!$B$11,AL708="بله"),1,0)</f>
        <v>0</v>
      </c>
      <c r="BH708" s="21" t="n">
        <f aca="false">MIN(100,AR708*تنظیمات!$B$21+AS708*تنظیمات!$B$22+AT708*تنظیمات!$B$23+AU708*تنظیمات!$B$24+AV708*تنظیمات!$B$25+AW708*تنظیمات!$B$26+AX708*تنظیمات!$B$27+AY708*تنظیمات!$B$28+AZ708*تنظیمات!$B$29+BA708*تنظیمات!$B$30+BB708*تنظیمات!$B$31+BC708*تنظیمات!$B$32+BD708*تنظیمات!$B$33+BE708*تنظیمات!$B$34+BF708*تنظیمات!$B$35+BG708*تنظیمات!$B$36)</f>
        <v>0</v>
      </c>
      <c r="BI708" s="16" t="str">
        <f aca="false">IF(BH708&gt;=60,"بحرانی",IF(BH708&gt;=30,"مشکوک",IF(BH708&gt;0,"هشدار","عادی")))</f>
        <v>عادی</v>
      </c>
      <c r="BJ708" s="16" t="s">
        <v>338</v>
      </c>
    </row>
    <row r="709" customFormat="false" ht="15" hidden="false" customHeight="false" outlineLevel="0" collapsed="false">
      <c r="A709" s="16" t="s">
        <v>2523</v>
      </c>
      <c r="B709" s="16" t="s">
        <v>851</v>
      </c>
      <c r="C709" s="16"/>
      <c r="D709" s="16" t="s">
        <v>344</v>
      </c>
      <c r="E709" s="16" t="s">
        <v>363</v>
      </c>
      <c r="F709" s="16" t="s">
        <v>333</v>
      </c>
      <c r="G709" s="17" t="n">
        <v>46290.6786574074</v>
      </c>
      <c r="H709" s="17" t="n">
        <v>46290.8522685185</v>
      </c>
      <c r="I709" s="18" t="n">
        <f aca="false">IF(H709="",ROUND((تنظیمات!$B$7-G709)*1440,0),ROUND((H709-G709)*1440,0))</f>
        <v>250</v>
      </c>
      <c r="J709" s="16" t="s">
        <v>334</v>
      </c>
      <c r="K709" s="16" t="s">
        <v>410</v>
      </c>
      <c r="L709" s="19" t="n">
        <v>0.914</v>
      </c>
      <c r="M709" s="19" t="n">
        <v>0.968</v>
      </c>
      <c r="N709" s="16" t="s">
        <v>335</v>
      </c>
      <c r="O709" s="16" t="s">
        <v>441</v>
      </c>
      <c r="P709" s="16" t="s">
        <v>420</v>
      </c>
      <c r="Q709" s="20" t="n">
        <v>46290</v>
      </c>
      <c r="R709" s="16" t="s">
        <v>2524</v>
      </c>
      <c r="S709" s="16" t="s">
        <v>404</v>
      </c>
      <c r="T709" s="17"/>
      <c r="U709" s="21" t="n">
        <v>1</v>
      </c>
      <c r="V709" s="21" t="n">
        <v>1</v>
      </c>
      <c r="W709" s="22" t="n">
        <v>6.4</v>
      </c>
      <c r="X709" s="16" t="s">
        <v>335</v>
      </c>
      <c r="Y709" s="16" t="s">
        <v>338</v>
      </c>
      <c r="Z709" s="16" t="s">
        <v>413</v>
      </c>
      <c r="AA709" s="16" t="s">
        <v>414</v>
      </c>
      <c r="AB709" s="23" t="s">
        <v>2525</v>
      </c>
      <c r="AC709" s="17" t="n">
        <v>46290.8517824074</v>
      </c>
      <c r="AD709" s="16" t="s">
        <v>338</v>
      </c>
      <c r="AE709" s="16"/>
      <c r="AF709" s="16" t="str">
        <f aca="false">IF(COUNTIF(لیست_سفید!$A$2:$A$21,B709)&gt;0,"بله","خیر")</f>
        <v>خیر</v>
      </c>
      <c r="AG709" s="24" t="n">
        <f aca="false">IF(H709="","",IF(AD709="فیش مفقودی",تنظیمات!$B$6,(INT(I709/1440)*تنظیمات!$B$5+IF(MOD(I709,1440)&lt;=تنظیمات!$B$2,0,MIN(تنظیمات!$B$5,تنظیمات!$B$3+MAX(0,ROUNDUP((MOD(I709,1440)-60)/60,0))*تنظیمات!$B$4)))*INDEX(تعرفه!$B$2:$B$7,MATCH(AD709,تعرفه!$A$2:$A$7,0))))</f>
        <v>76000</v>
      </c>
      <c r="AH709" s="24" t="n">
        <v>76000</v>
      </c>
      <c r="AI709" s="24" t="n">
        <f aca="false">IF(AG709="","",AH709-AG709)</f>
        <v>0</v>
      </c>
      <c r="AJ709" s="21" t="n">
        <v>-1</v>
      </c>
      <c r="AK709" s="21" t="n">
        <v>0</v>
      </c>
      <c r="AL709" s="16" t="s">
        <v>335</v>
      </c>
      <c r="AM709" s="16"/>
      <c r="AN709" s="16" t="s">
        <v>340</v>
      </c>
      <c r="AO709" s="16" t="s">
        <v>340</v>
      </c>
      <c r="AP709" s="16" t="s">
        <v>335</v>
      </c>
      <c r="AQ709" s="16"/>
      <c r="AR709" s="21" t="n">
        <f aca="false">IF(AND(T709&lt;&gt;"",H709&lt;&gt;""),IF(AND((T709-H709)*86400&gt;=0,(T709-H709)*86400&lt;تنظیمات!$B$13),1,0),0)</f>
        <v>0</v>
      </c>
      <c r="AS709" s="21" t="n">
        <f aca="false">IF(Z709="پوز",IF(OR(AB709="",COUNTIF(پوزها!$A$2:$A$5,AA709)=0),1,0),0)</f>
        <v>0</v>
      </c>
      <c r="AT709" s="21" t="n">
        <f aca="false">IF(AI709="",0,IF(AI709&gt;0,1,0))</f>
        <v>0</v>
      </c>
      <c r="AU709" s="21" t="n">
        <f aca="false">IF(AI709="",0,IF(AI709&lt;0,1,0))</f>
        <v>0</v>
      </c>
      <c r="AV709" s="21" t="n">
        <f aca="false">IF(U709&gt;V709,1,0)</f>
        <v>0</v>
      </c>
      <c r="AW709" s="21" t="n">
        <f aca="false">IF(OR(W709&gt;تنظیمات!$B$8,X709="بله"),1,0)</f>
        <v>0</v>
      </c>
      <c r="AX709" s="21" t="n">
        <f aca="false">IF(AND(N709="بله",L709&gt;تنظیمات!$B$9),1,0)</f>
        <v>0</v>
      </c>
      <c r="AY709" s="21" t="n">
        <f aca="false">IF(Y709="معکوس",1,0)</f>
        <v>0</v>
      </c>
      <c r="AZ709" s="21" t="n">
        <f aca="false">IF(ABS(AJ709)&gt;تنظیمات!$B$10,1,0)</f>
        <v>0</v>
      </c>
      <c r="BA709" s="21" t="n">
        <f aca="false">IF(AND(OR(AD709="رایگان/VIP",AD709="جانباز"),AF709="خیر"),1,0)</f>
        <v>0</v>
      </c>
      <c r="BB709" s="21" t="n">
        <f aca="false">IF(AE709="",0,IF(COUNTIF($AE$2:$AE$1001,AE709)&gt;1,1,0))</f>
        <v>0</v>
      </c>
      <c r="BC709" s="21" t="n">
        <f aca="false">IF(AND(H709="",I709&gt;تنظیمات!$B$12*60,AM709="خالی"),1,0)</f>
        <v>0</v>
      </c>
      <c r="BD709" s="21" t="n">
        <f aca="false">IF(AND(AP709="بله",I709&lt;تنظیمات!$B$14,AO709="خیر"),1,0)</f>
        <v>0</v>
      </c>
      <c r="BE709" s="21" t="n">
        <f aca="false">IF(AN709="خیر",1,0)</f>
        <v>0</v>
      </c>
      <c r="BF709" s="21" t="n">
        <f aca="false">IF(AND(AD709="فیش مفقودی",AQ709="بله",I709&gt;تنظیمات!$B$12*60),1,0)</f>
        <v>0</v>
      </c>
      <c r="BG709" s="21" t="n">
        <f aca="false">IF(AND(AK709&gt;تنظیمات!$B$11,AL709="بله"),1,0)</f>
        <v>0</v>
      </c>
      <c r="BH709" s="21" t="n">
        <f aca="false">MIN(100,AR709*تنظیمات!$B$21+AS709*تنظیمات!$B$22+AT709*تنظیمات!$B$23+AU709*تنظیمات!$B$24+AV709*تنظیمات!$B$25+AW709*تنظیمات!$B$26+AX709*تنظیمات!$B$27+AY709*تنظیمات!$B$28+AZ709*تنظیمات!$B$29+BA709*تنظیمات!$B$30+BB709*تنظیمات!$B$31+BC709*تنظیمات!$B$32+BD709*تنظیمات!$B$33+BE709*تنظیمات!$B$34+BF709*تنظیمات!$B$35+BG709*تنظیمات!$B$36)</f>
        <v>0</v>
      </c>
      <c r="BI709" s="16" t="str">
        <f aca="false">IF(BH709&gt;=60,"بحرانی",IF(BH709&gt;=30,"مشکوک",IF(BH709&gt;0,"هشدار","عادی")))</f>
        <v>عادی</v>
      </c>
      <c r="BJ709" s="16" t="s">
        <v>338</v>
      </c>
    </row>
    <row r="710" customFormat="false" ht="15" hidden="false" customHeight="false" outlineLevel="0" collapsed="false">
      <c r="A710" s="16" t="s">
        <v>2526</v>
      </c>
      <c r="B710" s="16" t="s">
        <v>1400</v>
      </c>
      <c r="C710" s="16"/>
      <c r="D710" s="16" t="s">
        <v>344</v>
      </c>
      <c r="E710" s="16" t="s">
        <v>332</v>
      </c>
      <c r="F710" s="16" t="s">
        <v>333</v>
      </c>
      <c r="G710" s="17" t="n">
        <v>46290.684837963</v>
      </c>
      <c r="H710" s="17" t="n">
        <v>46290.7327546296</v>
      </c>
      <c r="I710" s="18" t="n">
        <f aca="false">IF(H710="",ROUND((تنظیمات!$B$7-G710)*1440,0),ROUND((H710-G710)*1440,0))</f>
        <v>69</v>
      </c>
      <c r="J710" s="16" t="s">
        <v>346</v>
      </c>
      <c r="K710" s="16" t="s">
        <v>400</v>
      </c>
      <c r="L710" s="19" t="n">
        <v>0.979</v>
      </c>
      <c r="M710" s="19" t="n">
        <v>0.989</v>
      </c>
      <c r="N710" s="16" t="s">
        <v>335</v>
      </c>
      <c r="O710" s="16" t="s">
        <v>425</v>
      </c>
      <c r="P710" s="16" t="s">
        <v>420</v>
      </c>
      <c r="Q710" s="20" t="n">
        <v>46290</v>
      </c>
      <c r="R710" s="16" t="s">
        <v>2527</v>
      </c>
      <c r="S710" s="16" t="s">
        <v>452</v>
      </c>
      <c r="T710" s="17" t="n">
        <v>46290.7303125</v>
      </c>
      <c r="U710" s="21" t="n">
        <v>1</v>
      </c>
      <c r="V710" s="21" t="n">
        <v>1</v>
      </c>
      <c r="W710" s="22" t="n">
        <v>5.3</v>
      </c>
      <c r="X710" s="16" t="s">
        <v>335</v>
      </c>
      <c r="Y710" s="16" t="s">
        <v>338</v>
      </c>
      <c r="Z710" s="16" t="s">
        <v>405</v>
      </c>
      <c r="AA710" s="16"/>
      <c r="AB710" s="23"/>
      <c r="AC710" s="17"/>
      <c r="AD710" s="16" t="s">
        <v>338</v>
      </c>
      <c r="AE710" s="16"/>
      <c r="AF710" s="16" t="str">
        <f aca="false">IF(COUNTIF(لیست_سفید!$A$2:$A$21,B710)&gt;0,"بله","خیر")</f>
        <v>خیر</v>
      </c>
      <c r="AG710" s="24" t="n">
        <f aca="false">IF(H710="","",IF(AD710="فیش مفقودی",تنظیمات!$B$6,(INT(I710/1440)*تنظیمات!$B$5+IF(MOD(I710,1440)&lt;=تنظیمات!$B$2,0,MIN(تنظیمات!$B$5,تنظیمات!$B$3+MAX(0,ROUNDUP((MOD(I710,1440)-60)/60,0))*تنظیمات!$B$4)))*INDEX(تعرفه!$B$2:$B$7,MATCH(AD710,تعرفه!$A$2:$A$7,0))))</f>
        <v>34000</v>
      </c>
      <c r="AH710" s="24" t="n">
        <v>34000</v>
      </c>
      <c r="AI710" s="24" t="n">
        <f aca="false">IF(AG710="","",AH710-AG710)</f>
        <v>0</v>
      </c>
      <c r="AJ710" s="21" t="n">
        <v>0</v>
      </c>
      <c r="AK710" s="21" t="n">
        <v>0</v>
      </c>
      <c r="AL710" s="16" t="s">
        <v>335</v>
      </c>
      <c r="AM710" s="16"/>
      <c r="AN710" s="16" t="s">
        <v>340</v>
      </c>
      <c r="AO710" s="16" t="s">
        <v>340</v>
      </c>
      <c r="AP710" s="16" t="s">
        <v>335</v>
      </c>
      <c r="AQ710" s="16"/>
      <c r="AR710" s="21" t="n">
        <f aca="false">IF(AND(T710&lt;&gt;"",H710&lt;&gt;""),IF(AND((T710-H710)*86400&gt;=0,(T710-H710)*86400&lt;تنظیمات!$B$13),1,0),0)</f>
        <v>0</v>
      </c>
      <c r="AS710" s="21" t="n">
        <f aca="false">IF(Z710="پوز",IF(OR(AB710="",COUNTIF(پوزها!$A$2:$A$5,AA710)=0),1,0),0)</f>
        <v>0</v>
      </c>
      <c r="AT710" s="21" t="n">
        <f aca="false">IF(AI710="",0,IF(AI710&gt;0,1,0))</f>
        <v>0</v>
      </c>
      <c r="AU710" s="21" t="n">
        <f aca="false">IF(AI710="",0,IF(AI710&lt;0,1,0))</f>
        <v>0</v>
      </c>
      <c r="AV710" s="21" t="n">
        <f aca="false">IF(U710&gt;V710,1,0)</f>
        <v>0</v>
      </c>
      <c r="AW710" s="21" t="n">
        <f aca="false">IF(OR(W710&gt;تنظیمات!$B$8,X710="بله"),1,0)</f>
        <v>0</v>
      </c>
      <c r="AX710" s="21" t="n">
        <f aca="false">IF(AND(N710="بله",L710&gt;تنظیمات!$B$9),1,0)</f>
        <v>0</v>
      </c>
      <c r="AY710" s="21" t="n">
        <f aca="false">IF(Y710="معکوس",1,0)</f>
        <v>0</v>
      </c>
      <c r="AZ710" s="21" t="n">
        <f aca="false">IF(ABS(AJ710)&gt;تنظیمات!$B$10,1,0)</f>
        <v>0</v>
      </c>
      <c r="BA710" s="21" t="n">
        <f aca="false">IF(AND(OR(AD710="رایگان/VIP",AD710="جانباز"),AF710="خیر"),1,0)</f>
        <v>0</v>
      </c>
      <c r="BB710" s="21" t="n">
        <f aca="false">IF(AE710="",0,IF(COUNTIF($AE$2:$AE$1001,AE710)&gt;1,1,0))</f>
        <v>0</v>
      </c>
      <c r="BC710" s="21" t="n">
        <f aca="false">IF(AND(H710="",I710&gt;تنظیمات!$B$12*60,AM710="خالی"),1,0)</f>
        <v>0</v>
      </c>
      <c r="BD710" s="21" t="n">
        <f aca="false">IF(AND(AP710="بله",I710&lt;تنظیمات!$B$14,AO710="خیر"),1,0)</f>
        <v>0</v>
      </c>
      <c r="BE710" s="21" t="n">
        <f aca="false">IF(AN710="خیر",1,0)</f>
        <v>0</v>
      </c>
      <c r="BF710" s="21" t="n">
        <f aca="false">IF(AND(AD710="فیش مفقودی",AQ710="بله",I710&gt;تنظیمات!$B$12*60),1,0)</f>
        <v>0</v>
      </c>
      <c r="BG710" s="21" t="n">
        <f aca="false">IF(AND(AK710&gt;تنظیمات!$B$11,AL710="بله"),1,0)</f>
        <v>0</v>
      </c>
      <c r="BH710" s="21" t="n">
        <f aca="false">MIN(100,AR710*تنظیمات!$B$21+AS710*تنظیمات!$B$22+AT710*تنظیمات!$B$23+AU710*تنظیمات!$B$24+AV710*تنظیمات!$B$25+AW710*تنظیمات!$B$26+AX710*تنظیمات!$B$27+AY710*تنظیمات!$B$28+AZ710*تنظیمات!$B$29+BA710*تنظیمات!$B$30+BB710*تنظیمات!$B$31+BC710*تنظیمات!$B$32+BD710*تنظیمات!$B$33+BE710*تنظیمات!$B$34+BF710*تنظیمات!$B$35+BG710*تنظیمات!$B$36)</f>
        <v>0</v>
      </c>
      <c r="BI710" s="16" t="str">
        <f aca="false">IF(BH710&gt;=60,"بحرانی",IF(BH710&gt;=30,"مشکوک",IF(BH710&gt;0,"هشدار","عادی")))</f>
        <v>عادی</v>
      </c>
      <c r="BJ710" s="16" t="s">
        <v>338</v>
      </c>
    </row>
    <row r="711" customFormat="false" ht="15" hidden="false" customHeight="false" outlineLevel="0" collapsed="false">
      <c r="A711" s="16" t="s">
        <v>2528</v>
      </c>
      <c r="B711" s="16" t="s">
        <v>2529</v>
      </c>
      <c r="C711" s="16"/>
      <c r="D711" s="16" t="s">
        <v>508</v>
      </c>
      <c r="E711" s="16" t="s">
        <v>345</v>
      </c>
      <c r="F711" s="16" t="s">
        <v>333</v>
      </c>
      <c r="G711" s="17" t="n">
        <v>46290.7055092593</v>
      </c>
      <c r="H711" s="17" t="n">
        <v>46290.7353703704</v>
      </c>
      <c r="I711" s="18" t="n">
        <f aca="false">IF(H711="",ROUND((تنظیمات!$B$7-G711)*1440,0),ROUND((H711-G711)*1440,0))</f>
        <v>43</v>
      </c>
      <c r="J711" s="16" t="s">
        <v>346</v>
      </c>
      <c r="K711" s="16" t="s">
        <v>400</v>
      </c>
      <c r="L711" s="19" t="n">
        <v>0.911</v>
      </c>
      <c r="M711" s="19" t="n">
        <v>0.97</v>
      </c>
      <c r="N711" s="16" t="s">
        <v>335</v>
      </c>
      <c r="O711" s="16" t="s">
        <v>425</v>
      </c>
      <c r="P711" s="16" t="s">
        <v>420</v>
      </c>
      <c r="Q711" s="20" t="n">
        <v>46290</v>
      </c>
      <c r="R711" s="16" t="s">
        <v>2530</v>
      </c>
      <c r="S711" s="16" t="s">
        <v>404</v>
      </c>
      <c r="T711" s="17"/>
      <c r="U711" s="21" t="n">
        <v>1</v>
      </c>
      <c r="V711" s="21" t="n">
        <v>1</v>
      </c>
      <c r="W711" s="22" t="n">
        <v>4.8</v>
      </c>
      <c r="X711" s="16" t="s">
        <v>335</v>
      </c>
      <c r="Y711" s="16" t="s">
        <v>338</v>
      </c>
      <c r="Z711" s="16" t="s">
        <v>405</v>
      </c>
      <c r="AA711" s="16"/>
      <c r="AB711" s="23"/>
      <c r="AC711" s="17"/>
      <c r="AD711" s="16" t="s">
        <v>338</v>
      </c>
      <c r="AE711" s="16"/>
      <c r="AF711" s="16" t="str">
        <f aca="false">IF(COUNTIF(لیست_سفید!$A$2:$A$21,B711)&gt;0,"بله","خیر")</f>
        <v>خیر</v>
      </c>
      <c r="AG711" s="24" t="n">
        <f aca="false">IF(H711="","",IF(AD711="فیش مفقودی",تنظیمات!$B$6,(INT(I711/1440)*تنظیمات!$B$5+IF(MOD(I711,1440)&lt;=تنظیمات!$B$2,0,MIN(تنظیمات!$B$5,تنظیمات!$B$3+MAX(0,ROUNDUP((MOD(I711,1440)-60)/60,0))*تنظیمات!$B$4)))*INDEX(تعرفه!$B$2:$B$7,MATCH(AD711,تعرفه!$A$2:$A$7,0))))</f>
        <v>20000</v>
      </c>
      <c r="AH711" s="24" t="n">
        <v>20000</v>
      </c>
      <c r="AI711" s="24" t="n">
        <f aca="false">IF(AG711="","",AH711-AG711)</f>
        <v>0</v>
      </c>
      <c r="AJ711" s="21" t="n">
        <v>0</v>
      </c>
      <c r="AK711" s="21" t="n">
        <v>0</v>
      </c>
      <c r="AL711" s="16" t="s">
        <v>335</v>
      </c>
      <c r="AM711" s="16"/>
      <c r="AN711" s="16" t="s">
        <v>340</v>
      </c>
      <c r="AO711" s="16" t="s">
        <v>340</v>
      </c>
      <c r="AP711" s="16" t="s">
        <v>335</v>
      </c>
      <c r="AQ711" s="16"/>
      <c r="AR711" s="21" t="n">
        <f aca="false">IF(AND(T711&lt;&gt;"",H711&lt;&gt;""),IF(AND((T711-H711)*86400&gt;=0,(T711-H711)*86400&lt;تنظیمات!$B$13),1,0),0)</f>
        <v>0</v>
      </c>
      <c r="AS711" s="21" t="n">
        <f aca="false">IF(Z711="پوز",IF(OR(AB711="",COUNTIF(پوزها!$A$2:$A$5,AA711)=0),1,0),0)</f>
        <v>0</v>
      </c>
      <c r="AT711" s="21" t="n">
        <f aca="false">IF(AI711="",0,IF(AI711&gt;0,1,0))</f>
        <v>0</v>
      </c>
      <c r="AU711" s="21" t="n">
        <f aca="false">IF(AI711="",0,IF(AI711&lt;0,1,0))</f>
        <v>0</v>
      </c>
      <c r="AV711" s="21" t="n">
        <f aca="false">IF(U711&gt;V711,1,0)</f>
        <v>0</v>
      </c>
      <c r="AW711" s="21" t="n">
        <f aca="false">IF(OR(W711&gt;تنظیمات!$B$8,X711="بله"),1,0)</f>
        <v>0</v>
      </c>
      <c r="AX711" s="21" t="n">
        <f aca="false">IF(AND(N711="بله",L711&gt;تنظیمات!$B$9),1,0)</f>
        <v>0</v>
      </c>
      <c r="AY711" s="21" t="n">
        <f aca="false">IF(Y711="معکوس",1,0)</f>
        <v>0</v>
      </c>
      <c r="AZ711" s="21" t="n">
        <f aca="false">IF(ABS(AJ711)&gt;تنظیمات!$B$10,1,0)</f>
        <v>0</v>
      </c>
      <c r="BA711" s="21" t="n">
        <f aca="false">IF(AND(OR(AD711="رایگان/VIP",AD711="جانباز"),AF711="خیر"),1,0)</f>
        <v>0</v>
      </c>
      <c r="BB711" s="21" t="n">
        <f aca="false">IF(AE711="",0,IF(COUNTIF($AE$2:$AE$1001,AE711)&gt;1,1,0))</f>
        <v>0</v>
      </c>
      <c r="BC711" s="21" t="n">
        <f aca="false">IF(AND(H711="",I711&gt;تنظیمات!$B$12*60,AM711="خالی"),1,0)</f>
        <v>0</v>
      </c>
      <c r="BD711" s="21" t="n">
        <f aca="false">IF(AND(AP711="بله",I711&lt;تنظیمات!$B$14,AO711="خیر"),1,0)</f>
        <v>0</v>
      </c>
      <c r="BE711" s="21" t="n">
        <f aca="false">IF(AN711="خیر",1,0)</f>
        <v>0</v>
      </c>
      <c r="BF711" s="21" t="n">
        <f aca="false">IF(AND(AD711="فیش مفقودی",AQ711="بله",I711&gt;تنظیمات!$B$12*60),1,0)</f>
        <v>0</v>
      </c>
      <c r="BG711" s="21" t="n">
        <f aca="false">IF(AND(AK711&gt;تنظیمات!$B$11,AL711="بله"),1,0)</f>
        <v>0</v>
      </c>
      <c r="BH711" s="21" t="n">
        <f aca="false">MIN(100,AR711*تنظیمات!$B$21+AS711*تنظیمات!$B$22+AT711*تنظیمات!$B$23+AU711*تنظیمات!$B$24+AV711*تنظیمات!$B$25+AW711*تنظیمات!$B$26+AX711*تنظیمات!$B$27+AY711*تنظیمات!$B$28+AZ711*تنظیمات!$B$29+BA711*تنظیمات!$B$30+BB711*تنظیمات!$B$31+BC711*تنظیمات!$B$32+BD711*تنظیمات!$B$33+BE711*تنظیمات!$B$34+BF711*تنظیمات!$B$35+BG711*تنظیمات!$B$36)</f>
        <v>0</v>
      </c>
      <c r="BI711" s="16" t="str">
        <f aca="false">IF(BH711&gt;=60,"بحرانی",IF(BH711&gt;=30,"مشکوک",IF(BH711&gt;0,"هشدار","عادی")))</f>
        <v>عادی</v>
      </c>
      <c r="BJ711" s="16" t="s">
        <v>338</v>
      </c>
    </row>
    <row r="712" customFormat="false" ht="15" hidden="false" customHeight="false" outlineLevel="0" collapsed="false">
      <c r="A712" s="16" t="s">
        <v>2531</v>
      </c>
      <c r="B712" s="16" t="s">
        <v>2094</v>
      </c>
      <c r="C712" s="16"/>
      <c r="D712" s="16" t="s">
        <v>531</v>
      </c>
      <c r="E712" s="16" t="s">
        <v>351</v>
      </c>
      <c r="F712" s="16" t="s">
        <v>333</v>
      </c>
      <c r="G712" s="17" t="n">
        <v>46290.7128703704</v>
      </c>
      <c r="H712" s="17" t="n">
        <v>46290.7871759259</v>
      </c>
      <c r="I712" s="18" t="n">
        <f aca="false">IF(H712="",ROUND((تنظیمات!$B$7-G712)*1440,0),ROUND((H712-G712)*1440,0))</f>
        <v>107</v>
      </c>
      <c r="J712" s="16" t="s">
        <v>346</v>
      </c>
      <c r="K712" s="16" t="s">
        <v>410</v>
      </c>
      <c r="L712" s="19" t="n">
        <v>0.995</v>
      </c>
      <c r="M712" s="19" t="n">
        <v>0.913</v>
      </c>
      <c r="N712" s="16" t="s">
        <v>335</v>
      </c>
      <c r="O712" s="16" t="s">
        <v>441</v>
      </c>
      <c r="P712" s="16" t="s">
        <v>420</v>
      </c>
      <c r="Q712" s="20" t="n">
        <v>46290</v>
      </c>
      <c r="R712" s="16" t="s">
        <v>2532</v>
      </c>
      <c r="S712" s="16" t="s">
        <v>404</v>
      </c>
      <c r="T712" s="17"/>
      <c r="U712" s="21" t="n">
        <v>1</v>
      </c>
      <c r="V712" s="21" t="n">
        <v>1</v>
      </c>
      <c r="W712" s="22" t="n">
        <v>5.3</v>
      </c>
      <c r="X712" s="16" t="s">
        <v>335</v>
      </c>
      <c r="Y712" s="16" t="s">
        <v>338</v>
      </c>
      <c r="Z712" s="16" t="s">
        <v>413</v>
      </c>
      <c r="AA712" s="16" t="s">
        <v>414</v>
      </c>
      <c r="AB712" s="23" t="s">
        <v>2533</v>
      </c>
      <c r="AC712" s="17" t="n">
        <v>46290.7864236111</v>
      </c>
      <c r="AD712" s="16" t="s">
        <v>338</v>
      </c>
      <c r="AE712" s="16"/>
      <c r="AF712" s="16" t="str">
        <f aca="false">IF(COUNTIF(لیست_سفید!$A$2:$A$21,B712)&gt;0,"بله","خیر")</f>
        <v>خیر</v>
      </c>
      <c r="AG712" s="24" t="n">
        <f aca="false">IF(H712="","",IF(AD712="فیش مفقودی",تنظیمات!$B$6,(INT(I712/1440)*تنظیمات!$B$5+IF(MOD(I712,1440)&lt;=تنظیمات!$B$2,0,MIN(تنظیمات!$B$5,تنظیمات!$B$3+MAX(0,ROUNDUP((MOD(I712,1440)-60)/60,0))*تنظیمات!$B$4)))*INDEX(تعرفه!$B$2:$B$7,MATCH(AD712,تعرفه!$A$2:$A$7,0))))</f>
        <v>34000</v>
      </c>
      <c r="AH712" s="24" t="n">
        <v>34000</v>
      </c>
      <c r="AI712" s="24" t="n">
        <f aca="false">IF(AG712="","",AH712-AG712)</f>
        <v>0</v>
      </c>
      <c r="AJ712" s="21" t="n">
        <v>3</v>
      </c>
      <c r="AK712" s="21" t="n">
        <v>0</v>
      </c>
      <c r="AL712" s="16" t="s">
        <v>335</v>
      </c>
      <c r="AM712" s="16"/>
      <c r="AN712" s="16" t="s">
        <v>340</v>
      </c>
      <c r="AO712" s="16" t="s">
        <v>340</v>
      </c>
      <c r="AP712" s="16" t="s">
        <v>335</v>
      </c>
      <c r="AQ712" s="16"/>
      <c r="AR712" s="21" t="n">
        <f aca="false">IF(AND(T712&lt;&gt;"",H712&lt;&gt;""),IF(AND((T712-H712)*86400&gt;=0,(T712-H712)*86400&lt;تنظیمات!$B$13),1,0),0)</f>
        <v>0</v>
      </c>
      <c r="AS712" s="21" t="n">
        <f aca="false">IF(Z712="پوز",IF(OR(AB712="",COUNTIF(پوزها!$A$2:$A$5,AA712)=0),1,0),0)</f>
        <v>0</v>
      </c>
      <c r="AT712" s="21" t="n">
        <f aca="false">IF(AI712="",0,IF(AI712&gt;0,1,0))</f>
        <v>0</v>
      </c>
      <c r="AU712" s="21" t="n">
        <f aca="false">IF(AI712="",0,IF(AI712&lt;0,1,0))</f>
        <v>0</v>
      </c>
      <c r="AV712" s="21" t="n">
        <f aca="false">IF(U712&gt;V712,1,0)</f>
        <v>0</v>
      </c>
      <c r="AW712" s="21" t="n">
        <f aca="false">IF(OR(W712&gt;تنظیمات!$B$8,X712="بله"),1,0)</f>
        <v>0</v>
      </c>
      <c r="AX712" s="21" t="n">
        <f aca="false">IF(AND(N712="بله",L712&gt;تنظیمات!$B$9),1,0)</f>
        <v>0</v>
      </c>
      <c r="AY712" s="21" t="n">
        <f aca="false">IF(Y712="معکوس",1,0)</f>
        <v>0</v>
      </c>
      <c r="AZ712" s="21" t="n">
        <f aca="false">IF(ABS(AJ712)&gt;تنظیمات!$B$10,1,0)</f>
        <v>0</v>
      </c>
      <c r="BA712" s="21" t="n">
        <f aca="false">IF(AND(OR(AD712="رایگان/VIP",AD712="جانباز"),AF712="خیر"),1,0)</f>
        <v>0</v>
      </c>
      <c r="BB712" s="21" t="n">
        <f aca="false">IF(AE712="",0,IF(COUNTIF($AE$2:$AE$1001,AE712)&gt;1,1,0))</f>
        <v>0</v>
      </c>
      <c r="BC712" s="21" t="n">
        <f aca="false">IF(AND(H712="",I712&gt;تنظیمات!$B$12*60,AM712="خالی"),1,0)</f>
        <v>0</v>
      </c>
      <c r="BD712" s="21" t="n">
        <f aca="false">IF(AND(AP712="بله",I712&lt;تنظیمات!$B$14,AO712="خیر"),1,0)</f>
        <v>0</v>
      </c>
      <c r="BE712" s="21" t="n">
        <f aca="false">IF(AN712="خیر",1,0)</f>
        <v>0</v>
      </c>
      <c r="BF712" s="21" t="n">
        <f aca="false">IF(AND(AD712="فیش مفقودی",AQ712="بله",I712&gt;تنظیمات!$B$12*60),1,0)</f>
        <v>0</v>
      </c>
      <c r="BG712" s="21" t="n">
        <f aca="false">IF(AND(AK712&gt;تنظیمات!$B$11,AL712="بله"),1,0)</f>
        <v>0</v>
      </c>
      <c r="BH712" s="21" t="n">
        <f aca="false">MIN(100,AR712*تنظیمات!$B$21+AS712*تنظیمات!$B$22+AT712*تنظیمات!$B$23+AU712*تنظیمات!$B$24+AV712*تنظیمات!$B$25+AW712*تنظیمات!$B$26+AX712*تنظیمات!$B$27+AY712*تنظیمات!$B$28+AZ712*تنظیمات!$B$29+BA712*تنظیمات!$B$30+BB712*تنظیمات!$B$31+BC712*تنظیمات!$B$32+BD712*تنظیمات!$B$33+BE712*تنظیمات!$B$34+BF712*تنظیمات!$B$35+BG712*تنظیمات!$B$36)</f>
        <v>0</v>
      </c>
      <c r="BI712" s="16" t="str">
        <f aca="false">IF(BH712&gt;=60,"بحرانی",IF(BH712&gt;=30,"مشکوک",IF(BH712&gt;0,"هشدار","عادی")))</f>
        <v>عادی</v>
      </c>
      <c r="BJ712" s="16" t="s">
        <v>338</v>
      </c>
    </row>
    <row r="713" customFormat="false" ht="15" hidden="false" customHeight="false" outlineLevel="0" collapsed="false">
      <c r="A713" s="16" t="s">
        <v>2534</v>
      </c>
      <c r="B713" s="16" t="s">
        <v>669</v>
      </c>
      <c r="C713" s="16"/>
      <c r="D713" s="16" t="s">
        <v>508</v>
      </c>
      <c r="E713" s="16" t="s">
        <v>390</v>
      </c>
      <c r="F713" s="16" t="s">
        <v>333</v>
      </c>
      <c r="G713" s="17" t="n">
        <v>46290.715150463</v>
      </c>
      <c r="H713" s="17" t="n">
        <v>46290.7408449074</v>
      </c>
      <c r="I713" s="18" t="n">
        <f aca="false">IF(H713="",ROUND((تنظیمات!$B$7-G713)*1440,0),ROUND((H713-G713)*1440,0))</f>
        <v>37</v>
      </c>
      <c r="J713" s="16" t="s">
        <v>346</v>
      </c>
      <c r="K713" s="16" t="s">
        <v>410</v>
      </c>
      <c r="L713" s="19" t="n">
        <v>0.936</v>
      </c>
      <c r="M713" s="19" t="n">
        <v>0.962</v>
      </c>
      <c r="N713" s="16" t="s">
        <v>335</v>
      </c>
      <c r="O713" s="16" t="s">
        <v>441</v>
      </c>
      <c r="P713" s="16" t="s">
        <v>420</v>
      </c>
      <c r="Q713" s="20" t="n">
        <v>46290</v>
      </c>
      <c r="R713" s="16" t="s">
        <v>2535</v>
      </c>
      <c r="S713" s="16" t="s">
        <v>404</v>
      </c>
      <c r="T713" s="17"/>
      <c r="U713" s="21" t="n">
        <v>1</v>
      </c>
      <c r="V713" s="21" t="n">
        <v>1</v>
      </c>
      <c r="W713" s="22" t="n">
        <v>6.1</v>
      </c>
      <c r="X713" s="16" t="s">
        <v>335</v>
      </c>
      <c r="Y713" s="16" t="s">
        <v>338</v>
      </c>
      <c r="Z713" s="16" t="s">
        <v>413</v>
      </c>
      <c r="AA713" s="16" t="s">
        <v>414</v>
      </c>
      <c r="AB713" s="23" t="s">
        <v>2536</v>
      </c>
      <c r="AC713" s="17" t="n">
        <v>46290.740150463</v>
      </c>
      <c r="AD713" s="16" t="s">
        <v>338</v>
      </c>
      <c r="AE713" s="16"/>
      <c r="AF713" s="16" t="str">
        <f aca="false">IF(COUNTIF(لیست_سفید!$A$2:$A$21,B713)&gt;0,"بله","خیر")</f>
        <v>خیر</v>
      </c>
      <c r="AG713" s="24" t="n">
        <f aca="false">IF(H713="","",IF(AD713="فیش مفقودی",تنظیمات!$B$6,(INT(I713/1440)*تنظیمات!$B$5+IF(MOD(I713,1440)&lt;=تنظیمات!$B$2,0,MIN(تنظیمات!$B$5,تنظیمات!$B$3+MAX(0,ROUNDUP((MOD(I713,1440)-60)/60,0))*تنظیمات!$B$4)))*INDEX(تعرفه!$B$2:$B$7,MATCH(AD713,تعرفه!$A$2:$A$7,0))))</f>
        <v>20000</v>
      </c>
      <c r="AH713" s="24" t="n">
        <v>20000</v>
      </c>
      <c r="AI713" s="24" t="n">
        <f aca="false">IF(AG713="","",AH713-AG713)</f>
        <v>0</v>
      </c>
      <c r="AJ713" s="21" t="n">
        <v>-2</v>
      </c>
      <c r="AK713" s="21" t="n">
        <v>0</v>
      </c>
      <c r="AL713" s="16" t="s">
        <v>335</v>
      </c>
      <c r="AM713" s="16"/>
      <c r="AN713" s="16" t="s">
        <v>340</v>
      </c>
      <c r="AO713" s="16" t="s">
        <v>340</v>
      </c>
      <c r="AP713" s="16" t="s">
        <v>335</v>
      </c>
      <c r="AQ713" s="16"/>
      <c r="AR713" s="21" t="n">
        <f aca="false">IF(AND(T713&lt;&gt;"",H713&lt;&gt;""),IF(AND((T713-H713)*86400&gt;=0,(T713-H713)*86400&lt;تنظیمات!$B$13),1,0),0)</f>
        <v>0</v>
      </c>
      <c r="AS713" s="21" t="n">
        <f aca="false">IF(Z713="پوز",IF(OR(AB713="",COUNTIF(پوزها!$A$2:$A$5,AA713)=0),1,0),0)</f>
        <v>0</v>
      </c>
      <c r="AT713" s="21" t="n">
        <f aca="false">IF(AI713="",0,IF(AI713&gt;0,1,0))</f>
        <v>0</v>
      </c>
      <c r="AU713" s="21" t="n">
        <f aca="false">IF(AI713="",0,IF(AI713&lt;0,1,0))</f>
        <v>0</v>
      </c>
      <c r="AV713" s="21" t="n">
        <f aca="false">IF(U713&gt;V713,1,0)</f>
        <v>0</v>
      </c>
      <c r="AW713" s="21" t="n">
        <f aca="false">IF(OR(W713&gt;تنظیمات!$B$8,X713="بله"),1,0)</f>
        <v>0</v>
      </c>
      <c r="AX713" s="21" t="n">
        <f aca="false">IF(AND(N713="بله",L713&gt;تنظیمات!$B$9),1,0)</f>
        <v>0</v>
      </c>
      <c r="AY713" s="21" t="n">
        <f aca="false">IF(Y713="معکوس",1,0)</f>
        <v>0</v>
      </c>
      <c r="AZ713" s="21" t="n">
        <f aca="false">IF(ABS(AJ713)&gt;تنظیمات!$B$10,1,0)</f>
        <v>0</v>
      </c>
      <c r="BA713" s="21" t="n">
        <f aca="false">IF(AND(OR(AD713="رایگان/VIP",AD713="جانباز"),AF713="خیر"),1,0)</f>
        <v>0</v>
      </c>
      <c r="BB713" s="21" t="n">
        <f aca="false">IF(AE713="",0,IF(COUNTIF($AE$2:$AE$1001,AE713)&gt;1,1,0))</f>
        <v>0</v>
      </c>
      <c r="BC713" s="21" t="n">
        <f aca="false">IF(AND(H713="",I713&gt;تنظیمات!$B$12*60,AM713="خالی"),1,0)</f>
        <v>0</v>
      </c>
      <c r="BD713" s="21" t="n">
        <f aca="false">IF(AND(AP713="بله",I713&lt;تنظیمات!$B$14,AO713="خیر"),1,0)</f>
        <v>0</v>
      </c>
      <c r="BE713" s="21" t="n">
        <f aca="false">IF(AN713="خیر",1,0)</f>
        <v>0</v>
      </c>
      <c r="BF713" s="21" t="n">
        <f aca="false">IF(AND(AD713="فیش مفقودی",AQ713="بله",I713&gt;تنظیمات!$B$12*60),1,0)</f>
        <v>0</v>
      </c>
      <c r="BG713" s="21" t="n">
        <f aca="false">IF(AND(AK713&gt;تنظیمات!$B$11,AL713="بله"),1,0)</f>
        <v>0</v>
      </c>
      <c r="BH713" s="21" t="n">
        <f aca="false">MIN(100,AR713*تنظیمات!$B$21+AS713*تنظیمات!$B$22+AT713*تنظیمات!$B$23+AU713*تنظیمات!$B$24+AV713*تنظیمات!$B$25+AW713*تنظیمات!$B$26+AX713*تنظیمات!$B$27+AY713*تنظیمات!$B$28+AZ713*تنظیمات!$B$29+BA713*تنظیمات!$B$30+BB713*تنظیمات!$B$31+BC713*تنظیمات!$B$32+BD713*تنظیمات!$B$33+BE713*تنظیمات!$B$34+BF713*تنظیمات!$B$35+BG713*تنظیمات!$B$36)</f>
        <v>0</v>
      </c>
      <c r="BI713" s="16" t="str">
        <f aca="false">IF(BH713&gt;=60,"بحرانی",IF(BH713&gt;=30,"مشکوک",IF(BH713&gt;0,"هشدار","عادی")))</f>
        <v>عادی</v>
      </c>
      <c r="BJ713" s="16" t="s">
        <v>338</v>
      </c>
    </row>
    <row r="714" customFormat="false" ht="15" hidden="false" customHeight="false" outlineLevel="0" collapsed="false">
      <c r="A714" s="16" t="s">
        <v>2537</v>
      </c>
      <c r="B714" s="16" t="s">
        <v>843</v>
      </c>
      <c r="C714" s="16"/>
      <c r="D714" s="16" t="s">
        <v>540</v>
      </c>
      <c r="E714" s="16" t="s">
        <v>332</v>
      </c>
      <c r="F714" s="16" t="s">
        <v>359</v>
      </c>
      <c r="G714" s="17" t="n">
        <v>46290.7166319444</v>
      </c>
      <c r="H714" s="17" t="n">
        <v>46290.7221875</v>
      </c>
      <c r="I714" s="18" t="n">
        <f aca="false">IF(H714="",ROUND((تنظیمات!$B$7-G714)*1440,0),ROUND((H714-G714)*1440,0))</f>
        <v>8</v>
      </c>
      <c r="J714" s="16" t="s">
        <v>346</v>
      </c>
      <c r="K714" s="16" t="s">
        <v>400</v>
      </c>
      <c r="L714" s="19" t="n">
        <v>0.964</v>
      </c>
      <c r="M714" s="19" t="n">
        <v>0.931</v>
      </c>
      <c r="N714" s="16" t="s">
        <v>335</v>
      </c>
      <c r="O714" s="16" t="s">
        <v>425</v>
      </c>
      <c r="P714" s="16" t="s">
        <v>420</v>
      </c>
      <c r="Q714" s="20" t="n">
        <v>46290</v>
      </c>
      <c r="R714" s="16" t="s">
        <v>2538</v>
      </c>
      <c r="S714" s="16" t="s">
        <v>404</v>
      </c>
      <c r="T714" s="17"/>
      <c r="U714" s="21" t="n">
        <v>1</v>
      </c>
      <c r="V714" s="21" t="n">
        <v>1</v>
      </c>
      <c r="W714" s="22" t="n">
        <v>8.1</v>
      </c>
      <c r="X714" s="16" t="s">
        <v>335</v>
      </c>
      <c r="Y714" s="16" t="s">
        <v>338</v>
      </c>
      <c r="Z714" s="16" t="s">
        <v>628</v>
      </c>
      <c r="AA714" s="16"/>
      <c r="AB714" s="23"/>
      <c r="AC714" s="17"/>
      <c r="AD714" s="16" t="s">
        <v>338</v>
      </c>
      <c r="AE714" s="16"/>
      <c r="AF714" s="16" t="str">
        <f aca="false">IF(COUNTIF(لیست_سفید!$A$2:$A$21,B714)&gt;0,"بله","خیر")</f>
        <v>خیر</v>
      </c>
      <c r="AG714" s="24" t="n">
        <f aca="false">IF(H714="","",IF(AD714="فیش مفقودی",تنظیمات!$B$6,(INT(I714/1440)*تنظیمات!$B$5+IF(MOD(I714,1440)&lt;=تنظیمات!$B$2,0,MIN(تنظیمات!$B$5,تنظیمات!$B$3+MAX(0,ROUNDUP((MOD(I714,1440)-60)/60,0))*تنظیمات!$B$4)))*INDEX(تعرفه!$B$2:$B$7,MATCH(AD714,تعرفه!$A$2:$A$7,0))))</f>
        <v>0</v>
      </c>
      <c r="AH714" s="24" t="n">
        <v>0</v>
      </c>
      <c r="AI714" s="24" t="n">
        <f aca="false">IF(AG714="","",AH714-AG714)</f>
        <v>0</v>
      </c>
      <c r="AJ714" s="21" t="n">
        <v>3</v>
      </c>
      <c r="AK714" s="21" t="n">
        <v>0</v>
      </c>
      <c r="AL714" s="16" t="s">
        <v>335</v>
      </c>
      <c r="AM714" s="16"/>
      <c r="AN714" s="16" t="s">
        <v>340</v>
      </c>
      <c r="AO714" s="16" t="s">
        <v>340</v>
      </c>
      <c r="AP714" s="16" t="s">
        <v>335</v>
      </c>
      <c r="AQ714" s="16"/>
      <c r="AR714" s="21" t="n">
        <f aca="false">IF(AND(T714&lt;&gt;"",H714&lt;&gt;""),IF(AND((T714-H714)*86400&gt;=0,(T714-H714)*86400&lt;تنظیمات!$B$13),1,0),0)</f>
        <v>0</v>
      </c>
      <c r="AS714" s="21" t="n">
        <f aca="false">IF(Z714="پوز",IF(OR(AB714="",COUNTIF(پوزها!$A$2:$A$5,AA714)=0),1,0),0)</f>
        <v>0</v>
      </c>
      <c r="AT714" s="21" t="n">
        <f aca="false">IF(AI714="",0,IF(AI714&gt;0,1,0))</f>
        <v>0</v>
      </c>
      <c r="AU714" s="21" t="n">
        <f aca="false">IF(AI714="",0,IF(AI714&lt;0,1,0))</f>
        <v>0</v>
      </c>
      <c r="AV714" s="21" t="n">
        <f aca="false">IF(U714&gt;V714,1,0)</f>
        <v>0</v>
      </c>
      <c r="AW714" s="21" t="n">
        <f aca="false">IF(OR(W714&gt;تنظیمات!$B$8,X714="بله"),1,0)</f>
        <v>0</v>
      </c>
      <c r="AX714" s="21" t="n">
        <f aca="false">IF(AND(N714="بله",L714&gt;تنظیمات!$B$9),1,0)</f>
        <v>0</v>
      </c>
      <c r="AY714" s="21" t="n">
        <f aca="false">IF(Y714="معکوس",1,0)</f>
        <v>0</v>
      </c>
      <c r="AZ714" s="21" t="n">
        <f aca="false">IF(ABS(AJ714)&gt;تنظیمات!$B$10,1,0)</f>
        <v>0</v>
      </c>
      <c r="BA714" s="21" t="n">
        <f aca="false">IF(AND(OR(AD714="رایگان/VIP",AD714="جانباز"),AF714="خیر"),1,0)</f>
        <v>0</v>
      </c>
      <c r="BB714" s="21" t="n">
        <f aca="false">IF(AE714="",0,IF(COUNTIF($AE$2:$AE$1001,AE714)&gt;1,1,0))</f>
        <v>0</v>
      </c>
      <c r="BC714" s="21" t="n">
        <f aca="false">IF(AND(H714="",I714&gt;تنظیمات!$B$12*60,AM714="خالی"),1,0)</f>
        <v>0</v>
      </c>
      <c r="BD714" s="21" t="n">
        <f aca="false">IF(AND(AP714="بله",I714&lt;تنظیمات!$B$14,AO714="خیر"),1,0)</f>
        <v>0</v>
      </c>
      <c r="BE714" s="21" t="n">
        <f aca="false">IF(AN714="خیر",1,0)</f>
        <v>0</v>
      </c>
      <c r="BF714" s="21" t="n">
        <f aca="false">IF(AND(AD714="فیش مفقودی",AQ714="بله",I714&gt;تنظیمات!$B$12*60),1,0)</f>
        <v>0</v>
      </c>
      <c r="BG714" s="21" t="n">
        <f aca="false">IF(AND(AK714&gt;تنظیمات!$B$11,AL714="بله"),1,0)</f>
        <v>0</v>
      </c>
      <c r="BH714" s="21" t="n">
        <f aca="false">MIN(100,AR714*تنظیمات!$B$21+AS714*تنظیمات!$B$22+AT714*تنظیمات!$B$23+AU714*تنظیمات!$B$24+AV714*تنظیمات!$B$25+AW714*تنظیمات!$B$26+AX714*تنظیمات!$B$27+AY714*تنظیمات!$B$28+AZ714*تنظیمات!$B$29+BA714*تنظیمات!$B$30+BB714*تنظیمات!$B$31+BC714*تنظیمات!$B$32+BD714*تنظیمات!$B$33+BE714*تنظیمات!$B$34+BF714*تنظیمات!$B$35+BG714*تنظیمات!$B$36)</f>
        <v>0</v>
      </c>
      <c r="BI714" s="16" t="str">
        <f aca="false">IF(BH714&gt;=60,"بحرانی",IF(BH714&gt;=30,"مشکوک",IF(BH714&gt;0,"هشدار","عادی")))</f>
        <v>عادی</v>
      </c>
      <c r="BJ714" s="16" t="s">
        <v>338</v>
      </c>
    </row>
    <row r="715" customFormat="false" ht="15" hidden="false" customHeight="false" outlineLevel="0" collapsed="false">
      <c r="A715" s="16" t="s">
        <v>2539</v>
      </c>
      <c r="B715" s="16" t="s">
        <v>2207</v>
      </c>
      <c r="C715" s="16"/>
      <c r="D715" s="16" t="s">
        <v>508</v>
      </c>
      <c r="E715" s="16" t="s">
        <v>351</v>
      </c>
      <c r="F715" s="16" t="s">
        <v>333</v>
      </c>
      <c r="G715" s="17" t="n">
        <v>46290.7309722222</v>
      </c>
      <c r="H715" s="17" t="n">
        <v>46290.7531944444</v>
      </c>
      <c r="I715" s="18" t="n">
        <f aca="false">IF(H715="",ROUND((تنظیمات!$B$7-G715)*1440,0),ROUND((H715-G715)*1440,0))</f>
        <v>32</v>
      </c>
      <c r="J715" s="16" t="s">
        <v>334</v>
      </c>
      <c r="K715" s="16" t="s">
        <v>410</v>
      </c>
      <c r="L715" s="19" t="n">
        <v>0.982</v>
      </c>
      <c r="M715" s="19" t="n">
        <v>0.973</v>
      </c>
      <c r="N715" s="16" t="s">
        <v>335</v>
      </c>
      <c r="O715" s="16" t="s">
        <v>441</v>
      </c>
      <c r="P715" s="16" t="s">
        <v>420</v>
      </c>
      <c r="Q715" s="20" t="n">
        <v>46290</v>
      </c>
      <c r="R715" s="16" t="s">
        <v>2540</v>
      </c>
      <c r="S715" s="16" t="s">
        <v>404</v>
      </c>
      <c r="T715" s="17"/>
      <c r="U715" s="21" t="n">
        <v>1</v>
      </c>
      <c r="V715" s="21" t="n">
        <v>1</v>
      </c>
      <c r="W715" s="22" t="n">
        <v>6.1</v>
      </c>
      <c r="X715" s="16" t="s">
        <v>335</v>
      </c>
      <c r="Y715" s="16" t="s">
        <v>338</v>
      </c>
      <c r="Z715" s="16" t="s">
        <v>413</v>
      </c>
      <c r="AA715" s="16" t="s">
        <v>414</v>
      </c>
      <c r="AB715" s="23" t="s">
        <v>2541</v>
      </c>
      <c r="AC715" s="17" t="n">
        <v>46290.7527893519</v>
      </c>
      <c r="AD715" s="16" t="s">
        <v>338</v>
      </c>
      <c r="AE715" s="16"/>
      <c r="AF715" s="16" t="str">
        <f aca="false">IF(COUNTIF(لیست_سفید!$A$2:$A$21,B715)&gt;0,"بله","خیر")</f>
        <v>خیر</v>
      </c>
      <c r="AG715" s="24" t="n">
        <f aca="false">IF(H715="","",IF(AD715="فیش مفقودی",تنظیمات!$B$6,(INT(I715/1440)*تنظیمات!$B$5+IF(MOD(I715,1440)&lt;=تنظیمات!$B$2,0,MIN(تنظیمات!$B$5,تنظیمات!$B$3+MAX(0,ROUNDUP((MOD(I715,1440)-60)/60,0))*تنظیمات!$B$4)))*INDEX(تعرفه!$B$2:$B$7,MATCH(AD715,تعرفه!$A$2:$A$7,0))))</f>
        <v>20000</v>
      </c>
      <c r="AH715" s="24" t="n">
        <v>20000</v>
      </c>
      <c r="AI715" s="24" t="n">
        <f aca="false">IF(AG715="","",AH715-AG715)</f>
        <v>0</v>
      </c>
      <c r="AJ715" s="21" t="n">
        <v>-1</v>
      </c>
      <c r="AK715" s="21" t="n">
        <v>0</v>
      </c>
      <c r="AL715" s="16" t="s">
        <v>335</v>
      </c>
      <c r="AM715" s="16"/>
      <c r="AN715" s="16" t="s">
        <v>340</v>
      </c>
      <c r="AO715" s="16" t="s">
        <v>340</v>
      </c>
      <c r="AP715" s="16" t="s">
        <v>335</v>
      </c>
      <c r="AQ715" s="16"/>
      <c r="AR715" s="21" t="n">
        <f aca="false">IF(AND(T715&lt;&gt;"",H715&lt;&gt;""),IF(AND((T715-H715)*86400&gt;=0,(T715-H715)*86400&lt;تنظیمات!$B$13),1,0),0)</f>
        <v>0</v>
      </c>
      <c r="AS715" s="21" t="n">
        <f aca="false">IF(Z715="پوز",IF(OR(AB715="",COUNTIF(پوزها!$A$2:$A$5,AA715)=0),1,0),0)</f>
        <v>0</v>
      </c>
      <c r="AT715" s="21" t="n">
        <f aca="false">IF(AI715="",0,IF(AI715&gt;0,1,0))</f>
        <v>0</v>
      </c>
      <c r="AU715" s="21" t="n">
        <f aca="false">IF(AI715="",0,IF(AI715&lt;0,1,0))</f>
        <v>0</v>
      </c>
      <c r="AV715" s="21" t="n">
        <f aca="false">IF(U715&gt;V715,1,0)</f>
        <v>0</v>
      </c>
      <c r="AW715" s="21" t="n">
        <f aca="false">IF(OR(W715&gt;تنظیمات!$B$8,X715="بله"),1,0)</f>
        <v>0</v>
      </c>
      <c r="AX715" s="21" t="n">
        <f aca="false">IF(AND(N715="بله",L715&gt;تنظیمات!$B$9),1,0)</f>
        <v>0</v>
      </c>
      <c r="AY715" s="21" t="n">
        <f aca="false">IF(Y715="معکوس",1,0)</f>
        <v>0</v>
      </c>
      <c r="AZ715" s="21" t="n">
        <f aca="false">IF(ABS(AJ715)&gt;تنظیمات!$B$10,1,0)</f>
        <v>0</v>
      </c>
      <c r="BA715" s="21" t="n">
        <f aca="false">IF(AND(OR(AD715="رایگان/VIP",AD715="جانباز"),AF715="خیر"),1,0)</f>
        <v>0</v>
      </c>
      <c r="BB715" s="21" t="n">
        <f aca="false">IF(AE715="",0,IF(COUNTIF($AE$2:$AE$1001,AE715)&gt;1,1,0))</f>
        <v>0</v>
      </c>
      <c r="BC715" s="21" t="n">
        <f aca="false">IF(AND(H715="",I715&gt;تنظیمات!$B$12*60,AM715="خالی"),1,0)</f>
        <v>0</v>
      </c>
      <c r="BD715" s="21" t="n">
        <f aca="false">IF(AND(AP715="بله",I715&lt;تنظیمات!$B$14,AO715="خیر"),1,0)</f>
        <v>0</v>
      </c>
      <c r="BE715" s="21" t="n">
        <f aca="false">IF(AN715="خیر",1,0)</f>
        <v>0</v>
      </c>
      <c r="BF715" s="21" t="n">
        <f aca="false">IF(AND(AD715="فیش مفقودی",AQ715="بله",I715&gt;تنظیمات!$B$12*60),1,0)</f>
        <v>0</v>
      </c>
      <c r="BG715" s="21" t="n">
        <f aca="false">IF(AND(AK715&gt;تنظیمات!$B$11,AL715="بله"),1,0)</f>
        <v>0</v>
      </c>
      <c r="BH715" s="21" t="n">
        <f aca="false">MIN(100,AR715*تنظیمات!$B$21+AS715*تنظیمات!$B$22+AT715*تنظیمات!$B$23+AU715*تنظیمات!$B$24+AV715*تنظیمات!$B$25+AW715*تنظیمات!$B$26+AX715*تنظیمات!$B$27+AY715*تنظیمات!$B$28+AZ715*تنظیمات!$B$29+BA715*تنظیمات!$B$30+BB715*تنظیمات!$B$31+BC715*تنظیمات!$B$32+BD715*تنظیمات!$B$33+BE715*تنظیمات!$B$34+BF715*تنظیمات!$B$35+BG715*تنظیمات!$B$36)</f>
        <v>0</v>
      </c>
      <c r="BI715" s="16" t="str">
        <f aca="false">IF(BH715&gt;=60,"بحرانی",IF(BH715&gt;=30,"مشکوک",IF(BH715&gt;0,"هشدار","عادی")))</f>
        <v>عادی</v>
      </c>
      <c r="BJ715" s="16" t="s">
        <v>338</v>
      </c>
    </row>
    <row r="716" customFormat="false" ht="15" hidden="false" customHeight="false" outlineLevel="0" collapsed="false">
      <c r="A716" s="16" t="s">
        <v>2542</v>
      </c>
      <c r="B716" s="16" t="s">
        <v>1113</v>
      </c>
      <c r="C716" s="16"/>
      <c r="D716" s="16" t="s">
        <v>508</v>
      </c>
      <c r="E716" s="16" t="s">
        <v>332</v>
      </c>
      <c r="F716" s="16" t="s">
        <v>333</v>
      </c>
      <c r="G716" s="17" t="n">
        <v>46290.7481712963</v>
      </c>
      <c r="H716" s="17" t="n">
        <v>46290.7738657407</v>
      </c>
      <c r="I716" s="18" t="n">
        <f aca="false">IF(H716="",ROUND((تنظیمات!$B$7-G716)*1440,0),ROUND((H716-G716)*1440,0))</f>
        <v>37</v>
      </c>
      <c r="J716" s="16" t="s">
        <v>334</v>
      </c>
      <c r="K716" s="16" t="s">
        <v>410</v>
      </c>
      <c r="L716" s="19" t="n">
        <v>0.916</v>
      </c>
      <c r="M716" s="19" t="n">
        <v>0.97</v>
      </c>
      <c r="N716" s="16" t="s">
        <v>335</v>
      </c>
      <c r="O716" s="16" t="s">
        <v>441</v>
      </c>
      <c r="P716" s="16" t="s">
        <v>420</v>
      </c>
      <c r="Q716" s="20" t="n">
        <v>46290</v>
      </c>
      <c r="R716" s="16" t="s">
        <v>2543</v>
      </c>
      <c r="S716" s="16" t="s">
        <v>404</v>
      </c>
      <c r="T716" s="17"/>
      <c r="U716" s="21" t="n">
        <v>1</v>
      </c>
      <c r="V716" s="21" t="n">
        <v>1</v>
      </c>
      <c r="W716" s="22" t="n">
        <v>4.7</v>
      </c>
      <c r="X716" s="16" t="s">
        <v>335</v>
      </c>
      <c r="Y716" s="16" t="s">
        <v>338</v>
      </c>
      <c r="Z716" s="16" t="s">
        <v>405</v>
      </c>
      <c r="AA716" s="16"/>
      <c r="AB716" s="23"/>
      <c r="AC716" s="17"/>
      <c r="AD716" s="16" t="s">
        <v>338</v>
      </c>
      <c r="AE716" s="16"/>
      <c r="AF716" s="16" t="str">
        <f aca="false">IF(COUNTIF(لیست_سفید!$A$2:$A$21,B716)&gt;0,"بله","خیر")</f>
        <v>خیر</v>
      </c>
      <c r="AG716" s="24" t="n">
        <f aca="false">IF(H716="","",IF(AD716="فیش مفقودی",تنظیمات!$B$6,(INT(I716/1440)*تنظیمات!$B$5+IF(MOD(I716,1440)&lt;=تنظیمات!$B$2,0,MIN(تنظیمات!$B$5,تنظیمات!$B$3+MAX(0,ROUNDUP((MOD(I716,1440)-60)/60,0))*تنظیمات!$B$4)))*INDEX(تعرفه!$B$2:$B$7,MATCH(AD716,تعرفه!$A$2:$A$7,0))))</f>
        <v>20000</v>
      </c>
      <c r="AH716" s="24" t="n">
        <v>20000</v>
      </c>
      <c r="AI716" s="24" t="n">
        <f aca="false">IF(AG716="","",AH716-AG716)</f>
        <v>0</v>
      </c>
      <c r="AJ716" s="21" t="n">
        <v>-2</v>
      </c>
      <c r="AK716" s="21" t="n">
        <v>0</v>
      </c>
      <c r="AL716" s="16" t="s">
        <v>335</v>
      </c>
      <c r="AM716" s="16"/>
      <c r="AN716" s="16" t="s">
        <v>340</v>
      </c>
      <c r="AO716" s="16" t="s">
        <v>340</v>
      </c>
      <c r="AP716" s="16" t="s">
        <v>335</v>
      </c>
      <c r="AQ716" s="16"/>
      <c r="AR716" s="21" t="n">
        <f aca="false">IF(AND(T716&lt;&gt;"",H716&lt;&gt;""),IF(AND((T716-H716)*86400&gt;=0,(T716-H716)*86400&lt;تنظیمات!$B$13),1,0),0)</f>
        <v>0</v>
      </c>
      <c r="AS716" s="21" t="n">
        <f aca="false">IF(Z716="پوز",IF(OR(AB716="",COUNTIF(پوزها!$A$2:$A$5,AA716)=0),1,0),0)</f>
        <v>0</v>
      </c>
      <c r="AT716" s="21" t="n">
        <f aca="false">IF(AI716="",0,IF(AI716&gt;0,1,0))</f>
        <v>0</v>
      </c>
      <c r="AU716" s="21" t="n">
        <f aca="false">IF(AI716="",0,IF(AI716&lt;0,1,0))</f>
        <v>0</v>
      </c>
      <c r="AV716" s="21" t="n">
        <f aca="false">IF(U716&gt;V716,1,0)</f>
        <v>0</v>
      </c>
      <c r="AW716" s="21" t="n">
        <f aca="false">IF(OR(W716&gt;تنظیمات!$B$8,X716="بله"),1,0)</f>
        <v>0</v>
      </c>
      <c r="AX716" s="21" t="n">
        <f aca="false">IF(AND(N716="بله",L716&gt;تنظیمات!$B$9),1,0)</f>
        <v>0</v>
      </c>
      <c r="AY716" s="21" t="n">
        <f aca="false">IF(Y716="معکوس",1,0)</f>
        <v>0</v>
      </c>
      <c r="AZ716" s="21" t="n">
        <f aca="false">IF(ABS(AJ716)&gt;تنظیمات!$B$10,1,0)</f>
        <v>0</v>
      </c>
      <c r="BA716" s="21" t="n">
        <f aca="false">IF(AND(OR(AD716="رایگان/VIP",AD716="جانباز"),AF716="خیر"),1,0)</f>
        <v>0</v>
      </c>
      <c r="BB716" s="21" t="n">
        <f aca="false">IF(AE716="",0,IF(COUNTIF($AE$2:$AE$1001,AE716)&gt;1,1,0))</f>
        <v>0</v>
      </c>
      <c r="BC716" s="21" t="n">
        <f aca="false">IF(AND(H716="",I716&gt;تنظیمات!$B$12*60,AM716="خالی"),1,0)</f>
        <v>0</v>
      </c>
      <c r="BD716" s="21" t="n">
        <f aca="false">IF(AND(AP716="بله",I716&lt;تنظیمات!$B$14,AO716="خیر"),1,0)</f>
        <v>0</v>
      </c>
      <c r="BE716" s="21" t="n">
        <f aca="false">IF(AN716="خیر",1,0)</f>
        <v>0</v>
      </c>
      <c r="BF716" s="21" t="n">
        <f aca="false">IF(AND(AD716="فیش مفقودی",AQ716="بله",I716&gt;تنظیمات!$B$12*60),1,0)</f>
        <v>0</v>
      </c>
      <c r="BG716" s="21" t="n">
        <f aca="false">IF(AND(AK716&gt;تنظیمات!$B$11,AL716="بله"),1,0)</f>
        <v>0</v>
      </c>
      <c r="BH716" s="21" t="n">
        <f aca="false">MIN(100,AR716*تنظیمات!$B$21+AS716*تنظیمات!$B$22+AT716*تنظیمات!$B$23+AU716*تنظیمات!$B$24+AV716*تنظیمات!$B$25+AW716*تنظیمات!$B$26+AX716*تنظیمات!$B$27+AY716*تنظیمات!$B$28+AZ716*تنظیمات!$B$29+BA716*تنظیمات!$B$30+BB716*تنظیمات!$B$31+BC716*تنظیمات!$B$32+BD716*تنظیمات!$B$33+BE716*تنظیمات!$B$34+BF716*تنظیمات!$B$35+BG716*تنظیمات!$B$36)</f>
        <v>0</v>
      </c>
      <c r="BI716" s="16" t="str">
        <f aca="false">IF(BH716&gt;=60,"بحرانی",IF(BH716&gt;=30,"مشکوک",IF(BH716&gt;0,"هشدار","عادی")))</f>
        <v>عادی</v>
      </c>
      <c r="BJ716" s="16" t="s">
        <v>338</v>
      </c>
    </row>
    <row r="717" customFormat="false" ht="15" hidden="false" customHeight="false" outlineLevel="0" collapsed="false">
      <c r="A717" s="16" t="s">
        <v>2544</v>
      </c>
      <c r="B717" s="16" t="s">
        <v>827</v>
      </c>
      <c r="C717" s="16" t="s">
        <v>2545</v>
      </c>
      <c r="D717" s="16" t="s">
        <v>386</v>
      </c>
      <c r="E717" s="16" t="s">
        <v>390</v>
      </c>
      <c r="F717" s="16" t="s">
        <v>333</v>
      </c>
      <c r="G717" s="17" t="n">
        <v>46290.7521180556</v>
      </c>
      <c r="H717" s="17" t="n">
        <v>46290.8528125</v>
      </c>
      <c r="I717" s="18" t="n">
        <f aca="false">IF(H717="",ROUND((تنظیمات!$B$7-G717)*1440,0),ROUND((H717-G717)*1440,0))</f>
        <v>145</v>
      </c>
      <c r="J717" s="16" t="s">
        <v>334</v>
      </c>
      <c r="K717" s="16" t="s">
        <v>410</v>
      </c>
      <c r="L717" s="19" t="n">
        <v>0.583</v>
      </c>
      <c r="M717" s="19" t="n">
        <v>0.888</v>
      </c>
      <c r="N717" s="16" t="s">
        <v>340</v>
      </c>
      <c r="O717" s="16" t="s">
        <v>441</v>
      </c>
      <c r="P717" s="16" t="s">
        <v>420</v>
      </c>
      <c r="Q717" s="20" t="n">
        <v>46290</v>
      </c>
      <c r="R717" s="16" t="s">
        <v>2546</v>
      </c>
      <c r="S717" s="16" t="s">
        <v>404</v>
      </c>
      <c r="T717" s="17"/>
      <c r="U717" s="21" t="n">
        <v>1</v>
      </c>
      <c r="V717" s="21" t="n">
        <v>1</v>
      </c>
      <c r="W717" s="22" t="n">
        <v>4.7</v>
      </c>
      <c r="X717" s="16" t="s">
        <v>335</v>
      </c>
      <c r="Y717" s="16" t="s">
        <v>338</v>
      </c>
      <c r="Z717" s="16" t="s">
        <v>405</v>
      </c>
      <c r="AA717" s="16"/>
      <c r="AB717" s="23"/>
      <c r="AC717" s="17"/>
      <c r="AD717" s="16" t="s">
        <v>338</v>
      </c>
      <c r="AE717" s="16"/>
      <c r="AF717" s="16" t="str">
        <f aca="false">IF(COUNTIF(لیست_سفید!$A$2:$A$21,B717)&gt;0,"بله","خیر")</f>
        <v>خیر</v>
      </c>
      <c r="AG717" s="24" t="n">
        <f aca="false">IF(H717="","",IF(AD717="فیش مفقودی",تنظیمات!$B$6,(INT(I717/1440)*تنظیمات!$B$5+IF(MOD(I717,1440)&lt;=تنظیمات!$B$2,0,MIN(تنظیمات!$B$5,تنظیمات!$B$3+MAX(0,ROUNDUP((MOD(I717,1440)-60)/60,0))*تنظیمات!$B$4)))*INDEX(تعرفه!$B$2:$B$7,MATCH(AD717,تعرفه!$A$2:$A$7,0))))</f>
        <v>48000</v>
      </c>
      <c r="AH717" s="24" t="n">
        <v>48000</v>
      </c>
      <c r="AI717" s="24" t="n">
        <f aca="false">IF(AG717="","",AH717-AG717)</f>
        <v>0</v>
      </c>
      <c r="AJ717" s="21" t="n">
        <v>-2</v>
      </c>
      <c r="AK717" s="21" t="n">
        <v>0</v>
      </c>
      <c r="AL717" s="16" t="s">
        <v>335</v>
      </c>
      <c r="AM717" s="16"/>
      <c r="AN717" s="16" t="s">
        <v>340</v>
      </c>
      <c r="AO717" s="16" t="s">
        <v>340</v>
      </c>
      <c r="AP717" s="16" t="s">
        <v>335</v>
      </c>
      <c r="AQ717" s="16"/>
      <c r="AR717" s="21" t="n">
        <f aca="false">IF(AND(T717&lt;&gt;"",H717&lt;&gt;""),IF(AND((T717-H717)*86400&gt;=0,(T717-H717)*86400&lt;تنظیمات!$B$13),1,0),0)</f>
        <v>0</v>
      </c>
      <c r="AS717" s="21" t="n">
        <f aca="false">IF(Z717="پوز",IF(OR(AB717="",COUNTIF(پوزها!$A$2:$A$5,AA717)=0),1,0),0)</f>
        <v>0</v>
      </c>
      <c r="AT717" s="21" t="n">
        <f aca="false">IF(AI717="",0,IF(AI717&gt;0,1,0))</f>
        <v>0</v>
      </c>
      <c r="AU717" s="21" t="n">
        <f aca="false">IF(AI717="",0,IF(AI717&lt;0,1,0))</f>
        <v>0</v>
      </c>
      <c r="AV717" s="21" t="n">
        <f aca="false">IF(U717&gt;V717,1,0)</f>
        <v>0</v>
      </c>
      <c r="AW717" s="21" t="n">
        <f aca="false">IF(OR(W717&gt;تنظیمات!$B$8,X717="بله"),1,0)</f>
        <v>0</v>
      </c>
      <c r="AX717" s="21" t="n">
        <f aca="false">IF(AND(N717="بله",L717&gt;تنظیمات!$B$9),1,0)</f>
        <v>0</v>
      </c>
      <c r="AY717" s="21" t="n">
        <f aca="false">IF(Y717="معکوس",1,0)</f>
        <v>0</v>
      </c>
      <c r="AZ717" s="21" t="n">
        <f aca="false">IF(ABS(AJ717)&gt;تنظیمات!$B$10,1,0)</f>
        <v>0</v>
      </c>
      <c r="BA717" s="21" t="n">
        <f aca="false">IF(AND(OR(AD717="رایگان/VIP",AD717="جانباز"),AF717="خیر"),1,0)</f>
        <v>0</v>
      </c>
      <c r="BB717" s="21" t="n">
        <f aca="false">IF(AE717="",0,IF(COUNTIF($AE$2:$AE$1001,AE717)&gt;1,1,0))</f>
        <v>0</v>
      </c>
      <c r="BC717" s="21" t="n">
        <f aca="false">IF(AND(H717="",I717&gt;تنظیمات!$B$12*60,AM717="خالی"),1,0)</f>
        <v>0</v>
      </c>
      <c r="BD717" s="21" t="n">
        <f aca="false">IF(AND(AP717="بله",I717&lt;تنظیمات!$B$14,AO717="خیر"),1,0)</f>
        <v>0</v>
      </c>
      <c r="BE717" s="21" t="n">
        <f aca="false">IF(AN717="خیر",1,0)</f>
        <v>0</v>
      </c>
      <c r="BF717" s="21" t="n">
        <f aca="false">IF(AND(AD717="فیش مفقودی",AQ717="بله",I717&gt;تنظیمات!$B$12*60),1,0)</f>
        <v>0</v>
      </c>
      <c r="BG717" s="21" t="n">
        <f aca="false">IF(AND(AK717&gt;تنظیمات!$B$11,AL717="بله"),1,0)</f>
        <v>0</v>
      </c>
      <c r="BH717" s="21" t="n">
        <f aca="false">MIN(100,AR717*تنظیمات!$B$21+AS717*تنظیمات!$B$22+AT717*تنظیمات!$B$23+AU717*تنظیمات!$B$24+AV717*تنظیمات!$B$25+AW717*تنظیمات!$B$26+AX717*تنظیمات!$B$27+AY717*تنظیمات!$B$28+AZ717*تنظیمات!$B$29+BA717*تنظیمات!$B$30+BB717*تنظیمات!$B$31+BC717*تنظیمات!$B$32+BD717*تنظیمات!$B$33+BE717*تنظیمات!$B$34+BF717*تنظیمات!$B$35+BG717*تنظیمات!$B$36)</f>
        <v>0</v>
      </c>
      <c r="BI717" s="16" t="str">
        <f aca="false">IF(BH717&gt;=60,"بحرانی",IF(BH717&gt;=30,"مشکوک",IF(BH717&gt;0,"هشدار","عادی")))</f>
        <v>عادی</v>
      </c>
      <c r="BJ717" s="16" t="s">
        <v>338</v>
      </c>
    </row>
    <row r="718" customFormat="false" ht="15" hidden="false" customHeight="false" outlineLevel="0" collapsed="false">
      <c r="A718" s="16" t="s">
        <v>2547</v>
      </c>
      <c r="B718" s="16" t="s">
        <v>1617</v>
      </c>
      <c r="C718" s="16"/>
      <c r="D718" s="16" t="s">
        <v>540</v>
      </c>
      <c r="E718" s="16" t="s">
        <v>345</v>
      </c>
      <c r="F718" s="16" t="s">
        <v>359</v>
      </c>
      <c r="G718" s="17" t="n">
        <v>46290.7680324074</v>
      </c>
      <c r="H718" s="17" t="n">
        <v>46290.7992824074</v>
      </c>
      <c r="I718" s="18" t="n">
        <f aca="false">IF(H718="",ROUND((تنظیمات!$B$7-G718)*1440,0),ROUND((H718-G718)*1440,0))</f>
        <v>45</v>
      </c>
      <c r="J718" s="16" t="s">
        <v>334</v>
      </c>
      <c r="K718" s="16" t="s">
        <v>410</v>
      </c>
      <c r="L718" s="19" t="n">
        <v>0.912</v>
      </c>
      <c r="M718" s="19" t="n">
        <v>0.953</v>
      </c>
      <c r="N718" s="16" t="s">
        <v>335</v>
      </c>
      <c r="O718" s="16" t="s">
        <v>441</v>
      </c>
      <c r="P718" s="16" t="s">
        <v>420</v>
      </c>
      <c r="Q718" s="20" t="n">
        <v>46290</v>
      </c>
      <c r="R718" s="16" t="s">
        <v>2548</v>
      </c>
      <c r="S718" s="16" t="s">
        <v>404</v>
      </c>
      <c r="T718" s="17"/>
      <c r="U718" s="21" t="n">
        <v>1</v>
      </c>
      <c r="V718" s="21" t="n">
        <v>1</v>
      </c>
      <c r="W718" s="22" t="n">
        <v>4</v>
      </c>
      <c r="X718" s="16" t="s">
        <v>335</v>
      </c>
      <c r="Y718" s="16" t="s">
        <v>338</v>
      </c>
      <c r="Z718" s="16" t="s">
        <v>413</v>
      </c>
      <c r="AA718" s="16" t="s">
        <v>414</v>
      </c>
      <c r="AB718" s="23" t="s">
        <v>2549</v>
      </c>
      <c r="AC718" s="17" t="n">
        <v>46290.7986226852</v>
      </c>
      <c r="AD718" s="16" t="s">
        <v>338</v>
      </c>
      <c r="AE718" s="16"/>
      <c r="AF718" s="16" t="str">
        <f aca="false">IF(COUNTIF(لیست_سفید!$A$2:$A$21,B718)&gt;0,"بله","خیر")</f>
        <v>خیر</v>
      </c>
      <c r="AG718" s="24" t="n">
        <f aca="false">IF(H718="","",IF(AD718="فیش مفقودی",تنظیمات!$B$6,(INT(I718/1440)*تنظیمات!$B$5+IF(MOD(I718,1440)&lt;=تنظیمات!$B$2,0,MIN(تنظیمات!$B$5,تنظیمات!$B$3+MAX(0,ROUNDUP((MOD(I718,1440)-60)/60,0))*تنظیمات!$B$4)))*INDEX(تعرفه!$B$2:$B$7,MATCH(AD718,تعرفه!$A$2:$A$7,0))))</f>
        <v>20000</v>
      </c>
      <c r="AH718" s="24" t="n">
        <v>20000</v>
      </c>
      <c r="AI718" s="24" t="n">
        <f aca="false">IF(AG718="","",AH718-AG718)</f>
        <v>0</v>
      </c>
      <c r="AJ718" s="21" t="n">
        <v>-1</v>
      </c>
      <c r="AK718" s="21" t="n">
        <v>0</v>
      </c>
      <c r="AL718" s="16" t="s">
        <v>335</v>
      </c>
      <c r="AM718" s="16"/>
      <c r="AN718" s="16" t="s">
        <v>340</v>
      </c>
      <c r="AO718" s="16" t="s">
        <v>340</v>
      </c>
      <c r="AP718" s="16" t="s">
        <v>335</v>
      </c>
      <c r="AQ718" s="16"/>
      <c r="AR718" s="21" t="n">
        <f aca="false">IF(AND(T718&lt;&gt;"",H718&lt;&gt;""),IF(AND((T718-H718)*86400&gt;=0,(T718-H718)*86400&lt;تنظیمات!$B$13),1,0),0)</f>
        <v>0</v>
      </c>
      <c r="AS718" s="21" t="n">
        <f aca="false">IF(Z718="پوز",IF(OR(AB718="",COUNTIF(پوزها!$A$2:$A$5,AA718)=0),1,0),0)</f>
        <v>0</v>
      </c>
      <c r="AT718" s="21" t="n">
        <f aca="false">IF(AI718="",0,IF(AI718&gt;0,1,0))</f>
        <v>0</v>
      </c>
      <c r="AU718" s="21" t="n">
        <f aca="false">IF(AI718="",0,IF(AI718&lt;0,1,0))</f>
        <v>0</v>
      </c>
      <c r="AV718" s="21" t="n">
        <f aca="false">IF(U718&gt;V718,1,0)</f>
        <v>0</v>
      </c>
      <c r="AW718" s="21" t="n">
        <f aca="false">IF(OR(W718&gt;تنظیمات!$B$8,X718="بله"),1,0)</f>
        <v>0</v>
      </c>
      <c r="AX718" s="21" t="n">
        <f aca="false">IF(AND(N718="بله",L718&gt;تنظیمات!$B$9),1,0)</f>
        <v>0</v>
      </c>
      <c r="AY718" s="21" t="n">
        <f aca="false">IF(Y718="معکوس",1,0)</f>
        <v>0</v>
      </c>
      <c r="AZ718" s="21" t="n">
        <f aca="false">IF(ABS(AJ718)&gt;تنظیمات!$B$10,1,0)</f>
        <v>0</v>
      </c>
      <c r="BA718" s="21" t="n">
        <f aca="false">IF(AND(OR(AD718="رایگان/VIP",AD718="جانباز"),AF718="خیر"),1,0)</f>
        <v>0</v>
      </c>
      <c r="BB718" s="21" t="n">
        <f aca="false">IF(AE718="",0,IF(COUNTIF($AE$2:$AE$1001,AE718)&gt;1,1,0))</f>
        <v>0</v>
      </c>
      <c r="BC718" s="21" t="n">
        <f aca="false">IF(AND(H718="",I718&gt;تنظیمات!$B$12*60,AM718="خالی"),1,0)</f>
        <v>0</v>
      </c>
      <c r="BD718" s="21" t="n">
        <f aca="false">IF(AND(AP718="بله",I718&lt;تنظیمات!$B$14,AO718="خیر"),1,0)</f>
        <v>0</v>
      </c>
      <c r="BE718" s="21" t="n">
        <f aca="false">IF(AN718="خیر",1,0)</f>
        <v>0</v>
      </c>
      <c r="BF718" s="21" t="n">
        <f aca="false">IF(AND(AD718="فیش مفقودی",AQ718="بله",I718&gt;تنظیمات!$B$12*60),1,0)</f>
        <v>0</v>
      </c>
      <c r="BG718" s="21" t="n">
        <f aca="false">IF(AND(AK718&gt;تنظیمات!$B$11,AL718="بله"),1,0)</f>
        <v>0</v>
      </c>
      <c r="BH718" s="21" t="n">
        <f aca="false">MIN(100,AR718*تنظیمات!$B$21+AS718*تنظیمات!$B$22+AT718*تنظیمات!$B$23+AU718*تنظیمات!$B$24+AV718*تنظیمات!$B$25+AW718*تنظیمات!$B$26+AX718*تنظیمات!$B$27+AY718*تنظیمات!$B$28+AZ718*تنظیمات!$B$29+BA718*تنظیمات!$B$30+BB718*تنظیمات!$B$31+BC718*تنظیمات!$B$32+BD718*تنظیمات!$B$33+BE718*تنظیمات!$B$34+BF718*تنظیمات!$B$35+BG718*تنظیمات!$B$36)</f>
        <v>0</v>
      </c>
      <c r="BI718" s="16" t="str">
        <f aca="false">IF(BH718&gt;=60,"بحرانی",IF(BH718&gt;=30,"مشکوک",IF(BH718&gt;0,"هشدار","عادی")))</f>
        <v>عادی</v>
      </c>
      <c r="BJ718" s="16" t="s">
        <v>338</v>
      </c>
    </row>
    <row r="719" customFormat="false" ht="15" hidden="false" customHeight="false" outlineLevel="0" collapsed="false">
      <c r="A719" s="16" t="s">
        <v>2550</v>
      </c>
      <c r="B719" s="16" t="s">
        <v>399</v>
      </c>
      <c r="C719" s="16"/>
      <c r="D719" s="16" t="s">
        <v>382</v>
      </c>
      <c r="E719" s="16" t="s">
        <v>351</v>
      </c>
      <c r="F719" s="16" t="s">
        <v>333</v>
      </c>
      <c r="G719" s="17" t="n">
        <v>46290.7738310185</v>
      </c>
      <c r="H719" s="17" t="n">
        <v>46290.8502199074</v>
      </c>
      <c r="I719" s="18" t="n">
        <f aca="false">IF(H719="",ROUND((تنظیمات!$B$7-G719)*1440,0),ROUND((H719-G719)*1440,0))</f>
        <v>110</v>
      </c>
      <c r="J719" s="16" t="s">
        <v>334</v>
      </c>
      <c r="K719" s="16" t="s">
        <v>400</v>
      </c>
      <c r="L719" s="19" t="n">
        <v>0.968</v>
      </c>
      <c r="M719" s="19" t="n">
        <v>0.974</v>
      </c>
      <c r="N719" s="16" t="s">
        <v>335</v>
      </c>
      <c r="O719" s="16" t="s">
        <v>425</v>
      </c>
      <c r="P719" s="16" t="s">
        <v>420</v>
      </c>
      <c r="Q719" s="20" t="n">
        <v>46290</v>
      </c>
      <c r="R719" s="16" t="s">
        <v>2551</v>
      </c>
      <c r="S719" s="16" t="s">
        <v>404</v>
      </c>
      <c r="T719" s="17"/>
      <c r="U719" s="21" t="n">
        <v>1</v>
      </c>
      <c r="V719" s="21" t="n">
        <v>1</v>
      </c>
      <c r="W719" s="22" t="n">
        <v>6.7</v>
      </c>
      <c r="X719" s="16" t="s">
        <v>335</v>
      </c>
      <c r="Y719" s="16" t="s">
        <v>338</v>
      </c>
      <c r="Z719" s="16" t="s">
        <v>405</v>
      </c>
      <c r="AA719" s="16"/>
      <c r="AB719" s="23"/>
      <c r="AC719" s="17"/>
      <c r="AD719" s="16" t="s">
        <v>338</v>
      </c>
      <c r="AE719" s="16"/>
      <c r="AF719" s="16" t="str">
        <f aca="false">IF(COUNTIF(لیست_سفید!$A$2:$A$21,B719)&gt;0,"بله","خیر")</f>
        <v>خیر</v>
      </c>
      <c r="AG719" s="24" t="n">
        <f aca="false">IF(H719="","",IF(AD719="فیش مفقودی",تنظیمات!$B$6,(INT(I719/1440)*تنظیمات!$B$5+IF(MOD(I719,1440)&lt;=تنظیمات!$B$2,0,MIN(تنظیمات!$B$5,تنظیمات!$B$3+MAX(0,ROUNDUP((MOD(I719,1440)-60)/60,0))*تنظیمات!$B$4)))*INDEX(تعرفه!$B$2:$B$7,MATCH(AD719,تعرفه!$A$2:$A$7,0))))</f>
        <v>34000</v>
      </c>
      <c r="AH719" s="24" t="n">
        <v>34000</v>
      </c>
      <c r="AI719" s="24" t="n">
        <f aca="false">IF(AG719="","",AH719-AG719)</f>
        <v>0</v>
      </c>
      <c r="AJ719" s="21" t="n">
        <v>1</v>
      </c>
      <c r="AK719" s="21" t="n">
        <v>0</v>
      </c>
      <c r="AL719" s="16" t="s">
        <v>335</v>
      </c>
      <c r="AM719" s="16"/>
      <c r="AN719" s="16" t="s">
        <v>340</v>
      </c>
      <c r="AO719" s="16" t="s">
        <v>340</v>
      </c>
      <c r="AP719" s="16" t="s">
        <v>335</v>
      </c>
      <c r="AQ719" s="16"/>
      <c r="AR719" s="21" t="n">
        <f aca="false">IF(AND(T719&lt;&gt;"",H719&lt;&gt;""),IF(AND((T719-H719)*86400&gt;=0,(T719-H719)*86400&lt;تنظیمات!$B$13),1,0),0)</f>
        <v>0</v>
      </c>
      <c r="AS719" s="21" t="n">
        <f aca="false">IF(Z719="پوز",IF(OR(AB719="",COUNTIF(پوزها!$A$2:$A$5,AA719)=0),1,0),0)</f>
        <v>0</v>
      </c>
      <c r="AT719" s="21" t="n">
        <f aca="false">IF(AI719="",0,IF(AI719&gt;0,1,0))</f>
        <v>0</v>
      </c>
      <c r="AU719" s="21" t="n">
        <f aca="false">IF(AI719="",0,IF(AI719&lt;0,1,0))</f>
        <v>0</v>
      </c>
      <c r="AV719" s="21" t="n">
        <f aca="false">IF(U719&gt;V719,1,0)</f>
        <v>0</v>
      </c>
      <c r="AW719" s="21" t="n">
        <f aca="false">IF(OR(W719&gt;تنظیمات!$B$8,X719="بله"),1,0)</f>
        <v>0</v>
      </c>
      <c r="AX719" s="21" t="n">
        <f aca="false">IF(AND(N719="بله",L719&gt;تنظیمات!$B$9),1,0)</f>
        <v>0</v>
      </c>
      <c r="AY719" s="21" t="n">
        <f aca="false">IF(Y719="معکوس",1,0)</f>
        <v>0</v>
      </c>
      <c r="AZ719" s="21" t="n">
        <f aca="false">IF(ABS(AJ719)&gt;تنظیمات!$B$10,1,0)</f>
        <v>0</v>
      </c>
      <c r="BA719" s="21" t="n">
        <f aca="false">IF(AND(OR(AD719="رایگان/VIP",AD719="جانباز"),AF719="خیر"),1,0)</f>
        <v>0</v>
      </c>
      <c r="BB719" s="21" t="n">
        <f aca="false">IF(AE719="",0,IF(COUNTIF($AE$2:$AE$1001,AE719)&gt;1,1,0))</f>
        <v>0</v>
      </c>
      <c r="BC719" s="21" t="n">
        <f aca="false">IF(AND(H719="",I719&gt;تنظیمات!$B$12*60,AM719="خالی"),1,0)</f>
        <v>0</v>
      </c>
      <c r="BD719" s="21" t="n">
        <f aca="false">IF(AND(AP719="بله",I719&lt;تنظیمات!$B$14,AO719="خیر"),1,0)</f>
        <v>0</v>
      </c>
      <c r="BE719" s="21" t="n">
        <f aca="false">IF(AN719="خیر",1,0)</f>
        <v>0</v>
      </c>
      <c r="BF719" s="21" t="n">
        <f aca="false">IF(AND(AD719="فیش مفقودی",AQ719="بله",I719&gt;تنظیمات!$B$12*60),1,0)</f>
        <v>0</v>
      </c>
      <c r="BG719" s="21" t="n">
        <f aca="false">IF(AND(AK719&gt;تنظیمات!$B$11,AL719="بله"),1,0)</f>
        <v>0</v>
      </c>
      <c r="BH719" s="21" t="n">
        <f aca="false">MIN(100,AR719*تنظیمات!$B$21+AS719*تنظیمات!$B$22+AT719*تنظیمات!$B$23+AU719*تنظیمات!$B$24+AV719*تنظیمات!$B$25+AW719*تنظیمات!$B$26+AX719*تنظیمات!$B$27+AY719*تنظیمات!$B$28+AZ719*تنظیمات!$B$29+BA719*تنظیمات!$B$30+BB719*تنظیمات!$B$31+BC719*تنظیمات!$B$32+BD719*تنظیمات!$B$33+BE719*تنظیمات!$B$34+BF719*تنظیمات!$B$35+BG719*تنظیمات!$B$36)</f>
        <v>0</v>
      </c>
      <c r="BI719" s="16" t="str">
        <f aca="false">IF(BH719&gt;=60,"بحرانی",IF(BH719&gt;=30,"مشکوک",IF(BH719&gt;0,"هشدار","عادی")))</f>
        <v>عادی</v>
      </c>
      <c r="BJ719" s="16" t="s">
        <v>338</v>
      </c>
    </row>
    <row r="720" customFormat="false" ht="15" hidden="false" customHeight="false" outlineLevel="0" collapsed="false">
      <c r="A720" s="16" t="s">
        <v>2552</v>
      </c>
      <c r="B720" s="16" t="s">
        <v>808</v>
      </c>
      <c r="C720" s="16"/>
      <c r="D720" s="16" t="s">
        <v>331</v>
      </c>
      <c r="E720" s="16" t="s">
        <v>351</v>
      </c>
      <c r="F720" s="16" t="s">
        <v>333</v>
      </c>
      <c r="G720" s="17" t="n">
        <v>46290.781087963</v>
      </c>
      <c r="H720" s="17" t="n">
        <v>46290.8595601852</v>
      </c>
      <c r="I720" s="18" t="n">
        <f aca="false">IF(H720="",ROUND((تنظیمات!$B$7-G720)*1440,0),ROUND((H720-G720)*1440,0))</f>
        <v>113</v>
      </c>
      <c r="J720" s="16" t="s">
        <v>334</v>
      </c>
      <c r="K720" s="16" t="s">
        <v>400</v>
      </c>
      <c r="L720" s="19" t="n">
        <v>0.988</v>
      </c>
      <c r="M720" s="19" t="n">
        <v>0.965</v>
      </c>
      <c r="N720" s="16" t="s">
        <v>335</v>
      </c>
      <c r="O720" s="16" t="s">
        <v>425</v>
      </c>
      <c r="P720" s="16" t="s">
        <v>420</v>
      </c>
      <c r="Q720" s="20" t="n">
        <v>46290</v>
      </c>
      <c r="R720" s="16" t="s">
        <v>2553</v>
      </c>
      <c r="S720" s="16" t="s">
        <v>404</v>
      </c>
      <c r="T720" s="17"/>
      <c r="U720" s="21" t="n">
        <v>1</v>
      </c>
      <c r="V720" s="21" t="n">
        <v>1</v>
      </c>
      <c r="W720" s="22" t="n">
        <v>3.9</v>
      </c>
      <c r="X720" s="16" t="s">
        <v>335</v>
      </c>
      <c r="Y720" s="16" t="s">
        <v>338</v>
      </c>
      <c r="Z720" s="16" t="s">
        <v>413</v>
      </c>
      <c r="AA720" s="16" t="s">
        <v>427</v>
      </c>
      <c r="AB720" s="23" t="s">
        <v>2554</v>
      </c>
      <c r="AC720" s="17" t="n">
        <v>46290.8586805556</v>
      </c>
      <c r="AD720" s="16" t="s">
        <v>338</v>
      </c>
      <c r="AE720" s="16"/>
      <c r="AF720" s="16" t="str">
        <f aca="false">IF(COUNTIF(لیست_سفید!$A$2:$A$21,B720)&gt;0,"بله","خیر")</f>
        <v>خیر</v>
      </c>
      <c r="AG720" s="24" t="n">
        <f aca="false">IF(H720="","",IF(AD720="فیش مفقودی",تنظیمات!$B$6,(INT(I720/1440)*تنظیمات!$B$5+IF(MOD(I720,1440)&lt;=تنظیمات!$B$2,0,MIN(تنظیمات!$B$5,تنظیمات!$B$3+MAX(0,ROUNDUP((MOD(I720,1440)-60)/60,0))*تنظیمات!$B$4)))*INDEX(تعرفه!$B$2:$B$7,MATCH(AD720,تعرفه!$A$2:$A$7,0))))</f>
        <v>34000</v>
      </c>
      <c r="AH720" s="24" t="n">
        <v>34000</v>
      </c>
      <c r="AI720" s="24" t="n">
        <f aca="false">IF(AG720="","",AH720-AG720)</f>
        <v>0</v>
      </c>
      <c r="AJ720" s="21" t="n">
        <v>0</v>
      </c>
      <c r="AK720" s="21" t="n">
        <v>0</v>
      </c>
      <c r="AL720" s="16" t="s">
        <v>335</v>
      </c>
      <c r="AM720" s="16"/>
      <c r="AN720" s="16" t="s">
        <v>340</v>
      </c>
      <c r="AO720" s="16" t="s">
        <v>340</v>
      </c>
      <c r="AP720" s="16" t="s">
        <v>335</v>
      </c>
      <c r="AQ720" s="16"/>
      <c r="AR720" s="21" t="n">
        <f aca="false">IF(AND(T720&lt;&gt;"",H720&lt;&gt;""),IF(AND((T720-H720)*86400&gt;=0,(T720-H720)*86400&lt;تنظیمات!$B$13),1,0),0)</f>
        <v>0</v>
      </c>
      <c r="AS720" s="21" t="n">
        <f aca="false">IF(Z720="پوز",IF(OR(AB720="",COUNTIF(پوزها!$A$2:$A$5,AA720)=0),1,0),0)</f>
        <v>0</v>
      </c>
      <c r="AT720" s="21" t="n">
        <f aca="false">IF(AI720="",0,IF(AI720&gt;0,1,0))</f>
        <v>0</v>
      </c>
      <c r="AU720" s="21" t="n">
        <f aca="false">IF(AI720="",0,IF(AI720&lt;0,1,0))</f>
        <v>0</v>
      </c>
      <c r="AV720" s="21" t="n">
        <f aca="false">IF(U720&gt;V720,1,0)</f>
        <v>0</v>
      </c>
      <c r="AW720" s="21" t="n">
        <f aca="false">IF(OR(W720&gt;تنظیمات!$B$8,X720="بله"),1,0)</f>
        <v>0</v>
      </c>
      <c r="AX720" s="21" t="n">
        <f aca="false">IF(AND(N720="بله",L720&gt;تنظیمات!$B$9),1,0)</f>
        <v>0</v>
      </c>
      <c r="AY720" s="21" t="n">
        <f aca="false">IF(Y720="معکوس",1,0)</f>
        <v>0</v>
      </c>
      <c r="AZ720" s="21" t="n">
        <f aca="false">IF(ABS(AJ720)&gt;تنظیمات!$B$10,1,0)</f>
        <v>0</v>
      </c>
      <c r="BA720" s="21" t="n">
        <f aca="false">IF(AND(OR(AD720="رایگان/VIP",AD720="جانباز"),AF720="خیر"),1,0)</f>
        <v>0</v>
      </c>
      <c r="BB720" s="21" t="n">
        <f aca="false">IF(AE720="",0,IF(COUNTIF($AE$2:$AE$1001,AE720)&gt;1,1,0))</f>
        <v>0</v>
      </c>
      <c r="BC720" s="21" t="n">
        <f aca="false">IF(AND(H720="",I720&gt;تنظیمات!$B$12*60,AM720="خالی"),1,0)</f>
        <v>0</v>
      </c>
      <c r="BD720" s="21" t="n">
        <f aca="false">IF(AND(AP720="بله",I720&lt;تنظیمات!$B$14,AO720="خیر"),1,0)</f>
        <v>0</v>
      </c>
      <c r="BE720" s="21" t="n">
        <f aca="false">IF(AN720="خیر",1,0)</f>
        <v>0</v>
      </c>
      <c r="BF720" s="21" t="n">
        <f aca="false">IF(AND(AD720="فیش مفقودی",AQ720="بله",I720&gt;تنظیمات!$B$12*60),1,0)</f>
        <v>0</v>
      </c>
      <c r="BG720" s="21" t="n">
        <f aca="false">IF(AND(AK720&gt;تنظیمات!$B$11,AL720="بله"),1,0)</f>
        <v>0</v>
      </c>
      <c r="BH720" s="21" t="n">
        <f aca="false">MIN(100,AR720*تنظیمات!$B$21+AS720*تنظیمات!$B$22+AT720*تنظیمات!$B$23+AU720*تنظیمات!$B$24+AV720*تنظیمات!$B$25+AW720*تنظیمات!$B$26+AX720*تنظیمات!$B$27+AY720*تنظیمات!$B$28+AZ720*تنظیمات!$B$29+BA720*تنظیمات!$B$30+BB720*تنظیمات!$B$31+BC720*تنظیمات!$B$32+BD720*تنظیمات!$B$33+BE720*تنظیمات!$B$34+BF720*تنظیمات!$B$35+BG720*تنظیمات!$B$36)</f>
        <v>0</v>
      </c>
      <c r="BI720" s="16" t="str">
        <f aca="false">IF(BH720&gt;=60,"بحرانی",IF(BH720&gt;=30,"مشکوک",IF(BH720&gt;0,"هشدار","عادی")))</f>
        <v>عادی</v>
      </c>
      <c r="BJ720" s="16" t="s">
        <v>338</v>
      </c>
    </row>
    <row r="721" customFormat="false" ht="15" hidden="false" customHeight="false" outlineLevel="0" collapsed="false">
      <c r="A721" s="16" t="s">
        <v>2555</v>
      </c>
      <c r="B721" s="16" t="s">
        <v>705</v>
      </c>
      <c r="C721" s="16"/>
      <c r="D721" s="16" t="s">
        <v>418</v>
      </c>
      <c r="E721" s="16" t="s">
        <v>345</v>
      </c>
      <c r="F721" s="16" t="s">
        <v>333</v>
      </c>
      <c r="G721" s="17" t="n">
        <v>46290.7859953704</v>
      </c>
      <c r="H721" s="17" t="n">
        <v>46290.8394675926</v>
      </c>
      <c r="I721" s="18" t="n">
        <f aca="false">IF(H721="",ROUND((تنظیمات!$B$7-G721)*1440,0),ROUND((H721-G721)*1440,0))</f>
        <v>77</v>
      </c>
      <c r="J721" s="16" t="s">
        <v>346</v>
      </c>
      <c r="K721" s="16" t="s">
        <v>410</v>
      </c>
      <c r="L721" s="19" t="n">
        <v>0.924</v>
      </c>
      <c r="M721" s="19" t="n">
        <v>0.955</v>
      </c>
      <c r="N721" s="16" t="s">
        <v>335</v>
      </c>
      <c r="O721" s="16" t="s">
        <v>441</v>
      </c>
      <c r="P721" s="16" t="s">
        <v>420</v>
      </c>
      <c r="Q721" s="20" t="n">
        <v>46290</v>
      </c>
      <c r="R721" s="16" t="s">
        <v>2556</v>
      </c>
      <c r="S721" s="16" t="s">
        <v>404</v>
      </c>
      <c r="T721" s="17"/>
      <c r="U721" s="21" t="n">
        <v>1</v>
      </c>
      <c r="V721" s="21" t="n">
        <v>1</v>
      </c>
      <c r="W721" s="22" t="n">
        <v>6.3</v>
      </c>
      <c r="X721" s="16" t="s">
        <v>335</v>
      </c>
      <c r="Y721" s="16" t="s">
        <v>338</v>
      </c>
      <c r="Z721" s="16" t="s">
        <v>413</v>
      </c>
      <c r="AA721" s="16" t="s">
        <v>414</v>
      </c>
      <c r="AB721" s="23" t="s">
        <v>2557</v>
      </c>
      <c r="AC721" s="17" t="n">
        <v>46290.8386111111</v>
      </c>
      <c r="AD721" s="16" t="s">
        <v>338</v>
      </c>
      <c r="AE721" s="16"/>
      <c r="AF721" s="16" t="str">
        <f aca="false">IF(COUNTIF(لیست_سفید!$A$2:$A$21,B721)&gt;0,"بله","خیر")</f>
        <v>خیر</v>
      </c>
      <c r="AG721" s="24" t="n">
        <f aca="false">IF(H721="","",IF(AD721="فیش مفقودی",تنظیمات!$B$6,(INT(I721/1440)*تنظیمات!$B$5+IF(MOD(I721,1440)&lt;=تنظیمات!$B$2,0,MIN(تنظیمات!$B$5,تنظیمات!$B$3+MAX(0,ROUNDUP((MOD(I721,1440)-60)/60,0))*تنظیمات!$B$4)))*INDEX(تعرفه!$B$2:$B$7,MATCH(AD721,تعرفه!$A$2:$A$7,0))))</f>
        <v>34000</v>
      </c>
      <c r="AH721" s="24" t="n">
        <v>34000</v>
      </c>
      <c r="AI721" s="24" t="n">
        <f aca="false">IF(AG721="","",AH721-AG721)</f>
        <v>0</v>
      </c>
      <c r="AJ721" s="21" t="n">
        <v>-1</v>
      </c>
      <c r="AK721" s="21" t="n">
        <v>0</v>
      </c>
      <c r="AL721" s="16" t="s">
        <v>335</v>
      </c>
      <c r="AM721" s="16"/>
      <c r="AN721" s="16" t="s">
        <v>340</v>
      </c>
      <c r="AO721" s="16" t="s">
        <v>340</v>
      </c>
      <c r="AP721" s="16" t="s">
        <v>335</v>
      </c>
      <c r="AQ721" s="16"/>
      <c r="AR721" s="21" t="n">
        <f aca="false">IF(AND(T721&lt;&gt;"",H721&lt;&gt;""),IF(AND((T721-H721)*86400&gt;=0,(T721-H721)*86400&lt;تنظیمات!$B$13),1,0),0)</f>
        <v>0</v>
      </c>
      <c r="AS721" s="21" t="n">
        <f aca="false">IF(Z721="پوز",IF(OR(AB721="",COUNTIF(پوزها!$A$2:$A$5,AA721)=0),1,0),0)</f>
        <v>0</v>
      </c>
      <c r="AT721" s="21" t="n">
        <f aca="false">IF(AI721="",0,IF(AI721&gt;0,1,0))</f>
        <v>0</v>
      </c>
      <c r="AU721" s="21" t="n">
        <f aca="false">IF(AI721="",0,IF(AI721&lt;0,1,0))</f>
        <v>0</v>
      </c>
      <c r="AV721" s="21" t="n">
        <f aca="false">IF(U721&gt;V721,1,0)</f>
        <v>0</v>
      </c>
      <c r="AW721" s="21" t="n">
        <f aca="false">IF(OR(W721&gt;تنظیمات!$B$8,X721="بله"),1,0)</f>
        <v>0</v>
      </c>
      <c r="AX721" s="21" t="n">
        <f aca="false">IF(AND(N721="بله",L721&gt;تنظیمات!$B$9),1,0)</f>
        <v>0</v>
      </c>
      <c r="AY721" s="21" t="n">
        <f aca="false">IF(Y721="معکوس",1,0)</f>
        <v>0</v>
      </c>
      <c r="AZ721" s="21" t="n">
        <f aca="false">IF(ABS(AJ721)&gt;تنظیمات!$B$10,1,0)</f>
        <v>0</v>
      </c>
      <c r="BA721" s="21" t="n">
        <f aca="false">IF(AND(OR(AD721="رایگان/VIP",AD721="جانباز"),AF721="خیر"),1,0)</f>
        <v>0</v>
      </c>
      <c r="BB721" s="21" t="n">
        <f aca="false">IF(AE721="",0,IF(COUNTIF($AE$2:$AE$1001,AE721)&gt;1,1,0))</f>
        <v>0</v>
      </c>
      <c r="BC721" s="21" t="n">
        <f aca="false">IF(AND(H721="",I721&gt;تنظیمات!$B$12*60,AM721="خالی"),1,0)</f>
        <v>0</v>
      </c>
      <c r="BD721" s="21" t="n">
        <f aca="false">IF(AND(AP721="بله",I721&lt;تنظیمات!$B$14,AO721="خیر"),1,0)</f>
        <v>0</v>
      </c>
      <c r="BE721" s="21" t="n">
        <f aca="false">IF(AN721="خیر",1,0)</f>
        <v>0</v>
      </c>
      <c r="BF721" s="21" t="n">
        <f aca="false">IF(AND(AD721="فیش مفقودی",AQ721="بله",I721&gt;تنظیمات!$B$12*60),1,0)</f>
        <v>0</v>
      </c>
      <c r="BG721" s="21" t="n">
        <f aca="false">IF(AND(AK721&gt;تنظیمات!$B$11,AL721="بله"),1,0)</f>
        <v>0</v>
      </c>
      <c r="BH721" s="21" t="n">
        <f aca="false">MIN(100,AR721*تنظیمات!$B$21+AS721*تنظیمات!$B$22+AT721*تنظیمات!$B$23+AU721*تنظیمات!$B$24+AV721*تنظیمات!$B$25+AW721*تنظیمات!$B$26+AX721*تنظیمات!$B$27+AY721*تنظیمات!$B$28+AZ721*تنظیمات!$B$29+BA721*تنظیمات!$B$30+BB721*تنظیمات!$B$31+BC721*تنظیمات!$B$32+BD721*تنظیمات!$B$33+BE721*تنظیمات!$B$34+BF721*تنظیمات!$B$35+BG721*تنظیمات!$B$36)</f>
        <v>0</v>
      </c>
      <c r="BI721" s="16" t="str">
        <f aca="false">IF(BH721&gt;=60,"بحرانی",IF(BH721&gt;=30,"مشکوک",IF(BH721&gt;0,"هشدار","عادی")))</f>
        <v>عادی</v>
      </c>
      <c r="BJ721" s="16" t="s">
        <v>338</v>
      </c>
    </row>
    <row r="722" customFormat="false" ht="15" hidden="false" customHeight="false" outlineLevel="0" collapsed="false">
      <c r="A722" s="16" t="s">
        <v>2558</v>
      </c>
      <c r="B722" s="16" t="s">
        <v>1413</v>
      </c>
      <c r="C722" s="16"/>
      <c r="D722" s="16" t="s">
        <v>386</v>
      </c>
      <c r="E722" s="16" t="s">
        <v>332</v>
      </c>
      <c r="F722" s="16" t="s">
        <v>333</v>
      </c>
      <c r="G722" s="17" t="n">
        <v>46290.7876273148</v>
      </c>
      <c r="H722" s="17" t="n">
        <v>46291.759849537</v>
      </c>
      <c r="I722" s="18" t="n">
        <f aca="false">IF(H722="",ROUND((تنظیمات!$B$7-G722)*1440,0),ROUND((H722-G722)*1440,0))</f>
        <v>1400</v>
      </c>
      <c r="J722" s="16" t="s">
        <v>334</v>
      </c>
      <c r="K722" s="16" t="s">
        <v>410</v>
      </c>
      <c r="L722" s="19" t="n">
        <v>0.958</v>
      </c>
      <c r="M722" s="19" t="n">
        <v>0.898</v>
      </c>
      <c r="N722" s="16" t="s">
        <v>335</v>
      </c>
      <c r="O722" s="16" t="s">
        <v>666</v>
      </c>
      <c r="P722" s="16" t="s">
        <v>420</v>
      </c>
      <c r="Q722" s="20" t="n">
        <v>46291</v>
      </c>
      <c r="R722" s="16" t="s">
        <v>2559</v>
      </c>
      <c r="S722" s="16" t="s">
        <v>404</v>
      </c>
      <c r="T722" s="17"/>
      <c r="U722" s="21" t="n">
        <v>1</v>
      </c>
      <c r="V722" s="21" t="n">
        <v>1</v>
      </c>
      <c r="W722" s="22" t="n">
        <v>4.2</v>
      </c>
      <c r="X722" s="16" t="s">
        <v>335</v>
      </c>
      <c r="Y722" s="16" t="s">
        <v>338</v>
      </c>
      <c r="Z722" s="16" t="s">
        <v>413</v>
      </c>
      <c r="AA722" s="16" t="s">
        <v>414</v>
      </c>
      <c r="AB722" s="23" t="s">
        <v>2560</v>
      </c>
      <c r="AC722" s="17" t="n">
        <v>46291.7588888889</v>
      </c>
      <c r="AD722" s="16" t="s">
        <v>338</v>
      </c>
      <c r="AE722" s="16"/>
      <c r="AF722" s="16" t="str">
        <f aca="false">IF(COUNTIF(لیست_سفید!$A$2:$A$21,B722)&gt;0,"بله","خیر")</f>
        <v>خیر</v>
      </c>
      <c r="AG722" s="24" t="n">
        <f aca="false">IF(H722="","",IF(AD722="فیش مفقودی",تنظیمات!$B$6,(INT(I722/1440)*تنظیمات!$B$5+IF(MOD(I722,1440)&lt;=تنظیمات!$B$2,0,MIN(تنظیمات!$B$5,تنظیمات!$B$3+MAX(0,ROUNDUP((MOD(I722,1440)-60)/60,0))*تنظیمات!$B$4)))*INDEX(تعرفه!$B$2:$B$7,MATCH(AD722,تعرفه!$A$2:$A$7,0))))</f>
        <v>180000</v>
      </c>
      <c r="AH722" s="24" t="n">
        <v>180000</v>
      </c>
      <c r="AI722" s="24" t="n">
        <f aca="false">IF(AG722="","",AH722-AG722)</f>
        <v>0</v>
      </c>
      <c r="AJ722" s="21" t="n">
        <v>-2580</v>
      </c>
      <c r="AK722" s="21" t="n">
        <v>0</v>
      </c>
      <c r="AL722" s="16" t="s">
        <v>335</v>
      </c>
      <c r="AM722" s="16"/>
      <c r="AN722" s="16" t="s">
        <v>340</v>
      </c>
      <c r="AO722" s="16" t="s">
        <v>340</v>
      </c>
      <c r="AP722" s="16" t="s">
        <v>335</v>
      </c>
      <c r="AQ722" s="16"/>
      <c r="AR722" s="21" t="n">
        <f aca="false">IF(AND(T722&lt;&gt;"",H722&lt;&gt;""),IF(AND((T722-H722)*86400&gt;=0,(T722-H722)*86400&lt;تنظیمات!$B$13),1,0),0)</f>
        <v>0</v>
      </c>
      <c r="AS722" s="21" t="n">
        <f aca="false">IF(Z722="پوز",IF(OR(AB722="",COUNTIF(پوزها!$A$2:$A$5,AA722)=0),1,0),0)</f>
        <v>0</v>
      </c>
      <c r="AT722" s="21" t="n">
        <f aca="false">IF(AI722="",0,IF(AI722&gt;0,1,0))</f>
        <v>0</v>
      </c>
      <c r="AU722" s="21" t="n">
        <f aca="false">IF(AI722="",0,IF(AI722&lt;0,1,0))</f>
        <v>0</v>
      </c>
      <c r="AV722" s="21" t="n">
        <f aca="false">IF(U722&gt;V722,1,0)</f>
        <v>0</v>
      </c>
      <c r="AW722" s="21" t="n">
        <f aca="false">IF(OR(W722&gt;تنظیمات!$B$8,X722="بله"),1,0)</f>
        <v>0</v>
      </c>
      <c r="AX722" s="21" t="n">
        <f aca="false">IF(AND(N722="بله",L722&gt;تنظیمات!$B$9),1,0)</f>
        <v>0</v>
      </c>
      <c r="AY722" s="21" t="n">
        <f aca="false">IF(Y722="معکوس",1,0)</f>
        <v>0</v>
      </c>
      <c r="AZ722" s="21" t="n">
        <f aca="false">IF(ABS(AJ722)&gt;تنظیمات!$B$10,1,0)</f>
        <v>1</v>
      </c>
      <c r="BA722" s="21" t="n">
        <f aca="false">IF(AND(OR(AD722="رایگان/VIP",AD722="جانباز"),AF722="خیر"),1,0)</f>
        <v>0</v>
      </c>
      <c r="BB722" s="21" t="n">
        <f aca="false">IF(AE722="",0,IF(COUNTIF($AE$2:$AE$1001,AE722)&gt;1,1,0))</f>
        <v>0</v>
      </c>
      <c r="BC722" s="21" t="n">
        <f aca="false">IF(AND(H722="",I722&gt;تنظیمات!$B$12*60,AM722="خالی"),1,0)</f>
        <v>0</v>
      </c>
      <c r="BD722" s="21" t="n">
        <f aca="false">IF(AND(AP722="بله",I722&lt;تنظیمات!$B$14,AO722="خیر"),1,0)</f>
        <v>0</v>
      </c>
      <c r="BE722" s="21" t="n">
        <f aca="false">IF(AN722="خیر",1,0)</f>
        <v>0</v>
      </c>
      <c r="BF722" s="21" t="n">
        <f aca="false">IF(AND(AD722="فیش مفقودی",AQ722="بله",I722&gt;تنظیمات!$B$12*60),1,0)</f>
        <v>0</v>
      </c>
      <c r="BG722" s="21" t="n">
        <f aca="false">IF(AND(AK722&gt;تنظیمات!$B$11,AL722="بله"),1,0)</f>
        <v>0</v>
      </c>
      <c r="BH722" s="21" t="n">
        <f aca="false">MIN(100,AR722*تنظیمات!$B$21+AS722*تنظیمات!$B$22+AT722*تنظیمات!$B$23+AU722*تنظیمات!$B$24+AV722*تنظیمات!$B$25+AW722*تنظیمات!$B$26+AX722*تنظیمات!$B$27+AY722*تنظیمات!$B$28+AZ722*تنظیمات!$B$29+BA722*تنظیمات!$B$30+BB722*تنظیمات!$B$31+BC722*تنظیمات!$B$32+BD722*تنظیمات!$B$33+BE722*تنظیمات!$B$34+BF722*تنظیمات!$B$35+BG722*تنظیمات!$B$36)</f>
        <v>30</v>
      </c>
      <c r="BI722" s="16" t="str">
        <f aca="false">IF(BH722&gt;=60,"بحرانی",IF(BH722&gt;=30,"مشکوک",IF(BH722&gt;0,"هشدار","عادی")))</f>
        <v>مشکوک</v>
      </c>
      <c r="BJ722" s="16" t="s">
        <v>939</v>
      </c>
    </row>
    <row r="723" customFormat="false" ht="15" hidden="false" customHeight="false" outlineLevel="0" collapsed="false">
      <c r="A723" s="16" t="s">
        <v>2561</v>
      </c>
      <c r="B723" s="16" t="s">
        <v>1430</v>
      </c>
      <c r="C723" s="16"/>
      <c r="D723" s="16" t="s">
        <v>440</v>
      </c>
      <c r="E723" s="16" t="s">
        <v>351</v>
      </c>
      <c r="F723" s="16" t="s">
        <v>359</v>
      </c>
      <c r="G723" s="17" t="n">
        <v>46290.7974884259</v>
      </c>
      <c r="H723" s="17" t="n">
        <v>46290.8558217593</v>
      </c>
      <c r="I723" s="18" t="n">
        <f aca="false">IF(H723="",ROUND((تنظیمات!$B$7-G723)*1440,0),ROUND((H723-G723)*1440,0))</f>
        <v>84</v>
      </c>
      <c r="J723" s="16" t="s">
        <v>334</v>
      </c>
      <c r="K723" s="16" t="s">
        <v>410</v>
      </c>
      <c r="L723" s="19" t="n">
        <v>0.976</v>
      </c>
      <c r="M723" s="19" t="n">
        <v>0.995</v>
      </c>
      <c r="N723" s="16" t="s">
        <v>335</v>
      </c>
      <c r="O723" s="16" t="s">
        <v>441</v>
      </c>
      <c r="P723" s="16" t="s">
        <v>420</v>
      </c>
      <c r="Q723" s="20" t="n">
        <v>46290</v>
      </c>
      <c r="R723" s="16" t="s">
        <v>2562</v>
      </c>
      <c r="S723" s="16" t="s">
        <v>404</v>
      </c>
      <c r="T723" s="17"/>
      <c r="U723" s="21" t="n">
        <v>1</v>
      </c>
      <c r="V723" s="21" t="n">
        <v>1</v>
      </c>
      <c r="W723" s="22" t="n">
        <v>4.4</v>
      </c>
      <c r="X723" s="16" t="s">
        <v>335</v>
      </c>
      <c r="Y723" s="16" t="s">
        <v>338</v>
      </c>
      <c r="Z723" s="16" t="s">
        <v>405</v>
      </c>
      <c r="AA723" s="16"/>
      <c r="AB723" s="23"/>
      <c r="AC723" s="17"/>
      <c r="AD723" s="16" t="s">
        <v>338</v>
      </c>
      <c r="AE723" s="16"/>
      <c r="AF723" s="16" t="str">
        <f aca="false">IF(COUNTIF(لیست_سفید!$A$2:$A$21,B723)&gt;0,"بله","خیر")</f>
        <v>خیر</v>
      </c>
      <c r="AG723" s="24" t="n">
        <f aca="false">IF(H723="","",IF(AD723="فیش مفقودی",تنظیمات!$B$6,(INT(I723/1440)*تنظیمات!$B$5+IF(MOD(I723,1440)&lt;=تنظیمات!$B$2,0,MIN(تنظیمات!$B$5,تنظیمات!$B$3+MAX(0,ROUNDUP((MOD(I723,1440)-60)/60,0))*تنظیمات!$B$4)))*INDEX(تعرفه!$B$2:$B$7,MATCH(AD723,تعرفه!$A$2:$A$7,0))))</f>
        <v>34000</v>
      </c>
      <c r="AH723" s="24" t="n">
        <v>34000</v>
      </c>
      <c r="AI723" s="24" t="n">
        <f aca="false">IF(AG723="","",AH723-AG723)</f>
        <v>0</v>
      </c>
      <c r="AJ723" s="21" t="n">
        <v>-7</v>
      </c>
      <c r="AK723" s="21" t="n">
        <v>0</v>
      </c>
      <c r="AL723" s="16" t="s">
        <v>335</v>
      </c>
      <c r="AM723" s="16"/>
      <c r="AN723" s="16" t="s">
        <v>340</v>
      </c>
      <c r="AO723" s="16" t="s">
        <v>340</v>
      </c>
      <c r="AP723" s="16" t="s">
        <v>335</v>
      </c>
      <c r="AQ723" s="16"/>
      <c r="AR723" s="21" t="n">
        <f aca="false">IF(AND(T723&lt;&gt;"",H723&lt;&gt;""),IF(AND((T723-H723)*86400&gt;=0,(T723-H723)*86400&lt;تنظیمات!$B$13),1,0),0)</f>
        <v>0</v>
      </c>
      <c r="AS723" s="21" t="n">
        <f aca="false">IF(Z723="پوز",IF(OR(AB723="",COUNTIF(پوزها!$A$2:$A$5,AA723)=0),1,0),0)</f>
        <v>0</v>
      </c>
      <c r="AT723" s="21" t="n">
        <f aca="false">IF(AI723="",0,IF(AI723&gt;0,1,0))</f>
        <v>0</v>
      </c>
      <c r="AU723" s="21" t="n">
        <f aca="false">IF(AI723="",0,IF(AI723&lt;0,1,0))</f>
        <v>0</v>
      </c>
      <c r="AV723" s="21" t="n">
        <f aca="false">IF(U723&gt;V723,1,0)</f>
        <v>0</v>
      </c>
      <c r="AW723" s="21" t="n">
        <f aca="false">IF(OR(W723&gt;تنظیمات!$B$8,X723="بله"),1,0)</f>
        <v>0</v>
      </c>
      <c r="AX723" s="21" t="n">
        <f aca="false">IF(AND(N723="بله",L723&gt;تنظیمات!$B$9),1,0)</f>
        <v>0</v>
      </c>
      <c r="AY723" s="21" t="n">
        <f aca="false">IF(Y723="معکوس",1,0)</f>
        <v>0</v>
      </c>
      <c r="AZ723" s="21" t="n">
        <f aca="false">IF(ABS(AJ723)&gt;تنظیمات!$B$10,1,0)</f>
        <v>0</v>
      </c>
      <c r="BA723" s="21" t="n">
        <f aca="false">IF(AND(OR(AD723="رایگان/VIP",AD723="جانباز"),AF723="خیر"),1,0)</f>
        <v>0</v>
      </c>
      <c r="BB723" s="21" t="n">
        <f aca="false">IF(AE723="",0,IF(COUNTIF($AE$2:$AE$1001,AE723)&gt;1,1,0))</f>
        <v>0</v>
      </c>
      <c r="BC723" s="21" t="n">
        <f aca="false">IF(AND(H723="",I723&gt;تنظیمات!$B$12*60,AM723="خالی"),1,0)</f>
        <v>0</v>
      </c>
      <c r="BD723" s="21" t="n">
        <f aca="false">IF(AND(AP723="بله",I723&lt;تنظیمات!$B$14,AO723="خیر"),1,0)</f>
        <v>0</v>
      </c>
      <c r="BE723" s="21" t="n">
        <f aca="false">IF(AN723="خیر",1,0)</f>
        <v>0</v>
      </c>
      <c r="BF723" s="21" t="n">
        <f aca="false">IF(AND(AD723="فیش مفقودی",AQ723="بله",I723&gt;تنظیمات!$B$12*60),1,0)</f>
        <v>0</v>
      </c>
      <c r="BG723" s="21" t="n">
        <f aca="false">IF(AND(AK723&gt;تنظیمات!$B$11,AL723="بله"),1,0)</f>
        <v>0</v>
      </c>
      <c r="BH723" s="21" t="n">
        <f aca="false">MIN(100,AR723*تنظیمات!$B$21+AS723*تنظیمات!$B$22+AT723*تنظیمات!$B$23+AU723*تنظیمات!$B$24+AV723*تنظیمات!$B$25+AW723*تنظیمات!$B$26+AX723*تنظیمات!$B$27+AY723*تنظیمات!$B$28+AZ723*تنظیمات!$B$29+BA723*تنظیمات!$B$30+BB723*تنظیمات!$B$31+BC723*تنظیمات!$B$32+BD723*تنظیمات!$B$33+BE723*تنظیمات!$B$34+BF723*تنظیمات!$B$35+BG723*تنظیمات!$B$36)</f>
        <v>0</v>
      </c>
      <c r="BI723" s="16" t="str">
        <f aca="false">IF(BH723&gt;=60,"بحرانی",IF(BH723&gt;=30,"مشکوک",IF(BH723&gt;0,"هشدار","عادی")))</f>
        <v>عادی</v>
      </c>
      <c r="BJ723" s="16" t="s">
        <v>338</v>
      </c>
    </row>
    <row r="724" customFormat="false" ht="15" hidden="false" customHeight="false" outlineLevel="0" collapsed="false">
      <c r="A724" s="16" t="s">
        <v>2563</v>
      </c>
      <c r="B724" s="16" t="s">
        <v>1393</v>
      </c>
      <c r="C724" s="16"/>
      <c r="D724" s="16" t="s">
        <v>531</v>
      </c>
      <c r="E724" s="16" t="s">
        <v>332</v>
      </c>
      <c r="F724" s="16" t="s">
        <v>333</v>
      </c>
      <c r="G724" s="17" t="n">
        <v>46290.7990509259</v>
      </c>
      <c r="H724" s="17" t="n">
        <v>46290.8407175926</v>
      </c>
      <c r="I724" s="18" t="n">
        <f aca="false">IF(H724="",ROUND((تنظیمات!$B$7-G724)*1440,0),ROUND((H724-G724)*1440,0))</f>
        <v>60</v>
      </c>
      <c r="J724" s="16" t="s">
        <v>346</v>
      </c>
      <c r="K724" s="16" t="s">
        <v>410</v>
      </c>
      <c r="L724" s="19" t="n">
        <v>0.98</v>
      </c>
      <c r="M724" s="19" t="n">
        <v>0.968</v>
      </c>
      <c r="N724" s="16" t="s">
        <v>335</v>
      </c>
      <c r="O724" s="16" t="s">
        <v>441</v>
      </c>
      <c r="P724" s="16" t="s">
        <v>420</v>
      </c>
      <c r="Q724" s="20" t="n">
        <v>46290</v>
      </c>
      <c r="R724" s="16" t="s">
        <v>2564</v>
      </c>
      <c r="S724" s="16" t="s">
        <v>404</v>
      </c>
      <c r="T724" s="17"/>
      <c r="U724" s="21" t="n">
        <v>1</v>
      </c>
      <c r="V724" s="21" t="n">
        <v>1</v>
      </c>
      <c r="W724" s="22" t="n">
        <v>7.5</v>
      </c>
      <c r="X724" s="16" t="s">
        <v>335</v>
      </c>
      <c r="Y724" s="16" t="s">
        <v>338</v>
      </c>
      <c r="Z724" s="16" t="s">
        <v>413</v>
      </c>
      <c r="AA724" s="16" t="s">
        <v>414</v>
      </c>
      <c r="AB724" s="23" t="s">
        <v>2565</v>
      </c>
      <c r="AC724" s="17" t="n">
        <v>46290.8400347222</v>
      </c>
      <c r="AD724" s="16" t="s">
        <v>338</v>
      </c>
      <c r="AE724" s="16"/>
      <c r="AF724" s="16" t="str">
        <f aca="false">IF(COUNTIF(لیست_سفید!$A$2:$A$21,B724)&gt;0,"بله","خیر")</f>
        <v>خیر</v>
      </c>
      <c r="AG724" s="24" t="n">
        <f aca="false">IF(H724="","",IF(AD724="فیش مفقودی",تنظیمات!$B$6,(INT(I724/1440)*تنظیمات!$B$5+IF(MOD(I724,1440)&lt;=تنظیمات!$B$2,0,MIN(تنظیمات!$B$5,تنظیمات!$B$3+MAX(0,ROUNDUP((MOD(I724,1440)-60)/60,0))*تنظیمات!$B$4)))*INDEX(تعرفه!$B$2:$B$7,MATCH(AD724,تعرفه!$A$2:$A$7,0))))</f>
        <v>20000</v>
      </c>
      <c r="AH724" s="24" t="n">
        <v>20000</v>
      </c>
      <c r="AI724" s="24" t="n">
        <f aca="false">IF(AG724="","",AH724-AG724)</f>
        <v>0</v>
      </c>
      <c r="AJ724" s="21" t="n">
        <v>0</v>
      </c>
      <c r="AK724" s="21" t="n">
        <v>0</v>
      </c>
      <c r="AL724" s="16" t="s">
        <v>335</v>
      </c>
      <c r="AM724" s="16"/>
      <c r="AN724" s="16" t="s">
        <v>340</v>
      </c>
      <c r="AO724" s="16" t="s">
        <v>340</v>
      </c>
      <c r="AP724" s="16" t="s">
        <v>335</v>
      </c>
      <c r="AQ724" s="16"/>
      <c r="AR724" s="21" t="n">
        <f aca="false">IF(AND(T724&lt;&gt;"",H724&lt;&gt;""),IF(AND((T724-H724)*86400&gt;=0,(T724-H724)*86400&lt;تنظیمات!$B$13),1,0),0)</f>
        <v>0</v>
      </c>
      <c r="AS724" s="21" t="n">
        <f aca="false">IF(Z724="پوز",IF(OR(AB724="",COUNTIF(پوزها!$A$2:$A$5,AA724)=0),1,0),0)</f>
        <v>0</v>
      </c>
      <c r="AT724" s="21" t="n">
        <f aca="false">IF(AI724="",0,IF(AI724&gt;0,1,0))</f>
        <v>0</v>
      </c>
      <c r="AU724" s="21" t="n">
        <f aca="false">IF(AI724="",0,IF(AI724&lt;0,1,0))</f>
        <v>0</v>
      </c>
      <c r="AV724" s="21" t="n">
        <f aca="false">IF(U724&gt;V724,1,0)</f>
        <v>0</v>
      </c>
      <c r="AW724" s="21" t="n">
        <f aca="false">IF(OR(W724&gt;تنظیمات!$B$8,X724="بله"),1,0)</f>
        <v>0</v>
      </c>
      <c r="AX724" s="21" t="n">
        <f aca="false">IF(AND(N724="بله",L724&gt;تنظیمات!$B$9),1,0)</f>
        <v>0</v>
      </c>
      <c r="AY724" s="21" t="n">
        <f aca="false">IF(Y724="معکوس",1,0)</f>
        <v>0</v>
      </c>
      <c r="AZ724" s="21" t="n">
        <f aca="false">IF(ABS(AJ724)&gt;تنظیمات!$B$10,1,0)</f>
        <v>0</v>
      </c>
      <c r="BA724" s="21" t="n">
        <f aca="false">IF(AND(OR(AD724="رایگان/VIP",AD724="جانباز"),AF724="خیر"),1,0)</f>
        <v>0</v>
      </c>
      <c r="BB724" s="21" t="n">
        <f aca="false">IF(AE724="",0,IF(COUNTIF($AE$2:$AE$1001,AE724)&gt;1,1,0))</f>
        <v>0</v>
      </c>
      <c r="BC724" s="21" t="n">
        <f aca="false">IF(AND(H724="",I724&gt;تنظیمات!$B$12*60,AM724="خالی"),1,0)</f>
        <v>0</v>
      </c>
      <c r="BD724" s="21" t="n">
        <f aca="false">IF(AND(AP724="بله",I724&lt;تنظیمات!$B$14,AO724="خیر"),1,0)</f>
        <v>0</v>
      </c>
      <c r="BE724" s="21" t="n">
        <f aca="false">IF(AN724="خیر",1,0)</f>
        <v>0</v>
      </c>
      <c r="BF724" s="21" t="n">
        <f aca="false">IF(AND(AD724="فیش مفقودی",AQ724="بله",I724&gt;تنظیمات!$B$12*60),1,0)</f>
        <v>0</v>
      </c>
      <c r="BG724" s="21" t="n">
        <f aca="false">IF(AND(AK724&gt;تنظیمات!$B$11,AL724="بله"),1,0)</f>
        <v>0</v>
      </c>
      <c r="BH724" s="21" t="n">
        <f aca="false">MIN(100,AR724*تنظیمات!$B$21+AS724*تنظیمات!$B$22+AT724*تنظیمات!$B$23+AU724*تنظیمات!$B$24+AV724*تنظیمات!$B$25+AW724*تنظیمات!$B$26+AX724*تنظیمات!$B$27+AY724*تنظیمات!$B$28+AZ724*تنظیمات!$B$29+BA724*تنظیمات!$B$30+BB724*تنظیمات!$B$31+BC724*تنظیمات!$B$32+BD724*تنظیمات!$B$33+BE724*تنظیمات!$B$34+BF724*تنظیمات!$B$35+BG724*تنظیمات!$B$36)</f>
        <v>0</v>
      </c>
      <c r="BI724" s="16" t="str">
        <f aca="false">IF(BH724&gt;=60,"بحرانی",IF(BH724&gt;=30,"مشکوک",IF(BH724&gt;0,"هشدار","عادی")))</f>
        <v>عادی</v>
      </c>
      <c r="BJ724" s="16" t="s">
        <v>338</v>
      </c>
    </row>
    <row r="725" customFormat="false" ht="15" hidden="false" customHeight="false" outlineLevel="0" collapsed="false">
      <c r="A725" s="16" t="s">
        <v>2566</v>
      </c>
      <c r="B725" s="16" t="s">
        <v>2567</v>
      </c>
      <c r="C725" s="16"/>
      <c r="D725" s="16" t="s">
        <v>344</v>
      </c>
      <c r="E725" s="16" t="s">
        <v>363</v>
      </c>
      <c r="F725" s="16" t="s">
        <v>333</v>
      </c>
      <c r="G725" s="17" t="n">
        <v>46290.8423611111</v>
      </c>
      <c r="H725" s="17" t="n">
        <v>46290.8701388889</v>
      </c>
      <c r="I725" s="18" t="n">
        <f aca="false">IF(H725="",ROUND((تنظیمات!$B$7-G725)*1440,0),ROUND((H725-G725)*1440,0))</f>
        <v>40</v>
      </c>
      <c r="J725" s="16" t="s">
        <v>346</v>
      </c>
      <c r="K725" s="16" t="s">
        <v>400</v>
      </c>
      <c r="L725" s="19" t="n">
        <v>0.894</v>
      </c>
      <c r="M725" s="19" t="n">
        <v>0.927</v>
      </c>
      <c r="N725" s="16" t="s">
        <v>335</v>
      </c>
      <c r="O725" s="16" t="s">
        <v>425</v>
      </c>
      <c r="P725" s="16" t="s">
        <v>420</v>
      </c>
      <c r="Q725" s="20" t="n">
        <v>46290</v>
      </c>
      <c r="R725" s="16" t="s">
        <v>2568</v>
      </c>
      <c r="S725" s="16" t="s">
        <v>404</v>
      </c>
      <c r="T725" s="17"/>
      <c r="U725" s="21" t="n">
        <v>1</v>
      </c>
      <c r="V725" s="21" t="n">
        <v>1</v>
      </c>
      <c r="W725" s="22" t="n">
        <v>4</v>
      </c>
      <c r="X725" s="16" t="s">
        <v>335</v>
      </c>
      <c r="Y725" s="16" t="s">
        <v>338</v>
      </c>
      <c r="Z725" s="16" t="s">
        <v>413</v>
      </c>
      <c r="AA725" s="16" t="s">
        <v>427</v>
      </c>
      <c r="AB725" s="23" t="s">
        <v>2569</v>
      </c>
      <c r="AC725" s="17" t="n">
        <v>46290.8698263889</v>
      </c>
      <c r="AD725" s="16" t="s">
        <v>338</v>
      </c>
      <c r="AE725" s="16"/>
      <c r="AF725" s="16" t="str">
        <f aca="false">IF(COUNTIF(لیست_سفید!$A$2:$A$21,B725)&gt;0,"بله","خیر")</f>
        <v>خیر</v>
      </c>
      <c r="AG725" s="24" t="n">
        <f aca="false">IF(H725="","",IF(AD725="فیش مفقودی",تنظیمات!$B$6,(INT(I725/1440)*تنظیمات!$B$5+IF(MOD(I725,1440)&lt;=تنظیمات!$B$2,0,MIN(تنظیمات!$B$5,تنظیمات!$B$3+MAX(0,ROUNDUP((MOD(I725,1440)-60)/60,0))*تنظیمات!$B$4)))*INDEX(تعرفه!$B$2:$B$7,MATCH(AD725,تعرفه!$A$2:$A$7,0))))</f>
        <v>20000</v>
      </c>
      <c r="AH725" s="24" t="n">
        <v>20000</v>
      </c>
      <c r="AI725" s="24" t="n">
        <f aca="false">IF(AG725="","",AH725-AG725)</f>
        <v>0</v>
      </c>
      <c r="AJ725" s="21" t="n">
        <v>1</v>
      </c>
      <c r="AK725" s="21" t="n">
        <v>0</v>
      </c>
      <c r="AL725" s="16" t="s">
        <v>335</v>
      </c>
      <c r="AM725" s="16"/>
      <c r="AN725" s="16" t="s">
        <v>340</v>
      </c>
      <c r="AO725" s="16" t="s">
        <v>340</v>
      </c>
      <c r="AP725" s="16" t="s">
        <v>335</v>
      </c>
      <c r="AQ725" s="16"/>
      <c r="AR725" s="21" t="n">
        <f aca="false">IF(AND(T725&lt;&gt;"",H725&lt;&gt;""),IF(AND((T725-H725)*86400&gt;=0,(T725-H725)*86400&lt;تنظیمات!$B$13),1,0),0)</f>
        <v>0</v>
      </c>
      <c r="AS725" s="21" t="n">
        <f aca="false">IF(Z725="پوز",IF(OR(AB725="",COUNTIF(پوزها!$A$2:$A$5,AA725)=0),1,0),0)</f>
        <v>0</v>
      </c>
      <c r="AT725" s="21" t="n">
        <f aca="false">IF(AI725="",0,IF(AI725&gt;0,1,0))</f>
        <v>0</v>
      </c>
      <c r="AU725" s="21" t="n">
        <f aca="false">IF(AI725="",0,IF(AI725&lt;0,1,0))</f>
        <v>0</v>
      </c>
      <c r="AV725" s="21" t="n">
        <f aca="false">IF(U725&gt;V725,1,0)</f>
        <v>0</v>
      </c>
      <c r="AW725" s="21" t="n">
        <f aca="false">IF(OR(W725&gt;تنظیمات!$B$8,X725="بله"),1,0)</f>
        <v>0</v>
      </c>
      <c r="AX725" s="21" t="n">
        <f aca="false">IF(AND(N725="بله",L725&gt;تنظیمات!$B$9),1,0)</f>
        <v>0</v>
      </c>
      <c r="AY725" s="21" t="n">
        <f aca="false">IF(Y725="معکوس",1,0)</f>
        <v>0</v>
      </c>
      <c r="AZ725" s="21" t="n">
        <f aca="false">IF(ABS(AJ725)&gt;تنظیمات!$B$10,1,0)</f>
        <v>0</v>
      </c>
      <c r="BA725" s="21" t="n">
        <f aca="false">IF(AND(OR(AD725="رایگان/VIP",AD725="جانباز"),AF725="خیر"),1,0)</f>
        <v>0</v>
      </c>
      <c r="BB725" s="21" t="n">
        <f aca="false">IF(AE725="",0,IF(COUNTIF($AE$2:$AE$1001,AE725)&gt;1,1,0))</f>
        <v>0</v>
      </c>
      <c r="BC725" s="21" t="n">
        <f aca="false">IF(AND(H725="",I725&gt;تنظیمات!$B$12*60,AM725="خالی"),1,0)</f>
        <v>0</v>
      </c>
      <c r="BD725" s="21" t="n">
        <f aca="false">IF(AND(AP725="بله",I725&lt;تنظیمات!$B$14,AO725="خیر"),1,0)</f>
        <v>0</v>
      </c>
      <c r="BE725" s="21" t="n">
        <f aca="false">IF(AN725="خیر",1,0)</f>
        <v>0</v>
      </c>
      <c r="BF725" s="21" t="n">
        <f aca="false">IF(AND(AD725="فیش مفقودی",AQ725="بله",I725&gt;تنظیمات!$B$12*60),1,0)</f>
        <v>0</v>
      </c>
      <c r="BG725" s="21" t="n">
        <f aca="false">IF(AND(AK725&gt;تنظیمات!$B$11,AL725="بله"),1,0)</f>
        <v>0</v>
      </c>
      <c r="BH725" s="21" t="n">
        <f aca="false">MIN(100,AR725*تنظیمات!$B$21+AS725*تنظیمات!$B$22+AT725*تنظیمات!$B$23+AU725*تنظیمات!$B$24+AV725*تنظیمات!$B$25+AW725*تنظیمات!$B$26+AX725*تنظیمات!$B$27+AY725*تنظیمات!$B$28+AZ725*تنظیمات!$B$29+BA725*تنظیمات!$B$30+BB725*تنظیمات!$B$31+BC725*تنظیمات!$B$32+BD725*تنظیمات!$B$33+BE725*تنظیمات!$B$34+BF725*تنظیمات!$B$35+BG725*تنظیمات!$B$36)</f>
        <v>0</v>
      </c>
      <c r="BI725" s="16" t="str">
        <f aca="false">IF(BH725&gt;=60,"بحرانی",IF(BH725&gt;=30,"مشکوک",IF(BH725&gt;0,"هشدار","عادی")))</f>
        <v>عادی</v>
      </c>
      <c r="BJ725" s="16" t="s">
        <v>338</v>
      </c>
    </row>
    <row r="726" customFormat="false" ht="15" hidden="false" customHeight="false" outlineLevel="0" collapsed="false">
      <c r="A726" s="16" t="s">
        <v>2570</v>
      </c>
      <c r="B726" s="16" t="s">
        <v>827</v>
      </c>
      <c r="C726" s="16"/>
      <c r="D726" s="16" t="s">
        <v>386</v>
      </c>
      <c r="E726" s="16" t="s">
        <v>390</v>
      </c>
      <c r="F726" s="16" t="s">
        <v>333</v>
      </c>
      <c r="G726" s="17" t="n">
        <v>46290.8429166667</v>
      </c>
      <c r="H726" s="17" t="n">
        <v>46290.8609722222</v>
      </c>
      <c r="I726" s="18" t="n">
        <f aca="false">IF(H726="",ROUND((تنظیمات!$B$7-G726)*1440,0),ROUND((H726-G726)*1440,0))</f>
        <v>26</v>
      </c>
      <c r="J726" s="16" t="s">
        <v>346</v>
      </c>
      <c r="K726" s="16" t="s">
        <v>400</v>
      </c>
      <c r="L726" s="19" t="n">
        <v>0.95</v>
      </c>
      <c r="M726" s="19" t="n">
        <v>0.969</v>
      </c>
      <c r="N726" s="16" t="s">
        <v>335</v>
      </c>
      <c r="O726" s="16" t="s">
        <v>425</v>
      </c>
      <c r="P726" s="16" t="s">
        <v>420</v>
      </c>
      <c r="Q726" s="20" t="n">
        <v>46290</v>
      </c>
      <c r="R726" s="16" t="s">
        <v>2571</v>
      </c>
      <c r="S726" s="16" t="s">
        <v>404</v>
      </c>
      <c r="T726" s="17"/>
      <c r="U726" s="21" t="n">
        <v>1</v>
      </c>
      <c r="V726" s="21" t="n">
        <v>1</v>
      </c>
      <c r="W726" s="22" t="n">
        <v>4.3</v>
      </c>
      <c r="X726" s="16" t="s">
        <v>335</v>
      </c>
      <c r="Y726" s="16" t="s">
        <v>338</v>
      </c>
      <c r="Z726" s="16" t="s">
        <v>413</v>
      </c>
      <c r="AA726" s="16" t="s">
        <v>427</v>
      </c>
      <c r="AB726" s="23" t="s">
        <v>2572</v>
      </c>
      <c r="AC726" s="17" t="n">
        <v>46290.8602430556</v>
      </c>
      <c r="AD726" s="16" t="s">
        <v>481</v>
      </c>
      <c r="AE726" s="16" t="s">
        <v>2573</v>
      </c>
      <c r="AF726" s="16" t="str">
        <f aca="false">IF(COUNTIF(لیست_سفید!$A$2:$A$21,B726)&gt;0,"بله","خیر")</f>
        <v>خیر</v>
      </c>
      <c r="AG726" s="24" t="n">
        <f aca="false">IF(H726="","",IF(AD726="فیش مفقودی",تنظیمات!$B$6,(INT(I726/1440)*تنظیمات!$B$5+IF(MOD(I726,1440)&lt;=تنظیمات!$B$2,0,MIN(تنظیمات!$B$5,تنظیمات!$B$3+MAX(0,ROUNDUP((MOD(I726,1440)-60)/60,0))*تنظیمات!$B$4)))*INDEX(تعرفه!$B$2:$B$7,MATCH(AD726,تعرفه!$A$2:$A$7,0))))</f>
        <v>10000</v>
      </c>
      <c r="AH726" s="24" t="n">
        <v>10000</v>
      </c>
      <c r="AI726" s="24" t="n">
        <f aca="false">IF(AG726="","",AH726-AG726)</f>
        <v>0</v>
      </c>
      <c r="AJ726" s="21" t="n">
        <v>-1</v>
      </c>
      <c r="AK726" s="21" t="n">
        <v>0</v>
      </c>
      <c r="AL726" s="16" t="s">
        <v>335</v>
      </c>
      <c r="AM726" s="16"/>
      <c r="AN726" s="16" t="s">
        <v>340</v>
      </c>
      <c r="AO726" s="16" t="s">
        <v>340</v>
      </c>
      <c r="AP726" s="16" t="s">
        <v>335</v>
      </c>
      <c r="AQ726" s="16"/>
      <c r="AR726" s="21" t="n">
        <f aca="false">IF(AND(T726&lt;&gt;"",H726&lt;&gt;""),IF(AND((T726-H726)*86400&gt;=0,(T726-H726)*86400&lt;تنظیمات!$B$13),1,0),0)</f>
        <v>0</v>
      </c>
      <c r="AS726" s="21" t="n">
        <f aca="false">IF(Z726="پوز",IF(OR(AB726="",COUNTIF(پوزها!$A$2:$A$5,AA726)=0),1,0),0)</f>
        <v>0</v>
      </c>
      <c r="AT726" s="21" t="n">
        <f aca="false">IF(AI726="",0,IF(AI726&gt;0,1,0))</f>
        <v>0</v>
      </c>
      <c r="AU726" s="21" t="n">
        <f aca="false">IF(AI726="",0,IF(AI726&lt;0,1,0))</f>
        <v>0</v>
      </c>
      <c r="AV726" s="21" t="n">
        <f aca="false">IF(U726&gt;V726,1,0)</f>
        <v>0</v>
      </c>
      <c r="AW726" s="21" t="n">
        <f aca="false">IF(OR(W726&gt;تنظیمات!$B$8,X726="بله"),1,0)</f>
        <v>0</v>
      </c>
      <c r="AX726" s="21" t="n">
        <f aca="false">IF(AND(N726="بله",L726&gt;تنظیمات!$B$9),1,0)</f>
        <v>0</v>
      </c>
      <c r="AY726" s="21" t="n">
        <f aca="false">IF(Y726="معکوس",1,0)</f>
        <v>0</v>
      </c>
      <c r="AZ726" s="21" t="n">
        <f aca="false">IF(ABS(AJ726)&gt;تنظیمات!$B$10,1,0)</f>
        <v>0</v>
      </c>
      <c r="BA726" s="21" t="n">
        <f aca="false">IF(AND(OR(AD726="رایگان/VIP",AD726="جانباز"),AF726="خیر"),1,0)</f>
        <v>0</v>
      </c>
      <c r="BB726" s="21" t="n">
        <f aca="false">IF(AE726="",0,IF(COUNTIF($AE$2:$AE$1001,AE726)&gt;1,1,0))</f>
        <v>0</v>
      </c>
      <c r="BC726" s="21" t="n">
        <f aca="false">IF(AND(H726="",I726&gt;تنظیمات!$B$12*60,AM726="خالی"),1,0)</f>
        <v>0</v>
      </c>
      <c r="BD726" s="21" t="n">
        <f aca="false">IF(AND(AP726="بله",I726&lt;تنظیمات!$B$14,AO726="خیر"),1,0)</f>
        <v>0</v>
      </c>
      <c r="BE726" s="21" t="n">
        <f aca="false">IF(AN726="خیر",1,0)</f>
        <v>0</v>
      </c>
      <c r="BF726" s="21" t="n">
        <f aca="false">IF(AND(AD726="فیش مفقودی",AQ726="بله",I726&gt;تنظیمات!$B$12*60),1,0)</f>
        <v>0</v>
      </c>
      <c r="BG726" s="21" t="n">
        <f aca="false">IF(AND(AK726&gt;تنظیمات!$B$11,AL726="بله"),1,0)</f>
        <v>0</v>
      </c>
      <c r="BH726" s="21" t="n">
        <f aca="false">MIN(100,AR726*تنظیمات!$B$21+AS726*تنظیمات!$B$22+AT726*تنظیمات!$B$23+AU726*تنظیمات!$B$24+AV726*تنظیمات!$B$25+AW726*تنظیمات!$B$26+AX726*تنظیمات!$B$27+AY726*تنظیمات!$B$28+AZ726*تنظیمات!$B$29+BA726*تنظیمات!$B$30+BB726*تنظیمات!$B$31+BC726*تنظیمات!$B$32+BD726*تنظیمات!$B$33+BE726*تنظیمات!$B$34+BF726*تنظیمات!$B$35+BG726*تنظیمات!$B$36)</f>
        <v>0</v>
      </c>
      <c r="BI726" s="16" t="str">
        <f aca="false">IF(BH726&gt;=60,"بحرانی",IF(BH726&gt;=30,"مشکوک",IF(BH726&gt;0,"هشدار","عادی")))</f>
        <v>عادی</v>
      </c>
      <c r="BJ726" s="16" t="s">
        <v>338</v>
      </c>
    </row>
    <row r="727" customFormat="false" ht="15" hidden="false" customHeight="false" outlineLevel="0" collapsed="false">
      <c r="A727" s="16" t="s">
        <v>2574</v>
      </c>
      <c r="B727" s="16" t="s">
        <v>2491</v>
      </c>
      <c r="C727" s="16"/>
      <c r="D727" s="16" t="s">
        <v>469</v>
      </c>
      <c r="E727" s="16" t="s">
        <v>375</v>
      </c>
      <c r="F727" s="16" t="s">
        <v>359</v>
      </c>
      <c r="G727" s="17" t="n">
        <v>46290.8457638889</v>
      </c>
      <c r="H727" s="17" t="n">
        <v>46290.8735416667</v>
      </c>
      <c r="I727" s="18" t="n">
        <f aca="false">IF(H727="",ROUND((تنظیمات!$B$7-G727)*1440,0),ROUND((H727-G727)*1440,0))</f>
        <v>40</v>
      </c>
      <c r="J727" s="16" t="s">
        <v>346</v>
      </c>
      <c r="K727" s="16" t="s">
        <v>410</v>
      </c>
      <c r="L727" s="19" t="n">
        <v>0.901</v>
      </c>
      <c r="M727" s="19" t="n">
        <v>0.969</v>
      </c>
      <c r="N727" s="16" t="s">
        <v>335</v>
      </c>
      <c r="O727" s="16" t="s">
        <v>441</v>
      </c>
      <c r="P727" s="16" t="s">
        <v>420</v>
      </c>
      <c r="Q727" s="20" t="n">
        <v>46290</v>
      </c>
      <c r="R727" s="16" t="s">
        <v>2575</v>
      </c>
      <c r="S727" s="16" t="s">
        <v>404</v>
      </c>
      <c r="T727" s="17"/>
      <c r="U727" s="21" t="n">
        <v>1</v>
      </c>
      <c r="V727" s="21" t="n">
        <v>1</v>
      </c>
      <c r="W727" s="22" t="n">
        <v>4.6</v>
      </c>
      <c r="X727" s="16" t="s">
        <v>335</v>
      </c>
      <c r="Y727" s="16" t="s">
        <v>338</v>
      </c>
      <c r="Z727" s="16" t="s">
        <v>405</v>
      </c>
      <c r="AA727" s="16"/>
      <c r="AB727" s="23"/>
      <c r="AC727" s="17"/>
      <c r="AD727" s="16" t="s">
        <v>338</v>
      </c>
      <c r="AE727" s="16"/>
      <c r="AF727" s="16" t="str">
        <f aca="false">IF(COUNTIF(لیست_سفید!$A$2:$A$21,B727)&gt;0,"بله","خیر")</f>
        <v>خیر</v>
      </c>
      <c r="AG727" s="24" t="n">
        <f aca="false">IF(H727="","",IF(AD727="فیش مفقودی",تنظیمات!$B$6,(INT(I727/1440)*تنظیمات!$B$5+IF(MOD(I727,1440)&lt;=تنظیمات!$B$2,0,MIN(تنظیمات!$B$5,تنظیمات!$B$3+MAX(0,ROUNDUP((MOD(I727,1440)-60)/60,0))*تنظیمات!$B$4)))*INDEX(تعرفه!$B$2:$B$7,MATCH(AD727,تعرفه!$A$2:$A$7,0))))</f>
        <v>20000</v>
      </c>
      <c r="AH727" s="24" t="n">
        <v>20000</v>
      </c>
      <c r="AI727" s="24" t="n">
        <f aca="false">IF(AG727="","",AH727-AG727)</f>
        <v>0</v>
      </c>
      <c r="AJ727" s="21" t="n">
        <v>-2</v>
      </c>
      <c r="AK727" s="21" t="n">
        <v>0</v>
      </c>
      <c r="AL727" s="16" t="s">
        <v>335</v>
      </c>
      <c r="AM727" s="16"/>
      <c r="AN727" s="16" t="s">
        <v>340</v>
      </c>
      <c r="AO727" s="16" t="s">
        <v>340</v>
      </c>
      <c r="AP727" s="16" t="s">
        <v>335</v>
      </c>
      <c r="AQ727" s="16"/>
      <c r="AR727" s="21" t="n">
        <f aca="false">IF(AND(T727&lt;&gt;"",H727&lt;&gt;""),IF(AND((T727-H727)*86400&gt;=0,(T727-H727)*86400&lt;تنظیمات!$B$13),1,0),0)</f>
        <v>0</v>
      </c>
      <c r="AS727" s="21" t="n">
        <f aca="false">IF(Z727="پوز",IF(OR(AB727="",COUNTIF(پوزها!$A$2:$A$5,AA727)=0),1,0),0)</f>
        <v>0</v>
      </c>
      <c r="AT727" s="21" t="n">
        <f aca="false">IF(AI727="",0,IF(AI727&gt;0,1,0))</f>
        <v>0</v>
      </c>
      <c r="AU727" s="21" t="n">
        <f aca="false">IF(AI727="",0,IF(AI727&lt;0,1,0))</f>
        <v>0</v>
      </c>
      <c r="AV727" s="21" t="n">
        <f aca="false">IF(U727&gt;V727,1,0)</f>
        <v>0</v>
      </c>
      <c r="AW727" s="21" t="n">
        <f aca="false">IF(OR(W727&gt;تنظیمات!$B$8,X727="بله"),1,0)</f>
        <v>0</v>
      </c>
      <c r="AX727" s="21" t="n">
        <f aca="false">IF(AND(N727="بله",L727&gt;تنظیمات!$B$9),1,0)</f>
        <v>0</v>
      </c>
      <c r="AY727" s="21" t="n">
        <f aca="false">IF(Y727="معکوس",1,0)</f>
        <v>0</v>
      </c>
      <c r="AZ727" s="21" t="n">
        <f aca="false">IF(ABS(AJ727)&gt;تنظیمات!$B$10,1,0)</f>
        <v>0</v>
      </c>
      <c r="BA727" s="21" t="n">
        <f aca="false">IF(AND(OR(AD727="رایگان/VIP",AD727="جانباز"),AF727="خیر"),1,0)</f>
        <v>0</v>
      </c>
      <c r="BB727" s="21" t="n">
        <f aca="false">IF(AE727="",0,IF(COUNTIF($AE$2:$AE$1001,AE727)&gt;1,1,0))</f>
        <v>0</v>
      </c>
      <c r="BC727" s="21" t="n">
        <f aca="false">IF(AND(H727="",I727&gt;تنظیمات!$B$12*60,AM727="خالی"),1,0)</f>
        <v>0</v>
      </c>
      <c r="BD727" s="21" t="n">
        <f aca="false">IF(AND(AP727="بله",I727&lt;تنظیمات!$B$14,AO727="خیر"),1,0)</f>
        <v>0</v>
      </c>
      <c r="BE727" s="21" t="n">
        <f aca="false">IF(AN727="خیر",1,0)</f>
        <v>0</v>
      </c>
      <c r="BF727" s="21" t="n">
        <f aca="false">IF(AND(AD727="فیش مفقودی",AQ727="بله",I727&gt;تنظیمات!$B$12*60),1,0)</f>
        <v>0</v>
      </c>
      <c r="BG727" s="21" t="n">
        <f aca="false">IF(AND(AK727&gt;تنظیمات!$B$11,AL727="بله"),1,0)</f>
        <v>0</v>
      </c>
      <c r="BH727" s="21" t="n">
        <f aca="false">MIN(100,AR727*تنظیمات!$B$21+AS727*تنظیمات!$B$22+AT727*تنظیمات!$B$23+AU727*تنظیمات!$B$24+AV727*تنظیمات!$B$25+AW727*تنظیمات!$B$26+AX727*تنظیمات!$B$27+AY727*تنظیمات!$B$28+AZ727*تنظیمات!$B$29+BA727*تنظیمات!$B$30+BB727*تنظیمات!$B$31+BC727*تنظیمات!$B$32+BD727*تنظیمات!$B$33+BE727*تنظیمات!$B$34+BF727*تنظیمات!$B$35+BG727*تنظیمات!$B$36)</f>
        <v>0</v>
      </c>
      <c r="BI727" s="16" t="str">
        <f aca="false">IF(BH727&gt;=60,"بحرانی",IF(BH727&gt;=30,"مشکوک",IF(BH727&gt;0,"هشدار","عادی")))</f>
        <v>عادی</v>
      </c>
      <c r="BJ727" s="16" t="s">
        <v>338</v>
      </c>
    </row>
    <row r="728" customFormat="false" ht="15" hidden="false" customHeight="false" outlineLevel="0" collapsed="false">
      <c r="A728" s="16" t="s">
        <v>2576</v>
      </c>
      <c r="B728" s="16" t="s">
        <v>1849</v>
      </c>
      <c r="C728" s="16"/>
      <c r="D728" s="16" t="s">
        <v>382</v>
      </c>
      <c r="E728" s="16" t="s">
        <v>390</v>
      </c>
      <c r="F728" s="16" t="s">
        <v>333</v>
      </c>
      <c r="G728" s="17" t="n">
        <v>46290.9038310185</v>
      </c>
      <c r="H728" s="17" t="n">
        <v>46290.9906365741</v>
      </c>
      <c r="I728" s="18" t="n">
        <f aca="false">IF(H728="",ROUND((تنظیمات!$B$7-G728)*1440,0),ROUND((H728-G728)*1440,0))</f>
        <v>125</v>
      </c>
      <c r="J728" s="16" t="s">
        <v>334</v>
      </c>
      <c r="K728" s="16" t="s">
        <v>400</v>
      </c>
      <c r="L728" s="19" t="n">
        <v>0.941</v>
      </c>
      <c r="M728" s="19" t="n">
        <v>0.968</v>
      </c>
      <c r="N728" s="16" t="s">
        <v>335</v>
      </c>
      <c r="O728" s="16" t="s">
        <v>411</v>
      </c>
      <c r="P728" s="16" t="s">
        <v>651</v>
      </c>
      <c r="Q728" s="20" t="n">
        <v>46290</v>
      </c>
      <c r="R728" s="16" t="s">
        <v>2577</v>
      </c>
      <c r="S728" s="16" t="s">
        <v>404</v>
      </c>
      <c r="T728" s="17"/>
      <c r="U728" s="21" t="n">
        <v>1</v>
      </c>
      <c r="V728" s="21" t="n">
        <v>1</v>
      </c>
      <c r="W728" s="22" t="n">
        <v>2.5</v>
      </c>
      <c r="X728" s="16" t="s">
        <v>335</v>
      </c>
      <c r="Y728" s="16" t="s">
        <v>338</v>
      </c>
      <c r="Z728" s="16" t="s">
        <v>413</v>
      </c>
      <c r="AA728" s="16" t="s">
        <v>427</v>
      </c>
      <c r="AB728" s="23" t="s">
        <v>2578</v>
      </c>
      <c r="AC728" s="17" t="n">
        <v>46290.9903819444</v>
      </c>
      <c r="AD728" s="16" t="s">
        <v>481</v>
      </c>
      <c r="AE728" s="16" t="s">
        <v>2579</v>
      </c>
      <c r="AF728" s="16" t="str">
        <f aca="false">IF(COUNTIF(لیست_سفید!$A$2:$A$21,B728)&gt;0,"بله","خیر")</f>
        <v>خیر</v>
      </c>
      <c r="AG728" s="24" t="n">
        <f aca="false">IF(H728="","",IF(AD728="فیش مفقودی",تنظیمات!$B$6,(INT(I728/1440)*تنظیمات!$B$5+IF(MOD(I728,1440)&lt;=تنظیمات!$B$2,0,MIN(تنظیمات!$B$5,تنظیمات!$B$3+MAX(0,ROUNDUP((MOD(I728,1440)-60)/60,0))*تنظیمات!$B$4)))*INDEX(تعرفه!$B$2:$B$7,MATCH(AD728,تعرفه!$A$2:$A$7,0))))</f>
        <v>24000</v>
      </c>
      <c r="AH728" s="24" t="n">
        <v>24000</v>
      </c>
      <c r="AI728" s="24" t="n">
        <f aca="false">IF(AG728="","",AH728-AG728)</f>
        <v>0</v>
      </c>
      <c r="AJ728" s="21" t="n">
        <v>-2</v>
      </c>
      <c r="AK728" s="21" t="n">
        <v>48</v>
      </c>
      <c r="AL728" s="16" t="s">
        <v>335</v>
      </c>
      <c r="AM728" s="16"/>
      <c r="AN728" s="16" t="s">
        <v>340</v>
      </c>
      <c r="AO728" s="16" t="s">
        <v>340</v>
      </c>
      <c r="AP728" s="16" t="s">
        <v>335</v>
      </c>
      <c r="AQ728" s="16"/>
      <c r="AR728" s="21" t="n">
        <f aca="false">IF(AND(T728&lt;&gt;"",H728&lt;&gt;""),IF(AND((T728-H728)*86400&gt;=0,(T728-H728)*86400&lt;تنظیمات!$B$13),1,0),0)</f>
        <v>0</v>
      </c>
      <c r="AS728" s="21" t="n">
        <f aca="false">IF(Z728="پوز",IF(OR(AB728="",COUNTIF(پوزها!$A$2:$A$5,AA728)=0),1,0),0)</f>
        <v>0</v>
      </c>
      <c r="AT728" s="21" t="n">
        <f aca="false">IF(AI728="",0,IF(AI728&gt;0,1,0))</f>
        <v>0</v>
      </c>
      <c r="AU728" s="21" t="n">
        <f aca="false">IF(AI728="",0,IF(AI728&lt;0,1,0))</f>
        <v>0</v>
      </c>
      <c r="AV728" s="21" t="n">
        <f aca="false">IF(U728&gt;V728,1,0)</f>
        <v>0</v>
      </c>
      <c r="AW728" s="21" t="n">
        <f aca="false">IF(OR(W728&gt;تنظیمات!$B$8,X728="بله"),1,0)</f>
        <v>0</v>
      </c>
      <c r="AX728" s="21" t="n">
        <f aca="false">IF(AND(N728="بله",L728&gt;تنظیمات!$B$9),1,0)</f>
        <v>0</v>
      </c>
      <c r="AY728" s="21" t="n">
        <f aca="false">IF(Y728="معکوس",1,0)</f>
        <v>0</v>
      </c>
      <c r="AZ728" s="21" t="n">
        <f aca="false">IF(ABS(AJ728)&gt;تنظیمات!$B$10,1,0)</f>
        <v>0</v>
      </c>
      <c r="BA728" s="21" t="n">
        <f aca="false">IF(AND(OR(AD728="رایگان/VIP",AD728="جانباز"),AF728="خیر"),1,0)</f>
        <v>0</v>
      </c>
      <c r="BB728" s="21" t="n">
        <f aca="false">IF(AE728="",0,IF(COUNTIF($AE$2:$AE$1001,AE728)&gt;1,1,0))</f>
        <v>0</v>
      </c>
      <c r="BC728" s="21" t="n">
        <f aca="false">IF(AND(H728="",I728&gt;تنظیمات!$B$12*60,AM728="خالی"),1,0)</f>
        <v>0</v>
      </c>
      <c r="BD728" s="21" t="n">
        <f aca="false">IF(AND(AP728="بله",I728&lt;تنظیمات!$B$14,AO728="خیر"),1,0)</f>
        <v>0</v>
      </c>
      <c r="BE728" s="21" t="n">
        <f aca="false">IF(AN728="خیر",1,0)</f>
        <v>0</v>
      </c>
      <c r="BF728" s="21" t="n">
        <f aca="false">IF(AND(AD728="فیش مفقودی",AQ728="بله",I728&gt;تنظیمات!$B$12*60),1,0)</f>
        <v>0</v>
      </c>
      <c r="BG728" s="21" t="n">
        <f aca="false">IF(AND(AK728&gt;تنظیمات!$B$11,AL728="بله"),1,0)</f>
        <v>0</v>
      </c>
      <c r="BH728" s="21" t="n">
        <f aca="false">MIN(100,AR728*تنظیمات!$B$21+AS728*تنظیمات!$B$22+AT728*تنظیمات!$B$23+AU728*تنظیمات!$B$24+AV728*تنظیمات!$B$25+AW728*تنظیمات!$B$26+AX728*تنظیمات!$B$27+AY728*تنظیمات!$B$28+AZ728*تنظیمات!$B$29+BA728*تنظیمات!$B$30+BB728*تنظیمات!$B$31+BC728*تنظیمات!$B$32+BD728*تنظیمات!$B$33+BE728*تنظیمات!$B$34+BF728*تنظیمات!$B$35+BG728*تنظیمات!$B$36)</f>
        <v>0</v>
      </c>
      <c r="BI728" s="16" t="str">
        <f aca="false">IF(BH728&gt;=60,"بحرانی",IF(BH728&gt;=30,"مشکوک",IF(BH728&gt;0,"هشدار","عادی")))</f>
        <v>عادی</v>
      </c>
      <c r="BJ728" s="16" t="s">
        <v>338</v>
      </c>
    </row>
    <row r="729" customFormat="false" ht="15" hidden="false" customHeight="false" outlineLevel="0" collapsed="false">
      <c r="A729" s="16" t="s">
        <v>2580</v>
      </c>
      <c r="B729" s="16" t="s">
        <v>2581</v>
      </c>
      <c r="C729" s="16"/>
      <c r="D729" s="16" t="s">
        <v>508</v>
      </c>
      <c r="E729" s="16" t="s">
        <v>345</v>
      </c>
      <c r="F729" s="16" t="s">
        <v>333</v>
      </c>
      <c r="G729" s="17" t="n">
        <v>46290.9321527778</v>
      </c>
      <c r="H729" s="17" t="n">
        <v>46290.9578472222</v>
      </c>
      <c r="I729" s="18" t="n">
        <f aca="false">IF(H729="",ROUND((تنظیمات!$B$7-G729)*1440,0),ROUND((H729-G729)*1440,0))</f>
        <v>37</v>
      </c>
      <c r="J729" s="16" t="s">
        <v>334</v>
      </c>
      <c r="K729" s="16" t="s">
        <v>400</v>
      </c>
      <c r="L729" s="19" t="n">
        <v>0.929</v>
      </c>
      <c r="M729" s="19" t="n">
        <v>0.917</v>
      </c>
      <c r="N729" s="16" t="s">
        <v>335</v>
      </c>
      <c r="O729" s="16" t="s">
        <v>411</v>
      </c>
      <c r="P729" s="16" t="s">
        <v>651</v>
      </c>
      <c r="Q729" s="20" t="n">
        <v>46290</v>
      </c>
      <c r="R729" s="16" t="s">
        <v>2582</v>
      </c>
      <c r="S729" s="16" t="s">
        <v>404</v>
      </c>
      <c r="T729" s="17"/>
      <c r="U729" s="21" t="n">
        <v>1</v>
      </c>
      <c r="V729" s="21" t="n">
        <v>1</v>
      </c>
      <c r="W729" s="22" t="n">
        <v>5.2</v>
      </c>
      <c r="X729" s="16" t="s">
        <v>335</v>
      </c>
      <c r="Y729" s="16" t="s">
        <v>338</v>
      </c>
      <c r="Z729" s="16" t="s">
        <v>405</v>
      </c>
      <c r="AA729" s="16"/>
      <c r="AB729" s="23"/>
      <c r="AC729" s="17"/>
      <c r="AD729" s="16" t="s">
        <v>338</v>
      </c>
      <c r="AE729" s="16"/>
      <c r="AF729" s="16" t="str">
        <f aca="false">IF(COUNTIF(لیست_سفید!$A$2:$A$21,B729)&gt;0,"بله","خیر")</f>
        <v>خیر</v>
      </c>
      <c r="AG729" s="24" t="n">
        <f aca="false">IF(H729="","",IF(AD729="فیش مفقودی",تنظیمات!$B$6,(INT(I729/1440)*تنظیمات!$B$5+IF(MOD(I729,1440)&lt;=تنظیمات!$B$2,0,MIN(تنظیمات!$B$5,تنظیمات!$B$3+MAX(0,ROUNDUP((MOD(I729,1440)-60)/60,0))*تنظیمات!$B$4)))*INDEX(تعرفه!$B$2:$B$7,MATCH(AD729,تعرفه!$A$2:$A$7,0))))</f>
        <v>20000</v>
      </c>
      <c r="AH729" s="24" t="n">
        <v>20000</v>
      </c>
      <c r="AI729" s="24" t="n">
        <f aca="false">IF(AG729="","",AH729-AG729)</f>
        <v>0</v>
      </c>
      <c r="AJ729" s="21" t="n">
        <v>-5</v>
      </c>
      <c r="AK729" s="21" t="n">
        <v>0</v>
      </c>
      <c r="AL729" s="16" t="s">
        <v>335</v>
      </c>
      <c r="AM729" s="16"/>
      <c r="AN729" s="16" t="s">
        <v>340</v>
      </c>
      <c r="AO729" s="16" t="s">
        <v>340</v>
      </c>
      <c r="AP729" s="16" t="s">
        <v>335</v>
      </c>
      <c r="AQ729" s="16"/>
      <c r="AR729" s="21" t="n">
        <f aca="false">IF(AND(T729&lt;&gt;"",H729&lt;&gt;""),IF(AND((T729-H729)*86400&gt;=0,(T729-H729)*86400&lt;تنظیمات!$B$13),1,0),0)</f>
        <v>0</v>
      </c>
      <c r="AS729" s="21" t="n">
        <f aca="false">IF(Z729="پوز",IF(OR(AB729="",COUNTIF(پوزها!$A$2:$A$5,AA729)=0),1,0),0)</f>
        <v>0</v>
      </c>
      <c r="AT729" s="21" t="n">
        <f aca="false">IF(AI729="",0,IF(AI729&gt;0,1,0))</f>
        <v>0</v>
      </c>
      <c r="AU729" s="21" t="n">
        <f aca="false">IF(AI729="",0,IF(AI729&lt;0,1,0))</f>
        <v>0</v>
      </c>
      <c r="AV729" s="21" t="n">
        <f aca="false">IF(U729&gt;V729,1,0)</f>
        <v>0</v>
      </c>
      <c r="AW729" s="21" t="n">
        <f aca="false">IF(OR(W729&gt;تنظیمات!$B$8,X729="بله"),1,0)</f>
        <v>0</v>
      </c>
      <c r="AX729" s="21" t="n">
        <f aca="false">IF(AND(N729="بله",L729&gt;تنظیمات!$B$9),1,0)</f>
        <v>0</v>
      </c>
      <c r="AY729" s="21" t="n">
        <f aca="false">IF(Y729="معکوس",1,0)</f>
        <v>0</v>
      </c>
      <c r="AZ729" s="21" t="n">
        <f aca="false">IF(ABS(AJ729)&gt;تنظیمات!$B$10,1,0)</f>
        <v>0</v>
      </c>
      <c r="BA729" s="21" t="n">
        <f aca="false">IF(AND(OR(AD729="رایگان/VIP",AD729="جانباز"),AF729="خیر"),1,0)</f>
        <v>0</v>
      </c>
      <c r="BB729" s="21" t="n">
        <f aca="false">IF(AE729="",0,IF(COUNTIF($AE$2:$AE$1001,AE729)&gt;1,1,0))</f>
        <v>0</v>
      </c>
      <c r="BC729" s="21" t="n">
        <f aca="false">IF(AND(H729="",I729&gt;تنظیمات!$B$12*60,AM729="خالی"),1,0)</f>
        <v>0</v>
      </c>
      <c r="BD729" s="21" t="n">
        <f aca="false">IF(AND(AP729="بله",I729&lt;تنظیمات!$B$14,AO729="خیر"),1,0)</f>
        <v>0</v>
      </c>
      <c r="BE729" s="21" t="n">
        <f aca="false">IF(AN729="خیر",1,0)</f>
        <v>0</v>
      </c>
      <c r="BF729" s="21" t="n">
        <f aca="false">IF(AND(AD729="فیش مفقودی",AQ729="بله",I729&gt;تنظیمات!$B$12*60),1,0)</f>
        <v>0</v>
      </c>
      <c r="BG729" s="21" t="n">
        <f aca="false">IF(AND(AK729&gt;تنظیمات!$B$11,AL729="بله"),1,0)</f>
        <v>0</v>
      </c>
      <c r="BH729" s="21" t="n">
        <f aca="false">MIN(100,AR729*تنظیمات!$B$21+AS729*تنظیمات!$B$22+AT729*تنظیمات!$B$23+AU729*تنظیمات!$B$24+AV729*تنظیمات!$B$25+AW729*تنظیمات!$B$26+AX729*تنظیمات!$B$27+AY729*تنظیمات!$B$28+AZ729*تنظیمات!$B$29+BA729*تنظیمات!$B$30+BB729*تنظیمات!$B$31+BC729*تنظیمات!$B$32+BD729*تنظیمات!$B$33+BE729*تنظیمات!$B$34+BF729*تنظیمات!$B$35+BG729*تنظیمات!$B$36)</f>
        <v>0</v>
      </c>
      <c r="BI729" s="16" t="str">
        <f aca="false">IF(BH729&gt;=60,"بحرانی",IF(BH729&gt;=30,"مشکوک",IF(BH729&gt;0,"هشدار","عادی")))</f>
        <v>عادی</v>
      </c>
      <c r="BJ729" s="16" t="s">
        <v>338</v>
      </c>
    </row>
    <row r="730" customFormat="false" ht="15" hidden="false" customHeight="false" outlineLevel="0" collapsed="false">
      <c r="A730" s="16" t="s">
        <v>2583</v>
      </c>
      <c r="B730" s="16" t="s">
        <v>724</v>
      </c>
      <c r="C730" s="16"/>
      <c r="D730" s="16" t="s">
        <v>350</v>
      </c>
      <c r="E730" s="16" t="s">
        <v>351</v>
      </c>
      <c r="F730" s="16" t="s">
        <v>333</v>
      </c>
      <c r="G730" s="17" t="n">
        <v>46290.9946643519</v>
      </c>
      <c r="H730" s="17" t="n">
        <v>46291.2898032407</v>
      </c>
      <c r="I730" s="18" t="n">
        <f aca="false">IF(H730="",ROUND((تنظیمات!$B$7-G730)*1440,0),ROUND((H730-G730)*1440,0))</f>
        <v>425</v>
      </c>
      <c r="J730" s="16" t="s">
        <v>334</v>
      </c>
      <c r="K730" s="16" t="s">
        <v>410</v>
      </c>
      <c r="L730" s="19" t="n">
        <v>0.952</v>
      </c>
      <c r="M730" s="19" t="n">
        <v>0.883</v>
      </c>
      <c r="N730" s="16" t="s">
        <v>335</v>
      </c>
      <c r="O730" s="16" t="s">
        <v>419</v>
      </c>
      <c r="P730" s="16" t="s">
        <v>402</v>
      </c>
      <c r="Q730" s="20" t="n">
        <v>46291</v>
      </c>
      <c r="R730" s="16" t="s">
        <v>2584</v>
      </c>
      <c r="S730" s="16" t="s">
        <v>404</v>
      </c>
      <c r="T730" s="17"/>
      <c r="U730" s="21" t="n">
        <v>1</v>
      </c>
      <c r="V730" s="21" t="n">
        <v>1</v>
      </c>
      <c r="W730" s="22" t="n">
        <v>4.3</v>
      </c>
      <c r="X730" s="16" t="s">
        <v>335</v>
      </c>
      <c r="Y730" s="16" t="s">
        <v>338</v>
      </c>
      <c r="Z730" s="16" t="s">
        <v>443</v>
      </c>
      <c r="AA730" s="16"/>
      <c r="AB730" s="23"/>
      <c r="AC730" s="17"/>
      <c r="AD730" s="16" t="s">
        <v>444</v>
      </c>
      <c r="AE730" s="16"/>
      <c r="AF730" s="16" t="str">
        <f aca="false">IF(COUNTIF(لیست_سفید!$A$2:$A$21,B730)&gt;0,"بله","خیر")</f>
        <v>خیر</v>
      </c>
      <c r="AG730" s="24" t="n">
        <f aca="false">IF(H730="","",IF(AD730="فیش مفقودی",تنظیمات!$B$6,(INT(I730/1440)*تنظیمات!$B$5+IF(MOD(I730,1440)&lt;=تنظیمات!$B$2,0,MIN(تنظیمات!$B$5,تنظیمات!$B$3+MAX(0,ROUNDUP((MOD(I730,1440)-60)/60,0))*تنظیمات!$B$4)))*INDEX(تعرفه!$B$2:$B$7,MATCH(AD730,تعرفه!$A$2:$A$7,0))))</f>
        <v>0</v>
      </c>
      <c r="AH730" s="24" t="n">
        <v>0</v>
      </c>
      <c r="AI730" s="24" t="n">
        <f aca="false">IF(AG730="","",AH730-AG730)</f>
        <v>0</v>
      </c>
      <c r="AJ730" s="21" t="n">
        <v>1</v>
      </c>
      <c r="AK730" s="21" t="n">
        <v>0</v>
      </c>
      <c r="AL730" s="16" t="s">
        <v>335</v>
      </c>
      <c r="AM730" s="16"/>
      <c r="AN730" s="16" t="s">
        <v>340</v>
      </c>
      <c r="AO730" s="16" t="s">
        <v>340</v>
      </c>
      <c r="AP730" s="16" t="s">
        <v>335</v>
      </c>
      <c r="AQ730" s="16"/>
      <c r="AR730" s="21" t="n">
        <f aca="false">IF(AND(T730&lt;&gt;"",H730&lt;&gt;""),IF(AND((T730-H730)*86400&gt;=0,(T730-H730)*86400&lt;تنظیمات!$B$13),1,0),0)</f>
        <v>0</v>
      </c>
      <c r="AS730" s="21" t="n">
        <f aca="false">IF(Z730="پوز",IF(OR(AB730="",COUNTIF(پوزها!$A$2:$A$5,AA730)=0),1,0),0)</f>
        <v>0</v>
      </c>
      <c r="AT730" s="21" t="n">
        <f aca="false">IF(AI730="",0,IF(AI730&gt;0,1,0))</f>
        <v>0</v>
      </c>
      <c r="AU730" s="21" t="n">
        <f aca="false">IF(AI730="",0,IF(AI730&lt;0,1,0))</f>
        <v>0</v>
      </c>
      <c r="AV730" s="21" t="n">
        <f aca="false">IF(U730&gt;V730,1,0)</f>
        <v>0</v>
      </c>
      <c r="AW730" s="21" t="n">
        <f aca="false">IF(OR(W730&gt;تنظیمات!$B$8,X730="بله"),1,0)</f>
        <v>0</v>
      </c>
      <c r="AX730" s="21" t="n">
        <f aca="false">IF(AND(N730="بله",L730&gt;تنظیمات!$B$9),1,0)</f>
        <v>0</v>
      </c>
      <c r="AY730" s="21" t="n">
        <f aca="false">IF(Y730="معکوس",1,0)</f>
        <v>0</v>
      </c>
      <c r="AZ730" s="21" t="n">
        <f aca="false">IF(ABS(AJ730)&gt;تنظیمات!$B$10,1,0)</f>
        <v>0</v>
      </c>
      <c r="BA730" s="21" t="n">
        <f aca="false">IF(AND(OR(AD730="رایگان/VIP",AD730="جانباز"),AF730="خیر"),1,0)</f>
        <v>0</v>
      </c>
      <c r="BB730" s="21" t="n">
        <f aca="false">IF(AE730="",0,IF(COUNTIF($AE$2:$AE$1001,AE730)&gt;1,1,0))</f>
        <v>0</v>
      </c>
      <c r="BC730" s="21" t="n">
        <f aca="false">IF(AND(H730="",I730&gt;تنظیمات!$B$12*60,AM730="خالی"),1,0)</f>
        <v>0</v>
      </c>
      <c r="BD730" s="21" t="n">
        <f aca="false">IF(AND(AP730="بله",I730&lt;تنظیمات!$B$14,AO730="خیر"),1,0)</f>
        <v>0</v>
      </c>
      <c r="BE730" s="21" t="n">
        <f aca="false">IF(AN730="خیر",1,0)</f>
        <v>0</v>
      </c>
      <c r="BF730" s="21" t="n">
        <f aca="false">IF(AND(AD730="فیش مفقودی",AQ730="بله",I730&gt;تنظیمات!$B$12*60),1,0)</f>
        <v>0</v>
      </c>
      <c r="BG730" s="21" t="n">
        <f aca="false">IF(AND(AK730&gt;تنظیمات!$B$11,AL730="بله"),1,0)</f>
        <v>0</v>
      </c>
      <c r="BH730" s="21" t="n">
        <f aca="false">MIN(100,AR730*تنظیمات!$B$21+AS730*تنظیمات!$B$22+AT730*تنظیمات!$B$23+AU730*تنظیمات!$B$24+AV730*تنظیمات!$B$25+AW730*تنظیمات!$B$26+AX730*تنظیمات!$B$27+AY730*تنظیمات!$B$28+AZ730*تنظیمات!$B$29+BA730*تنظیمات!$B$30+BB730*تنظیمات!$B$31+BC730*تنظیمات!$B$32+BD730*تنظیمات!$B$33+BE730*تنظیمات!$B$34+BF730*تنظیمات!$B$35+BG730*تنظیمات!$B$36)</f>
        <v>0</v>
      </c>
      <c r="BI730" s="16" t="str">
        <f aca="false">IF(BH730&gt;=60,"بحرانی",IF(BH730&gt;=30,"مشکوک",IF(BH730&gt;0,"هشدار","عادی")))</f>
        <v>عادی</v>
      </c>
      <c r="BJ730" s="16" t="s">
        <v>338</v>
      </c>
    </row>
    <row r="731" customFormat="false" ht="15" hidden="false" customHeight="false" outlineLevel="0" collapsed="false">
      <c r="A731" s="16" t="s">
        <v>2585</v>
      </c>
      <c r="B731" s="16" t="s">
        <v>2586</v>
      </c>
      <c r="C731" s="16"/>
      <c r="D731" s="16" t="s">
        <v>386</v>
      </c>
      <c r="E731" s="16" t="s">
        <v>390</v>
      </c>
      <c r="F731" s="16" t="s">
        <v>333</v>
      </c>
      <c r="G731" s="17" t="n">
        <v>46291.0320601852</v>
      </c>
      <c r="H731" s="17" t="n">
        <v>46291.4042824074</v>
      </c>
      <c r="I731" s="18" t="n">
        <f aca="false">IF(H731="",ROUND((تنظیمات!$B$7-G731)*1440,0),ROUND((H731-G731)*1440,0))</f>
        <v>536</v>
      </c>
      <c r="J731" s="16" t="s">
        <v>334</v>
      </c>
      <c r="K731" s="16" t="s">
        <v>410</v>
      </c>
      <c r="L731" s="19" t="n">
        <v>0.972</v>
      </c>
      <c r="M731" s="19" t="n">
        <v>0.946</v>
      </c>
      <c r="N731" s="16" t="s">
        <v>335</v>
      </c>
      <c r="O731" s="16" t="s">
        <v>419</v>
      </c>
      <c r="P731" s="16" t="s">
        <v>402</v>
      </c>
      <c r="Q731" s="20" t="n">
        <v>46291</v>
      </c>
      <c r="R731" s="16" t="s">
        <v>2587</v>
      </c>
      <c r="S731" s="16" t="s">
        <v>404</v>
      </c>
      <c r="T731" s="17"/>
      <c r="U731" s="21" t="n">
        <v>1</v>
      </c>
      <c r="V731" s="21" t="n">
        <v>1</v>
      </c>
      <c r="W731" s="22" t="n">
        <v>5.6</v>
      </c>
      <c r="X731" s="16" t="s">
        <v>335</v>
      </c>
      <c r="Y731" s="16" t="s">
        <v>338</v>
      </c>
      <c r="Z731" s="16" t="s">
        <v>443</v>
      </c>
      <c r="AA731" s="16"/>
      <c r="AB731" s="23"/>
      <c r="AC731" s="17"/>
      <c r="AD731" s="16" t="s">
        <v>444</v>
      </c>
      <c r="AE731" s="16"/>
      <c r="AF731" s="16" t="str">
        <f aca="false">IF(COUNTIF(لیست_سفید!$A$2:$A$21,B731)&gt;0,"بله","خیر")</f>
        <v>خیر</v>
      </c>
      <c r="AG731" s="24" t="n">
        <f aca="false">IF(H731="","",IF(AD731="فیش مفقودی",تنظیمات!$B$6,(INT(I731/1440)*تنظیمات!$B$5+IF(MOD(I731,1440)&lt;=تنظیمات!$B$2,0,MIN(تنظیمات!$B$5,تنظیمات!$B$3+MAX(0,ROUNDUP((MOD(I731,1440)-60)/60,0))*تنظیمات!$B$4)))*INDEX(تعرفه!$B$2:$B$7,MATCH(AD731,تعرفه!$A$2:$A$7,0))))</f>
        <v>0</v>
      </c>
      <c r="AH731" s="24" t="n">
        <v>0</v>
      </c>
      <c r="AI731" s="24" t="n">
        <f aca="false">IF(AG731="","",AH731-AG731)</f>
        <v>0</v>
      </c>
      <c r="AJ731" s="21" t="n">
        <v>0</v>
      </c>
      <c r="AK731" s="21" t="n">
        <v>0</v>
      </c>
      <c r="AL731" s="16" t="s">
        <v>335</v>
      </c>
      <c r="AM731" s="16"/>
      <c r="AN731" s="16" t="s">
        <v>340</v>
      </c>
      <c r="AO731" s="16" t="s">
        <v>340</v>
      </c>
      <c r="AP731" s="16" t="s">
        <v>335</v>
      </c>
      <c r="AQ731" s="16"/>
      <c r="AR731" s="21" t="n">
        <f aca="false">IF(AND(T731&lt;&gt;"",H731&lt;&gt;""),IF(AND((T731-H731)*86400&gt;=0,(T731-H731)*86400&lt;تنظیمات!$B$13),1,0),0)</f>
        <v>0</v>
      </c>
      <c r="AS731" s="21" t="n">
        <f aca="false">IF(Z731="پوز",IF(OR(AB731="",COUNTIF(پوزها!$A$2:$A$5,AA731)=0),1,0),0)</f>
        <v>0</v>
      </c>
      <c r="AT731" s="21" t="n">
        <f aca="false">IF(AI731="",0,IF(AI731&gt;0,1,0))</f>
        <v>0</v>
      </c>
      <c r="AU731" s="21" t="n">
        <f aca="false">IF(AI731="",0,IF(AI731&lt;0,1,0))</f>
        <v>0</v>
      </c>
      <c r="AV731" s="21" t="n">
        <f aca="false">IF(U731&gt;V731,1,0)</f>
        <v>0</v>
      </c>
      <c r="AW731" s="21" t="n">
        <f aca="false">IF(OR(W731&gt;تنظیمات!$B$8,X731="بله"),1,0)</f>
        <v>0</v>
      </c>
      <c r="AX731" s="21" t="n">
        <f aca="false">IF(AND(N731="بله",L731&gt;تنظیمات!$B$9),1,0)</f>
        <v>0</v>
      </c>
      <c r="AY731" s="21" t="n">
        <f aca="false">IF(Y731="معکوس",1,0)</f>
        <v>0</v>
      </c>
      <c r="AZ731" s="21" t="n">
        <f aca="false">IF(ABS(AJ731)&gt;تنظیمات!$B$10,1,0)</f>
        <v>0</v>
      </c>
      <c r="BA731" s="21" t="n">
        <f aca="false">IF(AND(OR(AD731="رایگان/VIP",AD731="جانباز"),AF731="خیر"),1,0)</f>
        <v>0</v>
      </c>
      <c r="BB731" s="21" t="n">
        <f aca="false">IF(AE731="",0,IF(COUNTIF($AE$2:$AE$1001,AE731)&gt;1,1,0))</f>
        <v>0</v>
      </c>
      <c r="BC731" s="21" t="n">
        <f aca="false">IF(AND(H731="",I731&gt;تنظیمات!$B$12*60,AM731="خالی"),1,0)</f>
        <v>0</v>
      </c>
      <c r="BD731" s="21" t="n">
        <f aca="false">IF(AND(AP731="بله",I731&lt;تنظیمات!$B$14,AO731="خیر"),1,0)</f>
        <v>0</v>
      </c>
      <c r="BE731" s="21" t="n">
        <f aca="false">IF(AN731="خیر",1,0)</f>
        <v>0</v>
      </c>
      <c r="BF731" s="21" t="n">
        <f aca="false">IF(AND(AD731="فیش مفقودی",AQ731="بله",I731&gt;تنظیمات!$B$12*60),1,0)</f>
        <v>0</v>
      </c>
      <c r="BG731" s="21" t="n">
        <f aca="false">IF(AND(AK731&gt;تنظیمات!$B$11,AL731="بله"),1,0)</f>
        <v>0</v>
      </c>
      <c r="BH731" s="21" t="n">
        <f aca="false">MIN(100,AR731*تنظیمات!$B$21+AS731*تنظیمات!$B$22+AT731*تنظیمات!$B$23+AU731*تنظیمات!$B$24+AV731*تنظیمات!$B$25+AW731*تنظیمات!$B$26+AX731*تنظیمات!$B$27+AY731*تنظیمات!$B$28+AZ731*تنظیمات!$B$29+BA731*تنظیمات!$B$30+BB731*تنظیمات!$B$31+BC731*تنظیمات!$B$32+BD731*تنظیمات!$B$33+BE731*تنظیمات!$B$34+BF731*تنظیمات!$B$35+BG731*تنظیمات!$B$36)</f>
        <v>0</v>
      </c>
      <c r="BI731" s="16" t="str">
        <f aca="false">IF(BH731&gt;=60,"بحرانی",IF(BH731&gt;=30,"مشکوک",IF(BH731&gt;0,"هشدار","عادی")))</f>
        <v>عادی</v>
      </c>
      <c r="BJ731" s="16" t="s">
        <v>338</v>
      </c>
    </row>
    <row r="732" customFormat="false" ht="15" hidden="false" customHeight="false" outlineLevel="0" collapsed="false">
      <c r="A732" s="16" t="s">
        <v>2588</v>
      </c>
      <c r="B732" s="16" t="s">
        <v>1094</v>
      </c>
      <c r="C732" s="16"/>
      <c r="D732" s="16" t="s">
        <v>531</v>
      </c>
      <c r="E732" s="16" t="s">
        <v>375</v>
      </c>
      <c r="F732" s="16" t="s">
        <v>333</v>
      </c>
      <c r="G732" s="17" t="n">
        <v>46291.0716550926</v>
      </c>
      <c r="H732" s="17" t="n">
        <v>46291.6737384259</v>
      </c>
      <c r="I732" s="18" t="n">
        <f aca="false">IF(H732="",ROUND((تنظیمات!$B$7-G732)*1440,0),ROUND((H732-G732)*1440,0))</f>
        <v>867</v>
      </c>
      <c r="J732" s="16" t="s">
        <v>334</v>
      </c>
      <c r="K732" s="16" t="s">
        <v>400</v>
      </c>
      <c r="L732" s="19" t="n">
        <v>0.923</v>
      </c>
      <c r="M732" s="19" t="n">
        <v>0.976</v>
      </c>
      <c r="N732" s="16" t="s">
        <v>335</v>
      </c>
      <c r="O732" s="16" t="s">
        <v>650</v>
      </c>
      <c r="P732" s="16" t="s">
        <v>420</v>
      </c>
      <c r="Q732" s="20" t="n">
        <v>46291</v>
      </c>
      <c r="R732" s="16" t="s">
        <v>2589</v>
      </c>
      <c r="S732" s="16" t="s">
        <v>404</v>
      </c>
      <c r="T732" s="17"/>
      <c r="U732" s="21" t="n">
        <v>1</v>
      </c>
      <c r="V732" s="21" t="n">
        <v>1</v>
      </c>
      <c r="W732" s="22" t="n">
        <v>7.5</v>
      </c>
      <c r="X732" s="16" t="s">
        <v>335</v>
      </c>
      <c r="Y732" s="16" t="s">
        <v>338</v>
      </c>
      <c r="Z732" s="16" t="s">
        <v>405</v>
      </c>
      <c r="AA732" s="16"/>
      <c r="AB732" s="23"/>
      <c r="AC732" s="17"/>
      <c r="AD732" s="16" t="s">
        <v>338</v>
      </c>
      <c r="AE732" s="16"/>
      <c r="AF732" s="16" t="str">
        <f aca="false">IF(COUNTIF(لیست_سفید!$A$2:$A$21,B732)&gt;0,"بله","خیر")</f>
        <v>خیر</v>
      </c>
      <c r="AG732" s="24" t="n">
        <f aca="false">IF(H732="","",IF(AD732="فیش مفقودی",تنظیمات!$B$6,(INT(I732/1440)*تنظیمات!$B$5+IF(MOD(I732,1440)&lt;=تنظیمات!$B$2,0,MIN(تنظیمات!$B$5,تنظیمات!$B$3+MAX(0,ROUNDUP((MOD(I732,1440)-60)/60,0))*تنظیمات!$B$4)))*INDEX(تعرفه!$B$2:$B$7,MATCH(AD732,تعرفه!$A$2:$A$7,0))))</f>
        <v>180000</v>
      </c>
      <c r="AH732" s="24" t="n">
        <v>180000</v>
      </c>
      <c r="AI732" s="24" t="n">
        <f aca="false">IF(AG732="","",AH732-AG732)</f>
        <v>0</v>
      </c>
      <c r="AJ732" s="21" t="n">
        <v>4</v>
      </c>
      <c r="AK732" s="21" t="n">
        <v>0</v>
      </c>
      <c r="AL732" s="16" t="s">
        <v>335</v>
      </c>
      <c r="AM732" s="16"/>
      <c r="AN732" s="16" t="s">
        <v>340</v>
      </c>
      <c r="AO732" s="16" t="s">
        <v>340</v>
      </c>
      <c r="AP732" s="16" t="s">
        <v>335</v>
      </c>
      <c r="AQ732" s="16"/>
      <c r="AR732" s="21" t="n">
        <f aca="false">IF(AND(T732&lt;&gt;"",H732&lt;&gt;""),IF(AND((T732-H732)*86400&gt;=0,(T732-H732)*86400&lt;تنظیمات!$B$13),1,0),0)</f>
        <v>0</v>
      </c>
      <c r="AS732" s="21" t="n">
        <f aca="false">IF(Z732="پوز",IF(OR(AB732="",COUNTIF(پوزها!$A$2:$A$5,AA732)=0),1,0),0)</f>
        <v>0</v>
      </c>
      <c r="AT732" s="21" t="n">
        <f aca="false">IF(AI732="",0,IF(AI732&gt;0,1,0))</f>
        <v>0</v>
      </c>
      <c r="AU732" s="21" t="n">
        <f aca="false">IF(AI732="",0,IF(AI732&lt;0,1,0))</f>
        <v>0</v>
      </c>
      <c r="AV732" s="21" t="n">
        <f aca="false">IF(U732&gt;V732,1,0)</f>
        <v>0</v>
      </c>
      <c r="AW732" s="21" t="n">
        <f aca="false">IF(OR(W732&gt;تنظیمات!$B$8,X732="بله"),1,0)</f>
        <v>0</v>
      </c>
      <c r="AX732" s="21" t="n">
        <f aca="false">IF(AND(N732="بله",L732&gt;تنظیمات!$B$9),1,0)</f>
        <v>0</v>
      </c>
      <c r="AY732" s="21" t="n">
        <f aca="false">IF(Y732="معکوس",1,0)</f>
        <v>0</v>
      </c>
      <c r="AZ732" s="21" t="n">
        <f aca="false">IF(ABS(AJ732)&gt;تنظیمات!$B$10,1,0)</f>
        <v>0</v>
      </c>
      <c r="BA732" s="21" t="n">
        <f aca="false">IF(AND(OR(AD732="رایگان/VIP",AD732="جانباز"),AF732="خیر"),1,0)</f>
        <v>0</v>
      </c>
      <c r="BB732" s="21" t="n">
        <f aca="false">IF(AE732="",0,IF(COUNTIF($AE$2:$AE$1001,AE732)&gt;1,1,0))</f>
        <v>0</v>
      </c>
      <c r="BC732" s="21" t="n">
        <f aca="false">IF(AND(H732="",I732&gt;تنظیمات!$B$12*60,AM732="خالی"),1,0)</f>
        <v>0</v>
      </c>
      <c r="BD732" s="21" t="n">
        <f aca="false">IF(AND(AP732="بله",I732&lt;تنظیمات!$B$14,AO732="خیر"),1,0)</f>
        <v>0</v>
      </c>
      <c r="BE732" s="21" t="n">
        <f aca="false">IF(AN732="خیر",1,0)</f>
        <v>0</v>
      </c>
      <c r="BF732" s="21" t="n">
        <f aca="false">IF(AND(AD732="فیش مفقودی",AQ732="بله",I732&gt;تنظیمات!$B$12*60),1,0)</f>
        <v>0</v>
      </c>
      <c r="BG732" s="21" t="n">
        <f aca="false">IF(AND(AK732&gt;تنظیمات!$B$11,AL732="بله"),1,0)</f>
        <v>0</v>
      </c>
      <c r="BH732" s="21" t="n">
        <f aca="false">MIN(100,AR732*تنظیمات!$B$21+AS732*تنظیمات!$B$22+AT732*تنظیمات!$B$23+AU732*تنظیمات!$B$24+AV732*تنظیمات!$B$25+AW732*تنظیمات!$B$26+AX732*تنظیمات!$B$27+AY732*تنظیمات!$B$28+AZ732*تنظیمات!$B$29+BA732*تنظیمات!$B$30+BB732*تنظیمات!$B$31+BC732*تنظیمات!$B$32+BD732*تنظیمات!$B$33+BE732*تنظیمات!$B$34+BF732*تنظیمات!$B$35+BG732*تنظیمات!$B$36)</f>
        <v>0</v>
      </c>
      <c r="BI732" s="16" t="str">
        <f aca="false">IF(BH732&gt;=60,"بحرانی",IF(BH732&gt;=30,"مشکوک",IF(BH732&gt;0,"هشدار","عادی")))</f>
        <v>عادی</v>
      </c>
      <c r="BJ732" s="16" t="s">
        <v>338</v>
      </c>
    </row>
    <row r="733" customFormat="false" ht="15" hidden="false" customHeight="false" outlineLevel="0" collapsed="false">
      <c r="A733" s="16" t="s">
        <v>2590</v>
      </c>
      <c r="B733" s="16" t="s">
        <v>468</v>
      </c>
      <c r="C733" s="16"/>
      <c r="D733" s="16" t="s">
        <v>469</v>
      </c>
      <c r="E733" s="16" t="s">
        <v>375</v>
      </c>
      <c r="F733" s="16" t="s">
        <v>359</v>
      </c>
      <c r="G733" s="17" t="n">
        <v>46291.1719212963</v>
      </c>
      <c r="H733" s="17" t="n">
        <v>46291.4309490741</v>
      </c>
      <c r="I733" s="18" t="n">
        <f aca="false">IF(H733="",ROUND((تنظیمات!$B$7-G733)*1440,0),ROUND((H733-G733)*1440,0))</f>
        <v>373</v>
      </c>
      <c r="J733" s="16" t="s">
        <v>334</v>
      </c>
      <c r="K733" s="16" t="s">
        <v>410</v>
      </c>
      <c r="L733" s="19" t="n">
        <v>0.883</v>
      </c>
      <c r="M733" s="19" t="n">
        <v>0.938</v>
      </c>
      <c r="N733" s="16" t="s">
        <v>335</v>
      </c>
      <c r="O733" s="16" t="s">
        <v>419</v>
      </c>
      <c r="P733" s="16" t="s">
        <v>402</v>
      </c>
      <c r="Q733" s="20" t="n">
        <v>46291</v>
      </c>
      <c r="R733" s="16" t="s">
        <v>2591</v>
      </c>
      <c r="S733" s="16" t="s">
        <v>404</v>
      </c>
      <c r="T733" s="17"/>
      <c r="U733" s="21" t="n">
        <v>1</v>
      </c>
      <c r="V733" s="21" t="n">
        <v>1</v>
      </c>
      <c r="W733" s="22" t="n">
        <v>3.7</v>
      </c>
      <c r="X733" s="16" t="s">
        <v>335</v>
      </c>
      <c r="Y733" s="16" t="s">
        <v>338</v>
      </c>
      <c r="Z733" s="16" t="s">
        <v>443</v>
      </c>
      <c r="AA733" s="16"/>
      <c r="AB733" s="23"/>
      <c r="AC733" s="17"/>
      <c r="AD733" s="16" t="s">
        <v>444</v>
      </c>
      <c r="AE733" s="16"/>
      <c r="AF733" s="16" t="str">
        <f aca="false">IF(COUNTIF(لیست_سفید!$A$2:$A$21,B733)&gt;0,"بله","خیر")</f>
        <v>خیر</v>
      </c>
      <c r="AG733" s="24" t="n">
        <f aca="false">IF(H733="","",IF(AD733="فیش مفقودی",تنظیمات!$B$6,(INT(I733/1440)*تنظیمات!$B$5+IF(MOD(I733,1440)&lt;=تنظیمات!$B$2,0,MIN(تنظیمات!$B$5,تنظیمات!$B$3+MAX(0,ROUNDUP((MOD(I733,1440)-60)/60,0))*تنظیمات!$B$4)))*INDEX(تعرفه!$B$2:$B$7,MATCH(AD733,تعرفه!$A$2:$A$7,0))))</f>
        <v>0</v>
      </c>
      <c r="AH733" s="24" t="n">
        <v>0</v>
      </c>
      <c r="AI733" s="24" t="n">
        <f aca="false">IF(AG733="","",AH733-AG733)</f>
        <v>0</v>
      </c>
      <c r="AJ733" s="21" t="n">
        <v>0</v>
      </c>
      <c r="AK733" s="21" t="n">
        <v>0</v>
      </c>
      <c r="AL733" s="16" t="s">
        <v>335</v>
      </c>
      <c r="AM733" s="16"/>
      <c r="AN733" s="16" t="s">
        <v>340</v>
      </c>
      <c r="AO733" s="16" t="s">
        <v>340</v>
      </c>
      <c r="AP733" s="16" t="s">
        <v>335</v>
      </c>
      <c r="AQ733" s="16"/>
      <c r="AR733" s="21" t="n">
        <f aca="false">IF(AND(T733&lt;&gt;"",H733&lt;&gt;""),IF(AND((T733-H733)*86400&gt;=0,(T733-H733)*86400&lt;تنظیمات!$B$13),1,0),0)</f>
        <v>0</v>
      </c>
      <c r="AS733" s="21" t="n">
        <f aca="false">IF(Z733="پوز",IF(OR(AB733="",COUNTIF(پوزها!$A$2:$A$5,AA733)=0),1,0),0)</f>
        <v>0</v>
      </c>
      <c r="AT733" s="21" t="n">
        <f aca="false">IF(AI733="",0,IF(AI733&gt;0,1,0))</f>
        <v>0</v>
      </c>
      <c r="AU733" s="21" t="n">
        <f aca="false">IF(AI733="",0,IF(AI733&lt;0,1,0))</f>
        <v>0</v>
      </c>
      <c r="AV733" s="21" t="n">
        <f aca="false">IF(U733&gt;V733,1,0)</f>
        <v>0</v>
      </c>
      <c r="AW733" s="21" t="n">
        <f aca="false">IF(OR(W733&gt;تنظیمات!$B$8,X733="بله"),1,0)</f>
        <v>0</v>
      </c>
      <c r="AX733" s="21" t="n">
        <f aca="false">IF(AND(N733="بله",L733&gt;تنظیمات!$B$9),1,0)</f>
        <v>0</v>
      </c>
      <c r="AY733" s="21" t="n">
        <f aca="false">IF(Y733="معکوس",1,0)</f>
        <v>0</v>
      </c>
      <c r="AZ733" s="21" t="n">
        <f aca="false">IF(ABS(AJ733)&gt;تنظیمات!$B$10,1,0)</f>
        <v>0</v>
      </c>
      <c r="BA733" s="21" t="n">
        <f aca="false">IF(AND(OR(AD733="رایگان/VIP",AD733="جانباز"),AF733="خیر"),1,0)</f>
        <v>0</v>
      </c>
      <c r="BB733" s="21" t="n">
        <f aca="false">IF(AE733="",0,IF(COUNTIF($AE$2:$AE$1001,AE733)&gt;1,1,0))</f>
        <v>0</v>
      </c>
      <c r="BC733" s="21" t="n">
        <f aca="false">IF(AND(H733="",I733&gt;تنظیمات!$B$12*60,AM733="خالی"),1,0)</f>
        <v>0</v>
      </c>
      <c r="BD733" s="21" t="n">
        <f aca="false">IF(AND(AP733="بله",I733&lt;تنظیمات!$B$14,AO733="خیر"),1,0)</f>
        <v>0</v>
      </c>
      <c r="BE733" s="21" t="n">
        <f aca="false">IF(AN733="خیر",1,0)</f>
        <v>0</v>
      </c>
      <c r="BF733" s="21" t="n">
        <f aca="false">IF(AND(AD733="فیش مفقودی",AQ733="بله",I733&gt;تنظیمات!$B$12*60),1,0)</f>
        <v>0</v>
      </c>
      <c r="BG733" s="21" t="n">
        <f aca="false">IF(AND(AK733&gt;تنظیمات!$B$11,AL733="بله"),1,0)</f>
        <v>0</v>
      </c>
      <c r="BH733" s="21" t="n">
        <f aca="false">MIN(100,AR733*تنظیمات!$B$21+AS733*تنظیمات!$B$22+AT733*تنظیمات!$B$23+AU733*تنظیمات!$B$24+AV733*تنظیمات!$B$25+AW733*تنظیمات!$B$26+AX733*تنظیمات!$B$27+AY733*تنظیمات!$B$28+AZ733*تنظیمات!$B$29+BA733*تنظیمات!$B$30+BB733*تنظیمات!$B$31+BC733*تنظیمات!$B$32+BD733*تنظیمات!$B$33+BE733*تنظیمات!$B$34+BF733*تنظیمات!$B$35+BG733*تنظیمات!$B$36)</f>
        <v>0</v>
      </c>
      <c r="BI733" s="16" t="str">
        <f aca="false">IF(BH733&gt;=60,"بحرانی",IF(BH733&gt;=30,"مشکوک",IF(BH733&gt;0,"هشدار","عادی")))</f>
        <v>عادی</v>
      </c>
      <c r="BJ733" s="16" t="s">
        <v>338</v>
      </c>
    </row>
    <row r="734" customFormat="false" ht="15" hidden="false" customHeight="false" outlineLevel="0" collapsed="false">
      <c r="A734" s="16" t="s">
        <v>2592</v>
      </c>
      <c r="B734" s="16" t="s">
        <v>624</v>
      </c>
      <c r="C734" s="16"/>
      <c r="D734" s="16" t="s">
        <v>469</v>
      </c>
      <c r="E734" s="16" t="s">
        <v>332</v>
      </c>
      <c r="F734" s="16" t="s">
        <v>359</v>
      </c>
      <c r="G734" s="17" t="n">
        <v>46291.2139814815</v>
      </c>
      <c r="H734" s="17" t="n">
        <v>46291.4181481482</v>
      </c>
      <c r="I734" s="18" t="n">
        <f aca="false">IF(H734="",ROUND((تنظیمات!$B$7-G734)*1440,0),ROUND((H734-G734)*1440,0))</f>
        <v>294</v>
      </c>
      <c r="J734" s="16" t="s">
        <v>334</v>
      </c>
      <c r="K734" s="16" t="s">
        <v>400</v>
      </c>
      <c r="L734" s="19" t="n">
        <v>0.923</v>
      </c>
      <c r="M734" s="19" t="n">
        <v>0.954</v>
      </c>
      <c r="N734" s="16" t="s">
        <v>335</v>
      </c>
      <c r="O734" s="16" t="s">
        <v>401</v>
      </c>
      <c r="P734" s="16" t="s">
        <v>402</v>
      </c>
      <c r="Q734" s="20" t="n">
        <v>46291</v>
      </c>
      <c r="R734" s="16" t="s">
        <v>2593</v>
      </c>
      <c r="S734" s="16" t="s">
        <v>404</v>
      </c>
      <c r="T734" s="17"/>
      <c r="U734" s="21" t="n">
        <v>1</v>
      </c>
      <c r="V734" s="21" t="n">
        <v>1</v>
      </c>
      <c r="W734" s="22" t="n">
        <v>5.3</v>
      </c>
      <c r="X734" s="16" t="s">
        <v>335</v>
      </c>
      <c r="Y734" s="16" t="s">
        <v>338</v>
      </c>
      <c r="Z734" s="16" t="s">
        <v>413</v>
      </c>
      <c r="AA734" s="16" t="s">
        <v>427</v>
      </c>
      <c r="AB734" s="23"/>
      <c r="AC734" s="17" t="n">
        <v>46291.4173726852</v>
      </c>
      <c r="AD734" s="16" t="s">
        <v>338</v>
      </c>
      <c r="AE734" s="16"/>
      <c r="AF734" s="16" t="str">
        <f aca="false">IF(COUNTIF(لیست_سفید!$A$2:$A$21,B734)&gt;0,"بله","خیر")</f>
        <v>خیر</v>
      </c>
      <c r="AG734" s="24" t="n">
        <f aca="false">IF(H734="","",IF(AD734="فیش مفقودی",تنظیمات!$B$6,(INT(I734/1440)*تنظیمات!$B$5+IF(MOD(I734,1440)&lt;=تنظیمات!$B$2,0,MIN(تنظیمات!$B$5,تنظیمات!$B$3+MAX(0,ROUNDUP((MOD(I734,1440)-60)/60,0))*تنظیمات!$B$4)))*INDEX(تعرفه!$B$2:$B$7,MATCH(AD734,تعرفه!$A$2:$A$7,0))))</f>
        <v>76000</v>
      </c>
      <c r="AH734" s="24" t="n">
        <v>76000</v>
      </c>
      <c r="AI734" s="24" t="n">
        <f aca="false">IF(AG734="","",AH734-AG734)</f>
        <v>0</v>
      </c>
      <c r="AJ734" s="21" t="n">
        <v>0</v>
      </c>
      <c r="AK734" s="21" t="n">
        <v>0</v>
      </c>
      <c r="AL734" s="16" t="s">
        <v>335</v>
      </c>
      <c r="AM734" s="16"/>
      <c r="AN734" s="16" t="s">
        <v>340</v>
      </c>
      <c r="AO734" s="16" t="s">
        <v>340</v>
      </c>
      <c r="AP734" s="16" t="s">
        <v>335</v>
      </c>
      <c r="AQ734" s="16"/>
      <c r="AR734" s="21" t="n">
        <f aca="false">IF(AND(T734&lt;&gt;"",H734&lt;&gt;""),IF(AND((T734-H734)*86400&gt;=0,(T734-H734)*86400&lt;تنظیمات!$B$13),1,0),0)</f>
        <v>0</v>
      </c>
      <c r="AS734" s="21" t="n">
        <f aca="false">IF(Z734="پوز",IF(OR(AB734="",COUNTIF(پوزها!$A$2:$A$5,AA734)=0),1,0),0)</f>
        <v>1</v>
      </c>
      <c r="AT734" s="21" t="n">
        <f aca="false">IF(AI734="",0,IF(AI734&gt;0,1,0))</f>
        <v>0</v>
      </c>
      <c r="AU734" s="21" t="n">
        <f aca="false">IF(AI734="",0,IF(AI734&lt;0,1,0))</f>
        <v>0</v>
      </c>
      <c r="AV734" s="21" t="n">
        <f aca="false">IF(U734&gt;V734,1,0)</f>
        <v>0</v>
      </c>
      <c r="AW734" s="21" t="n">
        <f aca="false">IF(OR(W734&gt;تنظیمات!$B$8,X734="بله"),1,0)</f>
        <v>0</v>
      </c>
      <c r="AX734" s="21" t="n">
        <f aca="false">IF(AND(N734="بله",L734&gt;تنظیمات!$B$9),1,0)</f>
        <v>0</v>
      </c>
      <c r="AY734" s="21" t="n">
        <f aca="false">IF(Y734="معکوس",1,0)</f>
        <v>0</v>
      </c>
      <c r="AZ734" s="21" t="n">
        <f aca="false">IF(ABS(AJ734)&gt;تنظیمات!$B$10,1,0)</f>
        <v>0</v>
      </c>
      <c r="BA734" s="21" t="n">
        <f aca="false">IF(AND(OR(AD734="رایگان/VIP",AD734="جانباز"),AF734="خیر"),1,0)</f>
        <v>0</v>
      </c>
      <c r="BB734" s="21" t="n">
        <f aca="false">IF(AE734="",0,IF(COUNTIF($AE$2:$AE$1001,AE734)&gt;1,1,0))</f>
        <v>0</v>
      </c>
      <c r="BC734" s="21" t="n">
        <f aca="false">IF(AND(H734="",I734&gt;تنظیمات!$B$12*60,AM734="خالی"),1,0)</f>
        <v>0</v>
      </c>
      <c r="BD734" s="21" t="n">
        <f aca="false">IF(AND(AP734="بله",I734&lt;تنظیمات!$B$14,AO734="خیر"),1,0)</f>
        <v>0</v>
      </c>
      <c r="BE734" s="21" t="n">
        <f aca="false">IF(AN734="خیر",1,0)</f>
        <v>0</v>
      </c>
      <c r="BF734" s="21" t="n">
        <f aca="false">IF(AND(AD734="فیش مفقودی",AQ734="بله",I734&gt;تنظیمات!$B$12*60),1,0)</f>
        <v>0</v>
      </c>
      <c r="BG734" s="21" t="n">
        <f aca="false">IF(AND(AK734&gt;تنظیمات!$B$11,AL734="بله"),1,0)</f>
        <v>0</v>
      </c>
      <c r="BH734" s="21" t="n">
        <f aca="false">MIN(100,AR734*تنظیمات!$B$21+AS734*تنظیمات!$B$22+AT734*تنظیمات!$B$23+AU734*تنظیمات!$B$24+AV734*تنظیمات!$B$25+AW734*تنظیمات!$B$26+AX734*تنظیمات!$B$27+AY734*تنظیمات!$B$28+AZ734*تنظیمات!$B$29+BA734*تنظیمات!$B$30+BB734*تنظیمات!$B$31+BC734*تنظیمات!$B$32+BD734*تنظیمات!$B$33+BE734*تنظیمات!$B$34+BF734*تنظیمات!$B$35+BG734*تنظیمات!$B$36)</f>
        <v>35</v>
      </c>
      <c r="BI734" s="16" t="str">
        <f aca="false">IF(BH734&gt;=60,"بحرانی",IF(BH734&gt;=30,"مشکوک",IF(BH734&gt;0,"هشدار","عادی")))</f>
        <v>مشکوک</v>
      </c>
      <c r="BJ734" s="16" t="s">
        <v>722</v>
      </c>
    </row>
    <row r="735" customFormat="false" ht="15" hidden="false" customHeight="false" outlineLevel="0" collapsed="false">
      <c r="A735" s="16" t="s">
        <v>2594</v>
      </c>
      <c r="B735" s="16" t="s">
        <v>2217</v>
      </c>
      <c r="C735" s="16"/>
      <c r="D735" s="16" t="s">
        <v>382</v>
      </c>
      <c r="E735" s="16" t="s">
        <v>375</v>
      </c>
      <c r="F735" s="16" t="s">
        <v>333</v>
      </c>
      <c r="G735" s="17" t="n">
        <v>46291.2394675926</v>
      </c>
      <c r="H735" s="17" t="n">
        <v>46291.4491898148</v>
      </c>
      <c r="I735" s="18" t="n">
        <f aca="false">IF(H735="",ROUND((تنظیمات!$B$7-G735)*1440,0),ROUND((H735-G735)*1440,0))</f>
        <v>302</v>
      </c>
      <c r="J735" s="16" t="s">
        <v>334</v>
      </c>
      <c r="K735" s="16" t="s">
        <v>410</v>
      </c>
      <c r="L735" s="19" t="n">
        <v>0.951</v>
      </c>
      <c r="M735" s="19" t="n">
        <v>0.982</v>
      </c>
      <c r="N735" s="16" t="s">
        <v>335</v>
      </c>
      <c r="O735" s="16" t="s">
        <v>419</v>
      </c>
      <c r="P735" s="16" t="s">
        <v>402</v>
      </c>
      <c r="Q735" s="20" t="n">
        <v>46291</v>
      </c>
      <c r="R735" s="16" t="s">
        <v>2595</v>
      </c>
      <c r="S735" s="16" t="s">
        <v>404</v>
      </c>
      <c r="T735" s="17"/>
      <c r="U735" s="21" t="n">
        <v>1</v>
      </c>
      <c r="V735" s="21" t="n">
        <v>1</v>
      </c>
      <c r="W735" s="22" t="n">
        <v>3.8</v>
      </c>
      <c r="X735" s="16" t="s">
        <v>335</v>
      </c>
      <c r="Y735" s="16" t="s">
        <v>338</v>
      </c>
      <c r="Z735" s="16" t="s">
        <v>465</v>
      </c>
      <c r="AA735" s="16"/>
      <c r="AB735" s="23"/>
      <c r="AC735" s="17"/>
      <c r="AD735" s="16" t="s">
        <v>466</v>
      </c>
      <c r="AE735" s="16"/>
      <c r="AF735" s="16" t="str">
        <f aca="false">IF(COUNTIF(لیست_سفید!$A$2:$A$21,B735)&gt;0,"بله","خیر")</f>
        <v>بله</v>
      </c>
      <c r="AG735" s="24" t="n">
        <f aca="false">IF(H735="","",IF(AD735="فیش مفقودی",تنظیمات!$B$6,(INT(I735/1440)*تنظیمات!$B$5+IF(MOD(I735,1440)&lt;=تنظیمات!$B$2,0,MIN(تنظیمات!$B$5,تنظیمات!$B$3+MAX(0,ROUNDUP((MOD(I735,1440)-60)/60,0))*تنظیمات!$B$4)))*INDEX(تعرفه!$B$2:$B$7,MATCH(AD735,تعرفه!$A$2:$A$7,0))))</f>
        <v>0</v>
      </c>
      <c r="AH735" s="24" t="n">
        <v>0</v>
      </c>
      <c r="AI735" s="24" t="n">
        <f aca="false">IF(AG735="","",AH735-AG735)</f>
        <v>0</v>
      </c>
      <c r="AJ735" s="21" t="n">
        <v>-1</v>
      </c>
      <c r="AK735" s="21" t="n">
        <v>0</v>
      </c>
      <c r="AL735" s="16" t="s">
        <v>335</v>
      </c>
      <c r="AM735" s="16"/>
      <c r="AN735" s="16" t="s">
        <v>340</v>
      </c>
      <c r="AO735" s="16" t="s">
        <v>340</v>
      </c>
      <c r="AP735" s="16" t="s">
        <v>335</v>
      </c>
      <c r="AQ735" s="16"/>
      <c r="AR735" s="21" t="n">
        <f aca="false">IF(AND(T735&lt;&gt;"",H735&lt;&gt;""),IF(AND((T735-H735)*86400&gt;=0,(T735-H735)*86400&lt;تنظیمات!$B$13),1,0),0)</f>
        <v>0</v>
      </c>
      <c r="AS735" s="21" t="n">
        <f aca="false">IF(Z735="پوز",IF(OR(AB735="",COUNTIF(پوزها!$A$2:$A$5,AA735)=0),1,0),0)</f>
        <v>0</v>
      </c>
      <c r="AT735" s="21" t="n">
        <f aca="false">IF(AI735="",0,IF(AI735&gt;0,1,0))</f>
        <v>0</v>
      </c>
      <c r="AU735" s="21" t="n">
        <f aca="false">IF(AI735="",0,IF(AI735&lt;0,1,0))</f>
        <v>0</v>
      </c>
      <c r="AV735" s="21" t="n">
        <f aca="false">IF(U735&gt;V735,1,0)</f>
        <v>0</v>
      </c>
      <c r="AW735" s="21" t="n">
        <f aca="false">IF(OR(W735&gt;تنظیمات!$B$8,X735="بله"),1,0)</f>
        <v>0</v>
      </c>
      <c r="AX735" s="21" t="n">
        <f aca="false">IF(AND(N735="بله",L735&gt;تنظیمات!$B$9),1,0)</f>
        <v>0</v>
      </c>
      <c r="AY735" s="21" t="n">
        <f aca="false">IF(Y735="معکوس",1,0)</f>
        <v>0</v>
      </c>
      <c r="AZ735" s="21" t="n">
        <f aca="false">IF(ABS(AJ735)&gt;تنظیمات!$B$10,1,0)</f>
        <v>0</v>
      </c>
      <c r="BA735" s="21" t="n">
        <f aca="false">IF(AND(OR(AD735="رایگان/VIP",AD735="جانباز"),AF735="خیر"),1,0)</f>
        <v>0</v>
      </c>
      <c r="BB735" s="21" t="n">
        <f aca="false">IF(AE735="",0,IF(COUNTIF($AE$2:$AE$1001,AE735)&gt;1,1,0))</f>
        <v>0</v>
      </c>
      <c r="BC735" s="21" t="n">
        <f aca="false">IF(AND(H735="",I735&gt;تنظیمات!$B$12*60,AM735="خالی"),1,0)</f>
        <v>0</v>
      </c>
      <c r="BD735" s="21" t="n">
        <f aca="false">IF(AND(AP735="بله",I735&lt;تنظیمات!$B$14,AO735="خیر"),1,0)</f>
        <v>0</v>
      </c>
      <c r="BE735" s="21" t="n">
        <f aca="false">IF(AN735="خیر",1,0)</f>
        <v>0</v>
      </c>
      <c r="BF735" s="21" t="n">
        <f aca="false">IF(AND(AD735="فیش مفقودی",AQ735="بله",I735&gt;تنظیمات!$B$12*60),1,0)</f>
        <v>0</v>
      </c>
      <c r="BG735" s="21" t="n">
        <f aca="false">IF(AND(AK735&gt;تنظیمات!$B$11,AL735="بله"),1,0)</f>
        <v>0</v>
      </c>
      <c r="BH735" s="21" t="n">
        <f aca="false">MIN(100,AR735*تنظیمات!$B$21+AS735*تنظیمات!$B$22+AT735*تنظیمات!$B$23+AU735*تنظیمات!$B$24+AV735*تنظیمات!$B$25+AW735*تنظیمات!$B$26+AX735*تنظیمات!$B$27+AY735*تنظیمات!$B$28+AZ735*تنظیمات!$B$29+BA735*تنظیمات!$B$30+BB735*تنظیمات!$B$31+BC735*تنظیمات!$B$32+BD735*تنظیمات!$B$33+BE735*تنظیمات!$B$34+BF735*تنظیمات!$B$35+BG735*تنظیمات!$B$36)</f>
        <v>0</v>
      </c>
      <c r="BI735" s="16" t="str">
        <f aca="false">IF(BH735&gt;=60,"بحرانی",IF(BH735&gt;=30,"مشکوک",IF(BH735&gt;0,"هشدار","عادی")))</f>
        <v>عادی</v>
      </c>
      <c r="BJ735" s="16" t="s">
        <v>338</v>
      </c>
    </row>
    <row r="736" customFormat="false" ht="15" hidden="false" customHeight="false" outlineLevel="0" collapsed="false">
      <c r="A736" s="16" t="s">
        <v>2596</v>
      </c>
      <c r="B736" s="16" t="s">
        <v>385</v>
      </c>
      <c r="C736" s="16"/>
      <c r="D736" s="16" t="s">
        <v>386</v>
      </c>
      <c r="E736" s="16" t="s">
        <v>351</v>
      </c>
      <c r="F736" s="16" t="s">
        <v>333</v>
      </c>
      <c r="G736" s="17" t="n">
        <v>46291.260625</v>
      </c>
      <c r="H736" s="17" t="n">
        <v>46291.3404861111</v>
      </c>
      <c r="I736" s="18" t="n">
        <f aca="false">IF(H736="",ROUND((تنظیمات!$B$7-G736)*1440,0),ROUND((H736-G736)*1440,0))</f>
        <v>115</v>
      </c>
      <c r="J736" s="16" t="s">
        <v>334</v>
      </c>
      <c r="K736" s="16" t="s">
        <v>400</v>
      </c>
      <c r="L736" s="19" t="n">
        <v>0.934</v>
      </c>
      <c r="M736" s="19" t="n">
        <v>0.936</v>
      </c>
      <c r="N736" s="16" t="s">
        <v>335</v>
      </c>
      <c r="O736" s="16" t="s">
        <v>401</v>
      </c>
      <c r="P736" s="16" t="s">
        <v>402</v>
      </c>
      <c r="Q736" s="20" t="n">
        <v>46291</v>
      </c>
      <c r="R736" s="16" t="s">
        <v>2597</v>
      </c>
      <c r="S736" s="16" t="s">
        <v>404</v>
      </c>
      <c r="T736" s="17"/>
      <c r="U736" s="21" t="n">
        <v>1</v>
      </c>
      <c r="V736" s="21" t="n">
        <v>1</v>
      </c>
      <c r="W736" s="22" t="n">
        <v>4.2</v>
      </c>
      <c r="X736" s="16" t="s">
        <v>335</v>
      </c>
      <c r="Y736" s="16" t="s">
        <v>338</v>
      </c>
      <c r="Z736" s="16" t="s">
        <v>413</v>
      </c>
      <c r="AA736" s="16" t="s">
        <v>427</v>
      </c>
      <c r="AB736" s="23" t="s">
        <v>2598</v>
      </c>
      <c r="AC736" s="17" t="n">
        <v>46291.3400694444</v>
      </c>
      <c r="AD736" s="16" t="s">
        <v>338</v>
      </c>
      <c r="AE736" s="16"/>
      <c r="AF736" s="16" t="str">
        <f aca="false">IF(COUNTIF(لیست_سفید!$A$2:$A$21,B736)&gt;0,"بله","خیر")</f>
        <v>خیر</v>
      </c>
      <c r="AG736" s="24" t="n">
        <f aca="false">IF(H736="","",IF(AD736="فیش مفقودی",تنظیمات!$B$6,(INT(I736/1440)*تنظیمات!$B$5+IF(MOD(I736,1440)&lt;=تنظیمات!$B$2,0,MIN(تنظیمات!$B$5,تنظیمات!$B$3+MAX(0,ROUNDUP((MOD(I736,1440)-60)/60,0))*تنظیمات!$B$4)))*INDEX(تعرفه!$B$2:$B$7,MATCH(AD736,تعرفه!$A$2:$A$7,0))))</f>
        <v>34000</v>
      </c>
      <c r="AH736" s="24" t="n">
        <v>34000</v>
      </c>
      <c r="AI736" s="24" t="n">
        <f aca="false">IF(AG736="","",AH736-AG736)</f>
        <v>0</v>
      </c>
      <c r="AJ736" s="21" t="n">
        <v>1</v>
      </c>
      <c r="AK736" s="21" t="n">
        <v>0</v>
      </c>
      <c r="AL736" s="16" t="s">
        <v>335</v>
      </c>
      <c r="AM736" s="16"/>
      <c r="AN736" s="16" t="s">
        <v>340</v>
      </c>
      <c r="AO736" s="16" t="s">
        <v>340</v>
      </c>
      <c r="AP736" s="16" t="s">
        <v>335</v>
      </c>
      <c r="AQ736" s="16"/>
      <c r="AR736" s="21" t="n">
        <f aca="false">IF(AND(T736&lt;&gt;"",H736&lt;&gt;""),IF(AND((T736-H736)*86400&gt;=0,(T736-H736)*86400&lt;تنظیمات!$B$13),1,0),0)</f>
        <v>0</v>
      </c>
      <c r="AS736" s="21" t="n">
        <f aca="false">IF(Z736="پوز",IF(OR(AB736="",COUNTIF(پوزها!$A$2:$A$5,AA736)=0),1,0),0)</f>
        <v>0</v>
      </c>
      <c r="AT736" s="21" t="n">
        <f aca="false">IF(AI736="",0,IF(AI736&gt;0,1,0))</f>
        <v>0</v>
      </c>
      <c r="AU736" s="21" t="n">
        <f aca="false">IF(AI736="",0,IF(AI736&lt;0,1,0))</f>
        <v>0</v>
      </c>
      <c r="AV736" s="21" t="n">
        <f aca="false">IF(U736&gt;V736,1,0)</f>
        <v>0</v>
      </c>
      <c r="AW736" s="21" t="n">
        <f aca="false">IF(OR(W736&gt;تنظیمات!$B$8,X736="بله"),1,0)</f>
        <v>0</v>
      </c>
      <c r="AX736" s="21" t="n">
        <f aca="false">IF(AND(N736="بله",L736&gt;تنظیمات!$B$9),1,0)</f>
        <v>0</v>
      </c>
      <c r="AY736" s="21" t="n">
        <f aca="false">IF(Y736="معکوس",1,0)</f>
        <v>0</v>
      </c>
      <c r="AZ736" s="21" t="n">
        <f aca="false">IF(ABS(AJ736)&gt;تنظیمات!$B$10,1,0)</f>
        <v>0</v>
      </c>
      <c r="BA736" s="21" t="n">
        <f aca="false">IF(AND(OR(AD736="رایگان/VIP",AD736="جانباز"),AF736="خیر"),1,0)</f>
        <v>0</v>
      </c>
      <c r="BB736" s="21" t="n">
        <f aca="false">IF(AE736="",0,IF(COUNTIF($AE$2:$AE$1001,AE736)&gt;1,1,0))</f>
        <v>0</v>
      </c>
      <c r="BC736" s="21" t="n">
        <f aca="false">IF(AND(H736="",I736&gt;تنظیمات!$B$12*60,AM736="خالی"),1,0)</f>
        <v>0</v>
      </c>
      <c r="BD736" s="21" t="n">
        <f aca="false">IF(AND(AP736="بله",I736&lt;تنظیمات!$B$14,AO736="خیر"),1,0)</f>
        <v>0</v>
      </c>
      <c r="BE736" s="21" t="n">
        <f aca="false">IF(AN736="خیر",1,0)</f>
        <v>0</v>
      </c>
      <c r="BF736" s="21" t="n">
        <f aca="false">IF(AND(AD736="فیش مفقودی",AQ736="بله",I736&gt;تنظیمات!$B$12*60),1,0)</f>
        <v>0</v>
      </c>
      <c r="BG736" s="21" t="n">
        <f aca="false">IF(AND(AK736&gt;تنظیمات!$B$11,AL736="بله"),1,0)</f>
        <v>0</v>
      </c>
      <c r="BH736" s="21" t="n">
        <f aca="false">MIN(100,AR736*تنظیمات!$B$21+AS736*تنظیمات!$B$22+AT736*تنظیمات!$B$23+AU736*تنظیمات!$B$24+AV736*تنظیمات!$B$25+AW736*تنظیمات!$B$26+AX736*تنظیمات!$B$27+AY736*تنظیمات!$B$28+AZ736*تنظیمات!$B$29+BA736*تنظیمات!$B$30+BB736*تنظیمات!$B$31+BC736*تنظیمات!$B$32+BD736*تنظیمات!$B$33+BE736*تنظیمات!$B$34+BF736*تنظیمات!$B$35+BG736*تنظیمات!$B$36)</f>
        <v>0</v>
      </c>
      <c r="BI736" s="16" t="str">
        <f aca="false">IF(BH736&gt;=60,"بحرانی",IF(BH736&gt;=30,"مشکوک",IF(BH736&gt;0,"هشدار","عادی")))</f>
        <v>عادی</v>
      </c>
      <c r="BJ736" s="16" t="s">
        <v>338</v>
      </c>
    </row>
    <row r="737" customFormat="false" ht="15" hidden="false" customHeight="false" outlineLevel="0" collapsed="false">
      <c r="A737" s="16" t="s">
        <v>2599</v>
      </c>
      <c r="B737" s="16" t="s">
        <v>2224</v>
      </c>
      <c r="C737" s="16"/>
      <c r="D737" s="16" t="s">
        <v>374</v>
      </c>
      <c r="E737" s="16" t="s">
        <v>345</v>
      </c>
      <c r="F737" s="16" t="s">
        <v>359</v>
      </c>
      <c r="G737" s="17" t="n">
        <v>46291.2629050926</v>
      </c>
      <c r="H737" s="17" t="n">
        <v>46291.407349537</v>
      </c>
      <c r="I737" s="18" t="n">
        <f aca="false">IF(H737="",ROUND((تنظیمات!$B$7-G737)*1440,0),ROUND((H737-G737)*1440,0))</f>
        <v>208</v>
      </c>
      <c r="J737" s="16" t="s">
        <v>334</v>
      </c>
      <c r="K737" s="16" t="s">
        <v>410</v>
      </c>
      <c r="L737" s="19" t="n">
        <v>0.927</v>
      </c>
      <c r="M737" s="19" t="n">
        <v>0.922</v>
      </c>
      <c r="N737" s="16" t="s">
        <v>335</v>
      </c>
      <c r="O737" s="16" t="s">
        <v>419</v>
      </c>
      <c r="P737" s="16" t="s">
        <v>402</v>
      </c>
      <c r="Q737" s="20" t="n">
        <v>46291</v>
      </c>
      <c r="R737" s="16" t="s">
        <v>2600</v>
      </c>
      <c r="S737" s="16" t="s">
        <v>404</v>
      </c>
      <c r="T737" s="17"/>
      <c r="U737" s="21" t="n">
        <v>1</v>
      </c>
      <c r="V737" s="21" t="n">
        <v>1</v>
      </c>
      <c r="W737" s="22" t="n">
        <v>4.3</v>
      </c>
      <c r="X737" s="16" t="s">
        <v>335</v>
      </c>
      <c r="Y737" s="16" t="s">
        <v>338</v>
      </c>
      <c r="Z737" s="16" t="s">
        <v>413</v>
      </c>
      <c r="AA737" s="16" t="s">
        <v>414</v>
      </c>
      <c r="AB737" s="23" t="s">
        <v>2601</v>
      </c>
      <c r="AC737" s="17" t="n">
        <v>46291.4066898148</v>
      </c>
      <c r="AD737" s="16" t="s">
        <v>338</v>
      </c>
      <c r="AE737" s="16"/>
      <c r="AF737" s="16" t="str">
        <f aca="false">IF(COUNTIF(لیست_سفید!$A$2:$A$21,B737)&gt;0,"بله","خیر")</f>
        <v>خیر</v>
      </c>
      <c r="AG737" s="24" t="n">
        <f aca="false">IF(H737="","",IF(AD737="فیش مفقودی",تنظیمات!$B$6,(INT(I737/1440)*تنظیمات!$B$5+IF(MOD(I737,1440)&lt;=تنظیمات!$B$2,0,MIN(تنظیمات!$B$5,تنظیمات!$B$3+MAX(0,ROUNDUP((MOD(I737,1440)-60)/60,0))*تنظیمات!$B$4)))*INDEX(تعرفه!$B$2:$B$7,MATCH(AD737,تعرفه!$A$2:$A$7,0))))</f>
        <v>62000</v>
      </c>
      <c r="AH737" s="24" t="n">
        <v>62000</v>
      </c>
      <c r="AI737" s="24" t="n">
        <f aca="false">IF(AG737="","",AH737-AG737)</f>
        <v>0</v>
      </c>
      <c r="AJ737" s="21" t="n">
        <v>-1440</v>
      </c>
      <c r="AK737" s="21" t="n">
        <v>0</v>
      </c>
      <c r="AL737" s="16" t="s">
        <v>335</v>
      </c>
      <c r="AM737" s="16"/>
      <c r="AN737" s="16" t="s">
        <v>340</v>
      </c>
      <c r="AO737" s="16" t="s">
        <v>340</v>
      </c>
      <c r="AP737" s="16" t="s">
        <v>335</v>
      </c>
      <c r="AQ737" s="16"/>
      <c r="AR737" s="21" t="n">
        <f aca="false">IF(AND(T737&lt;&gt;"",H737&lt;&gt;""),IF(AND((T737-H737)*86400&gt;=0,(T737-H737)*86400&lt;تنظیمات!$B$13),1,0),0)</f>
        <v>0</v>
      </c>
      <c r="AS737" s="21" t="n">
        <f aca="false">IF(Z737="پوز",IF(OR(AB737="",COUNTIF(پوزها!$A$2:$A$5,AA737)=0),1,0),0)</f>
        <v>0</v>
      </c>
      <c r="AT737" s="21" t="n">
        <f aca="false">IF(AI737="",0,IF(AI737&gt;0,1,0))</f>
        <v>0</v>
      </c>
      <c r="AU737" s="21" t="n">
        <f aca="false">IF(AI737="",0,IF(AI737&lt;0,1,0))</f>
        <v>0</v>
      </c>
      <c r="AV737" s="21" t="n">
        <f aca="false">IF(U737&gt;V737,1,0)</f>
        <v>0</v>
      </c>
      <c r="AW737" s="21" t="n">
        <f aca="false">IF(OR(W737&gt;تنظیمات!$B$8,X737="بله"),1,0)</f>
        <v>0</v>
      </c>
      <c r="AX737" s="21" t="n">
        <f aca="false">IF(AND(N737="بله",L737&gt;تنظیمات!$B$9),1,0)</f>
        <v>0</v>
      </c>
      <c r="AY737" s="21" t="n">
        <f aca="false">IF(Y737="معکوس",1,0)</f>
        <v>0</v>
      </c>
      <c r="AZ737" s="21" t="n">
        <f aca="false">IF(ABS(AJ737)&gt;تنظیمات!$B$10,1,0)</f>
        <v>1</v>
      </c>
      <c r="BA737" s="21" t="n">
        <f aca="false">IF(AND(OR(AD737="رایگان/VIP",AD737="جانباز"),AF737="خیر"),1,0)</f>
        <v>0</v>
      </c>
      <c r="BB737" s="21" t="n">
        <f aca="false">IF(AE737="",0,IF(COUNTIF($AE$2:$AE$1001,AE737)&gt;1,1,0))</f>
        <v>0</v>
      </c>
      <c r="BC737" s="21" t="n">
        <f aca="false">IF(AND(H737="",I737&gt;تنظیمات!$B$12*60,AM737="خالی"),1,0)</f>
        <v>0</v>
      </c>
      <c r="BD737" s="21" t="n">
        <f aca="false">IF(AND(AP737="بله",I737&lt;تنظیمات!$B$14,AO737="خیر"),1,0)</f>
        <v>0</v>
      </c>
      <c r="BE737" s="21" t="n">
        <f aca="false">IF(AN737="خیر",1,0)</f>
        <v>0</v>
      </c>
      <c r="BF737" s="21" t="n">
        <f aca="false">IF(AND(AD737="فیش مفقودی",AQ737="بله",I737&gt;تنظیمات!$B$12*60),1,0)</f>
        <v>0</v>
      </c>
      <c r="BG737" s="21" t="n">
        <f aca="false">IF(AND(AK737&gt;تنظیمات!$B$11,AL737="بله"),1,0)</f>
        <v>0</v>
      </c>
      <c r="BH737" s="21" t="n">
        <f aca="false">MIN(100,AR737*تنظیمات!$B$21+AS737*تنظیمات!$B$22+AT737*تنظیمات!$B$23+AU737*تنظیمات!$B$24+AV737*تنظیمات!$B$25+AW737*تنظیمات!$B$26+AX737*تنظیمات!$B$27+AY737*تنظیمات!$B$28+AZ737*تنظیمات!$B$29+BA737*تنظیمات!$B$30+BB737*تنظیمات!$B$31+BC737*تنظیمات!$B$32+BD737*تنظیمات!$B$33+BE737*تنظیمات!$B$34+BF737*تنظیمات!$B$35+BG737*تنظیمات!$B$36)</f>
        <v>30</v>
      </c>
      <c r="BI737" s="16" t="str">
        <f aca="false">IF(BH737&gt;=60,"بحرانی",IF(BH737&gt;=30,"مشکوک",IF(BH737&gt;0,"هشدار","عادی")))</f>
        <v>مشکوک</v>
      </c>
      <c r="BJ737" s="16" t="s">
        <v>939</v>
      </c>
    </row>
    <row r="738" customFormat="false" ht="15" hidden="false" customHeight="false" outlineLevel="0" collapsed="false">
      <c r="A738" s="16" t="s">
        <v>2602</v>
      </c>
      <c r="B738" s="16" t="s">
        <v>889</v>
      </c>
      <c r="C738" s="16"/>
      <c r="D738" s="16" t="s">
        <v>440</v>
      </c>
      <c r="E738" s="16" t="s">
        <v>390</v>
      </c>
      <c r="F738" s="16" t="s">
        <v>359</v>
      </c>
      <c r="G738" s="17" t="n">
        <v>46291.2688078704</v>
      </c>
      <c r="H738" s="17" t="n">
        <v>46293.6111689815</v>
      </c>
      <c r="I738" s="18" t="n">
        <f aca="false">IF(H738="",ROUND((تنظیمات!$B$7-G738)*1440,0),ROUND((H738-G738)*1440,0))</f>
        <v>3373</v>
      </c>
      <c r="J738" s="16" t="s">
        <v>346</v>
      </c>
      <c r="K738" s="16" t="s">
        <v>400</v>
      </c>
      <c r="L738" s="19" t="n">
        <v>0.995</v>
      </c>
      <c r="M738" s="19" t="n">
        <v>0.995</v>
      </c>
      <c r="N738" s="16" t="s">
        <v>335</v>
      </c>
      <c r="O738" s="16" t="s">
        <v>677</v>
      </c>
      <c r="P738" s="16" t="s">
        <v>420</v>
      </c>
      <c r="Q738" s="20" t="n">
        <v>46293</v>
      </c>
      <c r="R738" s="16" t="s">
        <v>2603</v>
      </c>
      <c r="S738" s="16" t="s">
        <v>404</v>
      </c>
      <c r="T738" s="17"/>
      <c r="U738" s="21" t="n">
        <v>1</v>
      </c>
      <c r="V738" s="21" t="n">
        <v>1</v>
      </c>
      <c r="W738" s="22" t="n">
        <v>5</v>
      </c>
      <c r="X738" s="16" t="s">
        <v>335</v>
      </c>
      <c r="Y738" s="16" t="s">
        <v>338</v>
      </c>
      <c r="Z738" s="16" t="s">
        <v>405</v>
      </c>
      <c r="AA738" s="16"/>
      <c r="AB738" s="23"/>
      <c r="AC738" s="17"/>
      <c r="AD738" s="16" t="s">
        <v>338</v>
      </c>
      <c r="AE738" s="16"/>
      <c r="AF738" s="16" t="str">
        <f aca="false">IF(COUNTIF(لیست_سفید!$A$2:$A$21,B738)&gt;0,"بله","خیر")</f>
        <v>خیر</v>
      </c>
      <c r="AG738" s="24" t="n">
        <f aca="false">IF(H738="","",IF(AD738="فیش مفقودی",تنظیمات!$B$6,(INT(I738/1440)*تنظیمات!$B$5+IF(MOD(I738,1440)&lt;=تنظیمات!$B$2,0,MIN(تنظیمات!$B$5,تنظیمات!$B$3+MAX(0,ROUNDUP((MOD(I738,1440)-60)/60,0))*تنظیمات!$B$4)))*INDEX(تعرفه!$B$2:$B$7,MATCH(AD738,تعرفه!$A$2:$A$7,0))))</f>
        <v>492000</v>
      </c>
      <c r="AH738" s="24" t="n">
        <v>492000</v>
      </c>
      <c r="AI738" s="24" t="n">
        <f aca="false">IF(AG738="","",AH738-AG738)</f>
        <v>0</v>
      </c>
      <c r="AJ738" s="21" t="n">
        <v>-3</v>
      </c>
      <c r="AK738" s="21" t="n">
        <v>0</v>
      </c>
      <c r="AL738" s="16" t="s">
        <v>335</v>
      </c>
      <c r="AM738" s="16"/>
      <c r="AN738" s="16" t="s">
        <v>340</v>
      </c>
      <c r="AO738" s="16" t="s">
        <v>340</v>
      </c>
      <c r="AP738" s="16" t="s">
        <v>335</v>
      </c>
      <c r="AQ738" s="16"/>
      <c r="AR738" s="21" t="n">
        <f aca="false">IF(AND(T738&lt;&gt;"",H738&lt;&gt;""),IF(AND((T738-H738)*86400&gt;=0,(T738-H738)*86400&lt;تنظیمات!$B$13),1,0),0)</f>
        <v>0</v>
      </c>
      <c r="AS738" s="21" t="n">
        <f aca="false">IF(Z738="پوز",IF(OR(AB738="",COUNTIF(پوزها!$A$2:$A$5,AA738)=0),1,0),0)</f>
        <v>0</v>
      </c>
      <c r="AT738" s="21" t="n">
        <f aca="false">IF(AI738="",0,IF(AI738&gt;0,1,0))</f>
        <v>0</v>
      </c>
      <c r="AU738" s="21" t="n">
        <f aca="false">IF(AI738="",0,IF(AI738&lt;0,1,0))</f>
        <v>0</v>
      </c>
      <c r="AV738" s="21" t="n">
        <f aca="false">IF(U738&gt;V738,1,0)</f>
        <v>0</v>
      </c>
      <c r="AW738" s="21" t="n">
        <f aca="false">IF(OR(W738&gt;تنظیمات!$B$8,X738="بله"),1,0)</f>
        <v>0</v>
      </c>
      <c r="AX738" s="21" t="n">
        <f aca="false">IF(AND(N738="بله",L738&gt;تنظیمات!$B$9),1,0)</f>
        <v>0</v>
      </c>
      <c r="AY738" s="21" t="n">
        <f aca="false">IF(Y738="معکوس",1,0)</f>
        <v>0</v>
      </c>
      <c r="AZ738" s="21" t="n">
        <f aca="false">IF(ABS(AJ738)&gt;تنظیمات!$B$10,1,0)</f>
        <v>0</v>
      </c>
      <c r="BA738" s="21" t="n">
        <f aca="false">IF(AND(OR(AD738="رایگان/VIP",AD738="جانباز"),AF738="خیر"),1,0)</f>
        <v>0</v>
      </c>
      <c r="BB738" s="21" t="n">
        <f aca="false">IF(AE738="",0,IF(COUNTIF($AE$2:$AE$1001,AE738)&gt;1,1,0))</f>
        <v>0</v>
      </c>
      <c r="BC738" s="21" t="n">
        <f aca="false">IF(AND(H738="",I738&gt;تنظیمات!$B$12*60,AM738="خالی"),1,0)</f>
        <v>0</v>
      </c>
      <c r="BD738" s="21" t="n">
        <f aca="false">IF(AND(AP738="بله",I738&lt;تنظیمات!$B$14,AO738="خیر"),1,0)</f>
        <v>0</v>
      </c>
      <c r="BE738" s="21" t="n">
        <f aca="false">IF(AN738="خیر",1,0)</f>
        <v>0</v>
      </c>
      <c r="BF738" s="21" t="n">
        <f aca="false">IF(AND(AD738="فیش مفقودی",AQ738="بله",I738&gt;تنظیمات!$B$12*60),1,0)</f>
        <v>0</v>
      </c>
      <c r="BG738" s="21" t="n">
        <f aca="false">IF(AND(AK738&gt;تنظیمات!$B$11,AL738="بله"),1,0)</f>
        <v>0</v>
      </c>
      <c r="BH738" s="21" t="n">
        <f aca="false">MIN(100,AR738*تنظیمات!$B$21+AS738*تنظیمات!$B$22+AT738*تنظیمات!$B$23+AU738*تنظیمات!$B$24+AV738*تنظیمات!$B$25+AW738*تنظیمات!$B$26+AX738*تنظیمات!$B$27+AY738*تنظیمات!$B$28+AZ738*تنظیمات!$B$29+BA738*تنظیمات!$B$30+BB738*تنظیمات!$B$31+BC738*تنظیمات!$B$32+BD738*تنظیمات!$B$33+BE738*تنظیمات!$B$34+BF738*تنظیمات!$B$35+BG738*تنظیمات!$B$36)</f>
        <v>0</v>
      </c>
      <c r="BI738" s="16" t="str">
        <f aca="false">IF(BH738&gt;=60,"بحرانی",IF(BH738&gt;=30,"مشکوک",IF(BH738&gt;0,"هشدار","عادی")))</f>
        <v>عادی</v>
      </c>
      <c r="BJ738" s="16" t="s">
        <v>338</v>
      </c>
    </row>
    <row r="739" customFormat="false" ht="15" hidden="false" customHeight="false" outlineLevel="0" collapsed="false">
      <c r="A739" s="16" t="s">
        <v>2604</v>
      </c>
      <c r="B739" s="16" t="s">
        <v>643</v>
      </c>
      <c r="C739" s="16"/>
      <c r="D739" s="16" t="s">
        <v>382</v>
      </c>
      <c r="E739" s="16" t="s">
        <v>345</v>
      </c>
      <c r="F739" s="16" t="s">
        <v>333</v>
      </c>
      <c r="G739" s="17" t="n">
        <v>46291.2828125</v>
      </c>
      <c r="H739" s="17" t="n">
        <v>46291.3092013889</v>
      </c>
      <c r="I739" s="18" t="n">
        <f aca="false">IF(H739="",ROUND((تنظیمات!$B$7-G739)*1440,0),ROUND((H739-G739)*1440,0))</f>
        <v>38</v>
      </c>
      <c r="J739" s="16" t="s">
        <v>334</v>
      </c>
      <c r="K739" s="16" t="s">
        <v>400</v>
      </c>
      <c r="L739" s="19" t="n">
        <v>0.941</v>
      </c>
      <c r="M739" s="19" t="n">
        <v>0.976</v>
      </c>
      <c r="N739" s="16" t="s">
        <v>335</v>
      </c>
      <c r="O739" s="16" t="s">
        <v>401</v>
      </c>
      <c r="P739" s="16" t="s">
        <v>402</v>
      </c>
      <c r="Q739" s="20" t="n">
        <v>46291</v>
      </c>
      <c r="R739" s="16" t="s">
        <v>2605</v>
      </c>
      <c r="S739" s="16" t="s">
        <v>404</v>
      </c>
      <c r="T739" s="17"/>
      <c r="U739" s="21" t="n">
        <v>1</v>
      </c>
      <c r="V739" s="21" t="n">
        <v>1</v>
      </c>
      <c r="W739" s="22" t="n">
        <v>6.4</v>
      </c>
      <c r="X739" s="16" t="s">
        <v>335</v>
      </c>
      <c r="Y739" s="16" t="s">
        <v>338</v>
      </c>
      <c r="Z739" s="16" t="s">
        <v>413</v>
      </c>
      <c r="AA739" s="16" t="s">
        <v>427</v>
      </c>
      <c r="AB739" s="23"/>
      <c r="AC739" s="17" t="n">
        <v>46291.3087037037</v>
      </c>
      <c r="AD739" s="16" t="s">
        <v>338</v>
      </c>
      <c r="AE739" s="16"/>
      <c r="AF739" s="16" t="str">
        <f aca="false">IF(COUNTIF(لیست_سفید!$A$2:$A$21,B739)&gt;0,"بله","خیر")</f>
        <v>خیر</v>
      </c>
      <c r="AG739" s="24" t="n">
        <f aca="false">IF(H739="","",IF(AD739="فیش مفقودی",تنظیمات!$B$6,(INT(I739/1440)*تنظیمات!$B$5+IF(MOD(I739,1440)&lt;=تنظیمات!$B$2,0,MIN(تنظیمات!$B$5,تنظیمات!$B$3+MAX(0,ROUNDUP((MOD(I739,1440)-60)/60,0))*تنظیمات!$B$4)))*INDEX(تعرفه!$B$2:$B$7,MATCH(AD739,تعرفه!$A$2:$A$7,0))))</f>
        <v>20000</v>
      </c>
      <c r="AH739" s="24" t="n">
        <v>20000</v>
      </c>
      <c r="AI739" s="24" t="n">
        <f aca="false">IF(AG739="","",AH739-AG739)</f>
        <v>0</v>
      </c>
      <c r="AJ739" s="21" t="n">
        <v>0</v>
      </c>
      <c r="AK739" s="21" t="n">
        <v>0</v>
      </c>
      <c r="AL739" s="16" t="s">
        <v>335</v>
      </c>
      <c r="AM739" s="16"/>
      <c r="AN739" s="16" t="s">
        <v>340</v>
      </c>
      <c r="AO739" s="16" t="s">
        <v>340</v>
      </c>
      <c r="AP739" s="16" t="s">
        <v>335</v>
      </c>
      <c r="AQ739" s="16"/>
      <c r="AR739" s="21" t="n">
        <f aca="false">IF(AND(T739&lt;&gt;"",H739&lt;&gt;""),IF(AND((T739-H739)*86400&gt;=0,(T739-H739)*86400&lt;تنظیمات!$B$13),1,0),0)</f>
        <v>0</v>
      </c>
      <c r="AS739" s="21" t="n">
        <f aca="false">IF(Z739="پوز",IF(OR(AB739="",COUNTIF(پوزها!$A$2:$A$5,AA739)=0),1,0),0)</f>
        <v>1</v>
      </c>
      <c r="AT739" s="21" t="n">
        <f aca="false">IF(AI739="",0,IF(AI739&gt;0,1,0))</f>
        <v>0</v>
      </c>
      <c r="AU739" s="21" t="n">
        <f aca="false">IF(AI739="",0,IF(AI739&lt;0,1,0))</f>
        <v>0</v>
      </c>
      <c r="AV739" s="21" t="n">
        <f aca="false">IF(U739&gt;V739,1,0)</f>
        <v>0</v>
      </c>
      <c r="AW739" s="21" t="n">
        <f aca="false">IF(OR(W739&gt;تنظیمات!$B$8,X739="بله"),1,0)</f>
        <v>0</v>
      </c>
      <c r="AX739" s="21" t="n">
        <f aca="false">IF(AND(N739="بله",L739&gt;تنظیمات!$B$9),1,0)</f>
        <v>0</v>
      </c>
      <c r="AY739" s="21" t="n">
        <f aca="false">IF(Y739="معکوس",1,0)</f>
        <v>0</v>
      </c>
      <c r="AZ739" s="21" t="n">
        <f aca="false">IF(ABS(AJ739)&gt;تنظیمات!$B$10,1,0)</f>
        <v>0</v>
      </c>
      <c r="BA739" s="21" t="n">
        <f aca="false">IF(AND(OR(AD739="رایگان/VIP",AD739="جانباز"),AF739="خیر"),1,0)</f>
        <v>0</v>
      </c>
      <c r="BB739" s="21" t="n">
        <f aca="false">IF(AE739="",0,IF(COUNTIF($AE$2:$AE$1001,AE739)&gt;1,1,0))</f>
        <v>0</v>
      </c>
      <c r="BC739" s="21" t="n">
        <f aca="false">IF(AND(H739="",I739&gt;تنظیمات!$B$12*60,AM739="خالی"),1,0)</f>
        <v>0</v>
      </c>
      <c r="BD739" s="21" t="n">
        <f aca="false">IF(AND(AP739="بله",I739&lt;تنظیمات!$B$14,AO739="خیر"),1,0)</f>
        <v>0</v>
      </c>
      <c r="BE739" s="21" t="n">
        <f aca="false">IF(AN739="خیر",1,0)</f>
        <v>0</v>
      </c>
      <c r="BF739" s="21" t="n">
        <f aca="false">IF(AND(AD739="فیش مفقودی",AQ739="بله",I739&gt;تنظیمات!$B$12*60),1,0)</f>
        <v>0</v>
      </c>
      <c r="BG739" s="21" t="n">
        <f aca="false">IF(AND(AK739&gt;تنظیمات!$B$11,AL739="بله"),1,0)</f>
        <v>0</v>
      </c>
      <c r="BH739" s="21" t="n">
        <f aca="false">MIN(100,AR739*تنظیمات!$B$21+AS739*تنظیمات!$B$22+AT739*تنظیمات!$B$23+AU739*تنظیمات!$B$24+AV739*تنظیمات!$B$25+AW739*تنظیمات!$B$26+AX739*تنظیمات!$B$27+AY739*تنظیمات!$B$28+AZ739*تنظیمات!$B$29+BA739*تنظیمات!$B$30+BB739*تنظیمات!$B$31+BC739*تنظیمات!$B$32+BD739*تنظیمات!$B$33+BE739*تنظیمات!$B$34+BF739*تنظیمات!$B$35+BG739*تنظیمات!$B$36)</f>
        <v>35</v>
      </c>
      <c r="BI739" s="16" t="str">
        <f aca="false">IF(BH739&gt;=60,"بحرانی",IF(BH739&gt;=30,"مشکوک",IF(BH739&gt;0,"هشدار","عادی")))</f>
        <v>مشکوک</v>
      </c>
      <c r="BJ739" s="16" t="s">
        <v>722</v>
      </c>
    </row>
    <row r="740" customFormat="false" ht="15" hidden="false" customHeight="false" outlineLevel="0" collapsed="false">
      <c r="A740" s="16" t="s">
        <v>2606</v>
      </c>
      <c r="B740" s="16" t="s">
        <v>1752</v>
      </c>
      <c r="C740" s="16"/>
      <c r="D740" s="16" t="s">
        <v>374</v>
      </c>
      <c r="E740" s="16" t="s">
        <v>363</v>
      </c>
      <c r="F740" s="16" t="s">
        <v>359</v>
      </c>
      <c r="G740" s="17" t="n">
        <v>46291.2855555556</v>
      </c>
      <c r="H740" s="17" t="n">
        <v>46291.3056944445</v>
      </c>
      <c r="I740" s="18" t="n">
        <f aca="false">IF(H740="",ROUND((تنظیمات!$B$7-G740)*1440,0),ROUND((H740-G740)*1440,0))</f>
        <v>29</v>
      </c>
      <c r="J740" s="16" t="s">
        <v>334</v>
      </c>
      <c r="K740" s="16" t="s">
        <v>400</v>
      </c>
      <c r="L740" s="19" t="n">
        <v>0.984</v>
      </c>
      <c r="M740" s="19" t="n">
        <v>0.913</v>
      </c>
      <c r="N740" s="16" t="s">
        <v>335</v>
      </c>
      <c r="O740" s="16" t="s">
        <v>401</v>
      </c>
      <c r="P740" s="16" t="s">
        <v>402</v>
      </c>
      <c r="Q740" s="20" t="n">
        <v>46291</v>
      </c>
      <c r="R740" s="16" t="s">
        <v>2607</v>
      </c>
      <c r="S740" s="16" t="s">
        <v>404</v>
      </c>
      <c r="T740" s="17"/>
      <c r="U740" s="21" t="n">
        <v>1</v>
      </c>
      <c r="V740" s="21" t="n">
        <v>1</v>
      </c>
      <c r="W740" s="22" t="n">
        <v>3.8</v>
      </c>
      <c r="X740" s="16" t="s">
        <v>335</v>
      </c>
      <c r="Y740" s="16" t="s">
        <v>338</v>
      </c>
      <c r="Z740" s="16" t="s">
        <v>413</v>
      </c>
      <c r="AA740" s="16" t="s">
        <v>427</v>
      </c>
      <c r="AB740" s="23" t="s">
        <v>2608</v>
      </c>
      <c r="AC740" s="17" t="n">
        <v>46291.3047453704</v>
      </c>
      <c r="AD740" s="16" t="s">
        <v>338</v>
      </c>
      <c r="AE740" s="16"/>
      <c r="AF740" s="16" t="str">
        <f aca="false">IF(COUNTIF(لیست_سفید!$A$2:$A$21,B740)&gt;0,"بله","خیر")</f>
        <v>خیر</v>
      </c>
      <c r="AG740" s="24" t="n">
        <f aca="false">IF(H740="","",IF(AD740="فیش مفقودی",تنظیمات!$B$6,(INT(I740/1440)*تنظیمات!$B$5+IF(MOD(I740,1440)&lt;=تنظیمات!$B$2,0,MIN(تنظیمات!$B$5,تنظیمات!$B$3+MAX(0,ROUNDUP((MOD(I740,1440)-60)/60,0))*تنظیمات!$B$4)))*INDEX(تعرفه!$B$2:$B$7,MATCH(AD740,تعرفه!$A$2:$A$7,0))))</f>
        <v>20000</v>
      </c>
      <c r="AH740" s="24" t="n">
        <v>28000</v>
      </c>
      <c r="AI740" s="24" t="n">
        <f aca="false">IF(AG740="","",AH740-AG740)</f>
        <v>8000</v>
      </c>
      <c r="AJ740" s="21" t="n">
        <v>-2</v>
      </c>
      <c r="AK740" s="21" t="n">
        <v>0</v>
      </c>
      <c r="AL740" s="16" t="s">
        <v>335</v>
      </c>
      <c r="AM740" s="16"/>
      <c r="AN740" s="16" t="s">
        <v>340</v>
      </c>
      <c r="AO740" s="16" t="s">
        <v>340</v>
      </c>
      <c r="AP740" s="16" t="s">
        <v>335</v>
      </c>
      <c r="AQ740" s="16"/>
      <c r="AR740" s="21" t="n">
        <f aca="false">IF(AND(T740&lt;&gt;"",H740&lt;&gt;""),IF(AND((T740-H740)*86400&gt;=0,(T740-H740)*86400&lt;تنظیمات!$B$13),1,0),0)</f>
        <v>0</v>
      </c>
      <c r="AS740" s="21" t="n">
        <f aca="false">IF(Z740="پوز",IF(OR(AB740="",COUNTIF(پوزها!$A$2:$A$5,AA740)=0),1,0),0)</f>
        <v>0</v>
      </c>
      <c r="AT740" s="21" t="n">
        <f aca="false">IF(AI740="",0,IF(AI740&gt;0,1,0))</f>
        <v>1</v>
      </c>
      <c r="AU740" s="21" t="n">
        <f aca="false">IF(AI740="",0,IF(AI740&lt;0,1,0))</f>
        <v>0</v>
      </c>
      <c r="AV740" s="21" t="n">
        <f aca="false">IF(U740&gt;V740,1,0)</f>
        <v>0</v>
      </c>
      <c r="AW740" s="21" t="n">
        <f aca="false">IF(OR(W740&gt;تنظیمات!$B$8,X740="بله"),1,0)</f>
        <v>0</v>
      </c>
      <c r="AX740" s="21" t="n">
        <f aca="false">IF(AND(N740="بله",L740&gt;تنظیمات!$B$9),1,0)</f>
        <v>0</v>
      </c>
      <c r="AY740" s="21" t="n">
        <f aca="false">IF(Y740="معکوس",1,0)</f>
        <v>0</v>
      </c>
      <c r="AZ740" s="21" t="n">
        <f aca="false">IF(ABS(AJ740)&gt;تنظیمات!$B$10,1,0)</f>
        <v>0</v>
      </c>
      <c r="BA740" s="21" t="n">
        <f aca="false">IF(AND(OR(AD740="رایگان/VIP",AD740="جانباز"),AF740="خیر"),1,0)</f>
        <v>0</v>
      </c>
      <c r="BB740" s="21" t="n">
        <f aca="false">IF(AE740="",0,IF(COUNTIF($AE$2:$AE$1001,AE740)&gt;1,1,0))</f>
        <v>0</v>
      </c>
      <c r="BC740" s="21" t="n">
        <f aca="false">IF(AND(H740="",I740&gt;تنظیمات!$B$12*60,AM740="خالی"),1,0)</f>
        <v>0</v>
      </c>
      <c r="BD740" s="21" t="n">
        <f aca="false">IF(AND(AP740="بله",I740&lt;تنظیمات!$B$14,AO740="خیر"),1,0)</f>
        <v>0</v>
      </c>
      <c r="BE740" s="21" t="n">
        <f aca="false">IF(AN740="خیر",1,0)</f>
        <v>0</v>
      </c>
      <c r="BF740" s="21" t="n">
        <f aca="false">IF(AND(AD740="فیش مفقودی",AQ740="بله",I740&gt;تنظیمات!$B$12*60),1,0)</f>
        <v>0</v>
      </c>
      <c r="BG740" s="21" t="n">
        <f aca="false">IF(AND(AK740&gt;تنظیمات!$B$11,AL740="بله"),1,0)</f>
        <v>0</v>
      </c>
      <c r="BH740" s="21" t="n">
        <f aca="false">MIN(100,AR740*تنظیمات!$B$21+AS740*تنظیمات!$B$22+AT740*تنظیمات!$B$23+AU740*تنظیمات!$B$24+AV740*تنظیمات!$B$25+AW740*تنظیمات!$B$26+AX740*تنظیمات!$B$27+AY740*تنظیمات!$B$28+AZ740*تنظیمات!$B$29+BA740*تنظیمات!$B$30+BB740*تنظیمات!$B$31+BC740*تنظیمات!$B$32+BD740*تنظیمات!$B$33+BE740*تنظیمات!$B$34+BF740*تنظیمات!$B$35+BG740*تنظیمات!$B$36)</f>
        <v>25</v>
      </c>
      <c r="BI740" s="16" t="str">
        <f aca="false">IF(BH740&gt;=60,"بحرانی",IF(BH740&gt;=30,"مشکوک",IF(BH740&gt;0,"هشدار","عادی")))</f>
        <v>هشدار</v>
      </c>
      <c r="BJ740" s="16" t="s">
        <v>922</v>
      </c>
    </row>
    <row r="741" customFormat="false" ht="15" hidden="false" customHeight="false" outlineLevel="0" collapsed="false">
      <c r="A741" s="16" t="s">
        <v>2609</v>
      </c>
      <c r="B741" s="16" t="s">
        <v>393</v>
      </c>
      <c r="C741" s="16"/>
      <c r="D741" s="16" t="s">
        <v>386</v>
      </c>
      <c r="E741" s="16" t="s">
        <v>375</v>
      </c>
      <c r="F741" s="16" t="s">
        <v>333</v>
      </c>
      <c r="G741" s="17" t="n">
        <v>46291.2998032407</v>
      </c>
      <c r="H741" s="17" t="n">
        <v>46291.4567476852</v>
      </c>
      <c r="I741" s="18" t="n">
        <f aca="false">IF(H741="",ROUND((تنظیمات!$B$7-G741)*1440,0),ROUND((H741-G741)*1440,0))</f>
        <v>226</v>
      </c>
      <c r="J741" s="16" t="s">
        <v>346</v>
      </c>
      <c r="K741" s="16" t="s">
        <v>400</v>
      </c>
      <c r="L741" s="19" t="n">
        <v>0.995</v>
      </c>
      <c r="M741" s="19" t="n">
        <v>0.974</v>
      </c>
      <c r="N741" s="16" t="s">
        <v>335</v>
      </c>
      <c r="O741" s="16" t="s">
        <v>401</v>
      </c>
      <c r="P741" s="16" t="s">
        <v>402</v>
      </c>
      <c r="Q741" s="20" t="n">
        <v>46291</v>
      </c>
      <c r="R741" s="16" t="s">
        <v>2610</v>
      </c>
      <c r="S741" s="16" t="s">
        <v>404</v>
      </c>
      <c r="T741" s="17"/>
      <c r="U741" s="21" t="n">
        <v>1</v>
      </c>
      <c r="V741" s="21" t="n">
        <v>1</v>
      </c>
      <c r="W741" s="22" t="n">
        <v>7.8</v>
      </c>
      <c r="X741" s="16" t="s">
        <v>335</v>
      </c>
      <c r="Y741" s="16" t="s">
        <v>338</v>
      </c>
      <c r="Z741" s="16" t="s">
        <v>413</v>
      </c>
      <c r="AA741" s="16" t="s">
        <v>427</v>
      </c>
      <c r="AB741" s="23" t="s">
        <v>2611</v>
      </c>
      <c r="AC741" s="17" t="n">
        <v>46291.4559953704</v>
      </c>
      <c r="AD741" s="16" t="s">
        <v>338</v>
      </c>
      <c r="AE741" s="16"/>
      <c r="AF741" s="16" t="str">
        <f aca="false">IF(COUNTIF(لیست_سفید!$A$2:$A$21,B741)&gt;0,"بله","خیر")</f>
        <v>خیر</v>
      </c>
      <c r="AG741" s="24" t="n">
        <f aca="false">IF(H741="","",IF(AD741="فیش مفقودی",تنظیمات!$B$6,(INT(I741/1440)*تنظیمات!$B$5+IF(MOD(I741,1440)&lt;=تنظیمات!$B$2,0,MIN(تنظیمات!$B$5,تنظیمات!$B$3+MAX(0,ROUNDUP((MOD(I741,1440)-60)/60,0))*تنظیمات!$B$4)))*INDEX(تعرفه!$B$2:$B$7,MATCH(AD741,تعرفه!$A$2:$A$7,0))))</f>
        <v>62000</v>
      </c>
      <c r="AH741" s="24" t="n">
        <v>62000</v>
      </c>
      <c r="AI741" s="24" t="n">
        <f aca="false">IF(AG741="","",AH741-AG741)</f>
        <v>0</v>
      </c>
      <c r="AJ741" s="21" t="n">
        <v>-3</v>
      </c>
      <c r="AK741" s="21" t="n">
        <v>0</v>
      </c>
      <c r="AL741" s="16" t="s">
        <v>335</v>
      </c>
      <c r="AM741" s="16"/>
      <c r="AN741" s="16" t="s">
        <v>340</v>
      </c>
      <c r="AO741" s="16" t="s">
        <v>340</v>
      </c>
      <c r="AP741" s="16" t="s">
        <v>335</v>
      </c>
      <c r="AQ741" s="16"/>
      <c r="AR741" s="21" t="n">
        <f aca="false">IF(AND(T741&lt;&gt;"",H741&lt;&gt;""),IF(AND((T741-H741)*86400&gt;=0,(T741-H741)*86400&lt;تنظیمات!$B$13),1,0),0)</f>
        <v>0</v>
      </c>
      <c r="AS741" s="21" t="n">
        <f aca="false">IF(Z741="پوز",IF(OR(AB741="",COUNTIF(پوزها!$A$2:$A$5,AA741)=0),1,0),0)</f>
        <v>0</v>
      </c>
      <c r="AT741" s="21" t="n">
        <f aca="false">IF(AI741="",0,IF(AI741&gt;0,1,0))</f>
        <v>0</v>
      </c>
      <c r="AU741" s="21" t="n">
        <f aca="false">IF(AI741="",0,IF(AI741&lt;0,1,0))</f>
        <v>0</v>
      </c>
      <c r="AV741" s="21" t="n">
        <f aca="false">IF(U741&gt;V741,1,0)</f>
        <v>0</v>
      </c>
      <c r="AW741" s="21" t="n">
        <f aca="false">IF(OR(W741&gt;تنظیمات!$B$8,X741="بله"),1,0)</f>
        <v>0</v>
      </c>
      <c r="AX741" s="21" t="n">
        <f aca="false">IF(AND(N741="بله",L741&gt;تنظیمات!$B$9),1,0)</f>
        <v>0</v>
      </c>
      <c r="AY741" s="21" t="n">
        <f aca="false">IF(Y741="معکوس",1,0)</f>
        <v>0</v>
      </c>
      <c r="AZ741" s="21" t="n">
        <f aca="false">IF(ABS(AJ741)&gt;تنظیمات!$B$10,1,0)</f>
        <v>0</v>
      </c>
      <c r="BA741" s="21" t="n">
        <f aca="false">IF(AND(OR(AD741="رایگان/VIP",AD741="جانباز"),AF741="خیر"),1,0)</f>
        <v>0</v>
      </c>
      <c r="BB741" s="21" t="n">
        <f aca="false">IF(AE741="",0,IF(COUNTIF($AE$2:$AE$1001,AE741)&gt;1,1,0))</f>
        <v>0</v>
      </c>
      <c r="BC741" s="21" t="n">
        <f aca="false">IF(AND(H741="",I741&gt;تنظیمات!$B$12*60,AM741="خالی"),1,0)</f>
        <v>0</v>
      </c>
      <c r="BD741" s="21" t="n">
        <f aca="false">IF(AND(AP741="بله",I741&lt;تنظیمات!$B$14,AO741="خیر"),1,0)</f>
        <v>0</v>
      </c>
      <c r="BE741" s="21" t="n">
        <f aca="false">IF(AN741="خیر",1,0)</f>
        <v>0</v>
      </c>
      <c r="BF741" s="21" t="n">
        <f aca="false">IF(AND(AD741="فیش مفقودی",AQ741="بله",I741&gt;تنظیمات!$B$12*60),1,0)</f>
        <v>0</v>
      </c>
      <c r="BG741" s="21" t="n">
        <f aca="false">IF(AND(AK741&gt;تنظیمات!$B$11,AL741="بله"),1,0)</f>
        <v>0</v>
      </c>
      <c r="BH741" s="21" t="n">
        <f aca="false">MIN(100,AR741*تنظیمات!$B$21+AS741*تنظیمات!$B$22+AT741*تنظیمات!$B$23+AU741*تنظیمات!$B$24+AV741*تنظیمات!$B$25+AW741*تنظیمات!$B$26+AX741*تنظیمات!$B$27+AY741*تنظیمات!$B$28+AZ741*تنظیمات!$B$29+BA741*تنظیمات!$B$30+BB741*تنظیمات!$B$31+BC741*تنظیمات!$B$32+BD741*تنظیمات!$B$33+BE741*تنظیمات!$B$34+BF741*تنظیمات!$B$35+BG741*تنظیمات!$B$36)</f>
        <v>0</v>
      </c>
      <c r="BI741" s="16" t="str">
        <f aca="false">IF(BH741&gt;=60,"بحرانی",IF(BH741&gt;=30,"مشکوک",IF(BH741&gt;0,"هشدار","عادی")))</f>
        <v>عادی</v>
      </c>
      <c r="BJ741" s="16" t="s">
        <v>338</v>
      </c>
    </row>
    <row r="742" customFormat="false" ht="15" hidden="false" customHeight="false" outlineLevel="0" collapsed="false">
      <c r="A742" s="16" t="s">
        <v>2612</v>
      </c>
      <c r="B742" s="16" t="s">
        <v>409</v>
      </c>
      <c r="C742" s="16"/>
      <c r="D742" s="16" t="s">
        <v>382</v>
      </c>
      <c r="E742" s="16" t="s">
        <v>363</v>
      </c>
      <c r="F742" s="16" t="s">
        <v>333</v>
      </c>
      <c r="G742" s="17" t="n">
        <v>46291.3145717593</v>
      </c>
      <c r="H742" s="17" t="n">
        <v>46291.3222106482</v>
      </c>
      <c r="I742" s="18" t="n">
        <f aca="false">IF(H742="",ROUND((تنظیمات!$B$7-G742)*1440,0),ROUND((H742-G742)*1440,0))</f>
        <v>11</v>
      </c>
      <c r="J742" s="16" t="s">
        <v>334</v>
      </c>
      <c r="K742" s="16" t="s">
        <v>400</v>
      </c>
      <c r="L742" s="19" t="n">
        <v>0.953</v>
      </c>
      <c r="M742" s="19" t="n">
        <v>0.963</v>
      </c>
      <c r="N742" s="16" t="s">
        <v>335</v>
      </c>
      <c r="O742" s="16" t="s">
        <v>401</v>
      </c>
      <c r="P742" s="16" t="s">
        <v>402</v>
      </c>
      <c r="Q742" s="20" t="n">
        <v>46291</v>
      </c>
      <c r="R742" s="16" t="s">
        <v>2613</v>
      </c>
      <c r="S742" s="16" t="s">
        <v>404</v>
      </c>
      <c r="T742" s="17"/>
      <c r="U742" s="21" t="n">
        <v>1</v>
      </c>
      <c r="V742" s="21" t="n">
        <v>1</v>
      </c>
      <c r="W742" s="22" t="n">
        <v>4.4</v>
      </c>
      <c r="X742" s="16" t="s">
        <v>335</v>
      </c>
      <c r="Y742" s="16" t="s">
        <v>338</v>
      </c>
      <c r="Z742" s="16" t="s">
        <v>405</v>
      </c>
      <c r="AA742" s="16"/>
      <c r="AB742" s="23"/>
      <c r="AC742" s="17"/>
      <c r="AD742" s="16" t="s">
        <v>338</v>
      </c>
      <c r="AE742" s="16"/>
      <c r="AF742" s="16" t="str">
        <f aca="false">IF(COUNTIF(لیست_سفید!$A$2:$A$21,B742)&gt;0,"بله","خیر")</f>
        <v>خیر</v>
      </c>
      <c r="AG742" s="24" t="n">
        <f aca="false">IF(H742="","",IF(AD742="فیش مفقودی",تنظیمات!$B$6,(INT(I742/1440)*تنظیمات!$B$5+IF(MOD(I742,1440)&lt;=تنظیمات!$B$2,0,MIN(تنظیمات!$B$5,تنظیمات!$B$3+MAX(0,ROUNDUP((MOD(I742,1440)-60)/60,0))*تنظیمات!$B$4)))*INDEX(تعرفه!$B$2:$B$7,MATCH(AD742,تعرفه!$A$2:$A$7,0))))</f>
        <v>20000</v>
      </c>
      <c r="AH742" s="24" t="n">
        <v>20000</v>
      </c>
      <c r="AI742" s="24" t="n">
        <f aca="false">IF(AG742="","",AH742-AG742)</f>
        <v>0</v>
      </c>
      <c r="AJ742" s="21" t="n">
        <v>0</v>
      </c>
      <c r="AK742" s="21" t="n">
        <v>0</v>
      </c>
      <c r="AL742" s="16" t="s">
        <v>335</v>
      </c>
      <c r="AM742" s="16"/>
      <c r="AN742" s="16" t="s">
        <v>340</v>
      </c>
      <c r="AO742" s="16" t="s">
        <v>340</v>
      </c>
      <c r="AP742" s="16" t="s">
        <v>335</v>
      </c>
      <c r="AQ742" s="16"/>
      <c r="AR742" s="21" t="n">
        <f aca="false">IF(AND(T742&lt;&gt;"",H742&lt;&gt;""),IF(AND((T742-H742)*86400&gt;=0,(T742-H742)*86400&lt;تنظیمات!$B$13),1,0),0)</f>
        <v>0</v>
      </c>
      <c r="AS742" s="21" t="n">
        <f aca="false">IF(Z742="پوز",IF(OR(AB742="",COUNTIF(پوزها!$A$2:$A$5,AA742)=0),1,0),0)</f>
        <v>0</v>
      </c>
      <c r="AT742" s="21" t="n">
        <f aca="false">IF(AI742="",0,IF(AI742&gt;0,1,0))</f>
        <v>0</v>
      </c>
      <c r="AU742" s="21" t="n">
        <f aca="false">IF(AI742="",0,IF(AI742&lt;0,1,0))</f>
        <v>0</v>
      </c>
      <c r="AV742" s="21" t="n">
        <f aca="false">IF(U742&gt;V742,1,0)</f>
        <v>0</v>
      </c>
      <c r="AW742" s="21" t="n">
        <f aca="false">IF(OR(W742&gt;تنظیمات!$B$8,X742="بله"),1,0)</f>
        <v>0</v>
      </c>
      <c r="AX742" s="21" t="n">
        <f aca="false">IF(AND(N742="بله",L742&gt;تنظیمات!$B$9),1,0)</f>
        <v>0</v>
      </c>
      <c r="AY742" s="21" t="n">
        <f aca="false">IF(Y742="معکوس",1,0)</f>
        <v>0</v>
      </c>
      <c r="AZ742" s="21" t="n">
        <f aca="false">IF(ABS(AJ742)&gt;تنظیمات!$B$10,1,0)</f>
        <v>0</v>
      </c>
      <c r="BA742" s="21" t="n">
        <f aca="false">IF(AND(OR(AD742="رایگان/VIP",AD742="جانباز"),AF742="خیر"),1,0)</f>
        <v>0</v>
      </c>
      <c r="BB742" s="21" t="n">
        <f aca="false">IF(AE742="",0,IF(COUNTIF($AE$2:$AE$1001,AE742)&gt;1,1,0))</f>
        <v>0</v>
      </c>
      <c r="BC742" s="21" t="n">
        <f aca="false">IF(AND(H742="",I742&gt;تنظیمات!$B$12*60,AM742="خالی"),1,0)</f>
        <v>0</v>
      </c>
      <c r="BD742" s="21" t="n">
        <f aca="false">IF(AND(AP742="بله",I742&lt;تنظیمات!$B$14,AO742="خیر"),1,0)</f>
        <v>0</v>
      </c>
      <c r="BE742" s="21" t="n">
        <f aca="false">IF(AN742="خیر",1,0)</f>
        <v>0</v>
      </c>
      <c r="BF742" s="21" t="n">
        <f aca="false">IF(AND(AD742="فیش مفقودی",AQ742="بله",I742&gt;تنظیمات!$B$12*60),1,0)</f>
        <v>0</v>
      </c>
      <c r="BG742" s="21" t="n">
        <f aca="false">IF(AND(AK742&gt;تنظیمات!$B$11,AL742="بله"),1,0)</f>
        <v>0</v>
      </c>
      <c r="BH742" s="21" t="n">
        <f aca="false">MIN(100,AR742*تنظیمات!$B$21+AS742*تنظیمات!$B$22+AT742*تنظیمات!$B$23+AU742*تنظیمات!$B$24+AV742*تنظیمات!$B$25+AW742*تنظیمات!$B$26+AX742*تنظیمات!$B$27+AY742*تنظیمات!$B$28+AZ742*تنظیمات!$B$29+BA742*تنظیمات!$B$30+BB742*تنظیمات!$B$31+BC742*تنظیمات!$B$32+BD742*تنظیمات!$B$33+BE742*تنظیمات!$B$34+BF742*تنظیمات!$B$35+BG742*تنظیمات!$B$36)</f>
        <v>0</v>
      </c>
      <c r="BI742" s="16" t="str">
        <f aca="false">IF(BH742&gt;=60,"بحرانی",IF(BH742&gt;=30,"مشکوک",IF(BH742&gt;0,"هشدار","عادی")))</f>
        <v>عادی</v>
      </c>
      <c r="BJ742" s="16" t="s">
        <v>338</v>
      </c>
    </row>
    <row r="743" customFormat="false" ht="15" hidden="false" customHeight="false" outlineLevel="0" collapsed="false">
      <c r="A743" s="16" t="s">
        <v>2614</v>
      </c>
      <c r="B743" s="16" t="s">
        <v>1000</v>
      </c>
      <c r="C743" s="16"/>
      <c r="D743" s="16" t="s">
        <v>440</v>
      </c>
      <c r="E743" s="16" t="s">
        <v>390</v>
      </c>
      <c r="F743" s="16" t="s">
        <v>359</v>
      </c>
      <c r="G743" s="17" t="n">
        <v>46291.3288078704</v>
      </c>
      <c r="H743" s="17" t="n">
        <v>46291.4246412037</v>
      </c>
      <c r="I743" s="18" t="n">
        <f aca="false">IF(H743="",ROUND((تنظیمات!$B$7-G743)*1440,0),ROUND((H743-G743)*1440,0))</f>
        <v>138</v>
      </c>
      <c r="J743" s="16" t="s">
        <v>346</v>
      </c>
      <c r="K743" s="16" t="s">
        <v>400</v>
      </c>
      <c r="L743" s="19" t="n">
        <v>0.952</v>
      </c>
      <c r="M743" s="19" t="n">
        <v>0.974</v>
      </c>
      <c r="N743" s="16" t="s">
        <v>335</v>
      </c>
      <c r="O743" s="16" t="s">
        <v>401</v>
      </c>
      <c r="P743" s="16" t="s">
        <v>402</v>
      </c>
      <c r="Q743" s="20" t="n">
        <v>46291</v>
      </c>
      <c r="R743" s="16" t="s">
        <v>2615</v>
      </c>
      <c r="S743" s="16" t="s">
        <v>404</v>
      </c>
      <c r="T743" s="17"/>
      <c r="U743" s="21" t="n">
        <v>1</v>
      </c>
      <c r="V743" s="21" t="n">
        <v>1</v>
      </c>
      <c r="W743" s="22" t="n">
        <v>2.5</v>
      </c>
      <c r="X743" s="16" t="s">
        <v>335</v>
      </c>
      <c r="Y743" s="16" t="s">
        <v>338</v>
      </c>
      <c r="Z743" s="16" t="s">
        <v>413</v>
      </c>
      <c r="AA743" s="16" t="s">
        <v>427</v>
      </c>
      <c r="AB743" s="23" t="s">
        <v>2616</v>
      </c>
      <c r="AC743" s="17" t="n">
        <v>46291.4237037037</v>
      </c>
      <c r="AD743" s="16" t="s">
        <v>338</v>
      </c>
      <c r="AE743" s="16"/>
      <c r="AF743" s="16" t="str">
        <f aca="false">IF(COUNTIF(لیست_سفید!$A$2:$A$21,B743)&gt;0,"بله","خیر")</f>
        <v>خیر</v>
      </c>
      <c r="AG743" s="24" t="n">
        <f aca="false">IF(H743="","",IF(AD743="فیش مفقودی",تنظیمات!$B$6,(INT(I743/1440)*تنظیمات!$B$5+IF(MOD(I743,1440)&lt;=تنظیمات!$B$2,0,MIN(تنظیمات!$B$5,تنظیمات!$B$3+MAX(0,ROUNDUP((MOD(I743,1440)-60)/60,0))*تنظیمات!$B$4)))*INDEX(تعرفه!$B$2:$B$7,MATCH(AD743,تعرفه!$A$2:$A$7,0))))</f>
        <v>48000</v>
      </c>
      <c r="AH743" s="24" t="n">
        <v>74000</v>
      </c>
      <c r="AI743" s="24" t="n">
        <f aca="false">IF(AG743="","",AH743-AG743)</f>
        <v>26000</v>
      </c>
      <c r="AJ743" s="21" t="n">
        <v>2</v>
      </c>
      <c r="AK743" s="21" t="n">
        <v>0</v>
      </c>
      <c r="AL743" s="16" t="s">
        <v>335</v>
      </c>
      <c r="AM743" s="16"/>
      <c r="AN743" s="16" t="s">
        <v>340</v>
      </c>
      <c r="AO743" s="16" t="s">
        <v>340</v>
      </c>
      <c r="AP743" s="16" t="s">
        <v>335</v>
      </c>
      <c r="AQ743" s="16"/>
      <c r="AR743" s="21" t="n">
        <f aca="false">IF(AND(T743&lt;&gt;"",H743&lt;&gt;""),IF(AND((T743-H743)*86400&gt;=0,(T743-H743)*86400&lt;تنظیمات!$B$13),1,0),0)</f>
        <v>0</v>
      </c>
      <c r="AS743" s="21" t="n">
        <f aca="false">IF(Z743="پوز",IF(OR(AB743="",COUNTIF(پوزها!$A$2:$A$5,AA743)=0),1,0),0)</f>
        <v>0</v>
      </c>
      <c r="AT743" s="21" t="n">
        <f aca="false">IF(AI743="",0,IF(AI743&gt;0,1,0))</f>
        <v>1</v>
      </c>
      <c r="AU743" s="21" t="n">
        <f aca="false">IF(AI743="",0,IF(AI743&lt;0,1,0))</f>
        <v>0</v>
      </c>
      <c r="AV743" s="21" t="n">
        <f aca="false">IF(U743&gt;V743,1,0)</f>
        <v>0</v>
      </c>
      <c r="AW743" s="21" t="n">
        <f aca="false">IF(OR(W743&gt;تنظیمات!$B$8,X743="بله"),1,0)</f>
        <v>0</v>
      </c>
      <c r="AX743" s="21" t="n">
        <f aca="false">IF(AND(N743="بله",L743&gt;تنظیمات!$B$9),1,0)</f>
        <v>0</v>
      </c>
      <c r="AY743" s="21" t="n">
        <f aca="false">IF(Y743="معکوس",1,0)</f>
        <v>0</v>
      </c>
      <c r="AZ743" s="21" t="n">
        <f aca="false">IF(ABS(AJ743)&gt;تنظیمات!$B$10,1,0)</f>
        <v>0</v>
      </c>
      <c r="BA743" s="21" t="n">
        <f aca="false">IF(AND(OR(AD743="رایگان/VIP",AD743="جانباز"),AF743="خیر"),1,0)</f>
        <v>0</v>
      </c>
      <c r="BB743" s="21" t="n">
        <f aca="false">IF(AE743="",0,IF(COUNTIF($AE$2:$AE$1001,AE743)&gt;1,1,0))</f>
        <v>0</v>
      </c>
      <c r="BC743" s="21" t="n">
        <f aca="false">IF(AND(H743="",I743&gt;تنظیمات!$B$12*60,AM743="خالی"),1,0)</f>
        <v>0</v>
      </c>
      <c r="BD743" s="21" t="n">
        <f aca="false">IF(AND(AP743="بله",I743&lt;تنظیمات!$B$14,AO743="خیر"),1,0)</f>
        <v>0</v>
      </c>
      <c r="BE743" s="21" t="n">
        <f aca="false">IF(AN743="خیر",1,0)</f>
        <v>0</v>
      </c>
      <c r="BF743" s="21" t="n">
        <f aca="false">IF(AND(AD743="فیش مفقودی",AQ743="بله",I743&gt;تنظیمات!$B$12*60),1,0)</f>
        <v>0</v>
      </c>
      <c r="BG743" s="21" t="n">
        <f aca="false">IF(AND(AK743&gt;تنظیمات!$B$11,AL743="بله"),1,0)</f>
        <v>0</v>
      </c>
      <c r="BH743" s="21" t="n">
        <f aca="false">MIN(100,AR743*تنظیمات!$B$21+AS743*تنظیمات!$B$22+AT743*تنظیمات!$B$23+AU743*تنظیمات!$B$24+AV743*تنظیمات!$B$25+AW743*تنظیمات!$B$26+AX743*تنظیمات!$B$27+AY743*تنظیمات!$B$28+AZ743*تنظیمات!$B$29+BA743*تنظیمات!$B$30+BB743*تنظیمات!$B$31+BC743*تنظیمات!$B$32+BD743*تنظیمات!$B$33+BE743*تنظیمات!$B$34+BF743*تنظیمات!$B$35+BG743*تنظیمات!$B$36)</f>
        <v>25</v>
      </c>
      <c r="BI743" s="16" t="str">
        <f aca="false">IF(BH743&gt;=60,"بحرانی",IF(BH743&gt;=30,"مشکوک",IF(BH743&gt;0,"هشدار","عادی")))</f>
        <v>هشدار</v>
      </c>
      <c r="BJ743" s="16" t="s">
        <v>922</v>
      </c>
    </row>
    <row r="744" customFormat="false" ht="15" hidden="false" customHeight="false" outlineLevel="0" collapsed="false">
      <c r="A744" s="16" t="s">
        <v>2617</v>
      </c>
      <c r="B744" s="16" t="s">
        <v>1807</v>
      </c>
      <c r="C744" s="16"/>
      <c r="D744" s="16" t="s">
        <v>370</v>
      </c>
      <c r="E744" s="16" t="s">
        <v>375</v>
      </c>
      <c r="F744" s="16" t="s">
        <v>333</v>
      </c>
      <c r="G744" s="17" t="n">
        <v>46291.3670833333</v>
      </c>
      <c r="H744" s="17" t="n">
        <v>46291.4226388889</v>
      </c>
      <c r="I744" s="18" t="n">
        <f aca="false">IF(H744="",ROUND((تنظیمات!$B$7-G744)*1440,0),ROUND((H744-G744)*1440,0))</f>
        <v>80</v>
      </c>
      <c r="J744" s="16" t="s">
        <v>346</v>
      </c>
      <c r="K744" s="16" t="s">
        <v>410</v>
      </c>
      <c r="L744" s="19" t="n">
        <v>0.901</v>
      </c>
      <c r="M744" s="19" t="n">
        <v>0.972</v>
      </c>
      <c r="N744" s="16" t="s">
        <v>335</v>
      </c>
      <c r="O744" s="16" t="s">
        <v>419</v>
      </c>
      <c r="P744" s="16" t="s">
        <v>402</v>
      </c>
      <c r="Q744" s="20" t="n">
        <v>46291</v>
      </c>
      <c r="R744" s="16" t="s">
        <v>2618</v>
      </c>
      <c r="S744" s="16" t="s">
        <v>404</v>
      </c>
      <c r="T744" s="17"/>
      <c r="U744" s="21" t="n">
        <v>1</v>
      </c>
      <c r="V744" s="21" t="n">
        <v>1</v>
      </c>
      <c r="W744" s="22" t="n">
        <v>7.7</v>
      </c>
      <c r="X744" s="16" t="s">
        <v>335</v>
      </c>
      <c r="Y744" s="16" t="s">
        <v>338</v>
      </c>
      <c r="Z744" s="16" t="s">
        <v>413</v>
      </c>
      <c r="AA744" s="16" t="s">
        <v>414</v>
      </c>
      <c r="AB744" s="23" t="s">
        <v>2619</v>
      </c>
      <c r="AC744" s="17" t="n">
        <v>46291.4217708333</v>
      </c>
      <c r="AD744" s="16" t="s">
        <v>338</v>
      </c>
      <c r="AE744" s="16"/>
      <c r="AF744" s="16" t="str">
        <f aca="false">IF(COUNTIF(لیست_سفید!$A$2:$A$21,B744)&gt;0,"بله","خیر")</f>
        <v>خیر</v>
      </c>
      <c r="AG744" s="24" t="n">
        <f aca="false">IF(H744="","",IF(AD744="فیش مفقودی",تنظیمات!$B$6,(INT(I744/1440)*تنظیمات!$B$5+IF(MOD(I744,1440)&lt;=تنظیمات!$B$2,0,MIN(تنظیمات!$B$5,تنظیمات!$B$3+MAX(0,ROUNDUP((MOD(I744,1440)-60)/60,0))*تنظیمات!$B$4)))*INDEX(تعرفه!$B$2:$B$7,MATCH(AD744,تعرفه!$A$2:$A$7,0))))</f>
        <v>34000</v>
      </c>
      <c r="AH744" s="24" t="n">
        <v>34000</v>
      </c>
      <c r="AI744" s="24" t="n">
        <f aca="false">IF(AG744="","",AH744-AG744)</f>
        <v>0</v>
      </c>
      <c r="AJ744" s="21" t="n">
        <v>0</v>
      </c>
      <c r="AK744" s="21" t="n">
        <v>0</v>
      </c>
      <c r="AL744" s="16" t="s">
        <v>335</v>
      </c>
      <c r="AM744" s="16"/>
      <c r="AN744" s="16" t="s">
        <v>340</v>
      </c>
      <c r="AO744" s="16" t="s">
        <v>340</v>
      </c>
      <c r="AP744" s="16" t="s">
        <v>335</v>
      </c>
      <c r="AQ744" s="16"/>
      <c r="AR744" s="21" t="n">
        <f aca="false">IF(AND(T744&lt;&gt;"",H744&lt;&gt;""),IF(AND((T744-H744)*86400&gt;=0,(T744-H744)*86400&lt;تنظیمات!$B$13),1,0),0)</f>
        <v>0</v>
      </c>
      <c r="AS744" s="21" t="n">
        <f aca="false">IF(Z744="پوز",IF(OR(AB744="",COUNTIF(پوزها!$A$2:$A$5,AA744)=0),1,0),0)</f>
        <v>0</v>
      </c>
      <c r="AT744" s="21" t="n">
        <f aca="false">IF(AI744="",0,IF(AI744&gt;0,1,0))</f>
        <v>0</v>
      </c>
      <c r="AU744" s="21" t="n">
        <f aca="false">IF(AI744="",0,IF(AI744&lt;0,1,0))</f>
        <v>0</v>
      </c>
      <c r="AV744" s="21" t="n">
        <f aca="false">IF(U744&gt;V744,1,0)</f>
        <v>0</v>
      </c>
      <c r="AW744" s="21" t="n">
        <f aca="false">IF(OR(W744&gt;تنظیمات!$B$8,X744="بله"),1,0)</f>
        <v>0</v>
      </c>
      <c r="AX744" s="21" t="n">
        <f aca="false">IF(AND(N744="بله",L744&gt;تنظیمات!$B$9),1,0)</f>
        <v>0</v>
      </c>
      <c r="AY744" s="21" t="n">
        <f aca="false">IF(Y744="معکوس",1,0)</f>
        <v>0</v>
      </c>
      <c r="AZ744" s="21" t="n">
        <f aca="false">IF(ABS(AJ744)&gt;تنظیمات!$B$10,1,0)</f>
        <v>0</v>
      </c>
      <c r="BA744" s="21" t="n">
        <f aca="false">IF(AND(OR(AD744="رایگان/VIP",AD744="جانباز"),AF744="خیر"),1,0)</f>
        <v>0</v>
      </c>
      <c r="BB744" s="21" t="n">
        <f aca="false">IF(AE744="",0,IF(COUNTIF($AE$2:$AE$1001,AE744)&gt;1,1,0))</f>
        <v>0</v>
      </c>
      <c r="BC744" s="21" t="n">
        <f aca="false">IF(AND(H744="",I744&gt;تنظیمات!$B$12*60,AM744="خالی"),1,0)</f>
        <v>0</v>
      </c>
      <c r="BD744" s="21" t="n">
        <f aca="false">IF(AND(AP744="بله",I744&lt;تنظیمات!$B$14,AO744="خیر"),1,0)</f>
        <v>0</v>
      </c>
      <c r="BE744" s="21" t="n">
        <f aca="false">IF(AN744="خیر",1,0)</f>
        <v>0</v>
      </c>
      <c r="BF744" s="21" t="n">
        <f aca="false">IF(AND(AD744="فیش مفقودی",AQ744="بله",I744&gt;تنظیمات!$B$12*60),1,0)</f>
        <v>0</v>
      </c>
      <c r="BG744" s="21" t="n">
        <f aca="false">IF(AND(AK744&gt;تنظیمات!$B$11,AL744="بله"),1,0)</f>
        <v>0</v>
      </c>
      <c r="BH744" s="21" t="n">
        <f aca="false">MIN(100,AR744*تنظیمات!$B$21+AS744*تنظیمات!$B$22+AT744*تنظیمات!$B$23+AU744*تنظیمات!$B$24+AV744*تنظیمات!$B$25+AW744*تنظیمات!$B$26+AX744*تنظیمات!$B$27+AY744*تنظیمات!$B$28+AZ744*تنظیمات!$B$29+BA744*تنظیمات!$B$30+BB744*تنظیمات!$B$31+BC744*تنظیمات!$B$32+BD744*تنظیمات!$B$33+BE744*تنظیمات!$B$34+BF744*تنظیمات!$B$35+BG744*تنظیمات!$B$36)</f>
        <v>0</v>
      </c>
      <c r="BI744" s="16" t="str">
        <f aca="false">IF(BH744&gt;=60,"بحرانی",IF(BH744&gt;=30,"مشکوک",IF(BH744&gt;0,"هشدار","عادی")))</f>
        <v>عادی</v>
      </c>
      <c r="BJ744" s="16" t="s">
        <v>338</v>
      </c>
    </row>
    <row r="745" customFormat="false" ht="15" hidden="false" customHeight="false" outlineLevel="0" collapsed="false">
      <c r="A745" s="16" t="s">
        <v>2620</v>
      </c>
      <c r="B745" s="16" t="s">
        <v>455</v>
      </c>
      <c r="C745" s="16"/>
      <c r="D745" s="16" t="s">
        <v>331</v>
      </c>
      <c r="E745" s="16" t="s">
        <v>351</v>
      </c>
      <c r="F745" s="16" t="s">
        <v>333</v>
      </c>
      <c r="G745" s="17" t="n">
        <v>46291.3858912037</v>
      </c>
      <c r="H745" s="17" t="n">
        <v>46291.4025578704</v>
      </c>
      <c r="I745" s="18" t="n">
        <f aca="false">IF(H745="",ROUND((تنظیمات!$B$7-G745)*1440,0),ROUND((H745-G745)*1440,0))</f>
        <v>24</v>
      </c>
      <c r="J745" s="16" t="s">
        <v>334</v>
      </c>
      <c r="K745" s="16" t="s">
        <v>410</v>
      </c>
      <c r="L745" s="19" t="n">
        <v>0.891</v>
      </c>
      <c r="M745" s="19" t="n">
        <v>0.921</v>
      </c>
      <c r="N745" s="16" t="s">
        <v>335</v>
      </c>
      <c r="O745" s="16" t="s">
        <v>419</v>
      </c>
      <c r="P745" s="16" t="s">
        <v>402</v>
      </c>
      <c r="Q745" s="20" t="n">
        <v>46291</v>
      </c>
      <c r="R745" s="16" t="s">
        <v>2621</v>
      </c>
      <c r="S745" s="16" t="s">
        <v>404</v>
      </c>
      <c r="T745" s="17"/>
      <c r="U745" s="21" t="n">
        <v>1</v>
      </c>
      <c r="V745" s="21" t="n">
        <v>1</v>
      </c>
      <c r="W745" s="22" t="n">
        <v>8.2</v>
      </c>
      <c r="X745" s="16" t="s">
        <v>335</v>
      </c>
      <c r="Y745" s="16" t="s">
        <v>338</v>
      </c>
      <c r="Z745" s="16" t="s">
        <v>413</v>
      </c>
      <c r="AA745" s="16" t="s">
        <v>414</v>
      </c>
      <c r="AB745" s="23" t="s">
        <v>2622</v>
      </c>
      <c r="AC745" s="17" t="n">
        <v>46291.401724537</v>
      </c>
      <c r="AD745" s="16" t="s">
        <v>338</v>
      </c>
      <c r="AE745" s="16"/>
      <c r="AF745" s="16" t="str">
        <f aca="false">IF(COUNTIF(لیست_سفید!$A$2:$A$21,B745)&gt;0,"بله","خیر")</f>
        <v>خیر</v>
      </c>
      <c r="AG745" s="24" t="n">
        <f aca="false">IF(H745="","",IF(AD745="فیش مفقودی",تنظیمات!$B$6,(INT(I745/1440)*تنظیمات!$B$5+IF(MOD(I745,1440)&lt;=تنظیمات!$B$2,0,MIN(تنظیمات!$B$5,تنظیمات!$B$3+MAX(0,ROUNDUP((MOD(I745,1440)-60)/60,0))*تنظیمات!$B$4)))*INDEX(تعرفه!$B$2:$B$7,MATCH(AD745,تعرفه!$A$2:$A$7,0))))</f>
        <v>20000</v>
      </c>
      <c r="AH745" s="24" t="n">
        <v>20000</v>
      </c>
      <c r="AI745" s="24" t="n">
        <f aca="false">IF(AG745="","",AH745-AG745)</f>
        <v>0</v>
      </c>
      <c r="AJ745" s="21" t="n">
        <v>-1</v>
      </c>
      <c r="AK745" s="21" t="n">
        <v>0</v>
      </c>
      <c r="AL745" s="16" t="s">
        <v>335</v>
      </c>
      <c r="AM745" s="16"/>
      <c r="AN745" s="16" t="s">
        <v>340</v>
      </c>
      <c r="AO745" s="16" t="s">
        <v>340</v>
      </c>
      <c r="AP745" s="16" t="s">
        <v>335</v>
      </c>
      <c r="AQ745" s="16"/>
      <c r="AR745" s="21" t="n">
        <f aca="false">IF(AND(T745&lt;&gt;"",H745&lt;&gt;""),IF(AND((T745-H745)*86400&gt;=0,(T745-H745)*86400&lt;تنظیمات!$B$13),1,0),0)</f>
        <v>0</v>
      </c>
      <c r="AS745" s="21" t="n">
        <f aca="false">IF(Z745="پوز",IF(OR(AB745="",COUNTIF(پوزها!$A$2:$A$5,AA745)=0),1,0),0)</f>
        <v>0</v>
      </c>
      <c r="AT745" s="21" t="n">
        <f aca="false">IF(AI745="",0,IF(AI745&gt;0,1,0))</f>
        <v>0</v>
      </c>
      <c r="AU745" s="21" t="n">
        <f aca="false">IF(AI745="",0,IF(AI745&lt;0,1,0))</f>
        <v>0</v>
      </c>
      <c r="AV745" s="21" t="n">
        <f aca="false">IF(U745&gt;V745,1,0)</f>
        <v>0</v>
      </c>
      <c r="AW745" s="21" t="n">
        <f aca="false">IF(OR(W745&gt;تنظیمات!$B$8,X745="بله"),1,0)</f>
        <v>0</v>
      </c>
      <c r="AX745" s="21" t="n">
        <f aca="false">IF(AND(N745="بله",L745&gt;تنظیمات!$B$9),1,0)</f>
        <v>0</v>
      </c>
      <c r="AY745" s="21" t="n">
        <f aca="false">IF(Y745="معکوس",1,0)</f>
        <v>0</v>
      </c>
      <c r="AZ745" s="21" t="n">
        <f aca="false">IF(ABS(AJ745)&gt;تنظیمات!$B$10,1,0)</f>
        <v>0</v>
      </c>
      <c r="BA745" s="21" t="n">
        <f aca="false">IF(AND(OR(AD745="رایگان/VIP",AD745="جانباز"),AF745="خیر"),1,0)</f>
        <v>0</v>
      </c>
      <c r="BB745" s="21" t="n">
        <f aca="false">IF(AE745="",0,IF(COUNTIF($AE$2:$AE$1001,AE745)&gt;1,1,0))</f>
        <v>0</v>
      </c>
      <c r="BC745" s="21" t="n">
        <f aca="false">IF(AND(H745="",I745&gt;تنظیمات!$B$12*60,AM745="خالی"),1,0)</f>
        <v>0</v>
      </c>
      <c r="BD745" s="21" t="n">
        <f aca="false">IF(AND(AP745="بله",I745&lt;تنظیمات!$B$14,AO745="خیر"),1,0)</f>
        <v>0</v>
      </c>
      <c r="BE745" s="21" t="n">
        <f aca="false">IF(AN745="خیر",1,0)</f>
        <v>0</v>
      </c>
      <c r="BF745" s="21" t="n">
        <f aca="false">IF(AND(AD745="فیش مفقودی",AQ745="بله",I745&gt;تنظیمات!$B$12*60),1,0)</f>
        <v>0</v>
      </c>
      <c r="BG745" s="21" t="n">
        <f aca="false">IF(AND(AK745&gt;تنظیمات!$B$11,AL745="بله"),1,0)</f>
        <v>0</v>
      </c>
      <c r="BH745" s="21" t="n">
        <f aca="false">MIN(100,AR745*تنظیمات!$B$21+AS745*تنظیمات!$B$22+AT745*تنظیمات!$B$23+AU745*تنظیمات!$B$24+AV745*تنظیمات!$B$25+AW745*تنظیمات!$B$26+AX745*تنظیمات!$B$27+AY745*تنظیمات!$B$28+AZ745*تنظیمات!$B$29+BA745*تنظیمات!$B$30+BB745*تنظیمات!$B$31+BC745*تنظیمات!$B$32+BD745*تنظیمات!$B$33+BE745*تنظیمات!$B$34+BF745*تنظیمات!$B$35+BG745*تنظیمات!$B$36)</f>
        <v>0</v>
      </c>
      <c r="BI745" s="16" t="str">
        <f aca="false">IF(BH745&gt;=60,"بحرانی",IF(BH745&gt;=30,"مشکوک",IF(BH745&gt;0,"هشدار","عادی")))</f>
        <v>عادی</v>
      </c>
      <c r="BJ745" s="16" t="s">
        <v>338</v>
      </c>
    </row>
    <row r="746" customFormat="false" ht="15" hidden="false" customHeight="false" outlineLevel="0" collapsed="false">
      <c r="A746" s="16" t="s">
        <v>2623</v>
      </c>
      <c r="B746" s="16" t="s">
        <v>2624</v>
      </c>
      <c r="C746" s="16"/>
      <c r="D746" s="16" t="s">
        <v>508</v>
      </c>
      <c r="E746" s="16" t="s">
        <v>375</v>
      </c>
      <c r="F746" s="16" t="s">
        <v>333</v>
      </c>
      <c r="G746" s="17" t="n">
        <v>46291.3872685185</v>
      </c>
      <c r="H746" s="17" t="n">
        <v>46291.637962963</v>
      </c>
      <c r="I746" s="18" t="n">
        <f aca="false">IF(H746="",ROUND((تنظیمات!$B$7-G746)*1440,0),ROUND((H746-G746)*1440,0))</f>
        <v>361</v>
      </c>
      <c r="J746" s="16" t="s">
        <v>346</v>
      </c>
      <c r="K746" s="16" t="s">
        <v>400</v>
      </c>
      <c r="L746" s="19" t="n">
        <v>0.949</v>
      </c>
      <c r="M746" s="19" t="n">
        <v>0.984</v>
      </c>
      <c r="N746" s="16" t="s">
        <v>335</v>
      </c>
      <c r="O746" s="16" t="s">
        <v>650</v>
      </c>
      <c r="P746" s="16" t="s">
        <v>420</v>
      </c>
      <c r="Q746" s="20" t="n">
        <v>46291</v>
      </c>
      <c r="R746" s="16" t="s">
        <v>2625</v>
      </c>
      <c r="S746" s="16" t="s">
        <v>404</v>
      </c>
      <c r="T746" s="17"/>
      <c r="U746" s="21" t="n">
        <v>1</v>
      </c>
      <c r="V746" s="21" t="n">
        <v>1</v>
      </c>
      <c r="W746" s="22" t="n">
        <v>6.5</v>
      </c>
      <c r="X746" s="16" t="s">
        <v>335</v>
      </c>
      <c r="Y746" s="16" t="s">
        <v>338</v>
      </c>
      <c r="Z746" s="16" t="s">
        <v>413</v>
      </c>
      <c r="AA746" s="16" t="s">
        <v>427</v>
      </c>
      <c r="AB746" s="23" t="s">
        <v>2626</v>
      </c>
      <c r="AC746" s="17" t="n">
        <v>46291.6371990741</v>
      </c>
      <c r="AD746" s="16" t="s">
        <v>338</v>
      </c>
      <c r="AE746" s="16"/>
      <c r="AF746" s="16" t="str">
        <f aca="false">IF(COUNTIF(لیست_سفید!$A$2:$A$21,B746)&gt;0,"بله","خیر")</f>
        <v>خیر</v>
      </c>
      <c r="AG746" s="24" t="n">
        <f aca="false">IF(H746="","",IF(AD746="فیش مفقودی",تنظیمات!$B$6,(INT(I746/1440)*تنظیمات!$B$5+IF(MOD(I746,1440)&lt;=تنظیمات!$B$2,0,MIN(تنظیمات!$B$5,تنظیمات!$B$3+MAX(0,ROUNDUP((MOD(I746,1440)-60)/60,0))*تنظیمات!$B$4)))*INDEX(تعرفه!$B$2:$B$7,MATCH(AD746,تعرفه!$A$2:$A$7,0))))</f>
        <v>104000</v>
      </c>
      <c r="AH746" s="24" t="n">
        <v>104000</v>
      </c>
      <c r="AI746" s="24" t="n">
        <f aca="false">IF(AG746="","",AH746-AG746)</f>
        <v>0</v>
      </c>
      <c r="AJ746" s="21" t="n">
        <v>0</v>
      </c>
      <c r="AK746" s="21" t="n">
        <v>0</v>
      </c>
      <c r="AL746" s="16" t="s">
        <v>335</v>
      </c>
      <c r="AM746" s="16"/>
      <c r="AN746" s="16" t="s">
        <v>340</v>
      </c>
      <c r="AO746" s="16" t="s">
        <v>340</v>
      </c>
      <c r="AP746" s="16" t="s">
        <v>335</v>
      </c>
      <c r="AQ746" s="16"/>
      <c r="AR746" s="21" t="n">
        <f aca="false">IF(AND(T746&lt;&gt;"",H746&lt;&gt;""),IF(AND((T746-H746)*86400&gt;=0,(T746-H746)*86400&lt;تنظیمات!$B$13),1,0),0)</f>
        <v>0</v>
      </c>
      <c r="AS746" s="21" t="n">
        <f aca="false">IF(Z746="پوز",IF(OR(AB746="",COUNTIF(پوزها!$A$2:$A$5,AA746)=0),1,0),0)</f>
        <v>0</v>
      </c>
      <c r="AT746" s="21" t="n">
        <f aca="false">IF(AI746="",0,IF(AI746&gt;0,1,0))</f>
        <v>0</v>
      </c>
      <c r="AU746" s="21" t="n">
        <f aca="false">IF(AI746="",0,IF(AI746&lt;0,1,0))</f>
        <v>0</v>
      </c>
      <c r="AV746" s="21" t="n">
        <f aca="false">IF(U746&gt;V746,1,0)</f>
        <v>0</v>
      </c>
      <c r="AW746" s="21" t="n">
        <f aca="false">IF(OR(W746&gt;تنظیمات!$B$8,X746="بله"),1,0)</f>
        <v>0</v>
      </c>
      <c r="AX746" s="21" t="n">
        <f aca="false">IF(AND(N746="بله",L746&gt;تنظیمات!$B$9),1,0)</f>
        <v>0</v>
      </c>
      <c r="AY746" s="21" t="n">
        <f aca="false">IF(Y746="معکوس",1,0)</f>
        <v>0</v>
      </c>
      <c r="AZ746" s="21" t="n">
        <f aca="false">IF(ABS(AJ746)&gt;تنظیمات!$B$10,1,0)</f>
        <v>0</v>
      </c>
      <c r="BA746" s="21" t="n">
        <f aca="false">IF(AND(OR(AD746="رایگان/VIP",AD746="جانباز"),AF746="خیر"),1,0)</f>
        <v>0</v>
      </c>
      <c r="BB746" s="21" t="n">
        <f aca="false">IF(AE746="",0,IF(COUNTIF($AE$2:$AE$1001,AE746)&gt;1,1,0))</f>
        <v>0</v>
      </c>
      <c r="BC746" s="21" t="n">
        <f aca="false">IF(AND(H746="",I746&gt;تنظیمات!$B$12*60,AM746="خالی"),1,0)</f>
        <v>0</v>
      </c>
      <c r="BD746" s="21" t="n">
        <f aca="false">IF(AND(AP746="بله",I746&lt;تنظیمات!$B$14,AO746="خیر"),1,0)</f>
        <v>0</v>
      </c>
      <c r="BE746" s="21" t="n">
        <f aca="false">IF(AN746="خیر",1,0)</f>
        <v>0</v>
      </c>
      <c r="BF746" s="21" t="n">
        <f aca="false">IF(AND(AD746="فیش مفقودی",AQ746="بله",I746&gt;تنظیمات!$B$12*60),1,0)</f>
        <v>0</v>
      </c>
      <c r="BG746" s="21" t="n">
        <f aca="false">IF(AND(AK746&gt;تنظیمات!$B$11,AL746="بله"),1,0)</f>
        <v>0</v>
      </c>
      <c r="BH746" s="21" t="n">
        <f aca="false">MIN(100,AR746*تنظیمات!$B$21+AS746*تنظیمات!$B$22+AT746*تنظیمات!$B$23+AU746*تنظیمات!$B$24+AV746*تنظیمات!$B$25+AW746*تنظیمات!$B$26+AX746*تنظیمات!$B$27+AY746*تنظیمات!$B$28+AZ746*تنظیمات!$B$29+BA746*تنظیمات!$B$30+BB746*تنظیمات!$B$31+BC746*تنظیمات!$B$32+BD746*تنظیمات!$B$33+BE746*تنظیمات!$B$34+BF746*تنظیمات!$B$35+BG746*تنظیمات!$B$36)</f>
        <v>0</v>
      </c>
      <c r="BI746" s="16" t="str">
        <f aca="false">IF(BH746&gt;=60,"بحرانی",IF(BH746&gt;=30,"مشکوک",IF(BH746&gt;0,"هشدار","عادی")))</f>
        <v>عادی</v>
      </c>
      <c r="BJ746" s="16" t="s">
        <v>338</v>
      </c>
    </row>
    <row r="747" customFormat="false" ht="15" hidden="false" customHeight="false" outlineLevel="0" collapsed="false">
      <c r="A747" s="16" t="s">
        <v>2627</v>
      </c>
      <c r="B747" s="16" t="s">
        <v>1248</v>
      </c>
      <c r="C747" s="16"/>
      <c r="D747" s="16" t="s">
        <v>350</v>
      </c>
      <c r="E747" s="16" t="s">
        <v>363</v>
      </c>
      <c r="F747" s="16" t="s">
        <v>333</v>
      </c>
      <c r="G747" s="17" t="n">
        <v>46291.3872916667</v>
      </c>
      <c r="H747" s="17" t="n">
        <v>46291.3921527778</v>
      </c>
      <c r="I747" s="18" t="n">
        <f aca="false">IF(H747="",ROUND((تنظیمات!$B$7-G747)*1440,0),ROUND((H747-G747)*1440,0))</f>
        <v>7</v>
      </c>
      <c r="J747" s="16" t="s">
        <v>334</v>
      </c>
      <c r="K747" s="16" t="s">
        <v>400</v>
      </c>
      <c r="L747" s="19" t="n">
        <v>0.995</v>
      </c>
      <c r="M747" s="19" t="n">
        <v>0.969</v>
      </c>
      <c r="N747" s="16" t="s">
        <v>335</v>
      </c>
      <c r="O747" s="16" t="s">
        <v>401</v>
      </c>
      <c r="P747" s="16" t="s">
        <v>402</v>
      </c>
      <c r="Q747" s="20" t="n">
        <v>46291</v>
      </c>
      <c r="R747" s="16" t="s">
        <v>2628</v>
      </c>
      <c r="S747" s="16" t="s">
        <v>404</v>
      </c>
      <c r="T747" s="17"/>
      <c r="U747" s="21" t="n">
        <v>1</v>
      </c>
      <c r="V747" s="21" t="n">
        <v>1</v>
      </c>
      <c r="W747" s="22" t="n">
        <v>5.8</v>
      </c>
      <c r="X747" s="16" t="s">
        <v>335</v>
      </c>
      <c r="Y747" s="16" t="s">
        <v>338</v>
      </c>
      <c r="Z747" s="16" t="s">
        <v>628</v>
      </c>
      <c r="AA747" s="16"/>
      <c r="AB747" s="23"/>
      <c r="AC747" s="17"/>
      <c r="AD747" s="16" t="s">
        <v>338</v>
      </c>
      <c r="AE747" s="16"/>
      <c r="AF747" s="16" t="str">
        <f aca="false">IF(COUNTIF(لیست_سفید!$A$2:$A$21,B747)&gt;0,"بله","خیر")</f>
        <v>خیر</v>
      </c>
      <c r="AG747" s="24" t="n">
        <f aca="false">IF(H747="","",IF(AD747="فیش مفقودی",تنظیمات!$B$6,(INT(I747/1440)*تنظیمات!$B$5+IF(MOD(I747,1440)&lt;=تنظیمات!$B$2,0,MIN(تنظیمات!$B$5,تنظیمات!$B$3+MAX(0,ROUNDUP((MOD(I747,1440)-60)/60,0))*تنظیمات!$B$4)))*INDEX(تعرفه!$B$2:$B$7,MATCH(AD747,تعرفه!$A$2:$A$7,0))))</f>
        <v>0</v>
      </c>
      <c r="AH747" s="24" t="n">
        <v>0</v>
      </c>
      <c r="AI747" s="24" t="n">
        <f aca="false">IF(AG747="","",AH747-AG747)</f>
        <v>0</v>
      </c>
      <c r="AJ747" s="21" t="n">
        <v>-1</v>
      </c>
      <c r="AK747" s="21" t="n">
        <v>0</v>
      </c>
      <c r="AL747" s="16" t="s">
        <v>335</v>
      </c>
      <c r="AM747" s="16"/>
      <c r="AN747" s="16" t="s">
        <v>340</v>
      </c>
      <c r="AO747" s="16" t="s">
        <v>340</v>
      </c>
      <c r="AP747" s="16" t="s">
        <v>335</v>
      </c>
      <c r="AQ747" s="16"/>
      <c r="AR747" s="21" t="n">
        <f aca="false">IF(AND(T747&lt;&gt;"",H747&lt;&gt;""),IF(AND((T747-H747)*86400&gt;=0,(T747-H747)*86400&lt;تنظیمات!$B$13),1,0),0)</f>
        <v>0</v>
      </c>
      <c r="AS747" s="21" t="n">
        <f aca="false">IF(Z747="پوز",IF(OR(AB747="",COUNTIF(پوزها!$A$2:$A$5,AA747)=0),1,0),0)</f>
        <v>0</v>
      </c>
      <c r="AT747" s="21" t="n">
        <f aca="false">IF(AI747="",0,IF(AI747&gt;0,1,0))</f>
        <v>0</v>
      </c>
      <c r="AU747" s="21" t="n">
        <f aca="false">IF(AI747="",0,IF(AI747&lt;0,1,0))</f>
        <v>0</v>
      </c>
      <c r="AV747" s="21" t="n">
        <f aca="false">IF(U747&gt;V747,1,0)</f>
        <v>0</v>
      </c>
      <c r="AW747" s="21" t="n">
        <f aca="false">IF(OR(W747&gt;تنظیمات!$B$8,X747="بله"),1,0)</f>
        <v>0</v>
      </c>
      <c r="AX747" s="21" t="n">
        <f aca="false">IF(AND(N747="بله",L747&gt;تنظیمات!$B$9),1,0)</f>
        <v>0</v>
      </c>
      <c r="AY747" s="21" t="n">
        <f aca="false">IF(Y747="معکوس",1,0)</f>
        <v>0</v>
      </c>
      <c r="AZ747" s="21" t="n">
        <f aca="false">IF(ABS(AJ747)&gt;تنظیمات!$B$10,1,0)</f>
        <v>0</v>
      </c>
      <c r="BA747" s="21" t="n">
        <f aca="false">IF(AND(OR(AD747="رایگان/VIP",AD747="جانباز"),AF747="خیر"),1,0)</f>
        <v>0</v>
      </c>
      <c r="BB747" s="21" t="n">
        <f aca="false">IF(AE747="",0,IF(COUNTIF($AE$2:$AE$1001,AE747)&gt;1,1,0))</f>
        <v>0</v>
      </c>
      <c r="BC747" s="21" t="n">
        <f aca="false">IF(AND(H747="",I747&gt;تنظیمات!$B$12*60,AM747="خالی"),1,0)</f>
        <v>0</v>
      </c>
      <c r="BD747" s="21" t="n">
        <f aca="false">IF(AND(AP747="بله",I747&lt;تنظیمات!$B$14,AO747="خیر"),1,0)</f>
        <v>0</v>
      </c>
      <c r="BE747" s="21" t="n">
        <f aca="false">IF(AN747="خیر",1,0)</f>
        <v>0</v>
      </c>
      <c r="BF747" s="21" t="n">
        <f aca="false">IF(AND(AD747="فیش مفقودی",AQ747="بله",I747&gt;تنظیمات!$B$12*60),1,0)</f>
        <v>0</v>
      </c>
      <c r="BG747" s="21" t="n">
        <f aca="false">IF(AND(AK747&gt;تنظیمات!$B$11,AL747="بله"),1,0)</f>
        <v>0</v>
      </c>
      <c r="BH747" s="21" t="n">
        <f aca="false">MIN(100,AR747*تنظیمات!$B$21+AS747*تنظیمات!$B$22+AT747*تنظیمات!$B$23+AU747*تنظیمات!$B$24+AV747*تنظیمات!$B$25+AW747*تنظیمات!$B$26+AX747*تنظیمات!$B$27+AY747*تنظیمات!$B$28+AZ747*تنظیمات!$B$29+BA747*تنظیمات!$B$30+BB747*تنظیمات!$B$31+BC747*تنظیمات!$B$32+BD747*تنظیمات!$B$33+BE747*تنظیمات!$B$34+BF747*تنظیمات!$B$35+BG747*تنظیمات!$B$36)</f>
        <v>0</v>
      </c>
      <c r="BI747" s="16" t="str">
        <f aca="false">IF(BH747&gt;=60,"بحرانی",IF(BH747&gt;=30,"مشکوک",IF(BH747&gt;0,"هشدار","عادی")))</f>
        <v>عادی</v>
      </c>
      <c r="BJ747" s="16" t="s">
        <v>629</v>
      </c>
    </row>
    <row r="748" customFormat="false" ht="15" hidden="false" customHeight="false" outlineLevel="0" collapsed="false">
      <c r="A748" s="16" t="s">
        <v>2629</v>
      </c>
      <c r="B748" s="16" t="s">
        <v>867</v>
      </c>
      <c r="C748" s="16"/>
      <c r="D748" s="16" t="s">
        <v>331</v>
      </c>
      <c r="E748" s="16" t="s">
        <v>375</v>
      </c>
      <c r="F748" s="16" t="s">
        <v>333</v>
      </c>
      <c r="G748" s="17" t="n">
        <v>46291.3889467593</v>
      </c>
      <c r="H748" s="17" t="n">
        <v>46291.4806134259</v>
      </c>
      <c r="I748" s="18" t="n">
        <f aca="false">IF(H748="",ROUND((تنظیمات!$B$7-G748)*1440,0),ROUND((H748-G748)*1440,0))</f>
        <v>132</v>
      </c>
      <c r="J748" s="16" t="s">
        <v>346</v>
      </c>
      <c r="K748" s="16" t="s">
        <v>400</v>
      </c>
      <c r="L748" s="19" t="n">
        <v>0.972</v>
      </c>
      <c r="M748" s="19" t="n">
        <v>0.995</v>
      </c>
      <c r="N748" s="16" t="s">
        <v>335</v>
      </c>
      <c r="O748" s="16" t="s">
        <v>401</v>
      </c>
      <c r="P748" s="16" t="s">
        <v>402</v>
      </c>
      <c r="Q748" s="20" t="n">
        <v>46291</v>
      </c>
      <c r="R748" s="16" t="s">
        <v>2630</v>
      </c>
      <c r="S748" s="16" t="s">
        <v>404</v>
      </c>
      <c r="T748" s="17"/>
      <c r="U748" s="21" t="n">
        <v>1</v>
      </c>
      <c r="V748" s="21" t="n">
        <v>1</v>
      </c>
      <c r="W748" s="22" t="n">
        <v>4.9</v>
      </c>
      <c r="X748" s="16" t="s">
        <v>335</v>
      </c>
      <c r="Y748" s="16" t="s">
        <v>338</v>
      </c>
      <c r="Z748" s="16" t="s">
        <v>413</v>
      </c>
      <c r="AA748" s="16" t="s">
        <v>427</v>
      </c>
      <c r="AB748" s="23" t="s">
        <v>2631</v>
      </c>
      <c r="AC748" s="17" t="n">
        <v>46291.4800925926</v>
      </c>
      <c r="AD748" s="16" t="s">
        <v>338</v>
      </c>
      <c r="AE748" s="16"/>
      <c r="AF748" s="16" t="str">
        <f aca="false">IF(COUNTIF(لیست_سفید!$A$2:$A$21,B748)&gt;0,"بله","خیر")</f>
        <v>خیر</v>
      </c>
      <c r="AG748" s="24" t="n">
        <f aca="false">IF(H748="","",IF(AD748="فیش مفقودی",تنظیمات!$B$6,(INT(I748/1440)*تنظیمات!$B$5+IF(MOD(I748,1440)&lt;=تنظیمات!$B$2,0,MIN(تنظیمات!$B$5,تنظیمات!$B$3+MAX(0,ROUNDUP((MOD(I748,1440)-60)/60,0))*تنظیمات!$B$4)))*INDEX(تعرفه!$B$2:$B$7,MATCH(AD748,تعرفه!$A$2:$A$7,0))))</f>
        <v>48000</v>
      </c>
      <c r="AH748" s="24" t="n">
        <v>48000</v>
      </c>
      <c r="AI748" s="24" t="n">
        <f aca="false">IF(AG748="","",AH748-AG748)</f>
        <v>0</v>
      </c>
      <c r="AJ748" s="21" t="n">
        <v>-3</v>
      </c>
      <c r="AK748" s="21" t="n">
        <v>0</v>
      </c>
      <c r="AL748" s="16" t="s">
        <v>335</v>
      </c>
      <c r="AM748" s="16"/>
      <c r="AN748" s="16" t="s">
        <v>340</v>
      </c>
      <c r="AO748" s="16" t="s">
        <v>340</v>
      </c>
      <c r="AP748" s="16" t="s">
        <v>335</v>
      </c>
      <c r="AQ748" s="16"/>
      <c r="AR748" s="21" t="n">
        <f aca="false">IF(AND(T748&lt;&gt;"",H748&lt;&gt;""),IF(AND((T748-H748)*86400&gt;=0,(T748-H748)*86400&lt;تنظیمات!$B$13),1,0),0)</f>
        <v>0</v>
      </c>
      <c r="AS748" s="21" t="n">
        <f aca="false">IF(Z748="پوز",IF(OR(AB748="",COUNTIF(پوزها!$A$2:$A$5,AA748)=0),1,0),0)</f>
        <v>0</v>
      </c>
      <c r="AT748" s="21" t="n">
        <f aca="false">IF(AI748="",0,IF(AI748&gt;0,1,0))</f>
        <v>0</v>
      </c>
      <c r="AU748" s="21" t="n">
        <f aca="false">IF(AI748="",0,IF(AI748&lt;0,1,0))</f>
        <v>0</v>
      </c>
      <c r="AV748" s="21" t="n">
        <f aca="false">IF(U748&gt;V748,1,0)</f>
        <v>0</v>
      </c>
      <c r="AW748" s="21" t="n">
        <f aca="false">IF(OR(W748&gt;تنظیمات!$B$8,X748="بله"),1,0)</f>
        <v>0</v>
      </c>
      <c r="AX748" s="21" t="n">
        <f aca="false">IF(AND(N748="بله",L748&gt;تنظیمات!$B$9),1,0)</f>
        <v>0</v>
      </c>
      <c r="AY748" s="21" t="n">
        <f aca="false">IF(Y748="معکوس",1,0)</f>
        <v>0</v>
      </c>
      <c r="AZ748" s="21" t="n">
        <f aca="false">IF(ABS(AJ748)&gt;تنظیمات!$B$10,1,0)</f>
        <v>0</v>
      </c>
      <c r="BA748" s="21" t="n">
        <f aca="false">IF(AND(OR(AD748="رایگان/VIP",AD748="جانباز"),AF748="خیر"),1,0)</f>
        <v>0</v>
      </c>
      <c r="BB748" s="21" t="n">
        <f aca="false">IF(AE748="",0,IF(COUNTIF($AE$2:$AE$1001,AE748)&gt;1,1,0))</f>
        <v>0</v>
      </c>
      <c r="BC748" s="21" t="n">
        <f aca="false">IF(AND(H748="",I748&gt;تنظیمات!$B$12*60,AM748="خالی"),1,0)</f>
        <v>0</v>
      </c>
      <c r="BD748" s="21" t="n">
        <f aca="false">IF(AND(AP748="بله",I748&lt;تنظیمات!$B$14,AO748="خیر"),1,0)</f>
        <v>0</v>
      </c>
      <c r="BE748" s="21" t="n">
        <f aca="false">IF(AN748="خیر",1,0)</f>
        <v>0</v>
      </c>
      <c r="BF748" s="21" t="n">
        <f aca="false">IF(AND(AD748="فیش مفقودی",AQ748="بله",I748&gt;تنظیمات!$B$12*60),1,0)</f>
        <v>0</v>
      </c>
      <c r="BG748" s="21" t="n">
        <f aca="false">IF(AND(AK748&gt;تنظیمات!$B$11,AL748="بله"),1,0)</f>
        <v>0</v>
      </c>
      <c r="BH748" s="21" t="n">
        <f aca="false">MIN(100,AR748*تنظیمات!$B$21+AS748*تنظیمات!$B$22+AT748*تنظیمات!$B$23+AU748*تنظیمات!$B$24+AV748*تنظیمات!$B$25+AW748*تنظیمات!$B$26+AX748*تنظیمات!$B$27+AY748*تنظیمات!$B$28+AZ748*تنظیمات!$B$29+BA748*تنظیمات!$B$30+BB748*تنظیمات!$B$31+BC748*تنظیمات!$B$32+BD748*تنظیمات!$B$33+BE748*تنظیمات!$B$34+BF748*تنظیمات!$B$35+BG748*تنظیمات!$B$36)</f>
        <v>0</v>
      </c>
      <c r="BI748" s="16" t="str">
        <f aca="false">IF(BH748&gt;=60,"بحرانی",IF(BH748&gt;=30,"مشکوک",IF(BH748&gt;0,"هشدار","عادی")))</f>
        <v>عادی</v>
      </c>
      <c r="BJ748" s="16" t="s">
        <v>338</v>
      </c>
    </row>
    <row r="749" customFormat="false" ht="15" hidden="false" customHeight="false" outlineLevel="0" collapsed="false">
      <c r="A749" s="16" t="s">
        <v>2632</v>
      </c>
      <c r="B749" s="16" t="s">
        <v>1069</v>
      </c>
      <c r="C749" s="16"/>
      <c r="D749" s="16" t="s">
        <v>344</v>
      </c>
      <c r="E749" s="16" t="s">
        <v>390</v>
      </c>
      <c r="F749" s="16" t="s">
        <v>333</v>
      </c>
      <c r="G749" s="17" t="n">
        <v>46291.3895023148</v>
      </c>
      <c r="H749" s="17" t="n">
        <v>46291.3957523148</v>
      </c>
      <c r="I749" s="18" t="n">
        <f aca="false">IF(H749="",ROUND((تنظیمات!$B$7-G749)*1440,0),ROUND((H749-G749)*1440,0))</f>
        <v>9</v>
      </c>
      <c r="J749" s="16" t="s">
        <v>334</v>
      </c>
      <c r="K749" s="16" t="s">
        <v>400</v>
      </c>
      <c r="L749" s="19" t="n">
        <v>0.918</v>
      </c>
      <c r="M749" s="19" t="n">
        <v>0.883</v>
      </c>
      <c r="N749" s="16" t="s">
        <v>335</v>
      </c>
      <c r="O749" s="16" t="s">
        <v>401</v>
      </c>
      <c r="P749" s="16" t="s">
        <v>402</v>
      </c>
      <c r="Q749" s="20" t="n">
        <v>46291</v>
      </c>
      <c r="R749" s="16" t="s">
        <v>2633</v>
      </c>
      <c r="S749" s="16" t="s">
        <v>404</v>
      </c>
      <c r="T749" s="17"/>
      <c r="U749" s="21" t="n">
        <v>1</v>
      </c>
      <c r="V749" s="21" t="n">
        <v>1</v>
      </c>
      <c r="W749" s="22" t="n">
        <v>4.9</v>
      </c>
      <c r="X749" s="16" t="s">
        <v>335</v>
      </c>
      <c r="Y749" s="16" t="s">
        <v>338</v>
      </c>
      <c r="Z749" s="16" t="s">
        <v>628</v>
      </c>
      <c r="AA749" s="16"/>
      <c r="AB749" s="23"/>
      <c r="AC749" s="17"/>
      <c r="AD749" s="16" t="s">
        <v>338</v>
      </c>
      <c r="AE749" s="16"/>
      <c r="AF749" s="16" t="str">
        <f aca="false">IF(COUNTIF(لیست_سفید!$A$2:$A$21,B749)&gt;0,"بله","خیر")</f>
        <v>خیر</v>
      </c>
      <c r="AG749" s="24" t="n">
        <f aca="false">IF(H749="","",IF(AD749="فیش مفقودی",تنظیمات!$B$6,(INT(I749/1440)*تنظیمات!$B$5+IF(MOD(I749,1440)&lt;=تنظیمات!$B$2,0,MIN(تنظیمات!$B$5,تنظیمات!$B$3+MAX(0,ROUNDUP((MOD(I749,1440)-60)/60,0))*تنظیمات!$B$4)))*INDEX(تعرفه!$B$2:$B$7,MATCH(AD749,تعرفه!$A$2:$A$7,0))))</f>
        <v>0</v>
      </c>
      <c r="AH749" s="24" t="n">
        <v>0</v>
      </c>
      <c r="AI749" s="24" t="n">
        <f aca="false">IF(AG749="","",AH749-AG749)</f>
        <v>0</v>
      </c>
      <c r="AJ749" s="21" t="n">
        <v>1</v>
      </c>
      <c r="AK749" s="21" t="n">
        <v>0</v>
      </c>
      <c r="AL749" s="16" t="s">
        <v>335</v>
      </c>
      <c r="AM749" s="16"/>
      <c r="AN749" s="16" t="s">
        <v>340</v>
      </c>
      <c r="AO749" s="16" t="s">
        <v>340</v>
      </c>
      <c r="AP749" s="16" t="s">
        <v>335</v>
      </c>
      <c r="AQ749" s="16"/>
      <c r="AR749" s="21" t="n">
        <f aca="false">IF(AND(T749&lt;&gt;"",H749&lt;&gt;""),IF(AND((T749-H749)*86400&gt;=0,(T749-H749)*86400&lt;تنظیمات!$B$13),1,0),0)</f>
        <v>0</v>
      </c>
      <c r="AS749" s="21" t="n">
        <f aca="false">IF(Z749="پوز",IF(OR(AB749="",COUNTIF(پوزها!$A$2:$A$5,AA749)=0),1,0),0)</f>
        <v>0</v>
      </c>
      <c r="AT749" s="21" t="n">
        <f aca="false">IF(AI749="",0,IF(AI749&gt;0,1,0))</f>
        <v>0</v>
      </c>
      <c r="AU749" s="21" t="n">
        <f aca="false">IF(AI749="",0,IF(AI749&lt;0,1,0))</f>
        <v>0</v>
      </c>
      <c r="AV749" s="21" t="n">
        <f aca="false">IF(U749&gt;V749,1,0)</f>
        <v>0</v>
      </c>
      <c r="AW749" s="21" t="n">
        <f aca="false">IF(OR(W749&gt;تنظیمات!$B$8,X749="بله"),1,0)</f>
        <v>0</v>
      </c>
      <c r="AX749" s="21" t="n">
        <f aca="false">IF(AND(N749="بله",L749&gt;تنظیمات!$B$9),1,0)</f>
        <v>0</v>
      </c>
      <c r="AY749" s="21" t="n">
        <f aca="false">IF(Y749="معکوس",1,0)</f>
        <v>0</v>
      </c>
      <c r="AZ749" s="21" t="n">
        <f aca="false">IF(ABS(AJ749)&gt;تنظیمات!$B$10,1,0)</f>
        <v>0</v>
      </c>
      <c r="BA749" s="21" t="n">
        <f aca="false">IF(AND(OR(AD749="رایگان/VIP",AD749="جانباز"),AF749="خیر"),1,0)</f>
        <v>0</v>
      </c>
      <c r="BB749" s="21" t="n">
        <f aca="false">IF(AE749="",0,IF(COUNTIF($AE$2:$AE$1001,AE749)&gt;1,1,0))</f>
        <v>0</v>
      </c>
      <c r="BC749" s="21" t="n">
        <f aca="false">IF(AND(H749="",I749&gt;تنظیمات!$B$12*60,AM749="خالی"),1,0)</f>
        <v>0</v>
      </c>
      <c r="BD749" s="21" t="n">
        <f aca="false">IF(AND(AP749="بله",I749&lt;تنظیمات!$B$14,AO749="خیر"),1,0)</f>
        <v>0</v>
      </c>
      <c r="BE749" s="21" t="n">
        <f aca="false">IF(AN749="خیر",1,0)</f>
        <v>0</v>
      </c>
      <c r="BF749" s="21" t="n">
        <f aca="false">IF(AND(AD749="فیش مفقودی",AQ749="بله",I749&gt;تنظیمات!$B$12*60),1,0)</f>
        <v>0</v>
      </c>
      <c r="BG749" s="21" t="n">
        <f aca="false">IF(AND(AK749&gt;تنظیمات!$B$11,AL749="بله"),1,0)</f>
        <v>0</v>
      </c>
      <c r="BH749" s="21" t="n">
        <f aca="false">MIN(100,AR749*تنظیمات!$B$21+AS749*تنظیمات!$B$22+AT749*تنظیمات!$B$23+AU749*تنظیمات!$B$24+AV749*تنظیمات!$B$25+AW749*تنظیمات!$B$26+AX749*تنظیمات!$B$27+AY749*تنظیمات!$B$28+AZ749*تنظیمات!$B$29+BA749*تنظیمات!$B$30+BB749*تنظیمات!$B$31+BC749*تنظیمات!$B$32+BD749*تنظیمات!$B$33+BE749*تنظیمات!$B$34+BF749*تنظیمات!$B$35+BG749*تنظیمات!$B$36)</f>
        <v>0</v>
      </c>
      <c r="BI749" s="16" t="str">
        <f aca="false">IF(BH749&gt;=60,"بحرانی",IF(BH749&gt;=30,"مشکوک",IF(BH749&gt;0,"هشدار","عادی")))</f>
        <v>عادی</v>
      </c>
      <c r="BJ749" s="16" t="s">
        <v>629</v>
      </c>
    </row>
    <row r="750" customFormat="false" ht="15" hidden="false" customHeight="false" outlineLevel="0" collapsed="false">
      <c r="A750" s="16" t="s">
        <v>2634</v>
      </c>
      <c r="B750" s="16" t="s">
        <v>1436</v>
      </c>
      <c r="C750" s="16"/>
      <c r="D750" s="16" t="s">
        <v>382</v>
      </c>
      <c r="E750" s="16" t="s">
        <v>390</v>
      </c>
      <c r="F750" s="16" t="s">
        <v>333</v>
      </c>
      <c r="G750" s="17" t="n">
        <v>46291.3935763889</v>
      </c>
      <c r="H750" s="17" t="n">
        <v>46291.5609375</v>
      </c>
      <c r="I750" s="18" t="n">
        <f aca="false">IF(H750="",ROUND((تنظیمات!$B$7-G750)*1440,0),ROUND((H750-G750)*1440,0))</f>
        <v>241</v>
      </c>
      <c r="J750" s="16" t="s">
        <v>346</v>
      </c>
      <c r="K750" s="16" t="s">
        <v>410</v>
      </c>
      <c r="L750" s="19" t="n">
        <v>0.895</v>
      </c>
      <c r="M750" s="19" t="n">
        <v>0.956</v>
      </c>
      <c r="N750" s="16" t="s">
        <v>335</v>
      </c>
      <c r="O750" s="16" t="s">
        <v>419</v>
      </c>
      <c r="P750" s="16" t="s">
        <v>402</v>
      </c>
      <c r="Q750" s="20" t="n">
        <v>46291</v>
      </c>
      <c r="R750" s="16" t="s">
        <v>2635</v>
      </c>
      <c r="S750" s="16" t="s">
        <v>404</v>
      </c>
      <c r="T750" s="17"/>
      <c r="U750" s="21" t="n">
        <v>1</v>
      </c>
      <c r="V750" s="21" t="n">
        <v>1</v>
      </c>
      <c r="W750" s="22" t="n">
        <v>3.6</v>
      </c>
      <c r="X750" s="16" t="s">
        <v>335</v>
      </c>
      <c r="Y750" s="16" t="s">
        <v>338</v>
      </c>
      <c r="Z750" s="16" t="s">
        <v>413</v>
      </c>
      <c r="AA750" s="16" t="s">
        <v>414</v>
      </c>
      <c r="AB750" s="23" t="s">
        <v>2636</v>
      </c>
      <c r="AC750" s="17" t="n">
        <v>46291.5599305556</v>
      </c>
      <c r="AD750" s="16" t="s">
        <v>338</v>
      </c>
      <c r="AE750" s="16"/>
      <c r="AF750" s="16" t="str">
        <f aca="false">IF(COUNTIF(لیست_سفید!$A$2:$A$21,B750)&gt;0,"بله","خیر")</f>
        <v>خیر</v>
      </c>
      <c r="AG750" s="24" t="n">
        <f aca="false">IF(H750="","",IF(AD750="فیش مفقودی",تنظیمات!$B$6,(INT(I750/1440)*تنظیمات!$B$5+IF(MOD(I750,1440)&lt;=تنظیمات!$B$2,0,MIN(تنظیمات!$B$5,تنظیمات!$B$3+MAX(0,ROUNDUP((MOD(I750,1440)-60)/60,0))*تنظیمات!$B$4)))*INDEX(تعرفه!$B$2:$B$7,MATCH(AD750,تعرفه!$A$2:$A$7,0))))</f>
        <v>76000</v>
      </c>
      <c r="AH750" s="24" t="n">
        <v>76000</v>
      </c>
      <c r="AI750" s="24" t="n">
        <f aca="false">IF(AG750="","",AH750-AG750)</f>
        <v>0</v>
      </c>
      <c r="AJ750" s="21" t="n">
        <v>-3</v>
      </c>
      <c r="AK750" s="21" t="n">
        <v>0</v>
      </c>
      <c r="AL750" s="16" t="s">
        <v>335</v>
      </c>
      <c r="AM750" s="16"/>
      <c r="AN750" s="16" t="s">
        <v>340</v>
      </c>
      <c r="AO750" s="16" t="s">
        <v>340</v>
      </c>
      <c r="AP750" s="16" t="s">
        <v>335</v>
      </c>
      <c r="AQ750" s="16"/>
      <c r="AR750" s="21" t="n">
        <f aca="false">IF(AND(T750&lt;&gt;"",H750&lt;&gt;""),IF(AND((T750-H750)*86400&gt;=0,(T750-H750)*86400&lt;تنظیمات!$B$13),1,0),0)</f>
        <v>0</v>
      </c>
      <c r="AS750" s="21" t="n">
        <f aca="false">IF(Z750="پوز",IF(OR(AB750="",COUNTIF(پوزها!$A$2:$A$5,AA750)=0),1,0),0)</f>
        <v>0</v>
      </c>
      <c r="AT750" s="21" t="n">
        <f aca="false">IF(AI750="",0,IF(AI750&gt;0,1,0))</f>
        <v>0</v>
      </c>
      <c r="AU750" s="21" t="n">
        <f aca="false">IF(AI750="",0,IF(AI750&lt;0,1,0))</f>
        <v>0</v>
      </c>
      <c r="AV750" s="21" t="n">
        <f aca="false">IF(U750&gt;V750,1,0)</f>
        <v>0</v>
      </c>
      <c r="AW750" s="21" t="n">
        <f aca="false">IF(OR(W750&gt;تنظیمات!$B$8,X750="بله"),1,0)</f>
        <v>0</v>
      </c>
      <c r="AX750" s="21" t="n">
        <f aca="false">IF(AND(N750="بله",L750&gt;تنظیمات!$B$9),1,0)</f>
        <v>0</v>
      </c>
      <c r="AY750" s="21" t="n">
        <f aca="false">IF(Y750="معکوس",1,0)</f>
        <v>0</v>
      </c>
      <c r="AZ750" s="21" t="n">
        <f aca="false">IF(ABS(AJ750)&gt;تنظیمات!$B$10,1,0)</f>
        <v>0</v>
      </c>
      <c r="BA750" s="21" t="n">
        <f aca="false">IF(AND(OR(AD750="رایگان/VIP",AD750="جانباز"),AF750="خیر"),1,0)</f>
        <v>0</v>
      </c>
      <c r="BB750" s="21" t="n">
        <f aca="false">IF(AE750="",0,IF(COUNTIF($AE$2:$AE$1001,AE750)&gt;1,1,0))</f>
        <v>0</v>
      </c>
      <c r="BC750" s="21" t="n">
        <f aca="false">IF(AND(H750="",I750&gt;تنظیمات!$B$12*60,AM750="خالی"),1,0)</f>
        <v>0</v>
      </c>
      <c r="BD750" s="21" t="n">
        <f aca="false">IF(AND(AP750="بله",I750&lt;تنظیمات!$B$14,AO750="خیر"),1,0)</f>
        <v>0</v>
      </c>
      <c r="BE750" s="21" t="n">
        <f aca="false">IF(AN750="خیر",1,0)</f>
        <v>0</v>
      </c>
      <c r="BF750" s="21" t="n">
        <f aca="false">IF(AND(AD750="فیش مفقودی",AQ750="بله",I750&gt;تنظیمات!$B$12*60),1,0)</f>
        <v>0</v>
      </c>
      <c r="BG750" s="21" t="n">
        <f aca="false">IF(AND(AK750&gt;تنظیمات!$B$11,AL750="بله"),1,0)</f>
        <v>0</v>
      </c>
      <c r="BH750" s="21" t="n">
        <f aca="false">MIN(100,AR750*تنظیمات!$B$21+AS750*تنظیمات!$B$22+AT750*تنظیمات!$B$23+AU750*تنظیمات!$B$24+AV750*تنظیمات!$B$25+AW750*تنظیمات!$B$26+AX750*تنظیمات!$B$27+AY750*تنظیمات!$B$28+AZ750*تنظیمات!$B$29+BA750*تنظیمات!$B$30+BB750*تنظیمات!$B$31+BC750*تنظیمات!$B$32+BD750*تنظیمات!$B$33+BE750*تنظیمات!$B$34+BF750*تنظیمات!$B$35+BG750*تنظیمات!$B$36)</f>
        <v>0</v>
      </c>
      <c r="BI750" s="16" t="str">
        <f aca="false">IF(BH750&gt;=60,"بحرانی",IF(BH750&gt;=30,"مشکوک",IF(BH750&gt;0,"هشدار","عادی")))</f>
        <v>عادی</v>
      </c>
      <c r="BJ750" s="16" t="s">
        <v>338</v>
      </c>
    </row>
    <row r="751" customFormat="false" ht="15" hidden="false" customHeight="false" outlineLevel="0" collapsed="false">
      <c r="A751" s="16" t="s">
        <v>2637</v>
      </c>
      <c r="B751" s="16" t="s">
        <v>1200</v>
      </c>
      <c r="C751" s="16"/>
      <c r="D751" s="16" t="s">
        <v>358</v>
      </c>
      <c r="E751" s="16" t="s">
        <v>363</v>
      </c>
      <c r="F751" s="16" t="s">
        <v>359</v>
      </c>
      <c r="G751" s="17" t="n">
        <v>46291.4017824074</v>
      </c>
      <c r="H751" s="17" t="n">
        <v>46291.5031712963</v>
      </c>
      <c r="I751" s="18" t="n">
        <f aca="false">IF(H751="",ROUND((تنظیمات!$B$7-G751)*1440,0),ROUND((H751-G751)*1440,0))</f>
        <v>146</v>
      </c>
      <c r="J751" s="16" t="s">
        <v>334</v>
      </c>
      <c r="K751" s="16" t="s">
        <v>410</v>
      </c>
      <c r="L751" s="19" t="n">
        <v>0.966</v>
      </c>
      <c r="M751" s="19" t="n">
        <v>0.962</v>
      </c>
      <c r="N751" s="16" t="s">
        <v>335</v>
      </c>
      <c r="O751" s="16" t="s">
        <v>419</v>
      </c>
      <c r="P751" s="16" t="s">
        <v>402</v>
      </c>
      <c r="Q751" s="20" t="n">
        <v>46291</v>
      </c>
      <c r="R751" s="16" t="s">
        <v>2638</v>
      </c>
      <c r="S751" s="16" t="s">
        <v>404</v>
      </c>
      <c r="T751" s="17"/>
      <c r="U751" s="21" t="n">
        <v>1</v>
      </c>
      <c r="V751" s="21" t="n">
        <v>1</v>
      </c>
      <c r="W751" s="22" t="n">
        <v>6.4</v>
      </c>
      <c r="X751" s="16" t="s">
        <v>335</v>
      </c>
      <c r="Y751" s="16" t="s">
        <v>338</v>
      </c>
      <c r="Z751" s="16" t="s">
        <v>413</v>
      </c>
      <c r="AA751" s="16" t="s">
        <v>414</v>
      </c>
      <c r="AB751" s="23" t="s">
        <v>2639</v>
      </c>
      <c r="AC751" s="17" t="n">
        <v>46291.502662037</v>
      </c>
      <c r="AD751" s="16" t="s">
        <v>338</v>
      </c>
      <c r="AE751" s="16"/>
      <c r="AF751" s="16" t="str">
        <f aca="false">IF(COUNTIF(لیست_سفید!$A$2:$A$21,B751)&gt;0,"بله","خیر")</f>
        <v>خیر</v>
      </c>
      <c r="AG751" s="24" t="n">
        <f aca="false">IF(H751="","",IF(AD751="فیش مفقودی",تنظیمات!$B$6,(INT(I751/1440)*تنظیمات!$B$5+IF(MOD(I751,1440)&lt;=تنظیمات!$B$2,0,MIN(تنظیمات!$B$5,تنظیمات!$B$3+MAX(0,ROUNDUP((MOD(I751,1440)-60)/60,0))*تنظیمات!$B$4)))*INDEX(تعرفه!$B$2:$B$7,MATCH(AD751,تعرفه!$A$2:$A$7,0))))</f>
        <v>48000</v>
      </c>
      <c r="AH751" s="24" t="n">
        <v>48000</v>
      </c>
      <c r="AI751" s="24" t="n">
        <f aca="false">IF(AG751="","",AH751-AG751)</f>
        <v>0</v>
      </c>
      <c r="AJ751" s="21" t="n">
        <v>2</v>
      </c>
      <c r="AK751" s="21" t="n">
        <v>0</v>
      </c>
      <c r="AL751" s="16" t="s">
        <v>335</v>
      </c>
      <c r="AM751" s="16"/>
      <c r="AN751" s="16" t="s">
        <v>340</v>
      </c>
      <c r="AO751" s="16" t="s">
        <v>340</v>
      </c>
      <c r="AP751" s="16" t="s">
        <v>335</v>
      </c>
      <c r="AQ751" s="16"/>
      <c r="AR751" s="21" t="n">
        <f aca="false">IF(AND(T751&lt;&gt;"",H751&lt;&gt;""),IF(AND((T751-H751)*86400&gt;=0,(T751-H751)*86400&lt;تنظیمات!$B$13),1,0),0)</f>
        <v>0</v>
      </c>
      <c r="AS751" s="21" t="n">
        <f aca="false">IF(Z751="پوز",IF(OR(AB751="",COUNTIF(پوزها!$A$2:$A$5,AA751)=0),1,0),0)</f>
        <v>0</v>
      </c>
      <c r="AT751" s="21" t="n">
        <f aca="false">IF(AI751="",0,IF(AI751&gt;0,1,0))</f>
        <v>0</v>
      </c>
      <c r="AU751" s="21" t="n">
        <f aca="false">IF(AI751="",0,IF(AI751&lt;0,1,0))</f>
        <v>0</v>
      </c>
      <c r="AV751" s="21" t="n">
        <f aca="false">IF(U751&gt;V751,1,0)</f>
        <v>0</v>
      </c>
      <c r="AW751" s="21" t="n">
        <f aca="false">IF(OR(W751&gt;تنظیمات!$B$8,X751="بله"),1,0)</f>
        <v>0</v>
      </c>
      <c r="AX751" s="21" t="n">
        <f aca="false">IF(AND(N751="بله",L751&gt;تنظیمات!$B$9),1,0)</f>
        <v>0</v>
      </c>
      <c r="AY751" s="21" t="n">
        <f aca="false">IF(Y751="معکوس",1,0)</f>
        <v>0</v>
      </c>
      <c r="AZ751" s="21" t="n">
        <f aca="false">IF(ABS(AJ751)&gt;تنظیمات!$B$10,1,0)</f>
        <v>0</v>
      </c>
      <c r="BA751" s="21" t="n">
        <f aca="false">IF(AND(OR(AD751="رایگان/VIP",AD751="جانباز"),AF751="خیر"),1,0)</f>
        <v>0</v>
      </c>
      <c r="BB751" s="21" t="n">
        <f aca="false">IF(AE751="",0,IF(COUNTIF($AE$2:$AE$1001,AE751)&gt;1,1,0))</f>
        <v>0</v>
      </c>
      <c r="BC751" s="21" t="n">
        <f aca="false">IF(AND(H751="",I751&gt;تنظیمات!$B$12*60,AM751="خالی"),1,0)</f>
        <v>0</v>
      </c>
      <c r="BD751" s="21" t="n">
        <f aca="false">IF(AND(AP751="بله",I751&lt;تنظیمات!$B$14,AO751="خیر"),1,0)</f>
        <v>0</v>
      </c>
      <c r="BE751" s="21" t="n">
        <f aca="false">IF(AN751="خیر",1,0)</f>
        <v>0</v>
      </c>
      <c r="BF751" s="21" t="n">
        <f aca="false">IF(AND(AD751="فیش مفقودی",AQ751="بله",I751&gt;تنظیمات!$B$12*60),1,0)</f>
        <v>0</v>
      </c>
      <c r="BG751" s="21" t="n">
        <f aca="false">IF(AND(AK751&gt;تنظیمات!$B$11,AL751="بله"),1,0)</f>
        <v>0</v>
      </c>
      <c r="BH751" s="21" t="n">
        <f aca="false">MIN(100,AR751*تنظیمات!$B$21+AS751*تنظیمات!$B$22+AT751*تنظیمات!$B$23+AU751*تنظیمات!$B$24+AV751*تنظیمات!$B$25+AW751*تنظیمات!$B$26+AX751*تنظیمات!$B$27+AY751*تنظیمات!$B$28+AZ751*تنظیمات!$B$29+BA751*تنظیمات!$B$30+BB751*تنظیمات!$B$31+BC751*تنظیمات!$B$32+BD751*تنظیمات!$B$33+BE751*تنظیمات!$B$34+BF751*تنظیمات!$B$35+BG751*تنظیمات!$B$36)</f>
        <v>0</v>
      </c>
      <c r="BI751" s="16" t="str">
        <f aca="false">IF(BH751&gt;=60,"بحرانی",IF(BH751&gt;=30,"مشکوک",IF(BH751&gt;0,"هشدار","عادی")))</f>
        <v>عادی</v>
      </c>
      <c r="BJ751" s="16" t="s">
        <v>338</v>
      </c>
    </row>
    <row r="752" customFormat="false" ht="15" hidden="false" customHeight="false" outlineLevel="0" collapsed="false">
      <c r="A752" s="16" t="s">
        <v>2640</v>
      </c>
      <c r="B752" s="16" t="s">
        <v>989</v>
      </c>
      <c r="C752" s="16"/>
      <c r="D752" s="16" t="s">
        <v>508</v>
      </c>
      <c r="E752" s="16" t="s">
        <v>375</v>
      </c>
      <c r="F752" s="16" t="s">
        <v>333</v>
      </c>
      <c r="G752" s="17" t="n">
        <v>46291.425474537</v>
      </c>
      <c r="H752" s="17" t="n">
        <v>46291.7636689815</v>
      </c>
      <c r="I752" s="18" t="n">
        <f aca="false">IF(H752="",ROUND((تنظیمات!$B$7-G752)*1440,0),ROUND((H752-G752)*1440,0))</f>
        <v>487</v>
      </c>
      <c r="J752" s="16" t="s">
        <v>334</v>
      </c>
      <c r="K752" s="16" t="s">
        <v>410</v>
      </c>
      <c r="L752" s="19" t="n">
        <v>0.99</v>
      </c>
      <c r="M752" s="19" t="n">
        <v>0.925</v>
      </c>
      <c r="N752" s="16" t="s">
        <v>335</v>
      </c>
      <c r="O752" s="16" t="s">
        <v>666</v>
      </c>
      <c r="P752" s="16" t="s">
        <v>420</v>
      </c>
      <c r="Q752" s="20" t="n">
        <v>46291</v>
      </c>
      <c r="R752" s="16" t="s">
        <v>2641</v>
      </c>
      <c r="S752" s="16" t="s">
        <v>404</v>
      </c>
      <c r="T752" s="17"/>
      <c r="U752" s="21" t="n">
        <v>1</v>
      </c>
      <c r="V752" s="21" t="n">
        <v>1</v>
      </c>
      <c r="W752" s="22" t="n">
        <v>4.8</v>
      </c>
      <c r="X752" s="16" t="s">
        <v>335</v>
      </c>
      <c r="Y752" s="16" t="s">
        <v>338</v>
      </c>
      <c r="Z752" s="16" t="s">
        <v>443</v>
      </c>
      <c r="AA752" s="16"/>
      <c r="AB752" s="23"/>
      <c r="AC752" s="17"/>
      <c r="AD752" s="16" t="s">
        <v>444</v>
      </c>
      <c r="AE752" s="16"/>
      <c r="AF752" s="16" t="str">
        <f aca="false">IF(COUNTIF(لیست_سفید!$A$2:$A$21,B752)&gt;0,"بله","خیر")</f>
        <v>خیر</v>
      </c>
      <c r="AG752" s="24" t="n">
        <f aca="false">IF(H752="","",IF(AD752="فیش مفقودی",تنظیمات!$B$6,(INT(I752/1440)*تنظیمات!$B$5+IF(MOD(I752,1440)&lt;=تنظیمات!$B$2,0,MIN(تنظیمات!$B$5,تنظیمات!$B$3+MAX(0,ROUNDUP((MOD(I752,1440)-60)/60,0))*تنظیمات!$B$4)))*INDEX(تعرفه!$B$2:$B$7,MATCH(AD752,تعرفه!$A$2:$A$7,0))))</f>
        <v>0</v>
      </c>
      <c r="AH752" s="24" t="n">
        <v>0</v>
      </c>
      <c r="AI752" s="24" t="n">
        <f aca="false">IF(AG752="","",AH752-AG752)</f>
        <v>0</v>
      </c>
      <c r="AJ752" s="21" t="n">
        <v>1</v>
      </c>
      <c r="AK752" s="21" t="n">
        <v>0</v>
      </c>
      <c r="AL752" s="16" t="s">
        <v>335</v>
      </c>
      <c r="AM752" s="16"/>
      <c r="AN752" s="16" t="s">
        <v>340</v>
      </c>
      <c r="AO752" s="16" t="s">
        <v>340</v>
      </c>
      <c r="AP752" s="16" t="s">
        <v>335</v>
      </c>
      <c r="AQ752" s="16"/>
      <c r="AR752" s="21" t="n">
        <f aca="false">IF(AND(T752&lt;&gt;"",H752&lt;&gt;""),IF(AND((T752-H752)*86400&gt;=0,(T752-H752)*86400&lt;تنظیمات!$B$13),1,0),0)</f>
        <v>0</v>
      </c>
      <c r="AS752" s="21" t="n">
        <f aca="false">IF(Z752="پوز",IF(OR(AB752="",COUNTIF(پوزها!$A$2:$A$5,AA752)=0),1,0),0)</f>
        <v>0</v>
      </c>
      <c r="AT752" s="21" t="n">
        <f aca="false">IF(AI752="",0,IF(AI752&gt;0,1,0))</f>
        <v>0</v>
      </c>
      <c r="AU752" s="21" t="n">
        <f aca="false">IF(AI752="",0,IF(AI752&lt;0,1,0))</f>
        <v>0</v>
      </c>
      <c r="AV752" s="21" t="n">
        <f aca="false">IF(U752&gt;V752,1,0)</f>
        <v>0</v>
      </c>
      <c r="AW752" s="21" t="n">
        <f aca="false">IF(OR(W752&gt;تنظیمات!$B$8,X752="بله"),1,0)</f>
        <v>0</v>
      </c>
      <c r="AX752" s="21" t="n">
        <f aca="false">IF(AND(N752="بله",L752&gt;تنظیمات!$B$9),1,0)</f>
        <v>0</v>
      </c>
      <c r="AY752" s="21" t="n">
        <f aca="false">IF(Y752="معکوس",1,0)</f>
        <v>0</v>
      </c>
      <c r="AZ752" s="21" t="n">
        <f aca="false">IF(ABS(AJ752)&gt;تنظیمات!$B$10,1,0)</f>
        <v>0</v>
      </c>
      <c r="BA752" s="21" t="n">
        <f aca="false">IF(AND(OR(AD752="رایگان/VIP",AD752="جانباز"),AF752="خیر"),1,0)</f>
        <v>0</v>
      </c>
      <c r="BB752" s="21" t="n">
        <f aca="false">IF(AE752="",0,IF(COUNTIF($AE$2:$AE$1001,AE752)&gt;1,1,0))</f>
        <v>0</v>
      </c>
      <c r="BC752" s="21" t="n">
        <f aca="false">IF(AND(H752="",I752&gt;تنظیمات!$B$12*60,AM752="خالی"),1,0)</f>
        <v>0</v>
      </c>
      <c r="BD752" s="21" t="n">
        <f aca="false">IF(AND(AP752="بله",I752&lt;تنظیمات!$B$14,AO752="خیر"),1,0)</f>
        <v>0</v>
      </c>
      <c r="BE752" s="21" t="n">
        <f aca="false">IF(AN752="خیر",1,0)</f>
        <v>0</v>
      </c>
      <c r="BF752" s="21" t="n">
        <f aca="false">IF(AND(AD752="فیش مفقودی",AQ752="بله",I752&gt;تنظیمات!$B$12*60),1,0)</f>
        <v>0</v>
      </c>
      <c r="BG752" s="21" t="n">
        <f aca="false">IF(AND(AK752&gt;تنظیمات!$B$11,AL752="بله"),1,0)</f>
        <v>0</v>
      </c>
      <c r="BH752" s="21" t="n">
        <f aca="false">MIN(100,AR752*تنظیمات!$B$21+AS752*تنظیمات!$B$22+AT752*تنظیمات!$B$23+AU752*تنظیمات!$B$24+AV752*تنظیمات!$B$25+AW752*تنظیمات!$B$26+AX752*تنظیمات!$B$27+AY752*تنظیمات!$B$28+AZ752*تنظیمات!$B$29+BA752*تنظیمات!$B$30+BB752*تنظیمات!$B$31+BC752*تنظیمات!$B$32+BD752*تنظیمات!$B$33+BE752*تنظیمات!$B$34+BF752*تنظیمات!$B$35+BG752*تنظیمات!$B$36)</f>
        <v>0</v>
      </c>
      <c r="BI752" s="16" t="str">
        <f aca="false">IF(BH752&gt;=60,"بحرانی",IF(BH752&gt;=30,"مشکوک",IF(BH752&gt;0,"هشدار","عادی")))</f>
        <v>عادی</v>
      </c>
      <c r="BJ752" s="16" t="s">
        <v>338</v>
      </c>
    </row>
    <row r="753" customFormat="false" ht="15" hidden="false" customHeight="false" outlineLevel="0" collapsed="false">
      <c r="A753" s="16" t="s">
        <v>2642</v>
      </c>
      <c r="B753" s="16" t="s">
        <v>1752</v>
      </c>
      <c r="C753" s="16"/>
      <c r="D753" s="16" t="s">
        <v>374</v>
      </c>
      <c r="E753" s="16" t="s">
        <v>363</v>
      </c>
      <c r="F753" s="16" t="s">
        <v>359</v>
      </c>
      <c r="G753" s="17" t="n">
        <v>46291.4374884259</v>
      </c>
      <c r="H753" s="17"/>
      <c r="I753" s="18" t="n">
        <f aca="false">IF(H753="",ROUND((تنظیمات!$B$7-G753)*1440,0),ROUND((H753-G753)*1440,0))</f>
        <v>5490</v>
      </c>
      <c r="J753" s="16" t="s">
        <v>334</v>
      </c>
      <c r="K753" s="16"/>
      <c r="L753" s="19" t="n">
        <v>0.983</v>
      </c>
      <c r="M753" s="19"/>
      <c r="N753" s="16" t="s">
        <v>335</v>
      </c>
      <c r="O753" s="16"/>
      <c r="P753" s="16"/>
      <c r="Q753" s="20"/>
      <c r="R753" s="16" t="s">
        <v>2643</v>
      </c>
      <c r="S753" s="16" t="s">
        <v>337</v>
      </c>
      <c r="T753" s="17"/>
      <c r="U753" s="21" t="n">
        <v>1</v>
      </c>
      <c r="V753" s="21" t="n">
        <v>1</v>
      </c>
      <c r="W753" s="22" t="n">
        <v>4.7</v>
      </c>
      <c r="X753" s="16" t="s">
        <v>335</v>
      </c>
      <c r="Y753" s="16" t="s">
        <v>338</v>
      </c>
      <c r="Z753" s="16"/>
      <c r="AA753" s="16"/>
      <c r="AB753" s="23"/>
      <c r="AC753" s="17"/>
      <c r="AD753" s="16" t="s">
        <v>338</v>
      </c>
      <c r="AE753" s="16"/>
      <c r="AF753" s="16" t="str">
        <f aca="false">IF(COUNTIF(لیست_سفید!$A$2:$A$21,B753)&gt;0,"بله","خیر")</f>
        <v>خیر</v>
      </c>
      <c r="AG753" s="24" t="str">
        <f aca="false">IF(H753="","",IF(AD753="فیش مفقودی",تنظیمات!$B$6,(INT(I753/1440)*تنظیمات!$B$5+IF(MOD(I753,1440)&lt;=تنظیمات!$B$2,0,MIN(تنظیمات!$B$5,تنظیمات!$B$3+MAX(0,ROUNDUP((MOD(I753,1440)-60)/60,0))*تنظیمات!$B$4)))*INDEX(تعرفه!$B$2:$B$7,MATCH(AD753,تعرفه!$A$2:$A$7,0))))</f>
        <v/>
      </c>
      <c r="AH753" s="24"/>
      <c r="AI753" s="24" t="str">
        <f aca="false">IF(AG753="","",AH753-AG753)</f>
        <v/>
      </c>
      <c r="AJ753" s="21" t="n">
        <v>-3</v>
      </c>
      <c r="AK753" s="21" t="n">
        <v>0</v>
      </c>
      <c r="AL753" s="16" t="s">
        <v>335</v>
      </c>
      <c r="AM753" s="16" t="s">
        <v>1704</v>
      </c>
      <c r="AN753" s="16" t="s">
        <v>340</v>
      </c>
      <c r="AO753" s="16" t="s">
        <v>340</v>
      </c>
      <c r="AP753" s="16" t="s">
        <v>335</v>
      </c>
      <c r="AQ753" s="16"/>
      <c r="AR753" s="21" t="n">
        <f aca="false">IF(AND(T753&lt;&gt;"",H753&lt;&gt;""),IF(AND((T753-H753)*86400&gt;=0,(T753-H753)*86400&lt;تنظیمات!$B$13),1,0),0)</f>
        <v>0</v>
      </c>
      <c r="AS753" s="21" t="n">
        <f aca="false">IF(Z753="پوز",IF(OR(AB753="",COUNTIF(پوزها!$A$2:$A$5,AA753)=0),1,0),0)</f>
        <v>0</v>
      </c>
      <c r="AT753" s="21" t="n">
        <f aca="false">IF(AI753="",0,IF(AI753&gt;0,1,0))</f>
        <v>0</v>
      </c>
      <c r="AU753" s="21" t="n">
        <f aca="false">IF(AI753="",0,IF(AI753&lt;0,1,0))</f>
        <v>0</v>
      </c>
      <c r="AV753" s="21" t="n">
        <f aca="false">IF(U753&gt;V753,1,0)</f>
        <v>0</v>
      </c>
      <c r="AW753" s="21" t="n">
        <f aca="false">IF(OR(W753&gt;تنظیمات!$B$8,X753="بله"),1,0)</f>
        <v>0</v>
      </c>
      <c r="AX753" s="21" t="n">
        <f aca="false">IF(AND(N753="بله",L753&gt;تنظیمات!$B$9),1,0)</f>
        <v>0</v>
      </c>
      <c r="AY753" s="21" t="n">
        <f aca="false">IF(Y753="معکوس",1,0)</f>
        <v>0</v>
      </c>
      <c r="AZ753" s="21" t="n">
        <f aca="false">IF(ABS(AJ753)&gt;تنظیمات!$B$10,1,0)</f>
        <v>0</v>
      </c>
      <c r="BA753" s="21" t="n">
        <f aca="false">IF(AND(OR(AD753="رایگان/VIP",AD753="جانباز"),AF753="خیر"),1,0)</f>
        <v>0</v>
      </c>
      <c r="BB753" s="21" t="n">
        <f aca="false">IF(AE753="",0,IF(COUNTIF($AE$2:$AE$1001,AE753)&gt;1,1,0))</f>
        <v>0</v>
      </c>
      <c r="BC753" s="21" t="n">
        <f aca="false">IF(AND(H753="",I753&gt;تنظیمات!$B$12*60,AM753="خالی"),1,0)</f>
        <v>0</v>
      </c>
      <c r="BD753" s="21" t="n">
        <f aca="false">IF(AND(AP753="بله",I753&lt;تنظیمات!$B$14,AO753="خیر"),1,0)</f>
        <v>0</v>
      </c>
      <c r="BE753" s="21" t="n">
        <f aca="false">IF(AN753="خیر",1,0)</f>
        <v>0</v>
      </c>
      <c r="BF753" s="21" t="n">
        <f aca="false">IF(AND(AD753="فیش مفقودی",AQ753="بله",I753&gt;تنظیمات!$B$12*60),1,0)</f>
        <v>0</v>
      </c>
      <c r="BG753" s="21" t="n">
        <f aca="false">IF(AND(AK753&gt;تنظیمات!$B$11,AL753="بله"),1,0)</f>
        <v>0</v>
      </c>
      <c r="BH753" s="21" t="n">
        <f aca="false">MIN(100,AR753*تنظیمات!$B$21+AS753*تنظیمات!$B$22+AT753*تنظیمات!$B$23+AU753*تنظیمات!$B$24+AV753*تنظیمات!$B$25+AW753*تنظیمات!$B$26+AX753*تنظیمات!$B$27+AY753*تنظیمات!$B$28+AZ753*تنظیمات!$B$29+BA753*تنظیمات!$B$30+BB753*تنظیمات!$B$31+BC753*تنظیمات!$B$32+BD753*تنظیمات!$B$33+BE753*تنظیمات!$B$34+BF753*تنظیمات!$B$35+BG753*تنظیمات!$B$36)</f>
        <v>0</v>
      </c>
      <c r="BI753" s="16" t="str">
        <f aca="false">IF(BH753&gt;=60,"بحرانی",IF(BH753&gt;=30,"مشکوک",IF(BH753&gt;0,"هشدار","عادی")))</f>
        <v>عادی</v>
      </c>
      <c r="BJ753" s="16" t="s">
        <v>338</v>
      </c>
    </row>
    <row r="754" customFormat="false" ht="15" hidden="false" customHeight="false" outlineLevel="0" collapsed="false">
      <c r="A754" s="16" t="s">
        <v>2644</v>
      </c>
      <c r="B754" s="16" t="s">
        <v>1079</v>
      </c>
      <c r="C754" s="16"/>
      <c r="D754" s="16" t="s">
        <v>508</v>
      </c>
      <c r="E754" s="16" t="s">
        <v>332</v>
      </c>
      <c r="F754" s="16" t="s">
        <v>333</v>
      </c>
      <c r="G754" s="17" t="n">
        <v>46291.4523726852</v>
      </c>
      <c r="H754" s="17" t="n">
        <v>46291.4586226852</v>
      </c>
      <c r="I754" s="18" t="n">
        <f aca="false">IF(H754="",ROUND((تنظیمات!$B$7-G754)*1440,0),ROUND((H754-G754)*1440,0))</f>
        <v>9</v>
      </c>
      <c r="J754" s="16" t="s">
        <v>346</v>
      </c>
      <c r="K754" s="16" t="s">
        <v>400</v>
      </c>
      <c r="L754" s="19" t="n">
        <v>0.914</v>
      </c>
      <c r="M754" s="19" t="n">
        <v>0.922</v>
      </c>
      <c r="N754" s="16" t="s">
        <v>335</v>
      </c>
      <c r="O754" s="16" t="s">
        <v>401</v>
      </c>
      <c r="P754" s="16" t="s">
        <v>402</v>
      </c>
      <c r="Q754" s="20" t="n">
        <v>46291</v>
      </c>
      <c r="R754" s="16" t="s">
        <v>2645</v>
      </c>
      <c r="S754" s="16" t="s">
        <v>404</v>
      </c>
      <c r="T754" s="17"/>
      <c r="U754" s="21" t="n">
        <v>1</v>
      </c>
      <c r="V754" s="21" t="n">
        <v>1</v>
      </c>
      <c r="W754" s="22" t="n">
        <v>4.7</v>
      </c>
      <c r="X754" s="16" t="s">
        <v>335</v>
      </c>
      <c r="Y754" s="16" t="s">
        <v>338</v>
      </c>
      <c r="Z754" s="16" t="s">
        <v>628</v>
      </c>
      <c r="AA754" s="16"/>
      <c r="AB754" s="23"/>
      <c r="AC754" s="17"/>
      <c r="AD754" s="16" t="s">
        <v>338</v>
      </c>
      <c r="AE754" s="16"/>
      <c r="AF754" s="16" t="str">
        <f aca="false">IF(COUNTIF(لیست_سفید!$A$2:$A$21,B754)&gt;0,"بله","خیر")</f>
        <v>خیر</v>
      </c>
      <c r="AG754" s="24" t="n">
        <f aca="false">IF(H754="","",IF(AD754="فیش مفقودی",تنظیمات!$B$6,(INT(I754/1440)*تنظیمات!$B$5+IF(MOD(I754,1440)&lt;=تنظیمات!$B$2,0,MIN(تنظیمات!$B$5,تنظیمات!$B$3+MAX(0,ROUNDUP((MOD(I754,1440)-60)/60,0))*تنظیمات!$B$4)))*INDEX(تعرفه!$B$2:$B$7,MATCH(AD754,تعرفه!$A$2:$A$7,0))))</f>
        <v>0</v>
      </c>
      <c r="AH754" s="24" t="n">
        <v>0</v>
      </c>
      <c r="AI754" s="24" t="n">
        <f aca="false">IF(AG754="","",AH754-AG754)</f>
        <v>0</v>
      </c>
      <c r="AJ754" s="21" t="n">
        <v>1</v>
      </c>
      <c r="AK754" s="21" t="n">
        <v>0</v>
      </c>
      <c r="AL754" s="16" t="s">
        <v>335</v>
      </c>
      <c r="AM754" s="16"/>
      <c r="AN754" s="16" t="s">
        <v>340</v>
      </c>
      <c r="AO754" s="16" t="s">
        <v>340</v>
      </c>
      <c r="AP754" s="16" t="s">
        <v>335</v>
      </c>
      <c r="AQ754" s="16"/>
      <c r="AR754" s="21" t="n">
        <f aca="false">IF(AND(T754&lt;&gt;"",H754&lt;&gt;""),IF(AND((T754-H754)*86400&gt;=0,(T754-H754)*86400&lt;تنظیمات!$B$13),1,0),0)</f>
        <v>0</v>
      </c>
      <c r="AS754" s="21" t="n">
        <f aca="false">IF(Z754="پوز",IF(OR(AB754="",COUNTIF(پوزها!$A$2:$A$5,AA754)=0),1,0),0)</f>
        <v>0</v>
      </c>
      <c r="AT754" s="21" t="n">
        <f aca="false">IF(AI754="",0,IF(AI754&gt;0,1,0))</f>
        <v>0</v>
      </c>
      <c r="AU754" s="21" t="n">
        <f aca="false">IF(AI754="",0,IF(AI754&lt;0,1,0))</f>
        <v>0</v>
      </c>
      <c r="AV754" s="21" t="n">
        <f aca="false">IF(U754&gt;V754,1,0)</f>
        <v>0</v>
      </c>
      <c r="AW754" s="21" t="n">
        <f aca="false">IF(OR(W754&gt;تنظیمات!$B$8,X754="بله"),1,0)</f>
        <v>0</v>
      </c>
      <c r="AX754" s="21" t="n">
        <f aca="false">IF(AND(N754="بله",L754&gt;تنظیمات!$B$9),1,0)</f>
        <v>0</v>
      </c>
      <c r="AY754" s="21" t="n">
        <f aca="false">IF(Y754="معکوس",1,0)</f>
        <v>0</v>
      </c>
      <c r="AZ754" s="21" t="n">
        <f aca="false">IF(ABS(AJ754)&gt;تنظیمات!$B$10,1,0)</f>
        <v>0</v>
      </c>
      <c r="BA754" s="21" t="n">
        <f aca="false">IF(AND(OR(AD754="رایگان/VIP",AD754="جانباز"),AF754="خیر"),1,0)</f>
        <v>0</v>
      </c>
      <c r="BB754" s="21" t="n">
        <f aca="false">IF(AE754="",0,IF(COUNTIF($AE$2:$AE$1001,AE754)&gt;1,1,0))</f>
        <v>0</v>
      </c>
      <c r="BC754" s="21" t="n">
        <f aca="false">IF(AND(H754="",I754&gt;تنظیمات!$B$12*60,AM754="خالی"),1,0)</f>
        <v>0</v>
      </c>
      <c r="BD754" s="21" t="n">
        <f aca="false">IF(AND(AP754="بله",I754&lt;تنظیمات!$B$14,AO754="خیر"),1,0)</f>
        <v>0</v>
      </c>
      <c r="BE754" s="21" t="n">
        <f aca="false">IF(AN754="خیر",1,0)</f>
        <v>0</v>
      </c>
      <c r="BF754" s="21" t="n">
        <f aca="false">IF(AND(AD754="فیش مفقودی",AQ754="بله",I754&gt;تنظیمات!$B$12*60),1,0)</f>
        <v>0</v>
      </c>
      <c r="BG754" s="21" t="n">
        <f aca="false">IF(AND(AK754&gt;تنظیمات!$B$11,AL754="بله"),1,0)</f>
        <v>0</v>
      </c>
      <c r="BH754" s="21" t="n">
        <f aca="false">MIN(100,AR754*تنظیمات!$B$21+AS754*تنظیمات!$B$22+AT754*تنظیمات!$B$23+AU754*تنظیمات!$B$24+AV754*تنظیمات!$B$25+AW754*تنظیمات!$B$26+AX754*تنظیمات!$B$27+AY754*تنظیمات!$B$28+AZ754*تنظیمات!$B$29+BA754*تنظیمات!$B$30+BB754*تنظیمات!$B$31+BC754*تنظیمات!$B$32+BD754*تنظیمات!$B$33+BE754*تنظیمات!$B$34+BF754*تنظیمات!$B$35+BG754*تنظیمات!$B$36)</f>
        <v>0</v>
      </c>
      <c r="BI754" s="16" t="str">
        <f aca="false">IF(BH754&gt;=60,"بحرانی",IF(BH754&gt;=30,"مشکوک",IF(BH754&gt;0,"هشدار","عادی")))</f>
        <v>عادی</v>
      </c>
      <c r="BJ754" s="16" t="s">
        <v>629</v>
      </c>
    </row>
    <row r="755" customFormat="false" ht="15" hidden="false" customHeight="false" outlineLevel="0" collapsed="false">
      <c r="A755" s="16" t="s">
        <v>2646</v>
      </c>
      <c r="B755" s="16" t="s">
        <v>1894</v>
      </c>
      <c r="C755" s="16"/>
      <c r="D755" s="16" t="s">
        <v>531</v>
      </c>
      <c r="E755" s="16" t="s">
        <v>351</v>
      </c>
      <c r="F755" s="16" t="s">
        <v>333</v>
      </c>
      <c r="G755" s="17" t="n">
        <v>46291.4527893519</v>
      </c>
      <c r="H755" s="17" t="n">
        <v>46291.4770949074</v>
      </c>
      <c r="I755" s="18" t="n">
        <f aca="false">IF(H755="",ROUND((تنظیمات!$B$7-G755)*1440,0),ROUND((H755-G755)*1440,0))</f>
        <v>35</v>
      </c>
      <c r="J755" s="16" t="s">
        <v>346</v>
      </c>
      <c r="K755" s="16" t="s">
        <v>410</v>
      </c>
      <c r="L755" s="19" t="n">
        <v>0.966</v>
      </c>
      <c r="M755" s="19" t="n">
        <v>0.951</v>
      </c>
      <c r="N755" s="16" t="s">
        <v>335</v>
      </c>
      <c r="O755" s="16" t="s">
        <v>419</v>
      </c>
      <c r="P755" s="16" t="s">
        <v>402</v>
      </c>
      <c r="Q755" s="20" t="n">
        <v>46291</v>
      </c>
      <c r="R755" s="16" t="s">
        <v>2647</v>
      </c>
      <c r="S755" s="16" t="s">
        <v>404</v>
      </c>
      <c r="T755" s="17"/>
      <c r="U755" s="21" t="n">
        <v>1</v>
      </c>
      <c r="V755" s="21" t="n">
        <v>1</v>
      </c>
      <c r="W755" s="22" t="n">
        <v>5.7</v>
      </c>
      <c r="X755" s="16" t="s">
        <v>335</v>
      </c>
      <c r="Y755" s="16" t="s">
        <v>338</v>
      </c>
      <c r="Z755" s="16" t="s">
        <v>405</v>
      </c>
      <c r="AA755" s="16"/>
      <c r="AB755" s="23"/>
      <c r="AC755" s="17"/>
      <c r="AD755" s="16" t="s">
        <v>338</v>
      </c>
      <c r="AE755" s="16"/>
      <c r="AF755" s="16" t="str">
        <f aca="false">IF(COUNTIF(لیست_سفید!$A$2:$A$21,B755)&gt;0,"بله","خیر")</f>
        <v>خیر</v>
      </c>
      <c r="AG755" s="24" t="n">
        <f aca="false">IF(H755="","",IF(AD755="فیش مفقودی",تنظیمات!$B$6,(INT(I755/1440)*تنظیمات!$B$5+IF(MOD(I755,1440)&lt;=تنظیمات!$B$2,0,MIN(تنظیمات!$B$5,تنظیمات!$B$3+MAX(0,ROUNDUP((MOD(I755,1440)-60)/60,0))*تنظیمات!$B$4)))*INDEX(تعرفه!$B$2:$B$7,MATCH(AD755,تعرفه!$A$2:$A$7,0))))</f>
        <v>20000</v>
      </c>
      <c r="AH755" s="24" t="n">
        <v>20000</v>
      </c>
      <c r="AI755" s="24" t="n">
        <f aca="false">IF(AG755="","",AH755-AG755)</f>
        <v>0</v>
      </c>
      <c r="AJ755" s="21" t="n">
        <v>0</v>
      </c>
      <c r="AK755" s="21" t="n">
        <v>0</v>
      </c>
      <c r="AL755" s="16" t="s">
        <v>335</v>
      </c>
      <c r="AM755" s="16"/>
      <c r="AN755" s="16" t="s">
        <v>340</v>
      </c>
      <c r="AO755" s="16" t="s">
        <v>340</v>
      </c>
      <c r="AP755" s="16" t="s">
        <v>335</v>
      </c>
      <c r="AQ755" s="16"/>
      <c r="AR755" s="21" t="n">
        <f aca="false">IF(AND(T755&lt;&gt;"",H755&lt;&gt;""),IF(AND((T755-H755)*86400&gt;=0,(T755-H755)*86400&lt;تنظیمات!$B$13),1,0),0)</f>
        <v>0</v>
      </c>
      <c r="AS755" s="21" t="n">
        <f aca="false">IF(Z755="پوز",IF(OR(AB755="",COUNTIF(پوزها!$A$2:$A$5,AA755)=0),1,0),0)</f>
        <v>0</v>
      </c>
      <c r="AT755" s="21" t="n">
        <f aca="false">IF(AI755="",0,IF(AI755&gt;0,1,0))</f>
        <v>0</v>
      </c>
      <c r="AU755" s="21" t="n">
        <f aca="false">IF(AI755="",0,IF(AI755&lt;0,1,0))</f>
        <v>0</v>
      </c>
      <c r="AV755" s="21" t="n">
        <f aca="false">IF(U755&gt;V755,1,0)</f>
        <v>0</v>
      </c>
      <c r="AW755" s="21" t="n">
        <f aca="false">IF(OR(W755&gt;تنظیمات!$B$8,X755="بله"),1,0)</f>
        <v>0</v>
      </c>
      <c r="AX755" s="21" t="n">
        <f aca="false">IF(AND(N755="بله",L755&gt;تنظیمات!$B$9),1,0)</f>
        <v>0</v>
      </c>
      <c r="AY755" s="21" t="n">
        <f aca="false">IF(Y755="معکوس",1,0)</f>
        <v>0</v>
      </c>
      <c r="AZ755" s="21" t="n">
        <f aca="false">IF(ABS(AJ755)&gt;تنظیمات!$B$10,1,0)</f>
        <v>0</v>
      </c>
      <c r="BA755" s="21" t="n">
        <f aca="false">IF(AND(OR(AD755="رایگان/VIP",AD755="جانباز"),AF755="خیر"),1,0)</f>
        <v>0</v>
      </c>
      <c r="BB755" s="21" t="n">
        <f aca="false">IF(AE755="",0,IF(COUNTIF($AE$2:$AE$1001,AE755)&gt;1,1,0))</f>
        <v>0</v>
      </c>
      <c r="BC755" s="21" t="n">
        <f aca="false">IF(AND(H755="",I755&gt;تنظیمات!$B$12*60,AM755="خالی"),1,0)</f>
        <v>0</v>
      </c>
      <c r="BD755" s="21" t="n">
        <f aca="false">IF(AND(AP755="بله",I755&lt;تنظیمات!$B$14,AO755="خیر"),1,0)</f>
        <v>0</v>
      </c>
      <c r="BE755" s="21" t="n">
        <f aca="false">IF(AN755="خیر",1,0)</f>
        <v>0</v>
      </c>
      <c r="BF755" s="21" t="n">
        <f aca="false">IF(AND(AD755="فیش مفقودی",AQ755="بله",I755&gt;تنظیمات!$B$12*60),1,0)</f>
        <v>0</v>
      </c>
      <c r="BG755" s="21" t="n">
        <f aca="false">IF(AND(AK755&gt;تنظیمات!$B$11,AL755="بله"),1,0)</f>
        <v>0</v>
      </c>
      <c r="BH755" s="21" t="n">
        <f aca="false">MIN(100,AR755*تنظیمات!$B$21+AS755*تنظیمات!$B$22+AT755*تنظیمات!$B$23+AU755*تنظیمات!$B$24+AV755*تنظیمات!$B$25+AW755*تنظیمات!$B$26+AX755*تنظیمات!$B$27+AY755*تنظیمات!$B$28+AZ755*تنظیمات!$B$29+BA755*تنظیمات!$B$30+BB755*تنظیمات!$B$31+BC755*تنظیمات!$B$32+BD755*تنظیمات!$B$33+BE755*تنظیمات!$B$34+BF755*تنظیمات!$B$35+BG755*تنظیمات!$B$36)</f>
        <v>0</v>
      </c>
      <c r="BI755" s="16" t="str">
        <f aca="false">IF(BH755&gt;=60,"بحرانی",IF(BH755&gt;=30,"مشکوک",IF(BH755&gt;0,"هشدار","عادی")))</f>
        <v>عادی</v>
      </c>
      <c r="BJ755" s="16" t="s">
        <v>338</v>
      </c>
    </row>
    <row r="756" customFormat="false" ht="15" hidden="false" customHeight="false" outlineLevel="0" collapsed="false">
      <c r="A756" s="16" t="s">
        <v>2648</v>
      </c>
      <c r="B756" s="16" t="s">
        <v>1430</v>
      </c>
      <c r="C756" s="16"/>
      <c r="D756" s="16" t="s">
        <v>440</v>
      </c>
      <c r="E756" s="16" t="s">
        <v>351</v>
      </c>
      <c r="F756" s="16" t="s">
        <v>359</v>
      </c>
      <c r="G756" s="17" t="n">
        <v>46291.4530555556</v>
      </c>
      <c r="H756" s="17" t="n">
        <v>46291.5884722222</v>
      </c>
      <c r="I756" s="18" t="n">
        <f aca="false">IF(H756="",ROUND((تنظیمات!$B$7-G756)*1440,0),ROUND((H756-G756)*1440,0))</f>
        <v>195</v>
      </c>
      <c r="J756" s="16" t="s">
        <v>334</v>
      </c>
      <c r="K756" s="16" t="s">
        <v>410</v>
      </c>
      <c r="L756" s="19" t="n">
        <v>0.946</v>
      </c>
      <c r="M756" s="19" t="n">
        <v>0.927</v>
      </c>
      <c r="N756" s="16" t="s">
        <v>335</v>
      </c>
      <c r="O756" s="16" t="s">
        <v>666</v>
      </c>
      <c r="P756" s="16" t="s">
        <v>420</v>
      </c>
      <c r="Q756" s="20" t="n">
        <v>46291</v>
      </c>
      <c r="R756" s="16" t="s">
        <v>2649</v>
      </c>
      <c r="S756" s="16" t="s">
        <v>404</v>
      </c>
      <c r="T756" s="17"/>
      <c r="U756" s="21" t="n">
        <v>1</v>
      </c>
      <c r="V756" s="21" t="n">
        <v>1</v>
      </c>
      <c r="W756" s="22" t="n">
        <v>5</v>
      </c>
      <c r="X756" s="16" t="s">
        <v>335</v>
      </c>
      <c r="Y756" s="16" t="s">
        <v>338</v>
      </c>
      <c r="Z756" s="16" t="s">
        <v>405</v>
      </c>
      <c r="AA756" s="16"/>
      <c r="AB756" s="23"/>
      <c r="AC756" s="17"/>
      <c r="AD756" s="16" t="s">
        <v>338</v>
      </c>
      <c r="AE756" s="16"/>
      <c r="AF756" s="16" t="str">
        <f aca="false">IF(COUNTIF(لیست_سفید!$A$2:$A$21,B756)&gt;0,"بله","خیر")</f>
        <v>خیر</v>
      </c>
      <c r="AG756" s="24" t="n">
        <f aca="false">IF(H756="","",IF(AD756="فیش مفقودی",تنظیمات!$B$6,(INT(I756/1440)*تنظیمات!$B$5+IF(MOD(I756,1440)&lt;=تنظیمات!$B$2,0,MIN(تنظیمات!$B$5,تنظیمات!$B$3+MAX(0,ROUNDUP((MOD(I756,1440)-60)/60,0))*تنظیمات!$B$4)))*INDEX(تعرفه!$B$2:$B$7,MATCH(AD756,تعرفه!$A$2:$A$7,0))))</f>
        <v>62000</v>
      </c>
      <c r="AH756" s="24" t="n">
        <v>62000</v>
      </c>
      <c r="AI756" s="24" t="n">
        <f aca="false">IF(AG756="","",AH756-AG756)</f>
        <v>0</v>
      </c>
      <c r="AJ756" s="21" t="n">
        <v>-3</v>
      </c>
      <c r="AK756" s="21" t="n">
        <v>0</v>
      </c>
      <c r="AL756" s="16" t="s">
        <v>335</v>
      </c>
      <c r="AM756" s="16"/>
      <c r="AN756" s="16" t="s">
        <v>340</v>
      </c>
      <c r="AO756" s="16" t="s">
        <v>340</v>
      </c>
      <c r="AP756" s="16" t="s">
        <v>335</v>
      </c>
      <c r="AQ756" s="16"/>
      <c r="AR756" s="21" t="n">
        <f aca="false">IF(AND(T756&lt;&gt;"",H756&lt;&gt;""),IF(AND((T756-H756)*86400&gt;=0,(T756-H756)*86400&lt;تنظیمات!$B$13),1,0),0)</f>
        <v>0</v>
      </c>
      <c r="AS756" s="21" t="n">
        <f aca="false">IF(Z756="پوز",IF(OR(AB756="",COUNTIF(پوزها!$A$2:$A$5,AA756)=0),1,0),0)</f>
        <v>0</v>
      </c>
      <c r="AT756" s="21" t="n">
        <f aca="false">IF(AI756="",0,IF(AI756&gt;0,1,0))</f>
        <v>0</v>
      </c>
      <c r="AU756" s="21" t="n">
        <f aca="false">IF(AI756="",0,IF(AI756&lt;0,1,0))</f>
        <v>0</v>
      </c>
      <c r="AV756" s="21" t="n">
        <f aca="false">IF(U756&gt;V756,1,0)</f>
        <v>0</v>
      </c>
      <c r="AW756" s="21" t="n">
        <f aca="false">IF(OR(W756&gt;تنظیمات!$B$8,X756="بله"),1,0)</f>
        <v>0</v>
      </c>
      <c r="AX756" s="21" t="n">
        <f aca="false">IF(AND(N756="بله",L756&gt;تنظیمات!$B$9),1,0)</f>
        <v>0</v>
      </c>
      <c r="AY756" s="21" t="n">
        <f aca="false">IF(Y756="معکوس",1,0)</f>
        <v>0</v>
      </c>
      <c r="AZ756" s="21" t="n">
        <f aca="false">IF(ABS(AJ756)&gt;تنظیمات!$B$10,1,0)</f>
        <v>0</v>
      </c>
      <c r="BA756" s="21" t="n">
        <f aca="false">IF(AND(OR(AD756="رایگان/VIP",AD756="جانباز"),AF756="خیر"),1,0)</f>
        <v>0</v>
      </c>
      <c r="BB756" s="21" t="n">
        <f aca="false">IF(AE756="",0,IF(COUNTIF($AE$2:$AE$1001,AE756)&gt;1,1,0))</f>
        <v>0</v>
      </c>
      <c r="BC756" s="21" t="n">
        <f aca="false">IF(AND(H756="",I756&gt;تنظیمات!$B$12*60,AM756="خالی"),1,0)</f>
        <v>0</v>
      </c>
      <c r="BD756" s="21" t="n">
        <f aca="false">IF(AND(AP756="بله",I756&lt;تنظیمات!$B$14,AO756="خیر"),1,0)</f>
        <v>0</v>
      </c>
      <c r="BE756" s="21" t="n">
        <f aca="false">IF(AN756="خیر",1,0)</f>
        <v>0</v>
      </c>
      <c r="BF756" s="21" t="n">
        <f aca="false">IF(AND(AD756="فیش مفقودی",AQ756="بله",I756&gt;تنظیمات!$B$12*60),1,0)</f>
        <v>0</v>
      </c>
      <c r="BG756" s="21" t="n">
        <f aca="false">IF(AND(AK756&gt;تنظیمات!$B$11,AL756="بله"),1,0)</f>
        <v>0</v>
      </c>
      <c r="BH756" s="21" t="n">
        <f aca="false">MIN(100,AR756*تنظیمات!$B$21+AS756*تنظیمات!$B$22+AT756*تنظیمات!$B$23+AU756*تنظیمات!$B$24+AV756*تنظیمات!$B$25+AW756*تنظیمات!$B$26+AX756*تنظیمات!$B$27+AY756*تنظیمات!$B$28+AZ756*تنظیمات!$B$29+BA756*تنظیمات!$B$30+BB756*تنظیمات!$B$31+BC756*تنظیمات!$B$32+BD756*تنظیمات!$B$33+BE756*تنظیمات!$B$34+BF756*تنظیمات!$B$35+BG756*تنظیمات!$B$36)</f>
        <v>0</v>
      </c>
      <c r="BI756" s="16" t="str">
        <f aca="false">IF(BH756&gt;=60,"بحرانی",IF(BH756&gt;=30,"مشکوک",IF(BH756&gt;0,"هشدار","عادی")))</f>
        <v>عادی</v>
      </c>
      <c r="BJ756" s="16" t="s">
        <v>338</v>
      </c>
    </row>
    <row r="757" customFormat="false" ht="15" hidden="false" customHeight="false" outlineLevel="0" collapsed="false">
      <c r="A757" s="16" t="s">
        <v>2650</v>
      </c>
      <c r="B757" s="16" t="s">
        <v>1706</v>
      </c>
      <c r="C757" s="16"/>
      <c r="D757" s="16" t="s">
        <v>523</v>
      </c>
      <c r="E757" s="16" t="s">
        <v>332</v>
      </c>
      <c r="F757" s="16" t="s">
        <v>333</v>
      </c>
      <c r="G757" s="17" t="n">
        <v>46291.4673263889</v>
      </c>
      <c r="H757" s="17" t="n">
        <v>46291.5402430556</v>
      </c>
      <c r="I757" s="18" t="n">
        <f aca="false">IF(H757="",ROUND((تنظیمات!$B$7-G757)*1440,0),ROUND((H757-G757)*1440,0))</f>
        <v>105</v>
      </c>
      <c r="J757" s="16" t="s">
        <v>346</v>
      </c>
      <c r="K757" s="16" t="s">
        <v>400</v>
      </c>
      <c r="L757" s="19" t="n">
        <v>0.849</v>
      </c>
      <c r="M757" s="19" t="n">
        <v>0.995</v>
      </c>
      <c r="N757" s="16" t="s">
        <v>335</v>
      </c>
      <c r="O757" s="16" t="s">
        <v>401</v>
      </c>
      <c r="P757" s="16" t="s">
        <v>402</v>
      </c>
      <c r="Q757" s="20" t="n">
        <v>46291</v>
      </c>
      <c r="R757" s="16" t="s">
        <v>2651</v>
      </c>
      <c r="S757" s="16" t="s">
        <v>404</v>
      </c>
      <c r="T757" s="17"/>
      <c r="U757" s="21" t="n">
        <v>1</v>
      </c>
      <c r="V757" s="21" t="n">
        <v>1</v>
      </c>
      <c r="W757" s="22" t="n">
        <v>7</v>
      </c>
      <c r="X757" s="16" t="s">
        <v>335</v>
      </c>
      <c r="Y757" s="16" t="s">
        <v>338</v>
      </c>
      <c r="Z757" s="16" t="s">
        <v>405</v>
      </c>
      <c r="AA757" s="16"/>
      <c r="AB757" s="23"/>
      <c r="AC757" s="17"/>
      <c r="AD757" s="16" t="s">
        <v>338</v>
      </c>
      <c r="AE757" s="16"/>
      <c r="AF757" s="16" t="str">
        <f aca="false">IF(COUNTIF(لیست_سفید!$A$2:$A$21,B757)&gt;0,"بله","خیر")</f>
        <v>خیر</v>
      </c>
      <c r="AG757" s="24" t="n">
        <f aca="false">IF(H757="","",IF(AD757="فیش مفقودی",تنظیمات!$B$6,(INT(I757/1440)*تنظیمات!$B$5+IF(MOD(I757,1440)&lt;=تنظیمات!$B$2,0,MIN(تنظیمات!$B$5,تنظیمات!$B$3+MAX(0,ROUNDUP((MOD(I757,1440)-60)/60,0))*تنظیمات!$B$4)))*INDEX(تعرفه!$B$2:$B$7,MATCH(AD757,تعرفه!$A$2:$A$7,0))))</f>
        <v>34000</v>
      </c>
      <c r="AH757" s="24" t="n">
        <v>34000</v>
      </c>
      <c r="AI757" s="24" t="n">
        <f aca="false">IF(AG757="","",AH757-AG757)</f>
        <v>0</v>
      </c>
      <c r="AJ757" s="21" t="n">
        <v>0</v>
      </c>
      <c r="AK757" s="21" t="n">
        <v>0</v>
      </c>
      <c r="AL757" s="16" t="s">
        <v>335</v>
      </c>
      <c r="AM757" s="16"/>
      <c r="AN757" s="16" t="s">
        <v>340</v>
      </c>
      <c r="AO757" s="16" t="s">
        <v>340</v>
      </c>
      <c r="AP757" s="16" t="s">
        <v>335</v>
      </c>
      <c r="AQ757" s="16"/>
      <c r="AR757" s="21" t="n">
        <f aca="false">IF(AND(T757&lt;&gt;"",H757&lt;&gt;""),IF(AND((T757-H757)*86400&gt;=0,(T757-H757)*86400&lt;تنظیمات!$B$13),1,0),0)</f>
        <v>0</v>
      </c>
      <c r="AS757" s="21" t="n">
        <f aca="false">IF(Z757="پوز",IF(OR(AB757="",COUNTIF(پوزها!$A$2:$A$5,AA757)=0),1,0),0)</f>
        <v>0</v>
      </c>
      <c r="AT757" s="21" t="n">
        <f aca="false">IF(AI757="",0,IF(AI757&gt;0,1,0))</f>
        <v>0</v>
      </c>
      <c r="AU757" s="21" t="n">
        <f aca="false">IF(AI757="",0,IF(AI757&lt;0,1,0))</f>
        <v>0</v>
      </c>
      <c r="AV757" s="21" t="n">
        <f aca="false">IF(U757&gt;V757,1,0)</f>
        <v>0</v>
      </c>
      <c r="AW757" s="21" t="n">
        <f aca="false">IF(OR(W757&gt;تنظیمات!$B$8,X757="بله"),1,0)</f>
        <v>0</v>
      </c>
      <c r="AX757" s="21" t="n">
        <f aca="false">IF(AND(N757="بله",L757&gt;تنظیمات!$B$9),1,0)</f>
        <v>0</v>
      </c>
      <c r="AY757" s="21" t="n">
        <f aca="false">IF(Y757="معکوس",1,0)</f>
        <v>0</v>
      </c>
      <c r="AZ757" s="21" t="n">
        <f aca="false">IF(ABS(AJ757)&gt;تنظیمات!$B$10,1,0)</f>
        <v>0</v>
      </c>
      <c r="BA757" s="21" t="n">
        <f aca="false">IF(AND(OR(AD757="رایگان/VIP",AD757="جانباز"),AF757="خیر"),1,0)</f>
        <v>0</v>
      </c>
      <c r="BB757" s="21" t="n">
        <f aca="false">IF(AE757="",0,IF(COUNTIF($AE$2:$AE$1001,AE757)&gt;1,1,0))</f>
        <v>0</v>
      </c>
      <c r="BC757" s="21" t="n">
        <f aca="false">IF(AND(H757="",I757&gt;تنظیمات!$B$12*60,AM757="خالی"),1,0)</f>
        <v>0</v>
      </c>
      <c r="BD757" s="21" t="n">
        <f aca="false">IF(AND(AP757="بله",I757&lt;تنظیمات!$B$14,AO757="خیر"),1,0)</f>
        <v>0</v>
      </c>
      <c r="BE757" s="21" t="n">
        <f aca="false">IF(AN757="خیر",1,0)</f>
        <v>0</v>
      </c>
      <c r="BF757" s="21" t="n">
        <f aca="false">IF(AND(AD757="فیش مفقودی",AQ757="بله",I757&gt;تنظیمات!$B$12*60),1,0)</f>
        <v>0</v>
      </c>
      <c r="BG757" s="21" t="n">
        <f aca="false">IF(AND(AK757&gt;تنظیمات!$B$11,AL757="بله"),1,0)</f>
        <v>0</v>
      </c>
      <c r="BH757" s="21" t="n">
        <f aca="false">MIN(100,AR757*تنظیمات!$B$21+AS757*تنظیمات!$B$22+AT757*تنظیمات!$B$23+AU757*تنظیمات!$B$24+AV757*تنظیمات!$B$25+AW757*تنظیمات!$B$26+AX757*تنظیمات!$B$27+AY757*تنظیمات!$B$28+AZ757*تنظیمات!$B$29+BA757*تنظیمات!$B$30+BB757*تنظیمات!$B$31+BC757*تنظیمات!$B$32+BD757*تنظیمات!$B$33+BE757*تنظیمات!$B$34+BF757*تنظیمات!$B$35+BG757*تنظیمات!$B$36)</f>
        <v>0</v>
      </c>
      <c r="BI757" s="16" t="str">
        <f aca="false">IF(BH757&gt;=60,"بحرانی",IF(BH757&gt;=30,"مشکوک",IF(BH757&gt;0,"هشدار","عادی")))</f>
        <v>عادی</v>
      </c>
      <c r="BJ757" s="16" t="s">
        <v>338</v>
      </c>
    </row>
    <row r="758" customFormat="false" ht="15" hidden="false" customHeight="false" outlineLevel="0" collapsed="false">
      <c r="A758" s="16" t="s">
        <v>2652</v>
      </c>
      <c r="B758" s="16" t="s">
        <v>631</v>
      </c>
      <c r="C758" s="16"/>
      <c r="D758" s="16" t="s">
        <v>431</v>
      </c>
      <c r="E758" s="16" t="s">
        <v>351</v>
      </c>
      <c r="F758" s="16" t="s">
        <v>333</v>
      </c>
      <c r="G758" s="17" t="n">
        <v>46291.4728819444</v>
      </c>
      <c r="H758" s="17" t="n">
        <v>46291.6041319444</v>
      </c>
      <c r="I758" s="18" t="n">
        <f aca="false">IF(H758="",ROUND((تنظیمات!$B$7-G758)*1440,0),ROUND((H758-G758)*1440,0))</f>
        <v>189</v>
      </c>
      <c r="J758" s="16" t="s">
        <v>346</v>
      </c>
      <c r="K758" s="16" t="s">
        <v>410</v>
      </c>
      <c r="L758" s="19" t="n">
        <v>0.904</v>
      </c>
      <c r="M758" s="19" t="n">
        <v>0.945</v>
      </c>
      <c r="N758" s="16" t="s">
        <v>335</v>
      </c>
      <c r="O758" s="16" t="s">
        <v>666</v>
      </c>
      <c r="P758" s="16" t="s">
        <v>420</v>
      </c>
      <c r="Q758" s="20" t="n">
        <v>46291</v>
      </c>
      <c r="R758" s="16" t="s">
        <v>2653</v>
      </c>
      <c r="S758" s="16" t="s">
        <v>404</v>
      </c>
      <c r="T758" s="17"/>
      <c r="U758" s="21" t="n">
        <v>1</v>
      </c>
      <c r="V758" s="21" t="n">
        <v>1</v>
      </c>
      <c r="W758" s="22" t="n">
        <v>5.5</v>
      </c>
      <c r="X758" s="16" t="s">
        <v>335</v>
      </c>
      <c r="Y758" s="16" t="s">
        <v>338</v>
      </c>
      <c r="Z758" s="16" t="s">
        <v>413</v>
      </c>
      <c r="AA758" s="16" t="s">
        <v>414</v>
      </c>
      <c r="AB758" s="23" t="s">
        <v>2654</v>
      </c>
      <c r="AC758" s="17" t="n">
        <v>46291.6031481482</v>
      </c>
      <c r="AD758" s="16" t="s">
        <v>338</v>
      </c>
      <c r="AE758" s="16"/>
      <c r="AF758" s="16" t="str">
        <f aca="false">IF(COUNTIF(لیست_سفید!$A$2:$A$21,B758)&gt;0,"بله","خیر")</f>
        <v>خیر</v>
      </c>
      <c r="AG758" s="24" t="n">
        <f aca="false">IF(H758="","",IF(AD758="فیش مفقودی",تنظیمات!$B$6,(INT(I758/1440)*تنظیمات!$B$5+IF(MOD(I758,1440)&lt;=تنظیمات!$B$2,0,MIN(تنظیمات!$B$5,تنظیمات!$B$3+MAX(0,ROUNDUP((MOD(I758,1440)-60)/60,0))*تنظیمات!$B$4)))*INDEX(تعرفه!$B$2:$B$7,MATCH(AD758,تعرفه!$A$2:$A$7,0))))</f>
        <v>62000</v>
      </c>
      <c r="AH758" s="24" t="n">
        <v>62000</v>
      </c>
      <c r="AI758" s="24" t="n">
        <f aca="false">IF(AG758="","",AH758-AG758)</f>
        <v>0</v>
      </c>
      <c r="AJ758" s="21" t="n">
        <v>-1</v>
      </c>
      <c r="AK758" s="21" t="n">
        <v>0</v>
      </c>
      <c r="AL758" s="16" t="s">
        <v>335</v>
      </c>
      <c r="AM758" s="16"/>
      <c r="AN758" s="16" t="s">
        <v>340</v>
      </c>
      <c r="AO758" s="16" t="s">
        <v>340</v>
      </c>
      <c r="AP758" s="16" t="s">
        <v>335</v>
      </c>
      <c r="AQ758" s="16"/>
      <c r="AR758" s="21" t="n">
        <f aca="false">IF(AND(T758&lt;&gt;"",H758&lt;&gt;""),IF(AND((T758-H758)*86400&gt;=0,(T758-H758)*86400&lt;تنظیمات!$B$13),1,0),0)</f>
        <v>0</v>
      </c>
      <c r="AS758" s="21" t="n">
        <f aca="false">IF(Z758="پوز",IF(OR(AB758="",COUNTIF(پوزها!$A$2:$A$5,AA758)=0),1,0),0)</f>
        <v>0</v>
      </c>
      <c r="AT758" s="21" t="n">
        <f aca="false">IF(AI758="",0,IF(AI758&gt;0,1,0))</f>
        <v>0</v>
      </c>
      <c r="AU758" s="21" t="n">
        <f aca="false">IF(AI758="",0,IF(AI758&lt;0,1,0))</f>
        <v>0</v>
      </c>
      <c r="AV758" s="21" t="n">
        <f aca="false">IF(U758&gt;V758,1,0)</f>
        <v>0</v>
      </c>
      <c r="AW758" s="21" t="n">
        <f aca="false">IF(OR(W758&gt;تنظیمات!$B$8,X758="بله"),1,0)</f>
        <v>0</v>
      </c>
      <c r="AX758" s="21" t="n">
        <f aca="false">IF(AND(N758="بله",L758&gt;تنظیمات!$B$9),1,0)</f>
        <v>0</v>
      </c>
      <c r="AY758" s="21" t="n">
        <f aca="false">IF(Y758="معکوس",1,0)</f>
        <v>0</v>
      </c>
      <c r="AZ758" s="21" t="n">
        <f aca="false">IF(ABS(AJ758)&gt;تنظیمات!$B$10,1,0)</f>
        <v>0</v>
      </c>
      <c r="BA758" s="21" t="n">
        <f aca="false">IF(AND(OR(AD758="رایگان/VIP",AD758="جانباز"),AF758="خیر"),1,0)</f>
        <v>0</v>
      </c>
      <c r="BB758" s="21" t="n">
        <f aca="false">IF(AE758="",0,IF(COUNTIF($AE$2:$AE$1001,AE758)&gt;1,1,0))</f>
        <v>0</v>
      </c>
      <c r="BC758" s="21" t="n">
        <f aca="false">IF(AND(H758="",I758&gt;تنظیمات!$B$12*60,AM758="خالی"),1,0)</f>
        <v>0</v>
      </c>
      <c r="BD758" s="21" t="n">
        <f aca="false">IF(AND(AP758="بله",I758&lt;تنظیمات!$B$14,AO758="خیر"),1,0)</f>
        <v>0</v>
      </c>
      <c r="BE758" s="21" t="n">
        <f aca="false">IF(AN758="خیر",1,0)</f>
        <v>0</v>
      </c>
      <c r="BF758" s="21" t="n">
        <f aca="false">IF(AND(AD758="فیش مفقودی",AQ758="بله",I758&gt;تنظیمات!$B$12*60),1,0)</f>
        <v>0</v>
      </c>
      <c r="BG758" s="21" t="n">
        <f aca="false">IF(AND(AK758&gt;تنظیمات!$B$11,AL758="بله"),1,0)</f>
        <v>0</v>
      </c>
      <c r="BH758" s="21" t="n">
        <f aca="false">MIN(100,AR758*تنظیمات!$B$21+AS758*تنظیمات!$B$22+AT758*تنظیمات!$B$23+AU758*تنظیمات!$B$24+AV758*تنظیمات!$B$25+AW758*تنظیمات!$B$26+AX758*تنظیمات!$B$27+AY758*تنظیمات!$B$28+AZ758*تنظیمات!$B$29+BA758*تنظیمات!$B$30+BB758*تنظیمات!$B$31+BC758*تنظیمات!$B$32+BD758*تنظیمات!$B$33+BE758*تنظیمات!$B$34+BF758*تنظیمات!$B$35+BG758*تنظیمات!$B$36)</f>
        <v>0</v>
      </c>
      <c r="BI758" s="16" t="str">
        <f aca="false">IF(BH758&gt;=60,"بحرانی",IF(BH758&gt;=30,"مشکوک",IF(BH758&gt;0,"هشدار","عادی")))</f>
        <v>عادی</v>
      </c>
      <c r="BJ758" s="16" t="s">
        <v>338</v>
      </c>
    </row>
    <row r="759" customFormat="false" ht="15" hidden="false" customHeight="false" outlineLevel="0" collapsed="false">
      <c r="A759" s="16" t="s">
        <v>2655</v>
      </c>
      <c r="B759" s="16" t="s">
        <v>740</v>
      </c>
      <c r="C759" s="16"/>
      <c r="D759" s="16" t="s">
        <v>431</v>
      </c>
      <c r="E759" s="16" t="s">
        <v>351</v>
      </c>
      <c r="F759" s="16" t="s">
        <v>333</v>
      </c>
      <c r="G759" s="17" t="n">
        <v>46291.4746412037</v>
      </c>
      <c r="H759" s="17" t="n">
        <v>46291.5510300926</v>
      </c>
      <c r="I759" s="18" t="n">
        <f aca="false">IF(H759="",ROUND((تنظیمات!$B$7-G759)*1440,0),ROUND((H759-G759)*1440,0))</f>
        <v>110</v>
      </c>
      <c r="J759" s="16" t="s">
        <v>334</v>
      </c>
      <c r="K759" s="16" t="s">
        <v>410</v>
      </c>
      <c r="L759" s="19" t="n">
        <v>0.965</v>
      </c>
      <c r="M759" s="19" t="n">
        <v>0.919</v>
      </c>
      <c r="N759" s="16" t="s">
        <v>335</v>
      </c>
      <c r="O759" s="16" t="s">
        <v>419</v>
      </c>
      <c r="P759" s="16" t="s">
        <v>402</v>
      </c>
      <c r="Q759" s="20" t="n">
        <v>46291</v>
      </c>
      <c r="R759" s="16" t="s">
        <v>2656</v>
      </c>
      <c r="S759" s="16" t="s">
        <v>404</v>
      </c>
      <c r="T759" s="17"/>
      <c r="U759" s="21" t="n">
        <v>1</v>
      </c>
      <c r="V759" s="21" t="n">
        <v>1</v>
      </c>
      <c r="W759" s="22" t="n">
        <v>5.1</v>
      </c>
      <c r="X759" s="16" t="s">
        <v>335</v>
      </c>
      <c r="Y759" s="16" t="s">
        <v>338</v>
      </c>
      <c r="Z759" s="16" t="s">
        <v>413</v>
      </c>
      <c r="AA759" s="16" t="s">
        <v>414</v>
      </c>
      <c r="AB759" s="23" t="s">
        <v>2657</v>
      </c>
      <c r="AC759" s="17" t="n">
        <v>46291.5499884259</v>
      </c>
      <c r="AD759" s="16" t="s">
        <v>338</v>
      </c>
      <c r="AE759" s="16"/>
      <c r="AF759" s="16" t="str">
        <f aca="false">IF(COUNTIF(لیست_سفید!$A$2:$A$21,B759)&gt;0,"بله","خیر")</f>
        <v>خیر</v>
      </c>
      <c r="AG759" s="24" t="n">
        <f aca="false">IF(H759="","",IF(AD759="فیش مفقودی",تنظیمات!$B$6,(INT(I759/1440)*تنظیمات!$B$5+IF(MOD(I759,1440)&lt;=تنظیمات!$B$2,0,MIN(تنظیمات!$B$5,تنظیمات!$B$3+MAX(0,ROUNDUP((MOD(I759,1440)-60)/60,0))*تنظیمات!$B$4)))*INDEX(تعرفه!$B$2:$B$7,MATCH(AD759,تعرفه!$A$2:$A$7,0))))</f>
        <v>34000</v>
      </c>
      <c r="AH759" s="24" t="n">
        <v>34000</v>
      </c>
      <c r="AI759" s="24" t="n">
        <f aca="false">IF(AG759="","",AH759-AG759)</f>
        <v>0</v>
      </c>
      <c r="AJ759" s="21" t="n">
        <v>0</v>
      </c>
      <c r="AK759" s="21" t="n">
        <v>0</v>
      </c>
      <c r="AL759" s="16" t="s">
        <v>335</v>
      </c>
      <c r="AM759" s="16"/>
      <c r="AN759" s="16" t="s">
        <v>340</v>
      </c>
      <c r="AO759" s="16" t="s">
        <v>340</v>
      </c>
      <c r="AP759" s="16" t="s">
        <v>335</v>
      </c>
      <c r="AQ759" s="16"/>
      <c r="AR759" s="21" t="n">
        <f aca="false">IF(AND(T759&lt;&gt;"",H759&lt;&gt;""),IF(AND((T759-H759)*86400&gt;=0,(T759-H759)*86400&lt;تنظیمات!$B$13),1,0),0)</f>
        <v>0</v>
      </c>
      <c r="AS759" s="21" t="n">
        <f aca="false">IF(Z759="پوز",IF(OR(AB759="",COUNTIF(پوزها!$A$2:$A$5,AA759)=0),1,0),0)</f>
        <v>0</v>
      </c>
      <c r="AT759" s="21" t="n">
        <f aca="false">IF(AI759="",0,IF(AI759&gt;0,1,0))</f>
        <v>0</v>
      </c>
      <c r="AU759" s="21" t="n">
        <f aca="false">IF(AI759="",0,IF(AI759&lt;0,1,0))</f>
        <v>0</v>
      </c>
      <c r="AV759" s="21" t="n">
        <f aca="false">IF(U759&gt;V759,1,0)</f>
        <v>0</v>
      </c>
      <c r="AW759" s="21" t="n">
        <f aca="false">IF(OR(W759&gt;تنظیمات!$B$8,X759="بله"),1,0)</f>
        <v>0</v>
      </c>
      <c r="AX759" s="21" t="n">
        <f aca="false">IF(AND(N759="بله",L759&gt;تنظیمات!$B$9),1,0)</f>
        <v>0</v>
      </c>
      <c r="AY759" s="21" t="n">
        <f aca="false">IF(Y759="معکوس",1,0)</f>
        <v>0</v>
      </c>
      <c r="AZ759" s="21" t="n">
        <f aca="false">IF(ABS(AJ759)&gt;تنظیمات!$B$10,1,0)</f>
        <v>0</v>
      </c>
      <c r="BA759" s="21" t="n">
        <f aca="false">IF(AND(OR(AD759="رایگان/VIP",AD759="جانباز"),AF759="خیر"),1,0)</f>
        <v>0</v>
      </c>
      <c r="BB759" s="21" t="n">
        <f aca="false">IF(AE759="",0,IF(COUNTIF($AE$2:$AE$1001,AE759)&gt;1,1,0))</f>
        <v>0</v>
      </c>
      <c r="BC759" s="21" t="n">
        <f aca="false">IF(AND(H759="",I759&gt;تنظیمات!$B$12*60,AM759="خالی"),1,0)</f>
        <v>0</v>
      </c>
      <c r="BD759" s="21" t="n">
        <f aca="false">IF(AND(AP759="بله",I759&lt;تنظیمات!$B$14,AO759="خیر"),1,0)</f>
        <v>0</v>
      </c>
      <c r="BE759" s="21" t="n">
        <f aca="false">IF(AN759="خیر",1,0)</f>
        <v>0</v>
      </c>
      <c r="BF759" s="21" t="n">
        <f aca="false">IF(AND(AD759="فیش مفقودی",AQ759="بله",I759&gt;تنظیمات!$B$12*60),1,0)</f>
        <v>0</v>
      </c>
      <c r="BG759" s="21" t="n">
        <f aca="false">IF(AND(AK759&gt;تنظیمات!$B$11,AL759="بله"),1,0)</f>
        <v>0</v>
      </c>
      <c r="BH759" s="21" t="n">
        <f aca="false">MIN(100,AR759*تنظیمات!$B$21+AS759*تنظیمات!$B$22+AT759*تنظیمات!$B$23+AU759*تنظیمات!$B$24+AV759*تنظیمات!$B$25+AW759*تنظیمات!$B$26+AX759*تنظیمات!$B$27+AY759*تنظیمات!$B$28+AZ759*تنظیمات!$B$29+BA759*تنظیمات!$B$30+BB759*تنظیمات!$B$31+BC759*تنظیمات!$B$32+BD759*تنظیمات!$B$33+BE759*تنظیمات!$B$34+BF759*تنظیمات!$B$35+BG759*تنظیمات!$B$36)</f>
        <v>0</v>
      </c>
      <c r="BI759" s="16" t="str">
        <f aca="false">IF(BH759&gt;=60,"بحرانی",IF(BH759&gt;=30,"مشکوک",IF(BH759&gt;0,"هشدار","عادی")))</f>
        <v>عادی</v>
      </c>
      <c r="BJ759" s="16" t="s">
        <v>338</v>
      </c>
    </row>
    <row r="760" customFormat="false" ht="15" hidden="false" customHeight="false" outlineLevel="0" collapsed="false">
      <c r="A760" s="16" t="s">
        <v>2658</v>
      </c>
      <c r="B760" s="16" t="s">
        <v>885</v>
      </c>
      <c r="C760" s="16"/>
      <c r="D760" s="16" t="s">
        <v>469</v>
      </c>
      <c r="E760" s="16" t="s">
        <v>351</v>
      </c>
      <c r="F760" s="16" t="s">
        <v>359</v>
      </c>
      <c r="G760" s="17" t="n">
        <v>46291.4789699074</v>
      </c>
      <c r="H760" s="17" t="n">
        <v>46291.5060532407</v>
      </c>
      <c r="I760" s="18" t="n">
        <f aca="false">IF(H760="",ROUND((تنظیمات!$B$7-G760)*1440,0),ROUND((H760-G760)*1440,0))</f>
        <v>39</v>
      </c>
      <c r="J760" s="16" t="s">
        <v>346</v>
      </c>
      <c r="K760" s="16" t="s">
        <v>410</v>
      </c>
      <c r="L760" s="19" t="n">
        <v>0.959</v>
      </c>
      <c r="M760" s="19" t="n">
        <v>0.995</v>
      </c>
      <c r="N760" s="16" t="s">
        <v>335</v>
      </c>
      <c r="O760" s="16" t="s">
        <v>419</v>
      </c>
      <c r="P760" s="16" t="s">
        <v>402</v>
      </c>
      <c r="Q760" s="20" t="n">
        <v>46291</v>
      </c>
      <c r="R760" s="16" t="s">
        <v>2659</v>
      </c>
      <c r="S760" s="16" t="s">
        <v>404</v>
      </c>
      <c r="T760" s="17"/>
      <c r="U760" s="21" t="n">
        <v>1</v>
      </c>
      <c r="V760" s="21" t="n">
        <v>1</v>
      </c>
      <c r="W760" s="22" t="n">
        <v>4.7</v>
      </c>
      <c r="X760" s="16" t="s">
        <v>335</v>
      </c>
      <c r="Y760" s="16" t="s">
        <v>338</v>
      </c>
      <c r="Z760" s="16" t="s">
        <v>405</v>
      </c>
      <c r="AA760" s="16"/>
      <c r="AB760" s="23"/>
      <c r="AC760" s="17"/>
      <c r="AD760" s="16" t="s">
        <v>338</v>
      </c>
      <c r="AE760" s="16"/>
      <c r="AF760" s="16" t="str">
        <f aca="false">IF(COUNTIF(لیست_سفید!$A$2:$A$21,B760)&gt;0,"بله","خیر")</f>
        <v>خیر</v>
      </c>
      <c r="AG760" s="24" t="n">
        <f aca="false">IF(H760="","",IF(AD760="فیش مفقودی",تنظیمات!$B$6,(INT(I760/1440)*تنظیمات!$B$5+IF(MOD(I760,1440)&lt;=تنظیمات!$B$2,0,MIN(تنظیمات!$B$5,تنظیمات!$B$3+MAX(0,ROUNDUP((MOD(I760,1440)-60)/60,0))*تنظیمات!$B$4)))*INDEX(تعرفه!$B$2:$B$7,MATCH(AD760,تعرفه!$A$2:$A$7,0))))</f>
        <v>20000</v>
      </c>
      <c r="AH760" s="24" t="n">
        <v>20000</v>
      </c>
      <c r="AI760" s="24" t="n">
        <f aca="false">IF(AG760="","",AH760-AG760)</f>
        <v>0</v>
      </c>
      <c r="AJ760" s="21" t="n">
        <v>0</v>
      </c>
      <c r="AK760" s="21" t="n">
        <v>0</v>
      </c>
      <c r="AL760" s="16" t="s">
        <v>335</v>
      </c>
      <c r="AM760" s="16"/>
      <c r="AN760" s="16" t="s">
        <v>340</v>
      </c>
      <c r="AO760" s="16" t="s">
        <v>340</v>
      </c>
      <c r="AP760" s="16" t="s">
        <v>335</v>
      </c>
      <c r="AQ760" s="16"/>
      <c r="AR760" s="21" t="n">
        <f aca="false">IF(AND(T760&lt;&gt;"",H760&lt;&gt;""),IF(AND((T760-H760)*86400&gt;=0,(T760-H760)*86400&lt;تنظیمات!$B$13),1,0),0)</f>
        <v>0</v>
      </c>
      <c r="AS760" s="21" t="n">
        <f aca="false">IF(Z760="پوز",IF(OR(AB760="",COUNTIF(پوزها!$A$2:$A$5,AA760)=0),1,0),0)</f>
        <v>0</v>
      </c>
      <c r="AT760" s="21" t="n">
        <f aca="false">IF(AI760="",0,IF(AI760&gt;0,1,0))</f>
        <v>0</v>
      </c>
      <c r="AU760" s="21" t="n">
        <f aca="false">IF(AI760="",0,IF(AI760&lt;0,1,0))</f>
        <v>0</v>
      </c>
      <c r="AV760" s="21" t="n">
        <f aca="false">IF(U760&gt;V760,1,0)</f>
        <v>0</v>
      </c>
      <c r="AW760" s="21" t="n">
        <f aca="false">IF(OR(W760&gt;تنظیمات!$B$8,X760="بله"),1,0)</f>
        <v>0</v>
      </c>
      <c r="AX760" s="21" t="n">
        <f aca="false">IF(AND(N760="بله",L760&gt;تنظیمات!$B$9),1,0)</f>
        <v>0</v>
      </c>
      <c r="AY760" s="21" t="n">
        <f aca="false">IF(Y760="معکوس",1,0)</f>
        <v>0</v>
      </c>
      <c r="AZ760" s="21" t="n">
        <f aca="false">IF(ABS(AJ760)&gt;تنظیمات!$B$10,1,0)</f>
        <v>0</v>
      </c>
      <c r="BA760" s="21" t="n">
        <f aca="false">IF(AND(OR(AD760="رایگان/VIP",AD760="جانباز"),AF760="خیر"),1,0)</f>
        <v>0</v>
      </c>
      <c r="BB760" s="21" t="n">
        <f aca="false">IF(AE760="",0,IF(COUNTIF($AE$2:$AE$1001,AE760)&gt;1,1,0))</f>
        <v>0</v>
      </c>
      <c r="BC760" s="21" t="n">
        <f aca="false">IF(AND(H760="",I760&gt;تنظیمات!$B$12*60,AM760="خالی"),1,0)</f>
        <v>0</v>
      </c>
      <c r="BD760" s="21" t="n">
        <f aca="false">IF(AND(AP760="بله",I760&lt;تنظیمات!$B$14,AO760="خیر"),1,0)</f>
        <v>0</v>
      </c>
      <c r="BE760" s="21" t="n">
        <f aca="false">IF(AN760="خیر",1,0)</f>
        <v>0</v>
      </c>
      <c r="BF760" s="21" t="n">
        <f aca="false">IF(AND(AD760="فیش مفقودی",AQ760="بله",I760&gt;تنظیمات!$B$12*60),1,0)</f>
        <v>0</v>
      </c>
      <c r="BG760" s="21" t="n">
        <f aca="false">IF(AND(AK760&gt;تنظیمات!$B$11,AL760="بله"),1,0)</f>
        <v>0</v>
      </c>
      <c r="BH760" s="21" t="n">
        <f aca="false">MIN(100,AR760*تنظیمات!$B$21+AS760*تنظیمات!$B$22+AT760*تنظیمات!$B$23+AU760*تنظیمات!$B$24+AV760*تنظیمات!$B$25+AW760*تنظیمات!$B$26+AX760*تنظیمات!$B$27+AY760*تنظیمات!$B$28+AZ760*تنظیمات!$B$29+BA760*تنظیمات!$B$30+BB760*تنظیمات!$B$31+BC760*تنظیمات!$B$32+BD760*تنظیمات!$B$33+BE760*تنظیمات!$B$34+BF760*تنظیمات!$B$35+BG760*تنظیمات!$B$36)</f>
        <v>0</v>
      </c>
      <c r="BI760" s="16" t="str">
        <f aca="false">IF(BH760&gt;=60,"بحرانی",IF(BH760&gt;=30,"مشکوک",IF(BH760&gt;0,"هشدار","عادی")))</f>
        <v>عادی</v>
      </c>
      <c r="BJ760" s="16" t="s">
        <v>338</v>
      </c>
    </row>
    <row r="761" customFormat="false" ht="15" hidden="false" customHeight="false" outlineLevel="0" collapsed="false">
      <c r="A761" s="16" t="s">
        <v>2660</v>
      </c>
      <c r="B761" s="16" t="s">
        <v>669</v>
      </c>
      <c r="C761" s="16"/>
      <c r="D761" s="16" t="s">
        <v>508</v>
      </c>
      <c r="E761" s="16" t="s">
        <v>390</v>
      </c>
      <c r="F761" s="16" t="s">
        <v>333</v>
      </c>
      <c r="G761" s="17" t="n">
        <v>46291.4819444444</v>
      </c>
      <c r="H761" s="17" t="n">
        <v>46291.5451388889</v>
      </c>
      <c r="I761" s="18" t="n">
        <f aca="false">IF(H761="",ROUND((تنظیمات!$B$7-G761)*1440,0),ROUND((H761-G761)*1440,0))</f>
        <v>91</v>
      </c>
      <c r="J761" s="16" t="s">
        <v>346</v>
      </c>
      <c r="K761" s="16" t="s">
        <v>400</v>
      </c>
      <c r="L761" s="19" t="n">
        <v>0.976</v>
      </c>
      <c r="M761" s="19" t="n">
        <v>0.958</v>
      </c>
      <c r="N761" s="16" t="s">
        <v>335</v>
      </c>
      <c r="O761" s="16" t="s">
        <v>401</v>
      </c>
      <c r="P761" s="16" t="s">
        <v>402</v>
      </c>
      <c r="Q761" s="20" t="n">
        <v>46291</v>
      </c>
      <c r="R761" s="16" t="s">
        <v>2661</v>
      </c>
      <c r="S761" s="16" t="s">
        <v>404</v>
      </c>
      <c r="T761" s="17"/>
      <c r="U761" s="21" t="n">
        <v>1</v>
      </c>
      <c r="V761" s="21" t="n">
        <v>1</v>
      </c>
      <c r="W761" s="22" t="n">
        <v>6.8</v>
      </c>
      <c r="X761" s="16" t="s">
        <v>335</v>
      </c>
      <c r="Y761" s="16" t="s">
        <v>338</v>
      </c>
      <c r="Z761" s="16" t="s">
        <v>405</v>
      </c>
      <c r="AA761" s="16"/>
      <c r="AB761" s="23"/>
      <c r="AC761" s="17"/>
      <c r="AD761" s="16" t="s">
        <v>338</v>
      </c>
      <c r="AE761" s="16"/>
      <c r="AF761" s="16" t="str">
        <f aca="false">IF(COUNTIF(لیست_سفید!$A$2:$A$21,B761)&gt;0,"بله","خیر")</f>
        <v>خیر</v>
      </c>
      <c r="AG761" s="24" t="n">
        <f aca="false">IF(H761="","",IF(AD761="فیش مفقودی",تنظیمات!$B$6,(INT(I761/1440)*تنظیمات!$B$5+IF(MOD(I761,1440)&lt;=تنظیمات!$B$2,0,MIN(تنظیمات!$B$5,تنظیمات!$B$3+MAX(0,ROUNDUP((MOD(I761,1440)-60)/60,0))*تنظیمات!$B$4)))*INDEX(تعرفه!$B$2:$B$7,MATCH(AD761,تعرفه!$A$2:$A$7,0))))</f>
        <v>34000</v>
      </c>
      <c r="AH761" s="24" t="n">
        <v>18000</v>
      </c>
      <c r="AI761" s="24" t="n">
        <f aca="false">IF(AG761="","",AH761-AG761)</f>
        <v>-16000</v>
      </c>
      <c r="AJ761" s="21" t="n">
        <v>1</v>
      </c>
      <c r="AK761" s="21" t="n">
        <v>0</v>
      </c>
      <c r="AL761" s="16" t="s">
        <v>335</v>
      </c>
      <c r="AM761" s="16"/>
      <c r="AN761" s="16" t="s">
        <v>340</v>
      </c>
      <c r="AO761" s="16" t="s">
        <v>340</v>
      </c>
      <c r="AP761" s="16" t="s">
        <v>335</v>
      </c>
      <c r="AQ761" s="16"/>
      <c r="AR761" s="21" t="n">
        <f aca="false">IF(AND(T761&lt;&gt;"",H761&lt;&gt;""),IF(AND((T761-H761)*86400&gt;=0,(T761-H761)*86400&lt;تنظیمات!$B$13),1,0),0)</f>
        <v>0</v>
      </c>
      <c r="AS761" s="21" t="n">
        <f aca="false">IF(Z761="پوز",IF(OR(AB761="",COUNTIF(پوزها!$A$2:$A$5,AA761)=0),1,0),0)</f>
        <v>0</v>
      </c>
      <c r="AT761" s="21" t="n">
        <f aca="false">IF(AI761="",0,IF(AI761&gt;0,1,0))</f>
        <v>0</v>
      </c>
      <c r="AU761" s="21" t="n">
        <f aca="false">IF(AI761="",0,IF(AI761&lt;0,1,0))</f>
        <v>1</v>
      </c>
      <c r="AV761" s="21" t="n">
        <f aca="false">IF(U761&gt;V761,1,0)</f>
        <v>0</v>
      </c>
      <c r="AW761" s="21" t="n">
        <f aca="false">IF(OR(W761&gt;تنظیمات!$B$8,X761="بله"),1,0)</f>
        <v>0</v>
      </c>
      <c r="AX761" s="21" t="n">
        <f aca="false">IF(AND(N761="بله",L761&gt;تنظیمات!$B$9),1,0)</f>
        <v>0</v>
      </c>
      <c r="AY761" s="21" t="n">
        <f aca="false">IF(Y761="معکوس",1,0)</f>
        <v>0</v>
      </c>
      <c r="AZ761" s="21" t="n">
        <f aca="false">IF(ABS(AJ761)&gt;تنظیمات!$B$10,1,0)</f>
        <v>0</v>
      </c>
      <c r="BA761" s="21" t="n">
        <f aca="false">IF(AND(OR(AD761="رایگان/VIP",AD761="جانباز"),AF761="خیر"),1,0)</f>
        <v>0</v>
      </c>
      <c r="BB761" s="21" t="n">
        <f aca="false">IF(AE761="",0,IF(COUNTIF($AE$2:$AE$1001,AE761)&gt;1,1,0))</f>
        <v>0</v>
      </c>
      <c r="BC761" s="21" t="n">
        <f aca="false">IF(AND(H761="",I761&gt;تنظیمات!$B$12*60,AM761="خالی"),1,0)</f>
        <v>0</v>
      </c>
      <c r="BD761" s="21" t="n">
        <f aca="false">IF(AND(AP761="بله",I761&lt;تنظیمات!$B$14,AO761="خیر"),1,0)</f>
        <v>0</v>
      </c>
      <c r="BE761" s="21" t="n">
        <f aca="false">IF(AN761="خیر",1,0)</f>
        <v>0</v>
      </c>
      <c r="BF761" s="21" t="n">
        <f aca="false">IF(AND(AD761="فیش مفقودی",AQ761="بله",I761&gt;تنظیمات!$B$12*60),1,0)</f>
        <v>0</v>
      </c>
      <c r="BG761" s="21" t="n">
        <f aca="false">IF(AND(AK761&gt;تنظیمات!$B$11,AL761="بله"),1,0)</f>
        <v>0</v>
      </c>
      <c r="BH761" s="21" t="n">
        <f aca="false">MIN(100,AR761*تنظیمات!$B$21+AS761*تنظیمات!$B$22+AT761*تنظیمات!$B$23+AU761*تنظیمات!$B$24+AV761*تنظیمات!$B$25+AW761*تنظیمات!$B$26+AX761*تنظیمات!$B$27+AY761*تنظیمات!$B$28+AZ761*تنظیمات!$B$29+BA761*تنظیمات!$B$30+BB761*تنظیمات!$B$31+BC761*تنظیمات!$B$32+BD761*تنظیمات!$B$33+BE761*تنظیمات!$B$34+BF761*تنظیمات!$B$35+BG761*تنظیمات!$B$36)</f>
        <v>25</v>
      </c>
      <c r="BI761" s="16" t="str">
        <f aca="false">IF(BH761&gt;=60,"بحرانی",IF(BH761&gt;=30,"مشکوک",IF(BH761&gt;0,"هشدار","عادی")))</f>
        <v>هشدار</v>
      </c>
      <c r="BJ761" s="16" t="s">
        <v>610</v>
      </c>
    </row>
    <row r="762" customFormat="false" ht="15" hidden="false" customHeight="false" outlineLevel="0" collapsed="false">
      <c r="A762" s="16" t="s">
        <v>2662</v>
      </c>
      <c r="B762" s="16" t="s">
        <v>788</v>
      </c>
      <c r="C762" s="16"/>
      <c r="D762" s="16" t="s">
        <v>508</v>
      </c>
      <c r="E762" s="16" t="s">
        <v>332</v>
      </c>
      <c r="F762" s="16" t="s">
        <v>333</v>
      </c>
      <c r="G762" s="17" t="n">
        <v>46291.4919328704</v>
      </c>
      <c r="H762" s="17" t="n">
        <v>46291.5377662037</v>
      </c>
      <c r="I762" s="18" t="n">
        <f aca="false">IF(H762="",ROUND((تنظیمات!$B$7-G762)*1440,0),ROUND((H762-G762)*1440,0))</f>
        <v>66</v>
      </c>
      <c r="J762" s="16" t="s">
        <v>346</v>
      </c>
      <c r="K762" s="16" t="s">
        <v>410</v>
      </c>
      <c r="L762" s="19" t="n">
        <v>0.995</v>
      </c>
      <c r="M762" s="19" t="n">
        <v>0.955</v>
      </c>
      <c r="N762" s="16" t="s">
        <v>335</v>
      </c>
      <c r="O762" s="16" t="s">
        <v>419</v>
      </c>
      <c r="P762" s="16" t="s">
        <v>402</v>
      </c>
      <c r="Q762" s="20" t="n">
        <v>46291</v>
      </c>
      <c r="R762" s="16" t="s">
        <v>2663</v>
      </c>
      <c r="S762" s="16" t="s">
        <v>404</v>
      </c>
      <c r="T762" s="17"/>
      <c r="U762" s="21" t="n">
        <v>1</v>
      </c>
      <c r="V762" s="21" t="n">
        <v>1</v>
      </c>
      <c r="W762" s="22" t="n">
        <v>4.8</v>
      </c>
      <c r="X762" s="16" t="s">
        <v>335</v>
      </c>
      <c r="Y762" s="16" t="s">
        <v>338</v>
      </c>
      <c r="Z762" s="16" t="s">
        <v>405</v>
      </c>
      <c r="AA762" s="16"/>
      <c r="AB762" s="23"/>
      <c r="AC762" s="17"/>
      <c r="AD762" s="16" t="s">
        <v>338</v>
      </c>
      <c r="AE762" s="16"/>
      <c r="AF762" s="16" t="str">
        <f aca="false">IF(COUNTIF(لیست_سفید!$A$2:$A$21,B762)&gt;0,"بله","خیر")</f>
        <v>خیر</v>
      </c>
      <c r="AG762" s="24" t="n">
        <f aca="false">IF(H762="","",IF(AD762="فیش مفقودی",تنظیمات!$B$6,(INT(I762/1440)*تنظیمات!$B$5+IF(MOD(I762,1440)&lt;=تنظیمات!$B$2,0,MIN(تنظیمات!$B$5,تنظیمات!$B$3+MAX(0,ROUNDUP((MOD(I762,1440)-60)/60,0))*تنظیمات!$B$4)))*INDEX(تعرفه!$B$2:$B$7,MATCH(AD762,تعرفه!$A$2:$A$7,0))))</f>
        <v>34000</v>
      </c>
      <c r="AH762" s="24" t="n">
        <v>34000</v>
      </c>
      <c r="AI762" s="24" t="n">
        <f aca="false">IF(AG762="","",AH762-AG762)</f>
        <v>0</v>
      </c>
      <c r="AJ762" s="21" t="n">
        <v>0</v>
      </c>
      <c r="AK762" s="21" t="n">
        <v>0</v>
      </c>
      <c r="AL762" s="16" t="s">
        <v>335</v>
      </c>
      <c r="AM762" s="16"/>
      <c r="AN762" s="16" t="s">
        <v>340</v>
      </c>
      <c r="AO762" s="16" t="s">
        <v>340</v>
      </c>
      <c r="AP762" s="16" t="s">
        <v>335</v>
      </c>
      <c r="AQ762" s="16"/>
      <c r="AR762" s="21" t="n">
        <f aca="false">IF(AND(T762&lt;&gt;"",H762&lt;&gt;""),IF(AND((T762-H762)*86400&gt;=0,(T762-H762)*86400&lt;تنظیمات!$B$13),1,0),0)</f>
        <v>0</v>
      </c>
      <c r="AS762" s="21" t="n">
        <f aca="false">IF(Z762="پوز",IF(OR(AB762="",COUNTIF(پوزها!$A$2:$A$5,AA762)=0),1,0),0)</f>
        <v>0</v>
      </c>
      <c r="AT762" s="21" t="n">
        <f aca="false">IF(AI762="",0,IF(AI762&gt;0,1,0))</f>
        <v>0</v>
      </c>
      <c r="AU762" s="21" t="n">
        <f aca="false">IF(AI762="",0,IF(AI762&lt;0,1,0))</f>
        <v>0</v>
      </c>
      <c r="AV762" s="21" t="n">
        <f aca="false">IF(U762&gt;V762,1,0)</f>
        <v>0</v>
      </c>
      <c r="AW762" s="21" t="n">
        <f aca="false">IF(OR(W762&gt;تنظیمات!$B$8,X762="بله"),1,0)</f>
        <v>0</v>
      </c>
      <c r="AX762" s="21" t="n">
        <f aca="false">IF(AND(N762="بله",L762&gt;تنظیمات!$B$9),1,0)</f>
        <v>0</v>
      </c>
      <c r="AY762" s="21" t="n">
        <f aca="false">IF(Y762="معکوس",1,0)</f>
        <v>0</v>
      </c>
      <c r="AZ762" s="21" t="n">
        <f aca="false">IF(ABS(AJ762)&gt;تنظیمات!$B$10,1,0)</f>
        <v>0</v>
      </c>
      <c r="BA762" s="21" t="n">
        <f aca="false">IF(AND(OR(AD762="رایگان/VIP",AD762="جانباز"),AF762="خیر"),1,0)</f>
        <v>0</v>
      </c>
      <c r="BB762" s="21" t="n">
        <f aca="false">IF(AE762="",0,IF(COUNTIF($AE$2:$AE$1001,AE762)&gt;1,1,0))</f>
        <v>0</v>
      </c>
      <c r="BC762" s="21" t="n">
        <f aca="false">IF(AND(H762="",I762&gt;تنظیمات!$B$12*60,AM762="خالی"),1,0)</f>
        <v>0</v>
      </c>
      <c r="BD762" s="21" t="n">
        <f aca="false">IF(AND(AP762="بله",I762&lt;تنظیمات!$B$14,AO762="خیر"),1,0)</f>
        <v>0</v>
      </c>
      <c r="BE762" s="21" t="n">
        <f aca="false">IF(AN762="خیر",1,0)</f>
        <v>0</v>
      </c>
      <c r="BF762" s="21" t="n">
        <f aca="false">IF(AND(AD762="فیش مفقودی",AQ762="بله",I762&gt;تنظیمات!$B$12*60),1,0)</f>
        <v>0</v>
      </c>
      <c r="BG762" s="21" t="n">
        <f aca="false">IF(AND(AK762&gt;تنظیمات!$B$11,AL762="بله"),1,0)</f>
        <v>0</v>
      </c>
      <c r="BH762" s="21" t="n">
        <f aca="false">MIN(100,AR762*تنظیمات!$B$21+AS762*تنظیمات!$B$22+AT762*تنظیمات!$B$23+AU762*تنظیمات!$B$24+AV762*تنظیمات!$B$25+AW762*تنظیمات!$B$26+AX762*تنظیمات!$B$27+AY762*تنظیمات!$B$28+AZ762*تنظیمات!$B$29+BA762*تنظیمات!$B$30+BB762*تنظیمات!$B$31+BC762*تنظیمات!$B$32+BD762*تنظیمات!$B$33+BE762*تنظیمات!$B$34+BF762*تنظیمات!$B$35+BG762*تنظیمات!$B$36)</f>
        <v>0</v>
      </c>
      <c r="BI762" s="16" t="str">
        <f aca="false">IF(BH762&gt;=60,"بحرانی",IF(BH762&gt;=30,"مشکوک",IF(BH762&gt;0,"هشدار","عادی")))</f>
        <v>عادی</v>
      </c>
      <c r="BJ762" s="16" t="s">
        <v>338</v>
      </c>
    </row>
    <row r="763" customFormat="false" ht="15" hidden="false" customHeight="false" outlineLevel="0" collapsed="false">
      <c r="A763" s="16" t="s">
        <v>2664</v>
      </c>
      <c r="B763" s="16" t="s">
        <v>1079</v>
      </c>
      <c r="C763" s="16"/>
      <c r="D763" s="16" t="s">
        <v>508</v>
      </c>
      <c r="E763" s="16" t="s">
        <v>332</v>
      </c>
      <c r="F763" s="16" t="s">
        <v>333</v>
      </c>
      <c r="G763" s="17" t="n">
        <v>46291.4962037037</v>
      </c>
      <c r="H763" s="17" t="n">
        <v>46291.5739814815</v>
      </c>
      <c r="I763" s="18" t="n">
        <f aca="false">IF(H763="",ROUND((تنظیمات!$B$7-G763)*1440,0),ROUND((H763-G763)*1440,0))</f>
        <v>112</v>
      </c>
      <c r="J763" s="16" t="s">
        <v>334</v>
      </c>
      <c r="K763" s="16" t="s">
        <v>410</v>
      </c>
      <c r="L763" s="19" t="n">
        <v>0.904</v>
      </c>
      <c r="M763" s="19" t="n">
        <v>0.964</v>
      </c>
      <c r="N763" s="16" t="s">
        <v>335</v>
      </c>
      <c r="O763" s="16" t="s">
        <v>419</v>
      </c>
      <c r="P763" s="16" t="s">
        <v>402</v>
      </c>
      <c r="Q763" s="20" t="n">
        <v>46291</v>
      </c>
      <c r="R763" s="16" t="s">
        <v>2665</v>
      </c>
      <c r="S763" s="16" t="s">
        <v>404</v>
      </c>
      <c r="T763" s="17"/>
      <c r="U763" s="21" t="n">
        <v>1</v>
      </c>
      <c r="V763" s="21" t="n">
        <v>1</v>
      </c>
      <c r="W763" s="22" t="n">
        <v>5.8</v>
      </c>
      <c r="X763" s="16" t="s">
        <v>335</v>
      </c>
      <c r="Y763" s="16" t="s">
        <v>338</v>
      </c>
      <c r="Z763" s="16" t="s">
        <v>413</v>
      </c>
      <c r="AA763" s="16" t="s">
        <v>414</v>
      </c>
      <c r="AB763" s="23" t="s">
        <v>2666</v>
      </c>
      <c r="AC763" s="17" t="n">
        <v>46291.5736921296</v>
      </c>
      <c r="AD763" s="16" t="s">
        <v>338</v>
      </c>
      <c r="AE763" s="16"/>
      <c r="AF763" s="16" t="str">
        <f aca="false">IF(COUNTIF(لیست_سفید!$A$2:$A$21,B763)&gt;0,"بله","خیر")</f>
        <v>خیر</v>
      </c>
      <c r="AG763" s="24" t="n">
        <f aca="false">IF(H763="","",IF(AD763="فیش مفقودی",تنظیمات!$B$6,(INT(I763/1440)*تنظیمات!$B$5+IF(MOD(I763,1440)&lt;=تنظیمات!$B$2,0,MIN(تنظیمات!$B$5,تنظیمات!$B$3+MAX(0,ROUNDUP((MOD(I763,1440)-60)/60,0))*تنظیمات!$B$4)))*INDEX(تعرفه!$B$2:$B$7,MATCH(AD763,تعرفه!$A$2:$A$7,0))))</f>
        <v>34000</v>
      </c>
      <c r="AH763" s="24" t="n">
        <v>34000</v>
      </c>
      <c r="AI763" s="24" t="n">
        <f aca="false">IF(AG763="","",AH763-AG763)</f>
        <v>0</v>
      </c>
      <c r="AJ763" s="21" t="n">
        <v>-1</v>
      </c>
      <c r="AK763" s="21" t="n">
        <v>0</v>
      </c>
      <c r="AL763" s="16" t="s">
        <v>335</v>
      </c>
      <c r="AM763" s="16"/>
      <c r="AN763" s="16" t="s">
        <v>340</v>
      </c>
      <c r="AO763" s="16" t="s">
        <v>340</v>
      </c>
      <c r="AP763" s="16" t="s">
        <v>335</v>
      </c>
      <c r="AQ763" s="16"/>
      <c r="AR763" s="21" t="n">
        <f aca="false">IF(AND(T763&lt;&gt;"",H763&lt;&gt;""),IF(AND((T763-H763)*86400&gt;=0,(T763-H763)*86400&lt;تنظیمات!$B$13),1,0),0)</f>
        <v>0</v>
      </c>
      <c r="AS763" s="21" t="n">
        <f aca="false">IF(Z763="پوز",IF(OR(AB763="",COUNTIF(پوزها!$A$2:$A$5,AA763)=0),1,0),0)</f>
        <v>0</v>
      </c>
      <c r="AT763" s="21" t="n">
        <f aca="false">IF(AI763="",0,IF(AI763&gt;0,1,0))</f>
        <v>0</v>
      </c>
      <c r="AU763" s="21" t="n">
        <f aca="false">IF(AI763="",0,IF(AI763&lt;0,1,0))</f>
        <v>0</v>
      </c>
      <c r="AV763" s="21" t="n">
        <f aca="false">IF(U763&gt;V763,1,0)</f>
        <v>0</v>
      </c>
      <c r="AW763" s="21" t="n">
        <f aca="false">IF(OR(W763&gt;تنظیمات!$B$8,X763="بله"),1,0)</f>
        <v>0</v>
      </c>
      <c r="AX763" s="21" t="n">
        <f aca="false">IF(AND(N763="بله",L763&gt;تنظیمات!$B$9),1,0)</f>
        <v>0</v>
      </c>
      <c r="AY763" s="21" t="n">
        <f aca="false">IF(Y763="معکوس",1,0)</f>
        <v>0</v>
      </c>
      <c r="AZ763" s="21" t="n">
        <f aca="false">IF(ABS(AJ763)&gt;تنظیمات!$B$10,1,0)</f>
        <v>0</v>
      </c>
      <c r="BA763" s="21" t="n">
        <f aca="false">IF(AND(OR(AD763="رایگان/VIP",AD763="جانباز"),AF763="خیر"),1,0)</f>
        <v>0</v>
      </c>
      <c r="BB763" s="21" t="n">
        <f aca="false">IF(AE763="",0,IF(COUNTIF($AE$2:$AE$1001,AE763)&gt;1,1,0))</f>
        <v>0</v>
      </c>
      <c r="BC763" s="21" t="n">
        <f aca="false">IF(AND(H763="",I763&gt;تنظیمات!$B$12*60,AM763="خالی"),1,0)</f>
        <v>0</v>
      </c>
      <c r="BD763" s="21" t="n">
        <f aca="false">IF(AND(AP763="بله",I763&lt;تنظیمات!$B$14,AO763="خیر"),1,0)</f>
        <v>0</v>
      </c>
      <c r="BE763" s="21" t="n">
        <f aca="false">IF(AN763="خیر",1,0)</f>
        <v>0</v>
      </c>
      <c r="BF763" s="21" t="n">
        <f aca="false">IF(AND(AD763="فیش مفقودی",AQ763="بله",I763&gt;تنظیمات!$B$12*60),1,0)</f>
        <v>0</v>
      </c>
      <c r="BG763" s="21" t="n">
        <f aca="false">IF(AND(AK763&gt;تنظیمات!$B$11,AL763="بله"),1,0)</f>
        <v>0</v>
      </c>
      <c r="BH763" s="21" t="n">
        <f aca="false">MIN(100,AR763*تنظیمات!$B$21+AS763*تنظیمات!$B$22+AT763*تنظیمات!$B$23+AU763*تنظیمات!$B$24+AV763*تنظیمات!$B$25+AW763*تنظیمات!$B$26+AX763*تنظیمات!$B$27+AY763*تنظیمات!$B$28+AZ763*تنظیمات!$B$29+BA763*تنظیمات!$B$30+BB763*تنظیمات!$B$31+BC763*تنظیمات!$B$32+BD763*تنظیمات!$B$33+BE763*تنظیمات!$B$34+BF763*تنظیمات!$B$35+BG763*تنظیمات!$B$36)</f>
        <v>0</v>
      </c>
      <c r="BI763" s="16" t="str">
        <f aca="false">IF(BH763&gt;=60,"بحرانی",IF(BH763&gt;=30,"مشکوک",IF(BH763&gt;0,"هشدار","عادی")))</f>
        <v>عادی</v>
      </c>
      <c r="BJ763" s="16" t="s">
        <v>338</v>
      </c>
    </row>
    <row r="764" customFormat="false" ht="15" hidden="false" customHeight="false" outlineLevel="0" collapsed="false">
      <c r="A764" s="16" t="s">
        <v>2667</v>
      </c>
      <c r="B764" s="16" t="s">
        <v>1807</v>
      </c>
      <c r="C764" s="16"/>
      <c r="D764" s="16" t="s">
        <v>370</v>
      </c>
      <c r="E764" s="16" t="s">
        <v>375</v>
      </c>
      <c r="F764" s="16" t="s">
        <v>333</v>
      </c>
      <c r="G764" s="17" t="n">
        <v>46291.4983680556</v>
      </c>
      <c r="H764" s="17" t="n">
        <v>46291.6358680556</v>
      </c>
      <c r="I764" s="18" t="n">
        <f aca="false">IF(H764="",ROUND((تنظیمات!$B$7-G764)*1440,0),ROUND((H764-G764)*1440,0))</f>
        <v>198</v>
      </c>
      <c r="J764" s="16" t="s">
        <v>334</v>
      </c>
      <c r="K764" s="16" t="s">
        <v>400</v>
      </c>
      <c r="L764" s="19" t="n">
        <v>0.969</v>
      </c>
      <c r="M764" s="19" t="n">
        <v>0.995</v>
      </c>
      <c r="N764" s="16" t="s">
        <v>335</v>
      </c>
      <c r="O764" s="16" t="s">
        <v>650</v>
      </c>
      <c r="P764" s="16" t="s">
        <v>420</v>
      </c>
      <c r="Q764" s="20" t="n">
        <v>46291</v>
      </c>
      <c r="R764" s="16" t="s">
        <v>2668</v>
      </c>
      <c r="S764" s="16" t="s">
        <v>404</v>
      </c>
      <c r="T764" s="17"/>
      <c r="U764" s="21" t="n">
        <v>1</v>
      </c>
      <c r="V764" s="21" t="n">
        <v>1</v>
      </c>
      <c r="W764" s="22" t="n">
        <v>5.6</v>
      </c>
      <c r="X764" s="16" t="s">
        <v>335</v>
      </c>
      <c r="Y764" s="16" t="s">
        <v>338</v>
      </c>
      <c r="Z764" s="16" t="s">
        <v>413</v>
      </c>
      <c r="AA764" s="16" t="s">
        <v>427</v>
      </c>
      <c r="AB764" s="23" t="s">
        <v>2669</v>
      </c>
      <c r="AC764" s="17" t="n">
        <v>46291.6354513889</v>
      </c>
      <c r="AD764" s="16" t="s">
        <v>338</v>
      </c>
      <c r="AE764" s="16"/>
      <c r="AF764" s="16" t="str">
        <f aca="false">IF(COUNTIF(لیست_سفید!$A$2:$A$21,B764)&gt;0,"بله","خیر")</f>
        <v>خیر</v>
      </c>
      <c r="AG764" s="24" t="n">
        <f aca="false">IF(H764="","",IF(AD764="فیش مفقودی",تنظیمات!$B$6,(INT(I764/1440)*تنظیمات!$B$5+IF(MOD(I764,1440)&lt;=تنظیمات!$B$2,0,MIN(تنظیمات!$B$5,تنظیمات!$B$3+MAX(0,ROUNDUP((MOD(I764,1440)-60)/60,0))*تنظیمات!$B$4)))*INDEX(تعرفه!$B$2:$B$7,MATCH(AD764,تعرفه!$A$2:$A$7,0))))</f>
        <v>62000</v>
      </c>
      <c r="AH764" s="24" t="n">
        <v>62000</v>
      </c>
      <c r="AI764" s="24" t="n">
        <f aca="false">IF(AG764="","",AH764-AG764)</f>
        <v>0</v>
      </c>
      <c r="AJ764" s="21" t="n">
        <v>-2</v>
      </c>
      <c r="AK764" s="21" t="n">
        <v>0</v>
      </c>
      <c r="AL764" s="16" t="s">
        <v>335</v>
      </c>
      <c r="AM764" s="16"/>
      <c r="AN764" s="16" t="s">
        <v>340</v>
      </c>
      <c r="AO764" s="16" t="s">
        <v>340</v>
      </c>
      <c r="AP764" s="16" t="s">
        <v>335</v>
      </c>
      <c r="AQ764" s="16"/>
      <c r="AR764" s="21" t="n">
        <f aca="false">IF(AND(T764&lt;&gt;"",H764&lt;&gt;""),IF(AND((T764-H764)*86400&gt;=0,(T764-H764)*86400&lt;تنظیمات!$B$13),1,0),0)</f>
        <v>0</v>
      </c>
      <c r="AS764" s="21" t="n">
        <f aca="false">IF(Z764="پوز",IF(OR(AB764="",COUNTIF(پوزها!$A$2:$A$5,AA764)=0),1,0),0)</f>
        <v>0</v>
      </c>
      <c r="AT764" s="21" t="n">
        <f aca="false">IF(AI764="",0,IF(AI764&gt;0,1,0))</f>
        <v>0</v>
      </c>
      <c r="AU764" s="21" t="n">
        <f aca="false">IF(AI764="",0,IF(AI764&lt;0,1,0))</f>
        <v>0</v>
      </c>
      <c r="AV764" s="21" t="n">
        <f aca="false">IF(U764&gt;V764,1,0)</f>
        <v>0</v>
      </c>
      <c r="AW764" s="21" t="n">
        <f aca="false">IF(OR(W764&gt;تنظیمات!$B$8,X764="بله"),1,0)</f>
        <v>0</v>
      </c>
      <c r="AX764" s="21" t="n">
        <f aca="false">IF(AND(N764="بله",L764&gt;تنظیمات!$B$9),1,0)</f>
        <v>0</v>
      </c>
      <c r="AY764" s="21" t="n">
        <f aca="false">IF(Y764="معکوس",1,0)</f>
        <v>0</v>
      </c>
      <c r="AZ764" s="21" t="n">
        <f aca="false">IF(ABS(AJ764)&gt;تنظیمات!$B$10,1,0)</f>
        <v>0</v>
      </c>
      <c r="BA764" s="21" t="n">
        <f aca="false">IF(AND(OR(AD764="رایگان/VIP",AD764="جانباز"),AF764="خیر"),1,0)</f>
        <v>0</v>
      </c>
      <c r="BB764" s="21" t="n">
        <f aca="false">IF(AE764="",0,IF(COUNTIF($AE$2:$AE$1001,AE764)&gt;1,1,0))</f>
        <v>0</v>
      </c>
      <c r="BC764" s="21" t="n">
        <f aca="false">IF(AND(H764="",I764&gt;تنظیمات!$B$12*60,AM764="خالی"),1,0)</f>
        <v>0</v>
      </c>
      <c r="BD764" s="21" t="n">
        <f aca="false">IF(AND(AP764="بله",I764&lt;تنظیمات!$B$14,AO764="خیر"),1,0)</f>
        <v>0</v>
      </c>
      <c r="BE764" s="21" t="n">
        <f aca="false">IF(AN764="خیر",1,0)</f>
        <v>0</v>
      </c>
      <c r="BF764" s="21" t="n">
        <f aca="false">IF(AND(AD764="فیش مفقودی",AQ764="بله",I764&gt;تنظیمات!$B$12*60),1,0)</f>
        <v>0</v>
      </c>
      <c r="BG764" s="21" t="n">
        <f aca="false">IF(AND(AK764&gt;تنظیمات!$B$11,AL764="بله"),1,0)</f>
        <v>0</v>
      </c>
      <c r="BH764" s="21" t="n">
        <f aca="false">MIN(100,AR764*تنظیمات!$B$21+AS764*تنظیمات!$B$22+AT764*تنظیمات!$B$23+AU764*تنظیمات!$B$24+AV764*تنظیمات!$B$25+AW764*تنظیمات!$B$26+AX764*تنظیمات!$B$27+AY764*تنظیمات!$B$28+AZ764*تنظیمات!$B$29+BA764*تنظیمات!$B$30+BB764*تنظیمات!$B$31+BC764*تنظیمات!$B$32+BD764*تنظیمات!$B$33+BE764*تنظیمات!$B$34+BF764*تنظیمات!$B$35+BG764*تنظیمات!$B$36)</f>
        <v>0</v>
      </c>
      <c r="BI764" s="16" t="str">
        <f aca="false">IF(BH764&gt;=60,"بحرانی",IF(BH764&gt;=30,"مشکوک",IF(BH764&gt;0,"هشدار","عادی")))</f>
        <v>عادی</v>
      </c>
      <c r="BJ764" s="16" t="s">
        <v>338</v>
      </c>
    </row>
    <row r="765" customFormat="false" ht="15" hidden="false" customHeight="false" outlineLevel="0" collapsed="false">
      <c r="A765" s="16" t="s">
        <v>2670</v>
      </c>
      <c r="B765" s="16" t="s">
        <v>1416</v>
      </c>
      <c r="C765" s="16"/>
      <c r="D765" s="16" t="s">
        <v>508</v>
      </c>
      <c r="E765" s="16" t="s">
        <v>363</v>
      </c>
      <c r="F765" s="16" t="s">
        <v>333</v>
      </c>
      <c r="G765" s="17" t="n">
        <v>46291.499525463</v>
      </c>
      <c r="H765" s="17" t="n">
        <v>46291.512025463</v>
      </c>
      <c r="I765" s="18" t="n">
        <f aca="false">IF(H765="",ROUND((تنظیمات!$B$7-G765)*1440,0),ROUND((H765-G765)*1440,0))</f>
        <v>18</v>
      </c>
      <c r="J765" s="16" t="s">
        <v>334</v>
      </c>
      <c r="K765" s="16" t="s">
        <v>400</v>
      </c>
      <c r="L765" s="19" t="n">
        <v>0.995</v>
      </c>
      <c r="M765" s="19" t="n">
        <v>0.961</v>
      </c>
      <c r="N765" s="16" t="s">
        <v>335</v>
      </c>
      <c r="O765" s="16" t="s">
        <v>401</v>
      </c>
      <c r="P765" s="16" t="s">
        <v>402</v>
      </c>
      <c r="Q765" s="20" t="n">
        <v>46291</v>
      </c>
      <c r="R765" s="16" t="s">
        <v>2671</v>
      </c>
      <c r="S765" s="16" t="s">
        <v>404</v>
      </c>
      <c r="T765" s="17"/>
      <c r="U765" s="21" t="n">
        <v>1</v>
      </c>
      <c r="V765" s="21" t="n">
        <v>1</v>
      </c>
      <c r="W765" s="22" t="n">
        <v>4.2</v>
      </c>
      <c r="X765" s="16" t="s">
        <v>335</v>
      </c>
      <c r="Y765" s="16" t="s">
        <v>338</v>
      </c>
      <c r="Z765" s="16" t="s">
        <v>405</v>
      </c>
      <c r="AA765" s="16"/>
      <c r="AB765" s="23"/>
      <c r="AC765" s="17"/>
      <c r="AD765" s="16" t="s">
        <v>338</v>
      </c>
      <c r="AE765" s="16"/>
      <c r="AF765" s="16" t="str">
        <f aca="false">IF(COUNTIF(لیست_سفید!$A$2:$A$21,B765)&gt;0,"بله","خیر")</f>
        <v>خیر</v>
      </c>
      <c r="AG765" s="24" t="n">
        <f aca="false">IF(H765="","",IF(AD765="فیش مفقودی",تنظیمات!$B$6,(INT(I765/1440)*تنظیمات!$B$5+IF(MOD(I765,1440)&lt;=تنظیمات!$B$2,0,MIN(تنظیمات!$B$5,تنظیمات!$B$3+MAX(0,ROUNDUP((MOD(I765,1440)-60)/60,0))*تنظیمات!$B$4)))*INDEX(تعرفه!$B$2:$B$7,MATCH(AD765,تعرفه!$A$2:$A$7,0))))</f>
        <v>20000</v>
      </c>
      <c r="AH765" s="24" t="n">
        <v>20000</v>
      </c>
      <c r="AI765" s="24" t="n">
        <f aca="false">IF(AG765="","",AH765-AG765)</f>
        <v>0</v>
      </c>
      <c r="AJ765" s="21" t="n">
        <v>2</v>
      </c>
      <c r="AK765" s="21" t="n">
        <v>0</v>
      </c>
      <c r="AL765" s="16" t="s">
        <v>335</v>
      </c>
      <c r="AM765" s="16"/>
      <c r="AN765" s="16" t="s">
        <v>340</v>
      </c>
      <c r="AO765" s="16" t="s">
        <v>340</v>
      </c>
      <c r="AP765" s="16" t="s">
        <v>335</v>
      </c>
      <c r="AQ765" s="16"/>
      <c r="AR765" s="21" t="n">
        <f aca="false">IF(AND(T765&lt;&gt;"",H765&lt;&gt;""),IF(AND((T765-H765)*86400&gt;=0,(T765-H765)*86400&lt;تنظیمات!$B$13),1,0),0)</f>
        <v>0</v>
      </c>
      <c r="AS765" s="21" t="n">
        <f aca="false">IF(Z765="پوز",IF(OR(AB765="",COUNTIF(پوزها!$A$2:$A$5,AA765)=0),1,0),0)</f>
        <v>0</v>
      </c>
      <c r="AT765" s="21" t="n">
        <f aca="false">IF(AI765="",0,IF(AI765&gt;0,1,0))</f>
        <v>0</v>
      </c>
      <c r="AU765" s="21" t="n">
        <f aca="false">IF(AI765="",0,IF(AI765&lt;0,1,0))</f>
        <v>0</v>
      </c>
      <c r="AV765" s="21" t="n">
        <f aca="false">IF(U765&gt;V765,1,0)</f>
        <v>0</v>
      </c>
      <c r="AW765" s="21" t="n">
        <f aca="false">IF(OR(W765&gt;تنظیمات!$B$8,X765="بله"),1,0)</f>
        <v>0</v>
      </c>
      <c r="AX765" s="21" t="n">
        <f aca="false">IF(AND(N765="بله",L765&gt;تنظیمات!$B$9),1,0)</f>
        <v>0</v>
      </c>
      <c r="AY765" s="21" t="n">
        <f aca="false">IF(Y765="معکوس",1,0)</f>
        <v>0</v>
      </c>
      <c r="AZ765" s="21" t="n">
        <f aca="false">IF(ABS(AJ765)&gt;تنظیمات!$B$10,1,0)</f>
        <v>0</v>
      </c>
      <c r="BA765" s="21" t="n">
        <f aca="false">IF(AND(OR(AD765="رایگان/VIP",AD765="جانباز"),AF765="خیر"),1,0)</f>
        <v>0</v>
      </c>
      <c r="BB765" s="21" t="n">
        <f aca="false">IF(AE765="",0,IF(COUNTIF($AE$2:$AE$1001,AE765)&gt;1,1,0))</f>
        <v>0</v>
      </c>
      <c r="BC765" s="21" t="n">
        <f aca="false">IF(AND(H765="",I765&gt;تنظیمات!$B$12*60,AM765="خالی"),1,0)</f>
        <v>0</v>
      </c>
      <c r="BD765" s="21" t="n">
        <f aca="false">IF(AND(AP765="بله",I765&lt;تنظیمات!$B$14,AO765="خیر"),1,0)</f>
        <v>0</v>
      </c>
      <c r="BE765" s="21" t="n">
        <f aca="false">IF(AN765="خیر",1,0)</f>
        <v>0</v>
      </c>
      <c r="BF765" s="21" t="n">
        <f aca="false">IF(AND(AD765="فیش مفقودی",AQ765="بله",I765&gt;تنظیمات!$B$12*60),1,0)</f>
        <v>0</v>
      </c>
      <c r="BG765" s="21" t="n">
        <f aca="false">IF(AND(AK765&gt;تنظیمات!$B$11,AL765="بله"),1,0)</f>
        <v>0</v>
      </c>
      <c r="BH765" s="21" t="n">
        <f aca="false">MIN(100,AR765*تنظیمات!$B$21+AS765*تنظیمات!$B$22+AT765*تنظیمات!$B$23+AU765*تنظیمات!$B$24+AV765*تنظیمات!$B$25+AW765*تنظیمات!$B$26+AX765*تنظیمات!$B$27+AY765*تنظیمات!$B$28+AZ765*تنظیمات!$B$29+BA765*تنظیمات!$B$30+BB765*تنظیمات!$B$31+BC765*تنظیمات!$B$32+BD765*تنظیمات!$B$33+BE765*تنظیمات!$B$34+BF765*تنظیمات!$B$35+BG765*تنظیمات!$B$36)</f>
        <v>0</v>
      </c>
      <c r="BI765" s="16" t="str">
        <f aca="false">IF(BH765&gt;=60,"بحرانی",IF(BH765&gt;=30,"مشکوک",IF(BH765&gt;0,"هشدار","عادی")))</f>
        <v>عادی</v>
      </c>
      <c r="BJ765" s="16" t="s">
        <v>338</v>
      </c>
    </row>
    <row r="766" customFormat="false" ht="15" hidden="false" customHeight="false" outlineLevel="0" collapsed="false">
      <c r="A766" s="16" t="s">
        <v>2672</v>
      </c>
      <c r="B766" s="16" t="s">
        <v>875</v>
      </c>
      <c r="C766" s="16"/>
      <c r="D766" s="16" t="s">
        <v>418</v>
      </c>
      <c r="E766" s="16" t="s">
        <v>332</v>
      </c>
      <c r="F766" s="16" t="s">
        <v>333</v>
      </c>
      <c r="G766" s="17" t="n">
        <v>46291.5036342593</v>
      </c>
      <c r="H766" s="17" t="n">
        <v>46291.587662037</v>
      </c>
      <c r="I766" s="18" t="n">
        <f aca="false">IF(H766="",ROUND((تنظیمات!$B$7-G766)*1440,0),ROUND((H766-G766)*1440,0))</f>
        <v>121</v>
      </c>
      <c r="J766" s="16" t="s">
        <v>334</v>
      </c>
      <c r="K766" s="16" t="s">
        <v>400</v>
      </c>
      <c r="L766" s="19" t="n">
        <v>0.991</v>
      </c>
      <c r="M766" s="19" t="n">
        <v>0.961</v>
      </c>
      <c r="N766" s="16" t="s">
        <v>335</v>
      </c>
      <c r="O766" s="16" t="s">
        <v>650</v>
      </c>
      <c r="P766" s="16" t="s">
        <v>420</v>
      </c>
      <c r="Q766" s="20" t="n">
        <v>46291</v>
      </c>
      <c r="R766" s="16" t="s">
        <v>2673</v>
      </c>
      <c r="S766" s="16" t="s">
        <v>452</v>
      </c>
      <c r="T766" s="17" t="n">
        <v>46291.5864930556</v>
      </c>
      <c r="U766" s="21" t="n">
        <v>1</v>
      </c>
      <c r="V766" s="21" t="n">
        <v>1</v>
      </c>
      <c r="W766" s="22" t="n">
        <v>5.2</v>
      </c>
      <c r="X766" s="16" t="s">
        <v>335</v>
      </c>
      <c r="Y766" s="16" t="s">
        <v>338</v>
      </c>
      <c r="Z766" s="16" t="s">
        <v>413</v>
      </c>
      <c r="AA766" s="16" t="s">
        <v>427</v>
      </c>
      <c r="AB766" s="23" t="s">
        <v>2674</v>
      </c>
      <c r="AC766" s="17" t="n">
        <v>46291.5867013889</v>
      </c>
      <c r="AD766" s="16" t="s">
        <v>338</v>
      </c>
      <c r="AE766" s="16"/>
      <c r="AF766" s="16" t="str">
        <f aca="false">IF(COUNTIF(لیست_سفید!$A$2:$A$21,B766)&gt;0,"بله","خیر")</f>
        <v>خیر</v>
      </c>
      <c r="AG766" s="24" t="n">
        <f aca="false">IF(H766="","",IF(AD766="فیش مفقودی",تنظیمات!$B$6,(INT(I766/1440)*تنظیمات!$B$5+IF(MOD(I766,1440)&lt;=تنظیمات!$B$2,0,MIN(تنظیمات!$B$5,تنظیمات!$B$3+MAX(0,ROUNDUP((MOD(I766,1440)-60)/60,0))*تنظیمات!$B$4)))*INDEX(تعرفه!$B$2:$B$7,MATCH(AD766,تعرفه!$A$2:$A$7,0))))</f>
        <v>48000</v>
      </c>
      <c r="AH766" s="24" t="n">
        <v>48000</v>
      </c>
      <c r="AI766" s="24" t="n">
        <f aca="false">IF(AG766="","",AH766-AG766)</f>
        <v>0</v>
      </c>
      <c r="AJ766" s="21" t="n">
        <v>0</v>
      </c>
      <c r="AK766" s="21" t="n">
        <v>0</v>
      </c>
      <c r="AL766" s="16" t="s">
        <v>335</v>
      </c>
      <c r="AM766" s="16"/>
      <c r="AN766" s="16" t="s">
        <v>340</v>
      </c>
      <c r="AO766" s="16" t="s">
        <v>340</v>
      </c>
      <c r="AP766" s="16" t="s">
        <v>335</v>
      </c>
      <c r="AQ766" s="16"/>
      <c r="AR766" s="21" t="n">
        <f aca="false">IF(AND(T766&lt;&gt;"",H766&lt;&gt;""),IF(AND((T766-H766)*86400&gt;=0,(T766-H766)*86400&lt;تنظیمات!$B$13),1,0),0)</f>
        <v>0</v>
      </c>
      <c r="AS766" s="21" t="n">
        <f aca="false">IF(Z766="پوز",IF(OR(AB766="",COUNTIF(پوزها!$A$2:$A$5,AA766)=0),1,0),0)</f>
        <v>0</v>
      </c>
      <c r="AT766" s="21" t="n">
        <f aca="false">IF(AI766="",0,IF(AI766&gt;0,1,0))</f>
        <v>0</v>
      </c>
      <c r="AU766" s="21" t="n">
        <f aca="false">IF(AI766="",0,IF(AI766&lt;0,1,0))</f>
        <v>0</v>
      </c>
      <c r="AV766" s="21" t="n">
        <f aca="false">IF(U766&gt;V766,1,0)</f>
        <v>0</v>
      </c>
      <c r="AW766" s="21" t="n">
        <f aca="false">IF(OR(W766&gt;تنظیمات!$B$8,X766="بله"),1,0)</f>
        <v>0</v>
      </c>
      <c r="AX766" s="21" t="n">
        <f aca="false">IF(AND(N766="بله",L766&gt;تنظیمات!$B$9),1,0)</f>
        <v>0</v>
      </c>
      <c r="AY766" s="21" t="n">
        <f aca="false">IF(Y766="معکوس",1,0)</f>
        <v>0</v>
      </c>
      <c r="AZ766" s="21" t="n">
        <f aca="false">IF(ABS(AJ766)&gt;تنظیمات!$B$10,1,0)</f>
        <v>0</v>
      </c>
      <c r="BA766" s="21" t="n">
        <f aca="false">IF(AND(OR(AD766="رایگان/VIP",AD766="جانباز"),AF766="خیر"),1,0)</f>
        <v>0</v>
      </c>
      <c r="BB766" s="21" t="n">
        <f aca="false">IF(AE766="",0,IF(COUNTIF($AE$2:$AE$1001,AE766)&gt;1,1,0))</f>
        <v>0</v>
      </c>
      <c r="BC766" s="21" t="n">
        <f aca="false">IF(AND(H766="",I766&gt;تنظیمات!$B$12*60,AM766="خالی"),1,0)</f>
        <v>0</v>
      </c>
      <c r="BD766" s="21" t="n">
        <f aca="false">IF(AND(AP766="بله",I766&lt;تنظیمات!$B$14,AO766="خیر"),1,0)</f>
        <v>0</v>
      </c>
      <c r="BE766" s="21" t="n">
        <f aca="false">IF(AN766="خیر",1,0)</f>
        <v>0</v>
      </c>
      <c r="BF766" s="21" t="n">
        <f aca="false">IF(AND(AD766="فیش مفقودی",AQ766="بله",I766&gt;تنظیمات!$B$12*60),1,0)</f>
        <v>0</v>
      </c>
      <c r="BG766" s="21" t="n">
        <f aca="false">IF(AND(AK766&gt;تنظیمات!$B$11,AL766="بله"),1,0)</f>
        <v>0</v>
      </c>
      <c r="BH766" s="21" t="n">
        <f aca="false">MIN(100,AR766*تنظیمات!$B$21+AS766*تنظیمات!$B$22+AT766*تنظیمات!$B$23+AU766*تنظیمات!$B$24+AV766*تنظیمات!$B$25+AW766*تنظیمات!$B$26+AX766*تنظیمات!$B$27+AY766*تنظیمات!$B$28+AZ766*تنظیمات!$B$29+BA766*تنظیمات!$B$30+BB766*تنظیمات!$B$31+BC766*تنظیمات!$B$32+BD766*تنظیمات!$B$33+BE766*تنظیمات!$B$34+BF766*تنظیمات!$B$35+BG766*تنظیمات!$B$36)</f>
        <v>0</v>
      </c>
      <c r="BI766" s="16" t="str">
        <f aca="false">IF(BH766&gt;=60,"بحرانی",IF(BH766&gt;=30,"مشکوک",IF(BH766&gt;0,"هشدار","عادی")))</f>
        <v>عادی</v>
      </c>
      <c r="BJ766" s="16" t="s">
        <v>338</v>
      </c>
    </row>
    <row r="767" customFormat="false" ht="15" hidden="false" customHeight="false" outlineLevel="0" collapsed="false">
      <c r="A767" s="16" t="s">
        <v>2675</v>
      </c>
      <c r="B767" s="16" t="s">
        <v>1526</v>
      </c>
      <c r="C767" s="16"/>
      <c r="D767" s="16" t="s">
        <v>431</v>
      </c>
      <c r="E767" s="16" t="s">
        <v>351</v>
      </c>
      <c r="F767" s="16" t="s">
        <v>333</v>
      </c>
      <c r="G767" s="17" t="n">
        <v>46291.5339351852</v>
      </c>
      <c r="H767" s="17" t="n">
        <v>46292.9165740741</v>
      </c>
      <c r="I767" s="18" t="n">
        <f aca="false">IF(H767="",ROUND((تنظیمات!$B$7-G767)*1440,0),ROUND((H767-G767)*1440,0))</f>
        <v>1991</v>
      </c>
      <c r="J767" s="16" t="s">
        <v>346</v>
      </c>
      <c r="K767" s="16" t="s">
        <v>410</v>
      </c>
      <c r="L767" s="19" t="n">
        <v>0.969</v>
      </c>
      <c r="M767" s="19" t="n">
        <v>0.949</v>
      </c>
      <c r="N767" s="16" t="s">
        <v>335</v>
      </c>
      <c r="O767" s="16" t="s">
        <v>401</v>
      </c>
      <c r="P767" s="16" t="s">
        <v>420</v>
      </c>
      <c r="Q767" s="20" t="n">
        <v>46292</v>
      </c>
      <c r="R767" s="16" t="s">
        <v>2676</v>
      </c>
      <c r="S767" s="16" t="s">
        <v>404</v>
      </c>
      <c r="T767" s="17"/>
      <c r="U767" s="21" t="n">
        <v>1</v>
      </c>
      <c r="V767" s="21" t="n">
        <v>1</v>
      </c>
      <c r="W767" s="22" t="n">
        <v>4.9</v>
      </c>
      <c r="X767" s="16" t="s">
        <v>335</v>
      </c>
      <c r="Y767" s="16" t="s">
        <v>338</v>
      </c>
      <c r="Z767" s="16" t="s">
        <v>405</v>
      </c>
      <c r="AA767" s="16"/>
      <c r="AB767" s="23"/>
      <c r="AC767" s="17"/>
      <c r="AD767" s="16" t="s">
        <v>338</v>
      </c>
      <c r="AE767" s="16"/>
      <c r="AF767" s="16" t="str">
        <f aca="false">IF(COUNTIF(لیست_سفید!$A$2:$A$21,B767)&gt;0,"بله","خیر")</f>
        <v>خیر</v>
      </c>
      <c r="AG767" s="24" t="n">
        <f aca="false">IF(H767="","",IF(AD767="فیش مفقودی",تنظیمات!$B$6,(INT(I767/1440)*تنظیمات!$B$5+IF(MOD(I767,1440)&lt;=تنظیمات!$B$2,0,MIN(تنظیمات!$B$5,تنظیمات!$B$3+MAX(0,ROUNDUP((MOD(I767,1440)-60)/60,0))*تنظیمات!$B$4)))*INDEX(تعرفه!$B$2:$B$7,MATCH(AD767,تعرفه!$A$2:$A$7,0))))</f>
        <v>326000</v>
      </c>
      <c r="AH767" s="24" t="n">
        <v>326000</v>
      </c>
      <c r="AI767" s="24" t="n">
        <f aca="false">IF(AG767="","",AH767-AG767)</f>
        <v>0</v>
      </c>
      <c r="AJ767" s="21" t="n">
        <v>0</v>
      </c>
      <c r="AK767" s="21" t="n">
        <v>0</v>
      </c>
      <c r="AL767" s="16" t="s">
        <v>335</v>
      </c>
      <c r="AM767" s="16"/>
      <c r="AN767" s="16" t="s">
        <v>340</v>
      </c>
      <c r="AO767" s="16" t="s">
        <v>340</v>
      </c>
      <c r="AP767" s="16" t="s">
        <v>335</v>
      </c>
      <c r="AQ767" s="16"/>
      <c r="AR767" s="21" t="n">
        <f aca="false">IF(AND(T767&lt;&gt;"",H767&lt;&gt;""),IF(AND((T767-H767)*86400&gt;=0,(T767-H767)*86400&lt;تنظیمات!$B$13),1,0),0)</f>
        <v>0</v>
      </c>
      <c r="AS767" s="21" t="n">
        <f aca="false">IF(Z767="پوز",IF(OR(AB767="",COUNTIF(پوزها!$A$2:$A$5,AA767)=0),1,0),0)</f>
        <v>0</v>
      </c>
      <c r="AT767" s="21" t="n">
        <f aca="false">IF(AI767="",0,IF(AI767&gt;0,1,0))</f>
        <v>0</v>
      </c>
      <c r="AU767" s="21" t="n">
        <f aca="false">IF(AI767="",0,IF(AI767&lt;0,1,0))</f>
        <v>0</v>
      </c>
      <c r="AV767" s="21" t="n">
        <f aca="false">IF(U767&gt;V767,1,0)</f>
        <v>0</v>
      </c>
      <c r="AW767" s="21" t="n">
        <f aca="false">IF(OR(W767&gt;تنظیمات!$B$8,X767="بله"),1,0)</f>
        <v>0</v>
      </c>
      <c r="AX767" s="21" t="n">
        <f aca="false">IF(AND(N767="بله",L767&gt;تنظیمات!$B$9),1,0)</f>
        <v>0</v>
      </c>
      <c r="AY767" s="21" t="n">
        <f aca="false">IF(Y767="معکوس",1,0)</f>
        <v>0</v>
      </c>
      <c r="AZ767" s="21" t="n">
        <f aca="false">IF(ABS(AJ767)&gt;تنظیمات!$B$10,1,0)</f>
        <v>0</v>
      </c>
      <c r="BA767" s="21" t="n">
        <f aca="false">IF(AND(OR(AD767="رایگان/VIP",AD767="جانباز"),AF767="خیر"),1,0)</f>
        <v>0</v>
      </c>
      <c r="BB767" s="21" t="n">
        <f aca="false">IF(AE767="",0,IF(COUNTIF($AE$2:$AE$1001,AE767)&gt;1,1,0))</f>
        <v>0</v>
      </c>
      <c r="BC767" s="21" t="n">
        <f aca="false">IF(AND(H767="",I767&gt;تنظیمات!$B$12*60,AM767="خالی"),1,0)</f>
        <v>0</v>
      </c>
      <c r="BD767" s="21" t="n">
        <f aca="false">IF(AND(AP767="بله",I767&lt;تنظیمات!$B$14,AO767="خیر"),1,0)</f>
        <v>0</v>
      </c>
      <c r="BE767" s="21" t="n">
        <f aca="false">IF(AN767="خیر",1,0)</f>
        <v>0</v>
      </c>
      <c r="BF767" s="21" t="n">
        <f aca="false">IF(AND(AD767="فیش مفقودی",AQ767="بله",I767&gt;تنظیمات!$B$12*60),1,0)</f>
        <v>0</v>
      </c>
      <c r="BG767" s="21" t="n">
        <f aca="false">IF(AND(AK767&gt;تنظیمات!$B$11,AL767="بله"),1,0)</f>
        <v>0</v>
      </c>
      <c r="BH767" s="21" t="n">
        <f aca="false">MIN(100,AR767*تنظیمات!$B$21+AS767*تنظیمات!$B$22+AT767*تنظیمات!$B$23+AU767*تنظیمات!$B$24+AV767*تنظیمات!$B$25+AW767*تنظیمات!$B$26+AX767*تنظیمات!$B$27+AY767*تنظیمات!$B$28+AZ767*تنظیمات!$B$29+BA767*تنظیمات!$B$30+BB767*تنظیمات!$B$31+BC767*تنظیمات!$B$32+BD767*تنظیمات!$B$33+BE767*تنظیمات!$B$34+BF767*تنظیمات!$B$35+BG767*تنظیمات!$B$36)</f>
        <v>0</v>
      </c>
      <c r="BI767" s="16" t="str">
        <f aca="false">IF(BH767&gt;=60,"بحرانی",IF(BH767&gt;=30,"مشکوک",IF(BH767&gt;0,"هشدار","عادی")))</f>
        <v>عادی</v>
      </c>
      <c r="BJ767" s="16" t="s">
        <v>338</v>
      </c>
    </row>
    <row r="768" customFormat="false" ht="15" hidden="false" customHeight="false" outlineLevel="0" collapsed="false">
      <c r="A768" s="16" t="s">
        <v>2677</v>
      </c>
      <c r="B768" s="16" t="s">
        <v>1786</v>
      </c>
      <c r="C768" s="16"/>
      <c r="D768" s="16" t="s">
        <v>540</v>
      </c>
      <c r="E768" s="16" t="s">
        <v>345</v>
      </c>
      <c r="F768" s="16" t="s">
        <v>359</v>
      </c>
      <c r="G768" s="17" t="n">
        <v>46291.5701041667</v>
      </c>
      <c r="H768" s="17" t="n">
        <v>46291.8485763889</v>
      </c>
      <c r="I768" s="18" t="n">
        <f aca="false">IF(H768="",ROUND((تنظیمات!$B$7-G768)*1440,0),ROUND((H768-G768)*1440,0))</f>
        <v>401</v>
      </c>
      <c r="J768" s="16" t="s">
        <v>334</v>
      </c>
      <c r="K768" s="16" t="s">
        <v>410</v>
      </c>
      <c r="L768" s="19" t="n">
        <v>0.904</v>
      </c>
      <c r="M768" s="19" t="n">
        <v>0.927</v>
      </c>
      <c r="N768" s="16" t="s">
        <v>335</v>
      </c>
      <c r="O768" s="16" t="s">
        <v>666</v>
      </c>
      <c r="P768" s="16" t="s">
        <v>420</v>
      </c>
      <c r="Q768" s="20" t="n">
        <v>46291</v>
      </c>
      <c r="R768" s="16" t="s">
        <v>2678</v>
      </c>
      <c r="S768" s="16" t="s">
        <v>404</v>
      </c>
      <c r="T768" s="17"/>
      <c r="U768" s="21" t="n">
        <v>1</v>
      </c>
      <c r="V768" s="21" t="n">
        <v>1</v>
      </c>
      <c r="W768" s="22" t="n">
        <v>6.9</v>
      </c>
      <c r="X768" s="16" t="s">
        <v>335</v>
      </c>
      <c r="Y768" s="16" t="s">
        <v>338</v>
      </c>
      <c r="Z768" s="16" t="s">
        <v>443</v>
      </c>
      <c r="AA768" s="16"/>
      <c r="AB768" s="23"/>
      <c r="AC768" s="17"/>
      <c r="AD768" s="16" t="s">
        <v>444</v>
      </c>
      <c r="AE768" s="16"/>
      <c r="AF768" s="16" t="str">
        <f aca="false">IF(COUNTIF(لیست_سفید!$A$2:$A$21,B768)&gt;0,"بله","خیر")</f>
        <v>خیر</v>
      </c>
      <c r="AG768" s="24" t="n">
        <f aca="false">IF(H768="","",IF(AD768="فیش مفقودی",تنظیمات!$B$6,(INT(I768/1440)*تنظیمات!$B$5+IF(MOD(I768,1440)&lt;=تنظیمات!$B$2,0,MIN(تنظیمات!$B$5,تنظیمات!$B$3+MAX(0,ROUNDUP((MOD(I768,1440)-60)/60,0))*تنظیمات!$B$4)))*INDEX(تعرفه!$B$2:$B$7,MATCH(AD768,تعرفه!$A$2:$A$7,0))))</f>
        <v>0</v>
      </c>
      <c r="AH768" s="24" t="n">
        <v>0</v>
      </c>
      <c r="AI768" s="24" t="n">
        <f aca="false">IF(AG768="","",AH768-AG768)</f>
        <v>0</v>
      </c>
      <c r="AJ768" s="21" t="n">
        <v>0</v>
      </c>
      <c r="AK768" s="21" t="n">
        <v>0</v>
      </c>
      <c r="AL768" s="16" t="s">
        <v>335</v>
      </c>
      <c r="AM768" s="16"/>
      <c r="AN768" s="16" t="s">
        <v>340</v>
      </c>
      <c r="AO768" s="16" t="s">
        <v>340</v>
      </c>
      <c r="AP768" s="16" t="s">
        <v>335</v>
      </c>
      <c r="AQ768" s="16"/>
      <c r="AR768" s="21" t="n">
        <f aca="false">IF(AND(T768&lt;&gt;"",H768&lt;&gt;""),IF(AND((T768-H768)*86400&gt;=0,(T768-H768)*86400&lt;تنظیمات!$B$13),1,0),0)</f>
        <v>0</v>
      </c>
      <c r="AS768" s="21" t="n">
        <f aca="false">IF(Z768="پوز",IF(OR(AB768="",COUNTIF(پوزها!$A$2:$A$5,AA768)=0),1,0),0)</f>
        <v>0</v>
      </c>
      <c r="AT768" s="21" t="n">
        <f aca="false">IF(AI768="",0,IF(AI768&gt;0,1,0))</f>
        <v>0</v>
      </c>
      <c r="AU768" s="21" t="n">
        <f aca="false">IF(AI768="",0,IF(AI768&lt;0,1,0))</f>
        <v>0</v>
      </c>
      <c r="AV768" s="21" t="n">
        <f aca="false">IF(U768&gt;V768,1,0)</f>
        <v>0</v>
      </c>
      <c r="AW768" s="21" t="n">
        <f aca="false">IF(OR(W768&gt;تنظیمات!$B$8,X768="بله"),1,0)</f>
        <v>0</v>
      </c>
      <c r="AX768" s="21" t="n">
        <f aca="false">IF(AND(N768="بله",L768&gt;تنظیمات!$B$9),1,0)</f>
        <v>0</v>
      </c>
      <c r="AY768" s="21" t="n">
        <f aca="false">IF(Y768="معکوس",1,0)</f>
        <v>0</v>
      </c>
      <c r="AZ768" s="21" t="n">
        <f aca="false">IF(ABS(AJ768)&gt;تنظیمات!$B$10,1,0)</f>
        <v>0</v>
      </c>
      <c r="BA768" s="21" t="n">
        <f aca="false">IF(AND(OR(AD768="رایگان/VIP",AD768="جانباز"),AF768="خیر"),1,0)</f>
        <v>0</v>
      </c>
      <c r="BB768" s="21" t="n">
        <f aca="false">IF(AE768="",0,IF(COUNTIF($AE$2:$AE$1001,AE768)&gt;1,1,0))</f>
        <v>0</v>
      </c>
      <c r="BC768" s="21" t="n">
        <f aca="false">IF(AND(H768="",I768&gt;تنظیمات!$B$12*60,AM768="خالی"),1,0)</f>
        <v>0</v>
      </c>
      <c r="BD768" s="21" t="n">
        <f aca="false">IF(AND(AP768="بله",I768&lt;تنظیمات!$B$14,AO768="خیر"),1,0)</f>
        <v>0</v>
      </c>
      <c r="BE768" s="21" t="n">
        <f aca="false">IF(AN768="خیر",1,0)</f>
        <v>0</v>
      </c>
      <c r="BF768" s="21" t="n">
        <f aca="false">IF(AND(AD768="فیش مفقودی",AQ768="بله",I768&gt;تنظیمات!$B$12*60),1,0)</f>
        <v>0</v>
      </c>
      <c r="BG768" s="21" t="n">
        <f aca="false">IF(AND(AK768&gt;تنظیمات!$B$11,AL768="بله"),1,0)</f>
        <v>0</v>
      </c>
      <c r="BH768" s="21" t="n">
        <f aca="false">MIN(100,AR768*تنظیمات!$B$21+AS768*تنظیمات!$B$22+AT768*تنظیمات!$B$23+AU768*تنظیمات!$B$24+AV768*تنظیمات!$B$25+AW768*تنظیمات!$B$26+AX768*تنظیمات!$B$27+AY768*تنظیمات!$B$28+AZ768*تنظیمات!$B$29+BA768*تنظیمات!$B$30+BB768*تنظیمات!$B$31+BC768*تنظیمات!$B$32+BD768*تنظیمات!$B$33+BE768*تنظیمات!$B$34+BF768*تنظیمات!$B$35+BG768*تنظیمات!$B$36)</f>
        <v>0</v>
      </c>
      <c r="BI768" s="16" t="str">
        <f aca="false">IF(BH768&gt;=60,"بحرانی",IF(BH768&gt;=30,"مشکوک",IF(BH768&gt;0,"هشدار","عادی")))</f>
        <v>عادی</v>
      </c>
      <c r="BJ768" s="16" t="s">
        <v>338</v>
      </c>
    </row>
    <row r="769" customFormat="false" ht="15" hidden="false" customHeight="false" outlineLevel="0" collapsed="false">
      <c r="A769" s="16" t="s">
        <v>2679</v>
      </c>
      <c r="B769" s="16" t="s">
        <v>349</v>
      </c>
      <c r="C769" s="16"/>
      <c r="D769" s="16" t="s">
        <v>350</v>
      </c>
      <c r="E769" s="16" t="s">
        <v>351</v>
      </c>
      <c r="F769" s="16" t="s">
        <v>333</v>
      </c>
      <c r="G769" s="17" t="n">
        <v>46291.5722222222</v>
      </c>
      <c r="H769" s="17" t="n">
        <v>46291.5743055556</v>
      </c>
      <c r="I769" s="18" t="n">
        <f aca="false">IF(H769="",ROUND((تنظیمات!$B$7-G769)*1440,0),ROUND((H769-G769)*1440,0))</f>
        <v>3</v>
      </c>
      <c r="J769" s="16" t="s">
        <v>334</v>
      </c>
      <c r="K769" s="16" t="s">
        <v>410</v>
      </c>
      <c r="L769" s="19" t="n">
        <v>0.955</v>
      </c>
      <c r="M769" s="19" t="n">
        <v>0.947</v>
      </c>
      <c r="N769" s="16" t="s">
        <v>335</v>
      </c>
      <c r="O769" s="16" t="s">
        <v>419</v>
      </c>
      <c r="P769" s="16" t="s">
        <v>402</v>
      </c>
      <c r="Q769" s="20" t="n">
        <v>46291</v>
      </c>
      <c r="R769" s="16" t="s">
        <v>2680</v>
      </c>
      <c r="S769" s="16" t="s">
        <v>404</v>
      </c>
      <c r="T769" s="17"/>
      <c r="U769" s="21" t="n">
        <v>1</v>
      </c>
      <c r="V769" s="21" t="n">
        <v>1</v>
      </c>
      <c r="W769" s="22" t="n">
        <v>6</v>
      </c>
      <c r="X769" s="16" t="s">
        <v>335</v>
      </c>
      <c r="Y769" s="16" t="s">
        <v>338</v>
      </c>
      <c r="Z769" s="16" t="s">
        <v>628</v>
      </c>
      <c r="AA769" s="16"/>
      <c r="AB769" s="23"/>
      <c r="AC769" s="17"/>
      <c r="AD769" s="16" t="s">
        <v>338</v>
      </c>
      <c r="AE769" s="16"/>
      <c r="AF769" s="16" t="str">
        <f aca="false">IF(COUNTIF(لیست_سفید!$A$2:$A$21,B769)&gt;0,"بله","خیر")</f>
        <v>خیر</v>
      </c>
      <c r="AG769" s="24" t="n">
        <f aca="false">IF(H769="","",IF(AD769="فیش مفقودی",تنظیمات!$B$6,(INT(I769/1440)*تنظیمات!$B$5+IF(MOD(I769,1440)&lt;=تنظیمات!$B$2,0,MIN(تنظیمات!$B$5,تنظیمات!$B$3+MAX(0,ROUNDUP((MOD(I769,1440)-60)/60,0))*تنظیمات!$B$4)))*INDEX(تعرفه!$B$2:$B$7,MATCH(AD769,تعرفه!$A$2:$A$7,0))))</f>
        <v>0</v>
      </c>
      <c r="AH769" s="24" t="n">
        <v>0</v>
      </c>
      <c r="AI769" s="24" t="n">
        <f aca="false">IF(AG769="","",AH769-AG769)</f>
        <v>0</v>
      </c>
      <c r="AJ769" s="21" t="n">
        <v>-4</v>
      </c>
      <c r="AK769" s="21" t="n">
        <v>0</v>
      </c>
      <c r="AL769" s="16" t="s">
        <v>335</v>
      </c>
      <c r="AM769" s="16"/>
      <c r="AN769" s="16" t="s">
        <v>335</v>
      </c>
      <c r="AO769" s="16" t="s">
        <v>335</v>
      </c>
      <c r="AP769" s="16" t="s">
        <v>335</v>
      </c>
      <c r="AQ769" s="16"/>
      <c r="AR769" s="21" t="n">
        <f aca="false">IF(AND(T769&lt;&gt;"",H769&lt;&gt;""),IF(AND((T769-H769)*86400&gt;=0,(T769-H769)*86400&lt;تنظیمات!$B$13),1,0),0)</f>
        <v>0</v>
      </c>
      <c r="AS769" s="21" t="n">
        <f aca="false">IF(Z769="پوز",IF(OR(AB769="",COUNTIF(پوزها!$A$2:$A$5,AA769)=0),1,0),0)</f>
        <v>0</v>
      </c>
      <c r="AT769" s="21" t="n">
        <f aca="false">IF(AI769="",0,IF(AI769&gt;0,1,0))</f>
        <v>0</v>
      </c>
      <c r="AU769" s="21" t="n">
        <f aca="false">IF(AI769="",0,IF(AI769&lt;0,1,0))</f>
        <v>0</v>
      </c>
      <c r="AV769" s="21" t="n">
        <f aca="false">IF(U769&gt;V769,1,0)</f>
        <v>0</v>
      </c>
      <c r="AW769" s="21" t="n">
        <f aca="false">IF(OR(W769&gt;تنظیمات!$B$8,X769="بله"),1,0)</f>
        <v>0</v>
      </c>
      <c r="AX769" s="21" t="n">
        <f aca="false">IF(AND(N769="بله",L769&gt;تنظیمات!$B$9),1,0)</f>
        <v>0</v>
      </c>
      <c r="AY769" s="21" t="n">
        <f aca="false">IF(Y769="معکوس",1,0)</f>
        <v>0</v>
      </c>
      <c r="AZ769" s="21" t="n">
        <f aca="false">IF(ABS(AJ769)&gt;تنظیمات!$B$10,1,0)</f>
        <v>0</v>
      </c>
      <c r="BA769" s="21" t="n">
        <f aca="false">IF(AND(OR(AD769="رایگان/VIP",AD769="جانباز"),AF769="خیر"),1,0)</f>
        <v>0</v>
      </c>
      <c r="BB769" s="21" t="n">
        <f aca="false">IF(AE769="",0,IF(COUNTIF($AE$2:$AE$1001,AE769)&gt;1,1,0))</f>
        <v>0</v>
      </c>
      <c r="BC769" s="21" t="n">
        <f aca="false">IF(AND(H769="",I769&gt;تنظیمات!$B$12*60,AM769="خالی"),1,0)</f>
        <v>0</v>
      </c>
      <c r="BD769" s="21" t="n">
        <f aca="false">IF(AND(AP769="بله",I769&lt;تنظیمات!$B$14,AO769="خیر"),1,0)</f>
        <v>0</v>
      </c>
      <c r="BE769" s="21" t="n">
        <f aca="false">IF(AN769="خیر",1,0)</f>
        <v>1</v>
      </c>
      <c r="BF769" s="21" t="n">
        <f aca="false">IF(AND(AD769="فیش مفقودی",AQ769="بله",I769&gt;تنظیمات!$B$12*60),1,0)</f>
        <v>0</v>
      </c>
      <c r="BG769" s="21" t="n">
        <f aca="false">IF(AND(AK769&gt;تنظیمات!$B$11,AL769="بله"),1,0)</f>
        <v>0</v>
      </c>
      <c r="BH769" s="21" t="n">
        <f aca="false">MIN(100,AR769*تنظیمات!$B$21+AS769*تنظیمات!$B$22+AT769*تنظیمات!$B$23+AU769*تنظیمات!$B$24+AV769*تنظیمات!$B$25+AW769*تنظیمات!$B$26+AX769*تنظیمات!$B$27+AY769*تنظیمات!$B$28+AZ769*تنظیمات!$B$29+BA769*تنظیمات!$B$30+BB769*تنظیمات!$B$31+BC769*تنظیمات!$B$32+BD769*تنظیمات!$B$33+BE769*تنظیمات!$B$34+BF769*تنظیمات!$B$35+BG769*تنظیمات!$B$36)</f>
        <v>30</v>
      </c>
      <c r="BI769" s="16" t="str">
        <f aca="false">IF(BH769&gt;=60,"بحرانی",IF(BH769&gt;=30,"مشکوک",IF(BH769&gt;0,"هشدار","عادی")))</f>
        <v>مشکوک</v>
      </c>
      <c r="BJ769" s="16" t="s">
        <v>648</v>
      </c>
    </row>
    <row r="770" customFormat="false" ht="15" hidden="false" customHeight="false" outlineLevel="0" collapsed="false">
      <c r="A770" s="16" t="s">
        <v>2681</v>
      </c>
      <c r="B770" s="16" t="s">
        <v>1206</v>
      </c>
      <c r="C770" s="16"/>
      <c r="D770" s="16" t="s">
        <v>450</v>
      </c>
      <c r="E770" s="16" t="s">
        <v>351</v>
      </c>
      <c r="F770" s="16" t="s">
        <v>333</v>
      </c>
      <c r="G770" s="17" t="n">
        <v>46291.5735416667</v>
      </c>
      <c r="H770" s="17" t="n">
        <v>46291.7409027778</v>
      </c>
      <c r="I770" s="18" t="n">
        <f aca="false">IF(H770="",ROUND((تنظیمات!$B$7-G770)*1440,0),ROUND((H770-G770)*1440,0))</f>
        <v>241</v>
      </c>
      <c r="J770" s="16" t="s">
        <v>346</v>
      </c>
      <c r="K770" s="16" t="s">
        <v>410</v>
      </c>
      <c r="L770" s="19" t="n">
        <v>0.95</v>
      </c>
      <c r="M770" s="19" t="n">
        <v>0.956</v>
      </c>
      <c r="N770" s="16" t="s">
        <v>335</v>
      </c>
      <c r="O770" s="16" t="s">
        <v>666</v>
      </c>
      <c r="P770" s="16" t="s">
        <v>420</v>
      </c>
      <c r="Q770" s="20" t="n">
        <v>46291</v>
      </c>
      <c r="R770" s="16" t="s">
        <v>2682</v>
      </c>
      <c r="S770" s="16" t="s">
        <v>404</v>
      </c>
      <c r="T770" s="17"/>
      <c r="U770" s="21" t="n">
        <v>1</v>
      </c>
      <c r="V770" s="21" t="n">
        <v>1</v>
      </c>
      <c r="W770" s="22" t="n">
        <v>8.2</v>
      </c>
      <c r="X770" s="16" t="s">
        <v>335</v>
      </c>
      <c r="Y770" s="16" t="s">
        <v>338</v>
      </c>
      <c r="Z770" s="16" t="s">
        <v>405</v>
      </c>
      <c r="AA770" s="16"/>
      <c r="AB770" s="23"/>
      <c r="AC770" s="17"/>
      <c r="AD770" s="16" t="s">
        <v>338</v>
      </c>
      <c r="AE770" s="16"/>
      <c r="AF770" s="16" t="str">
        <f aca="false">IF(COUNTIF(لیست_سفید!$A$2:$A$21,B770)&gt;0,"بله","خیر")</f>
        <v>خیر</v>
      </c>
      <c r="AG770" s="24" t="n">
        <f aca="false">IF(H770="","",IF(AD770="فیش مفقودی",تنظیمات!$B$6,(INT(I770/1440)*تنظیمات!$B$5+IF(MOD(I770,1440)&lt;=تنظیمات!$B$2,0,MIN(تنظیمات!$B$5,تنظیمات!$B$3+MAX(0,ROUNDUP((MOD(I770,1440)-60)/60,0))*تنظیمات!$B$4)))*INDEX(تعرفه!$B$2:$B$7,MATCH(AD770,تعرفه!$A$2:$A$7,0))))</f>
        <v>76000</v>
      </c>
      <c r="AH770" s="24" t="n">
        <v>76000</v>
      </c>
      <c r="AI770" s="24" t="n">
        <f aca="false">IF(AG770="","",AH770-AG770)</f>
        <v>0</v>
      </c>
      <c r="AJ770" s="21" t="n">
        <v>2</v>
      </c>
      <c r="AK770" s="21" t="n">
        <v>0</v>
      </c>
      <c r="AL770" s="16" t="s">
        <v>335</v>
      </c>
      <c r="AM770" s="16"/>
      <c r="AN770" s="16" t="s">
        <v>340</v>
      </c>
      <c r="AO770" s="16" t="s">
        <v>340</v>
      </c>
      <c r="AP770" s="16" t="s">
        <v>335</v>
      </c>
      <c r="AQ770" s="16"/>
      <c r="AR770" s="21" t="n">
        <f aca="false">IF(AND(T770&lt;&gt;"",H770&lt;&gt;""),IF(AND((T770-H770)*86400&gt;=0,(T770-H770)*86400&lt;تنظیمات!$B$13),1,0),0)</f>
        <v>0</v>
      </c>
      <c r="AS770" s="21" t="n">
        <f aca="false">IF(Z770="پوز",IF(OR(AB770="",COUNTIF(پوزها!$A$2:$A$5,AA770)=0),1,0),0)</f>
        <v>0</v>
      </c>
      <c r="AT770" s="21" t="n">
        <f aca="false">IF(AI770="",0,IF(AI770&gt;0,1,0))</f>
        <v>0</v>
      </c>
      <c r="AU770" s="21" t="n">
        <f aca="false">IF(AI770="",0,IF(AI770&lt;0,1,0))</f>
        <v>0</v>
      </c>
      <c r="AV770" s="21" t="n">
        <f aca="false">IF(U770&gt;V770,1,0)</f>
        <v>0</v>
      </c>
      <c r="AW770" s="21" t="n">
        <f aca="false">IF(OR(W770&gt;تنظیمات!$B$8,X770="بله"),1,0)</f>
        <v>0</v>
      </c>
      <c r="AX770" s="21" t="n">
        <f aca="false">IF(AND(N770="بله",L770&gt;تنظیمات!$B$9),1,0)</f>
        <v>0</v>
      </c>
      <c r="AY770" s="21" t="n">
        <f aca="false">IF(Y770="معکوس",1,0)</f>
        <v>0</v>
      </c>
      <c r="AZ770" s="21" t="n">
        <f aca="false">IF(ABS(AJ770)&gt;تنظیمات!$B$10,1,0)</f>
        <v>0</v>
      </c>
      <c r="BA770" s="21" t="n">
        <f aca="false">IF(AND(OR(AD770="رایگان/VIP",AD770="جانباز"),AF770="خیر"),1,0)</f>
        <v>0</v>
      </c>
      <c r="BB770" s="21" t="n">
        <f aca="false">IF(AE770="",0,IF(COUNTIF($AE$2:$AE$1001,AE770)&gt;1,1,0))</f>
        <v>0</v>
      </c>
      <c r="BC770" s="21" t="n">
        <f aca="false">IF(AND(H770="",I770&gt;تنظیمات!$B$12*60,AM770="خالی"),1,0)</f>
        <v>0</v>
      </c>
      <c r="BD770" s="21" t="n">
        <f aca="false">IF(AND(AP770="بله",I770&lt;تنظیمات!$B$14,AO770="خیر"),1,0)</f>
        <v>0</v>
      </c>
      <c r="BE770" s="21" t="n">
        <f aca="false">IF(AN770="خیر",1,0)</f>
        <v>0</v>
      </c>
      <c r="BF770" s="21" t="n">
        <f aca="false">IF(AND(AD770="فیش مفقودی",AQ770="بله",I770&gt;تنظیمات!$B$12*60),1,0)</f>
        <v>0</v>
      </c>
      <c r="BG770" s="21" t="n">
        <f aca="false">IF(AND(AK770&gt;تنظیمات!$B$11,AL770="بله"),1,0)</f>
        <v>0</v>
      </c>
      <c r="BH770" s="21" t="n">
        <f aca="false">MIN(100,AR770*تنظیمات!$B$21+AS770*تنظیمات!$B$22+AT770*تنظیمات!$B$23+AU770*تنظیمات!$B$24+AV770*تنظیمات!$B$25+AW770*تنظیمات!$B$26+AX770*تنظیمات!$B$27+AY770*تنظیمات!$B$28+AZ770*تنظیمات!$B$29+BA770*تنظیمات!$B$30+BB770*تنظیمات!$B$31+BC770*تنظیمات!$B$32+BD770*تنظیمات!$B$33+BE770*تنظیمات!$B$34+BF770*تنظیمات!$B$35+BG770*تنظیمات!$B$36)</f>
        <v>0</v>
      </c>
      <c r="BI770" s="16" t="str">
        <f aca="false">IF(BH770&gt;=60,"بحرانی",IF(BH770&gt;=30,"مشکوک",IF(BH770&gt;0,"هشدار","عادی")))</f>
        <v>عادی</v>
      </c>
      <c r="BJ770" s="16" t="s">
        <v>338</v>
      </c>
    </row>
    <row r="771" customFormat="false" ht="15" hidden="false" customHeight="false" outlineLevel="0" collapsed="false">
      <c r="A771" s="16" t="s">
        <v>2683</v>
      </c>
      <c r="B771" s="16" t="s">
        <v>547</v>
      </c>
      <c r="C771" s="16"/>
      <c r="D771" s="16" t="s">
        <v>508</v>
      </c>
      <c r="E771" s="16" t="s">
        <v>375</v>
      </c>
      <c r="F771" s="16" t="s">
        <v>333</v>
      </c>
      <c r="G771" s="17" t="n">
        <v>46291.5827314815</v>
      </c>
      <c r="H771" s="17" t="n">
        <v>46291.6230092593</v>
      </c>
      <c r="I771" s="18" t="n">
        <f aca="false">IF(H771="",ROUND((تنظیمات!$B$7-G771)*1440,0),ROUND((H771-G771)*1440,0))</f>
        <v>58</v>
      </c>
      <c r="J771" s="16" t="s">
        <v>334</v>
      </c>
      <c r="K771" s="16" t="s">
        <v>400</v>
      </c>
      <c r="L771" s="19" t="n">
        <v>0.935</v>
      </c>
      <c r="M771" s="19" t="n">
        <v>0.927</v>
      </c>
      <c r="N771" s="16" t="s">
        <v>335</v>
      </c>
      <c r="O771" s="16" t="s">
        <v>650</v>
      </c>
      <c r="P771" s="16" t="s">
        <v>420</v>
      </c>
      <c r="Q771" s="20" t="n">
        <v>46291</v>
      </c>
      <c r="R771" s="16" t="s">
        <v>2684</v>
      </c>
      <c r="S771" s="16" t="s">
        <v>404</v>
      </c>
      <c r="T771" s="17"/>
      <c r="U771" s="21" t="n">
        <v>1</v>
      </c>
      <c r="V771" s="21" t="n">
        <v>1</v>
      </c>
      <c r="W771" s="22" t="n">
        <v>6.2</v>
      </c>
      <c r="X771" s="16" t="s">
        <v>335</v>
      </c>
      <c r="Y771" s="16" t="s">
        <v>338</v>
      </c>
      <c r="Z771" s="16" t="s">
        <v>413</v>
      </c>
      <c r="AA771" s="16" t="s">
        <v>427</v>
      </c>
      <c r="AB771" s="23" t="s">
        <v>2685</v>
      </c>
      <c r="AC771" s="17" t="n">
        <v>46291.6227083333</v>
      </c>
      <c r="AD771" s="16" t="s">
        <v>338</v>
      </c>
      <c r="AE771" s="16"/>
      <c r="AF771" s="16" t="str">
        <f aca="false">IF(COUNTIF(لیست_سفید!$A$2:$A$21,B771)&gt;0,"بله","خیر")</f>
        <v>خیر</v>
      </c>
      <c r="AG771" s="24" t="n">
        <f aca="false">IF(H771="","",IF(AD771="فیش مفقودی",تنظیمات!$B$6,(INT(I771/1440)*تنظیمات!$B$5+IF(MOD(I771,1440)&lt;=تنظیمات!$B$2,0,MIN(تنظیمات!$B$5,تنظیمات!$B$3+MAX(0,ROUNDUP((MOD(I771,1440)-60)/60,0))*تنظیمات!$B$4)))*INDEX(تعرفه!$B$2:$B$7,MATCH(AD771,تعرفه!$A$2:$A$7,0))))</f>
        <v>20000</v>
      </c>
      <c r="AH771" s="24" t="n">
        <v>20000</v>
      </c>
      <c r="AI771" s="24" t="n">
        <f aca="false">IF(AG771="","",AH771-AG771)</f>
        <v>0</v>
      </c>
      <c r="AJ771" s="21" t="n">
        <v>-2</v>
      </c>
      <c r="AK771" s="21" t="n">
        <v>0</v>
      </c>
      <c r="AL771" s="16" t="s">
        <v>335</v>
      </c>
      <c r="AM771" s="16"/>
      <c r="AN771" s="16" t="s">
        <v>340</v>
      </c>
      <c r="AO771" s="16" t="s">
        <v>340</v>
      </c>
      <c r="AP771" s="16" t="s">
        <v>335</v>
      </c>
      <c r="AQ771" s="16"/>
      <c r="AR771" s="21" t="n">
        <f aca="false">IF(AND(T771&lt;&gt;"",H771&lt;&gt;""),IF(AND((T771-H771)*86400&gt;=0,(T771-H771)*86400&lt;تنظیمات!$B$13),1,0),0)</f>
        <v>0</v>
      </c>
      <c r="AS771" s="21" t="n">
        <f aca="false">IF(Z771="پوز",IF(OR(AB771="",COUNTIF(پوزها!$A$2:$A$5,AA771)=0),1,0),0)</f>
        <v>0</v>
      </c>
      <c r="AT771" s="21" t="n">
        <f aca="false">IF(AI771="",0,IF(AI771&gt;0,1,0))</f>
        <v>0</v>
      </c>
      <c r="AU771" s="21" t="n">
        <f aca="false">IF(AI771="",0,IF(AI771&lt;0,1,0))</f>
        <v>0</v>
      </c>
      <c r="AV771" s="21" t="n">
        <f aca="false">IF(U771&gt;V771,1,0)</f>
        <v>0</v>
      </c>
      <c r="AW771" s="21" t="n">
        <f aca="false">IF(OR(W771&gt;تنظیمات!$B$8,X771="بله"),1,0)</f>
        <v>0</v>
      </c>
      <c r="AX771" s="21" t="n">
        <f aca="false">IF(AND(N771="بله",L771&gt;تنظیمات!$B$9),1,0)</f>
        <v>0</v>
      </c>
      <c r="AY771" s="21" t="n">
        <f aca="false">IF(Y771="معکوس",1,0)</f>
        <v>0</v>
      </c>
      <c r="AZ771" s="21" t="n">
        <f aca="false">IF(ABS(AJ771)&gt;تنظیمات!$B$10,1,0)</f>
        <v>0</v>
      </c>
      <c r="BA771" s="21" t="n">
        <f aca="false">IF(AND(OR(AD771="رایگان/VIP",AD771="جانباز"),AF771="خیر"),1,0)</f>
        <v>0</v>
      </c>
      <c r="BB771" s="21" t="n">
        <f aca="false">IF(AE771="",0,IF(COUNTIF($AE$2:$AE$1001,AE771)&gt;1,1,0))</f>
        <v>0</v>
      </c>
      <c r="BC771" s="21" t="n">
        <f aca="false">IF(AND(H771="",I771&gt;تنظیمات!$B$12*60,AM771="خالی"),1,0)</f>
        <v>0</v>
      </c>
      <c r="BD771" s="21" t="n">
        <f aca="false">IF(AND(AP771="بله",I771&lt;تنظیمات!$B$14,AO771="خیر"),1,0)</f>
        <v>0</v>
      </c>
      <c r="BE771" s="21" t="n">
        <f aca="false">IF(AN771="خیر",1,0)</f>
        <v>0</v>
      </c>
      <c r="BF771" s="21" t="n">
        <f aca="false">IF(AND(AD771="فیش مفقودی",AQ771="بله",I771&gt;تنظیمات!$B$12*60),1,0)</f>
        <v>0</v>
      </c>
      <c r="BG771" s="21" t="n">
        <f aca="false">IF(AND(AK771&gt;تنظیمات!$B$11,AL771="بله"),1,0)</f>
        <v>0</v>
      </c>
      <c r="BH771" s="21" t="n">
        <f aca="false">MIN(100,AR771*تنظیمات!$B$21+AS771*تنظیمات!$B$22+AT771*تنظیمات!$B$23+AU771*تنظیمات!$B$24+AV771*تنظیمات!$B$25+AW771*تنظیمات!$B$26+AX771*تنظیمات!$B$27+AY771*تنظیمات!$B$28+AZ771*تنظیمات!$B$29+BA771*تنظیمات!$B$30+BB771*تنظیمات!$B$31+BC771*تنظیمات!$B$32+BD771*تنظیمات!$B$33+BE771*تنظیمات!$B$34+BF771*تنظیمات!$B$35+BG771*تنظیمات!$B$36)</f>
        <v>0</v>
      </c>
      <c r="BI771" s="16" t="str">
        <f aca="false">IF(BH771&gt;=60,"بحرانی",IF(BH771&gt;=30,"مشکوک",IF(BH771&gt;0,"هشدار","عادی")))</f>
        <v>عادی</v>
      </c>
      <c r="BJ771" s="16" t="s">
        <v>338</v>
      </c>
    </row>
    <row r="772" customFormat="false" ht="15" hidden="false" customHeight="false" outlineLevel="0" collapsed="false">
      <c r="A772" s="16" t="s">
        <v>2686</v>
      </c>
      <c r="B772" s="16" t="s">
        <v>449</v>
      </c>
      <c r="C772" s="16"/>
      <c r="D772" s="16" t="s">
        <v>450</v>
      </c>
      <c r="E772" s="16" t="s">
        <v>332</v>
      </c>
      <c r="F772" s="16" t="s">
        <v>333</v>
      </c>
      <c r="G772" s="17" t="n">
        <v>46291.5837615741</v>
      </c>
      <c r="H772" s="17" t="n">
        <v>46291.6795949074</v>
      </c>
      <c r="I772" s="18" t="n">
        <f aca="false">IF(H772="",ROUND((تنظیمات!$B$7-G772)*1440,0),ROUND((H772-G772)*1440,0))</f>
        <v>138</v>
      </c>
      <c r="J772" s="16" t="s">
        <v>346</v>
      </c>
      <c r="K772" s="16" t="s">
        <v>400</v>
      </c>
      <c r="L772" s="19" t="n">
        <v>0.975</v>
      </c>
      <c r="M772" s="19" t="n">
        <v>0.948</v>
      </c>
      <c r="N772" s="16" t="s">
        <v>335</v>
      </c>
      <c r="O772" s="16" t="s">
        <v>650</v>
      </c>
      <c r="P772" s="16" t="s">
        <v>420</v>
      </c>
      <c r="Q772" s="20" t="n">
        <v>46291</v>
      </c>
      <c r="R772" s="16" t="s">
        <v>2687</v>
      </c>
      <c r="S772" s="16" t="s">
        <v>404</v>
      </c>
      <c r="T772" s="17"/>
      <c r="U772" s="21" t="n">
        <v>1</v>
      </c>
      <c r="V772" s="21" t="n">
        <v>1</v>
      </c>
      <c r="W772" s="22" t="n">
        <v>5.4</v>
      </c>
      <c r="X772" s="16" t="s">
        <v>335</v>
      </c>
      <c r="Y772" s="16" t="s">
        <v>338</v>
      </c>
      <c r="Z772" s="16" t="s">
        <v>413</v>
      </c>
      <c r="AA772" s="16" t="s">
        <v>427</v>
      </c>
      <c r="AB772" s="23" t="s">
        <v>2688</v>
      </c>
      <c r="AC772" s="17" t="n">
        <v>46291.6785532407</v>
      </c>
      <c r="AD772" s="16" t="s">
        <v>338</v>
      </c>
      <c r="AE772" s="16"/>
      <c r="AF772" s="16" t="str">
        <f aca="false">IF(COUNTIF(لیست_سفید!$A$2:$A$21,B772)&gt;0,"بله","خیر")</f>
        <v>خیر</v>
      </c>
      <c r="AG772" s="24" t="n">
        <f aca="false">IF(H772="","",IF(AD772="فیش مفقودی",تنظیمات!$B$6,(INT(I772/1440)*تنظیمات!$B$5+IF(MOD(I772,1440)&lt;=تنظیمات!$B$2,0,MIN(تنظیمات!$B$5,تنظیمات!$B$3+MAX(0,ROUNDUP((MOD(I772,1440)-60)/60,0))*تنظیمات!$B$4)))*INDEX(تعرفه!$B$2:$B$7,MATCH(AD772,تعرفه!$A$2:$A$7,0))))</f>
        <v>48000</v>
      </c>
      <c r="AH772" s="24" t="n">
        <v>48000</v>
      </c>
      <c r="AI772" s="24" t="n">
        <f aca="false">IF(AG772="","",AH772-AG772)</f>
        <v>0</v>
      </c>
      <c r="AJ772" s="21" t="n">
        <v>1</v>
      </c>
      <c r="AK772" s="21" t="n">
        <v>0</v>
      </c>
      <c r="AL772" s="16" t="s">
        <v>335</v>
      </c>
      <c r="AM772" s="16"/>
      <c r="AN772" s="16" t="s">
        <v>340</v>
      </c>
      <c r="AO772" s="16" t="s">
        <v>340</v>
      </c>
      <c r="AP772" s="16" t="s">
        <v>335</v>
      </c>
      <c r="AQ772" s="16"/>
      <c r="AR772" s="21" t="n">
        <f aca="false">IF(AND(T772&lt;&gt;"",H772&lt;&gt;""),IF(AND((T772-H772)*86400&gt;=0,(T772-H772)*86400&lt;تنظیمات!$B$13),1,0),0)</f>
        <v>0</v>
      </c>
      <c r="AS772" s="21" t="n">
        <f aca="false">IF(Z772="پوز",IF(OR(AB772="",COUNTIF(پوزها!$A$2:$A$5,AA772)=0),1,0),0)</f>
        <v>0</v>
      </c>
      <c r="AT772" s="21" t="n">
        <f aca="false">IF(AI772="",0,IF(AI772&gt;0,1,0))</f>
        <v>0</v>
      </c>
      <c r="AU772" s="21" t="n">
        <f aca="false">IF(AI772="",0,IF(AI772&lt;0,1,0))</f>
        <v>0</v>
      </c>
      <c r="AV772" s="21" t="n">
        <f aca="false">IF(U772&gt;V772,1,0)</f>
        <v>0</v>
      </c>
      <c r="AW772" s="21" t="n">
        <f aca="false">IF(OR(W772&gt;تنظیمات!$B$8,X772="بله"),1,0)</f>
        <v>0</v>
      </c>
      <c r="AX772" s="21" t="n">
        <f aca="false">IF(AND(N772="بله",L772&gt;تنظیمات!$B$9),1,0)</f>
        <v>0</v>
      </c>
      <c r="AY772" s="21" t="n">
        <f aca="false">IF(Y772="معکوس",1,0)</f>
        <v>0</v>
      </c>
      <c r="AZ772" s="21" t="n">
        <f aca="false">IF(ABS(AJ772)&gt;تنظیمات!$B$10,1,0)</f>
        <v>0</v>
      </c>
      <c r="BA772" s="21" t="n">
        <f aca="false">IF(AND(OR(AD772="رایگان/VIP",AD772="جانباز"),AF772="خیر"),1,0)</f>
        <v>0</v>
      </c>
      <c r="BB772" s="21" t="n">
        <f aca="false">IF(AE772="",0,IF(COUNTIF($AE$2:$AE$1001,AE772)&gt;1,1,0))</f>
        <v>0</v>
      </c>
      <c r="BC772" s="21" t="n">
        <f aca="false">IF(AND(H772="",I772&gt;تنظیمات!$B$12*60,AM772="خالی"),1,0)</f>
        <v>0</v>
      </c>
      <c r="BD772" s="21" t="n">
        <f aca="false">IF(AND(AP772="بله",I772&lt;تنظیمات!$B$14,AO772="خیر"),1,0)</f>
        <v>0</v>
      </c>
      <c r="BE772" s="21" t="n">
        <f aca="false">IF(AN772="خیر",1,0)</f>
        <v>0</v>
      </c>
      <c r="BF772" s="21" t="n">
        <f aca="false">IF(AND(AD772="فیش مفقودی",AQ772="بله",I772&gt;تنظیمات!$B$12*60),1,0)</f>
        <v>0</v>
      </c>
      <c r="BG772" s="21" t="n">
        <f aca="false">IF(AND(AK772&gt;تنظیمات!$B$11,AL772="بله"),1,0)</f>
        <v>0</v>
      </c>
      <c r="BH772" s="21" t="n">
        <f aca="false">MIN(100,AR772*تنظیمات!$B$21+AS772*تنظیمات!$B$22+AT772*تنظیمات!$B$23+AU772*تنظیمات!$B$24+AV772*تنظیمات!$B$25+AW772*تنظیمات!$B$26+AX772*تنظیمات!$B$27+AY772*تنظیمات!$B$28+AZ772*تنظیمات!$B$29+BA772*تنظیمات!$B$30+BB772*تنظیمات!$B$31+BC772*تنظیمات!$B$32+BD772*تنظیمات!$B$33+BE772*تنظیمات!$B$34+BF772*تنظیمات!$B$35+BG772*تنظیمات!$B$36)</f>
        <v>0</v>
      </c>
      <c r="BI772" s="16" t="str">
        <f aca="false">IF(BH772&gt;=60,"بحرانی",IF(BH772&gt;=30,"مشکوک",IF(BH772&gt;0,"هشدار","عادی")))</f>
        <v>عادی</v>
      </c>
      <c r="BJ772" s="16" t="s">
        <v>338</v>
      </c>
    </row>
    <row r="773" customFormat="false" ht="15" hidden="false" customHeight="false" outlineLevel="0" collapsed="false">
      <c r="A773" s="16" t="s">
        <v>2689</v>
      </c>
      <c r="B773" s="16" t="s">
        <v>947</v>
      </c>
      <c r="C773" s="16"/>
      <c r="D773" s="16" t="s">
        <v>370</v>
      </c>
      <c r="E773" s="16" t="s">
        <v>351</v>
      </c>
      <c r="F773" s="16" t="s">
        <v>333</v>
      </c>
      <c r="G773" s="17" t="n">
        <v>46291.5924768519</v>
      </c>
      <c r="H773" s="17" t="n">
        <v>46291.8563657407</v>
      </c>
      <c r="I773" s="18" t="n">
        <f aca="false">IF(H773="",ROUND((تنظیمات!$B$7-G773)*1440,0),ROUND((H773-G773)*1440,0))</f>
        <v>380</v>
      </c>
      <c r="J773" s="16" t="s">
        <v>334</v>
      </c>
      <c r="K773" s="16" t="s">
        <v>410</v>
      </c>
      <c r="L773" s="19" t="n">
        <v>0.928</v>
      </c>
      <c r="M773" s="19" t="n">
        <v>0.956</v>
      </c>
      <c r="N773" s="16" t="s">
        <v>335</v>
      </c>
      <c r="O773" s="16" t="s">
        <v>666</v>
      </c>
      <c r="P773" s="16" t="s">
        <v>420</v>
      </c>
      <c r="Q773" s="20" t="n">
        <v>46291</v>
      </c>
      <c r="R773" s="16" t="s">
        <v>2690</v>
      </c>
      <c r="S773" s="16" t="s">
        <v>404</v>
      </c>
      <c r="T773" s="17"/>
      <c r="U773" s="21" t="n">
        <v>1</v>
      </c>
      <c r="V773" s="21" t="n">
        <v>1</v>
      </c>
      <c r="W773" s="22" t="n">
        <v>7.2</v>
      </c>
      <c r="X773" s="16" t="s">
        <v>335</v>
      </c>
      <c r="Y773" s="16" t="s">
        <v>338</v>
      </c>
      <c r="Z773" s="16" t="s">
        <v>413</v>
      </c>
      <c r="AA773" s="16" t="s">
        <v>414</v>
      </c>
      <c r="AB773" s="23" t="s">
        <v>2691</v>
      </c>
      <c r="AC773" s="17" t="n">
        <v>46291.8554166667</v>
      </c>
      <c r="AD773" s="16" t="s">
        <v>338</v>
      </c>
      <c r="AE773" s="16"/>
      <c r="AF773" s="16" t="str">
        <f aca="false">IF(COUNTIF(لیست_سفید!$A$2:$A$21,B773)&gt;0,"بله","خیر")</f>
        <v>خیر</v>
      </c>
      <c r="AG773" s="24" t="n">
        <f aca="false">IF(H773="","",IF(AD773="فیش مفقودی",تنظیمات!$B$6,(INT(I773/1440)*تنظیمات!$B$5+IF(MOD(I773,1440)&lt;=تنظیمات!$B$2,0,MIN(تنظیمات!$B$5,تنظیمات!$B$3+MAX(0,ROUNDUP((MOD(I773,1440)-60)/60,0))*تنظیمات!$B$4)))*INDEX(تعرفه!$B$2:$B$7,MATCH(AD773,تعرفه!$A$2:$A$7,0))))</f>
        <v>104000</v>
      </c>
      <c r="AH773" s="24" t="n">
        <v>104000</v>
      </c>
      <c r="AI773" s="24" t="n">
        <f aca="false">IF(AG773="","",AH773-AG773)</f>
        <v>0</v>
      </c>
      <c r="AJ773" s="21" t="n">
        <v>-3</v>
      </c>
      <c r="AK773" s="21" t="n">
        <v>0</v>
      </c>
      <c r="AL773" s="16" t="s">
        <v>335</v>
      </c>
      <c r="AM773" s="16"/>
      <c r="AN773" s="16" t="s">
        <v>340</v>
      </c>
      <c r="AO773" s="16" t="s">
        <v>340</v>
      </c>
      <c r="AP773" s="16" t="s">
        <v>335</v>
      </c>
      <c r="AQ773" s="16"/>
      <c r="AR773" s="21" t="n">
        <f aca="false">IF(AND(T773&lt;&gt;"",H773&lt;&gt;""),IF(AND((T773-H773)*86400&gt;=0,(T773-H773)*86400&lt;تنظیمات!$B$13),1,0),0)</f>
        <v>0</v>
      </c>
      <c r="AS773" s="21" t="n">
        <f aca="false">IF(Z773="پوز",IF(OR(AB773="",COUNTIF(پوزها!$A$2:$A$5,AA773)=0),1,0),0)</f>
        <v>0</v>
      </c>
      <c r="AT773" s="21" t="n">
        <f aca="false">IF(AI773="",0,IF(AI773&gt;0,1,0))</f>
        <v>0</v>
      </c>
      <c r="AU773" s="21" t="n">
        <f aca="false">IF(AI773="",0,IF(AI773&lt;0,1,0))</f>
        <v>0</v>
      </c>
      <c r="AV773" s="21" t="n">
        <f aca="false">IF(U773&gt;V773,1,0)</f>
        <v>0</v>
      </c>
      <c r="AW773" s="21" t="n">
        <f aca="false">IF(OR(W773&gt;تنظیمات!$B$8,X773="بله"),1,0)</f>
        <v>0</v>
      </c>
      <c r="AX773" s="21" t="n">
        <f aca="false">IF(AND(N773="بله",L773&gt;تنظیمات!$B$9),1,0)</f>
        <v>0</v>
      </c>
      <c r="AY773" s="21" t="n">
        <f aca="false">IF(Y773="معکوس",1,0)</f>
        <v>0</v>
      </c>
      <c r="AZ773" s="21" t="n">
        <f aca="false">IF(ABS(AJ773)&gt;تنظیمات!$B$10,1,0)</f>
        <v>0</v>
      </c>
      <c r="BA773" s="21" t="n">
        <f aca="false">IF(AND(OR(AD773="رایگان/VIP",AD773="جانباز"),AF773="خیر"),1,0)</f>
        <v>0</v>
      </c>
      <c r="BB773" s="21" t="n">
        <f aca="false">IF(AE773="",0,IF(COUNTIF($AE$2:$AE$1001,AE773)&gt;1,1,0))</f>
        <v>0</v>
      </c>
      <c r="BC773" s="21" t="n">
        <f aca="false">IF(AND(H773="",I773&gt;تنظیمات!$B$12*60,AM773="خالی"),1,0)</f>
        <v>0</v>
      </c>
      <c r="BD773" s="21" t="n">
        <f aca="false">IF(AND(AP773="بله",I773&lt;تنظیمات!$B$14,AO773="خیر"),1,0)</f>
        <v>0</v>
      </c>
      <c r="BE773" s="21" t="n">
        <f aca="false">IF(AN773="خیر",1,0)</f>
        <v>0</v>
      </c>
      <c r="BF773" s="21" t="n">
        <f aca="false">IF(AND(AD773="فیش مفقودی",AQ773="بله",I773&gt;تنظیمات!$B$12*60),1,0)</f>
        <v>0</v>
      </c>
      <c r="BG773" s="21" t="n">
        <f aca="false">IF(AND(AK773&gt;تنظیمات!$B$11,AL773="بله"),1,0)</f>
        <v>0</v>
      </c>
      <c r="BH773" s="21" t="n">
        <f aca="false">MIN(100,AR773*تنظیمات!$B$21+AS773*تنظیمات!$B$22+AT773*تنظیمات!$B$23+AU773*تنظیمات!$B$24+AV773*تنظیمات!$B$25+AW773*تنظیمات!$B$26+AX773*تنظیمات!$B$27+AY773*تنظیمات!$B$28+AZ773*تنظیمات!$B$29+BA773*تنظیمات!$B$30+BB773*تنظیمات!$B$31+BC773*تنظیمات!$B$32+BD773*تنظیمات!$B$33+BE773*تنظیمات!$B$34+BF773*تنظیمات!$B$35+BG773*تنظیمات!$B$36)</f>
        <v>0</v>
      </c>
      <c r="BI773" s="16" t="str">
        <f aca="false">IF(BH773&gt;=60,"بحرانی",IF(BH773&gt;=30,"مشکوک",IF(BH773&gt;0,"هشدار","عادی")))</f>
        <v>عادی</v>
      </c>
      <c r="BJ773" s="16" t="s">
        <v>338</v>
      </c>
    </row>
    <row r="774" customFormat="false" ht="15" hidden="false" customHeight="false" outlineLevel="0" collapsed="false">
      <c r="A774" s="16" t="s">
        <v>2692</v>
      </c>
      <c r="B774" s="16" t="s">
        <v>727</v>
      </c>
      <c r="C774" s="16"/>
      <c r="D774" s="16" t="s">
        <v>450</v>
      </c>
      <c r="E774" s="16" t="s">
        <v>363</v>
      </c>
      <c r="F774" s="16" t="s">
        <v>333</v>
      </c>
      <c r="G774" s="17" t="n">
        <v>46291.5985763889</v>
      </c>
      <c r="H774" s="17" t="n">
        <v>46291.6451041667</v>
      </c>
      <c r="I774" s="18" t="n">
        <f aca="false">IF(H774="",ROUND((تنظیمات!$B$7-G774)*1440,0),ROUND((H774-G774)*1440,0))</f>
        <v>67</v>
      </c>
      <c r="J774" s="16" t="s">
        <v>346</v>
      </c>
      <c r="K774" s="16" t="s">
        <v>410</v>
      </c>
      <c r="L774" s="19" t="n">
        <v>0.935</v>
      </c>
      <c r="M774" s="19" t="n">
        <v>0.951</v>
      </c>
      <c r="N774" s="16" t="s">
        <v>335</v>
      </c>
      <c r="O774" s="16" t="s">
        <v>666</v>
      </c>
      <c r="P774" s="16" t="s">
        <v>420</v>
      </c>
      <c r="Q774" s="20" t="n">
        <v>46291</v>
      </c>
      <c r="R774" s="16" t="s">
        <v>2693</v>
      </c>
      <c r="S774" s="16" t="s">
        <v>404</v>
      </c>
      <c r="T774" s="17"/>
      <c r="U774" s="21" t="n">
        <v>1</v>
      </c>
      <c r="V774" s="21" t="n">
        <v>1</v>
      </c>
      <c r="W774" s="22" t="n">
        <v>4.3</v>
      </c>
      <c r="X774" s="16" t="s">
        <v>335</v>
      </c>
      <c r="Y774" s="16" t="s">
        <v>338</v>
      </c>
      <c r="Z774" s="16" t="s">
        <v>405</v>
      </c>
      <c r="AA774" s="16"/>
      <c r="AB774" s="23"/>
      <c r="AC774" s="17"/>
      <c r="AD774" s="16" t="s">
        <v>338</v>
      </c>
      <c r="AE774" s="16"/>
      <c r="AF774" s="16" t="str">
        <f aca="false">IF(COUNTIF(لیست_سفید!$A$2:$A$21,B774)&gt;0,"بله","خیر")</f>
        <v>خیر</v>
      </c>
      <c r="AG774" s="24" t="n">
        <f aca="false">IF(H774="","",IF(AD774="فیش مفقودی",تنظیمات!$B$6,(INT(I774/1440)*تنظیمات!$B$5+IF(MOD(I774,1440)&lt;=تنظیمات!$B$2,0,MIN(تنظیمات!$B$5,تنظیمات!$B$3+MAX(0,ROUNDUP((MOD(I774,1440)-60)/60,0))*تنظیمات!$B$4)))*INDEX(تعرفه!$B$2:$B$7,MATCH(AD774,تعرفه!$A$2:$A$7,0))))</f>
        <v>34000</v>
      </c>
      <c r="AH774" s="24" t="n">
        <v>12000</v>
      </c>
      <c r="AI774" s="24" t="n">
        <f aca="false">IF(AG774="","",AH774-AG774)</f>
        <v>-22000</v>
      </c>
      <c r="AJ774" s="21" t="n">
        <v>-4</v>
      </c>
      <c r="AK774" s="21" t="n">
        <v>0</v>
      </c>
      <c r="AL774" s="16" t="s">
        <v>335</v>
      </c>
      <c r="AM774" s="16"/>
      <c r="AN774" s="16" t="s">
        <v>340</v>
      </c>
      <c r="AO774" s="16" t="s">
        <v>340</v>
      </c>
      <c r="AP774" s="16" t="s">
        <v>335</v>
      </c>
      <c r="AQ774" s="16"/>
      <c r="AR774" s="21" t="n">
        <f aca="false">IF(AND(T774&lt;&gt;"",H774&lt;&gt;""),IF(AND((T774-H774)*86400&gt;=0,(T774-H774)*86400&lt;تنظیمات!$B$13),1,0),0)</f>
        <v>0</v>
      </c>
      <c r="AS774" s="21" t="n">
        <f aca="false">IF(Z774="پوز",IF(OR(AB774="",COUNTIF(پوزها!$A$2:$A$5,AA774)=0),1,0),0)</f>
        <v>0</v>
      </c>
      <c r="AT774" s="21" t="n">
        <f aca="false">IF(AI774="",0,IF(AI774&gt;0,1,0))</f>
        <v>0</v>
      </c>
      <c r="AU774" s="21" t="n">
        <f aca="false">IF(AI774="",0,IF(AI774&lt;0,1,0))</f>
        <v>1</v>
      </c>
      <c r="AV774" s="21" t="n">
        <f aca="false">IF(U774&gt;V774,1,0)</f>
        <v>0</v>
      </c>
      <c r="AW774" s="21" t="n">
        <f aca="false">IF(OR(W774&gt;تنظیمات!$B$8,X774="بله"),1,0)</f>
        <v>0</v>
      </c>
      <c r="AX774" s="21" t="n">
        <f aca="false">IF(AND(N774="بله",L774&gt;تنظیمات!$B$9),1,0)</f>
        <v>0</v>
      </c>
      <c r="AY774" s="21" t="n">
        <f aca="false">IF(Y774="معکوس",1,0)</f>
        <v>0</v>
      </c>
      <c r="AZ774" s="21" t="n">
        <f aca="false">IF(ABS(AJ774)&gt;تنظیمات!$B$10,1,0)</f>
        <v>0</v>
      </c>
      <c r="BA774" s="21" t="n">
        <f aca="false">IF(AND(OR(AD774="رایگان/VIP",AD774="جانباز"),AF774="خیر"),1,0)</f>
        <v>0</v>
      </c>
      <c r="BB774" s="21" t="n">
        <f aca="false">IF(AE774="",0,IF(COUNTIF($AE$2:$AE$1001,AE774)&gt;1,1,0))</f>
        <v>0</v>
      </c>
      <c r="BC774" s="21" t="n">
        <f aca="false">IF(AND(H774="",I774&gt;تنظیمات!$B$12*60,AM774="خالی"),1,0)</f>
        <v>0</v>
      </c>
      <c r="BD774" s="21" t="n">
        <f aca="false">IF(AND(AP774="بله",I774&lt;تنظیمات!$B$14,AO774="خیر"),1,0)</f>
        <v>0</v>
      </c>
      <c r="BE774" s="21" t="n">
        <f aca="false">IF(AN774="خیر",1,0)</f>
        <v>0</v>
      </c>
      <c r="BF774" s="21" t="n">
        <f aca="false">IF(AND(AD774="فیش مفقودی",AQ774="بله",I774&gt;تنظیمات!$B$12*60),1,0)</f>
        <v>0</v>
      </c>
      <c r="BG774" s="21" t="n">
        <f aca="false">IF(AND(AK774&gt;تنظیمات!$B$11,AL774="بله"),1,0)</f>
        <v>0</v>
      </c>
      <c r="BH774" s="21" t="n">
        <f aca="false">MIN(100,AR774*تنظیمات!$B$21+AS774*تنظیمات!$B$22+AT774*تنظیمات!$B$23+AU774*تنظیمات!$B$24+AV774*تنظیمات!$B$25+AW774*تنظیمات!$B$26+AX774*تنظیمات!$B$27+AY774*تنظیمات!$B$28+AZ774*تنظیمات!$B$29+BA774*تنظیمات!$B$30+BB774*تنظیمات!$B$31+BC774*تنظیمات!$B$32+BD774*تنظیمات!$B$33+BE774*تنظیمات!$B$34+BF774*تنظیمات!$B$35+BG774*تنظیمات!$B$36)</f>
        <v>25</v>
      </c>
      <c r="BI774" s="16" t="str">
        <f aca="false">IF(BH774&gt;=60,"بحرانی",IF(BH774&gt;=30,"مشکوک",IF(BH774&gt;0,"هشدار","عادی")))</f>
        <v>هشدار</v>
      </c>
      <c r="BJ774" s="16" t="s">
        <v>610</v>
      </c>
    </row>
    <row r="775" customFormat="false" ht="15" hidden="false" customHeight="false" outlineLevel="0" collapsed="false">
      <c r="A775" s="16" t="s">
        <v>2694</v>
      </c>
      <c r="B775" s="16" t="s">
        <v>2220</v>
      </c>
      <c r="C775" s="16"/>
      <c r="D775" s="16" t="s">
        <v>450</v>
      </c>
      <c r="E775" s="16" t="s">
        <v>390</v>
      </c>
      <c r="F775" s="16" t="s">
        <v>333</v>
      </c>
      <c r="G775" s="17" t="n">
        <v>46291.6088194445</v>
      </c>
      <c r="H775" s="17" t="n">
        <v>46291.7039583333</v>
      </c>
      <c r="I775" s="18" t="n">
        <f aca="false">IF(H775="",ROUND((تنظیمات!$B$7-G775)*1440,0),ROUND((H775-G775)*1440,0))</f>
        <v>137</v>
      </c>
      <c r="J775" s="16" t="s">
        <v>346</v>
      </c>
      <c r="K775" s="16" t="s">
        <v>400</v>
      </c>
      <c r="L775" s="19" t="n">
        <v>0.909</v>
      </c>
      <c r="M775" s="19" t="n">
        <v>0.949</v>
      </c>
      <c r="N775" s="16" t="s">
        <v>335</v>
      </c>
      <c r="O775" s="16" t="s">
        <v>650</v>
      </c>
      <c r="P775" s="16" t="s">
        <v>420</v>
      </c>
      <c r="Q775" s="20" t="n">
        <v>46291</v>
      </c>
      <c r="R775" s="16" t="s">
        <v>2695</v>
      </c>
      <c r="S775" s="16" t="s">
        <v>404</v>
      </c>
      <c r="T775" s="17"/>
      <c r="U775" s="21" t="n">
        <v>1</v>
      </c>
      <c r="V775" s="21" t="n">
        <v>1</v>
      </c>
      <c r="W775" s="22" t="n">
        <v>6</v>
      </c>
      <c r="X775" s="16" t="s">
        <v>335</v>
      </c>
      <c r="Y775" s="16" t="s">
        <v>338</v>
      </c>
      <c r="Z775" s="16" t="s">
        <v>413</v>
      </c>
      <c r="AA775" s="16" t="s">
        <v>427</v>
      </c>
      <c r="AB775" s="23" t="s">
        <v>2696</v>
      </c>
      <c r="AC775" s="17" t="n">
        <v>46291.703287037</v>
      </c>
      <c r="AD775" s="16" t="s">
        <v>338</v>
      </c>
      <c r="AE775" s="16"/>
      <c r="AF775" s="16" t="str">
        <f aca="false">IF(COUNTIF(لیست_سفید!$A$2:$A$21,B775)&gt;0,"بله","خیر")</f>
        <v>خیر</v>
      </c>
      <c r="AG775" s="24" t="n">
        <f aca="false">IF(H775="","",IF(AD775="فیش مفقودی",تنظیمات!$B$6,(INT(I775/1440)*تنظیمات!$B$5+IF(MOD(I775,1440)&lt;=تنظیمات!$B$2,0,MIN(تنظیمات!$B$5,تنظیمات!$B$3+MAX(0,ROUNDUP((MOD(I775,1440)-60)/60,0))*تنظیمات!$B$4)))*INDEX(تعرفه!$B$2:$B$7,MATCH(AD775,تعرفه!$A$2:$A$7,0))))</f>
        <v>48000</v>
      </c>
      <c r="AH775" s="24" t="n">
        <v>48000</v>
      </c>
      <c r="AI775" s="24" t="n">
        <f aca="false">IF(AG775="","",AH775-AG775)</f>
        <v>0</v>
      </c>
      <c r="AJ775" s="21" t="n">
        <v>-3</v>
      </c>
      <c r="AK775" s="21" t="n">
        <v>0</v>
      </c>
      <c r="AL775" s="16" t="s">
        <v>335</v>
      </c>
      <c r="AM775" s="16"/>
      <c r="AN775" s="16" t="s">
        <v>340</v>
      </c>
      <c r="AO775" s="16" t="s">
        <v>340</v>
      </c>
      <c r="AP775" s="16" t="s">
        <v>335</v>
      </c>
      <c r="AQ775" s="16"/>
      <c r="AR775" s="21" t="n">
        <f aca="false">IF(AND(T775&lt;&gt;"",H775&lt;&gt;""),IF(AND((T775-H775)*86400&gt;=0,(T775-H775)*86400&lt;تنظیمات!$B$13),1,0),0)</f>
        <v>0</v>
      </c>
      <c r="AS775" s="21" t="n">
        <f aca="false">IF(Z775="پوز",IF(OR(AB775="",COUNTIF(پوزها!$A$2:$A$5,AA775)=0),1,0),0)</f>
        <v>0</v>
      </c>
      <c r="AT775" s="21" t="n">
        <f aca="false">IF(AI775="",0,IF(AI775&gt;0,1,0))</f>
        <v>0</v>
      </c>
      <c r="AU775" s="21" t="n">
        <f aca="false">IF(AI775="",0,IF(AI775&lt;0,1,0))</f>
        <v>0</v>
      </c>
      <c r="AV775" s="21" t="n">
        <f aca="false">IF(U775&gt;V775,1,0)</f>
        <v>0</v>
      </c>
      <c r="AW775" s="21" t="n">
        <f aca="false">IF(OR(W775&gt;تنظیمات!$B$8,X775="بله"),1,0)</f>
        <v>0</v>
      </c>
      <c r="AX775" s="21" t="n">
        <f aca="false">IF(AND(N775="بله",L775&gt;تنظیمات!$B$9),1,0)</f>
        <v>0</v>
      </c>
      <c r="AY775" s="21" t="n">
        <f aca="false">IF(Y775="معکوس",1,0)</f>
        <v>0</v>
      </c>
      <c r="AZ775" s="21" t="n">
        <f aca="false">IF(ABS(AJ775)&gt;تنظیمات!$B$10,1,0)</f>
        <v>0</v>
      </c>
      <c r="BA775" s="21" t="n">
        <f aca="false">IF(AND(OR(AD775="رایگان/VIP",AD775="جانباز"),AF775="خیر"),1,0)</f>
        <v>0</v>
      </c>
      <c r="BB775" s="21" t="n">
        <f aca="false">IF(AE775="",0,IF(COUNTIF($AE$2:$AE$1001,AE775)&gt;1,1,0))</f>
        <v>0</v>
      </c>
      <c r="BC775" s="21" t="n">
        <f aca="false">IF(AND(H775="",I775&gt;تنظیمات!$B$12*60,AM775="خالی"),1,0)</f>
        <v>0</v>
      </c>
      <c r="BD775" s="21" t="n">
        <f aca="false">IF(AND(AP775="بله",I775&lt;تنظیمات!$B$14,AO775="خیر"),1,0)</f>
        <v>0</v>
      </c>
      <c r="BE775" s="21" t="n">
        <f aca="false">IF(AN775="خیر",1,0)</f>
        <v>0</v>
      </c>
      <c r="BF775" s="21" t="n">
        <f aca="false">IF(AND(AD775="فیش مفقودی",AQ775="بله",I775&gt;تنظیمات!$B$12*60),1,0)</f>
        <v>0</v>
      </c>
      <c r="BG775" s="21" t="n">
        <f aca="false">IF(AND(AK775&gt;تنظیمات!$B$11,AL775="بله"),1,0)</f>
        <v>0</v>
      </c>
      <c r="BH775" s="21" t="n">
        <f aca="false">MIN(100,AR775*تنظیمات!$B$21+AS775*تنظیمات!$B$22+AT775*تنظیمات!$B$23+AU775*تنظیمات!$B$24+AV775*تنظیمات!$B$25+AW775*تنظیمات!$B$26+AX775*تنظیمات!$B$27+AY775*تنظیمات!$B$28+AZ775*تنظیمات!$B$29+BA775*تنظیمات!$B$30+BB775*تنظیمات!$B$31+BC775*تنظیمات!$B$32+BD775*تنظیمات!$B$33+BE775*تنظیمات!$B$34+BF775*تنظیمات!$B$35+BG775*تنظیمات!$B$36)</f>
        <v>0</v>
      </c>
      <c r="BI775" s="16" t="str">
        <f aca="false">IF(BH775&gt;=60,"بحرانی",IF(BH775&gt;=30,"مشکوک",IF(BH775&gt;0,"هشدار","عادی")))</f>
        <v>عادی</v>
      </c>
      <c r="BJ775" s="16" t="s">
        <v>338</v>
      </c>
    </row>
    <row r="776" customFormat="false" ht="15" hidden="false" customHeight="false" outlineLevel="0" collapsed="false">
      <c r="A776" s="16" t="s">
        <v>2697</v>
      </c>
      <c r="B776" s="16" t="s">
        <v>2224</v>
      </c>
      <c r="C776" s="16"/>
      <c r="D776" s="16" t="s">
        <v>374</v>
      </c>
      <c r="E776" s="16" t="s">
        <v>345</v>
      </c>
      <c r="F776" s="16" t="s">
        <v>359</v>
      </c>
      <c r="G776" s="17" t="n">
        <v>46291.6103587963</v>
      </c>
      <c r="H776" s="17" t="n">
        <v>46291.7339699074</v>
      </c>
      <c r="I776" s="18" t="n">
        <f aca="false">IF(H776="",ROUND((تنظیمات!$B$7-G776)*1440,0),ROUND((H776-G776)*1440,0))</f>
        <v>178</v>
      </c>
      <c r="J776" s="16" t="s">
        <v>346</v>
      </c>
      <c r="K776" s="16" t="s">
        <v>410</v>
      </c>
      <c r="L776" s="19" t="n">
        <v>0.911</v>
      </c>
      <c r="M776" s="19" t="n">
        <v>0.953</v>
      </c>
      <c r="N776" s="16" t="s">
        <v>335</v>
      </c>
      <c r="O776" s="16" t="s">
        <v>666</v>
      </c>
      <c r="P776" s="16" t="s">
        <v>420</v>
      </c>
      <c r="Q776" s="20" t="n">
        <v>46291</v>
      </c>
      <c r="R776" s="16" t="s">
        <v>2698</v>
      </c>
      <c r="S776" s="16" t="s">
        <v>404</v>
      </c>
      <c r="T776" s="17"/>
      <c r="U776" s="21" t="n">
        <v>1</v>
      </c>
      <c r="V776" s="21" t="n">
        <v>1</v>
      </c>
      <c r="W776" s="22" t="n">
        <v>4</v>
      </c>
      <c r="X776" s="16" t="s">
        <v>335</v>
      </c>
      <c r="Y776" s="16" t="s">
        <v>338</v>
      </c>
      <c r="Z776" s="16" t="s">
        <v>465</v>
      </c>
      <c r="AA776" s="16"/>
      <c r="AB776" s="23"/>
      <c r="AC776" s="17"/>
      <c r="AD776" s="16" t="s">
        <v>602</v>
      </c>
      <c r="AE776" s="16"/>
      <c r="AF776" s="16" t="str">
        <f aca="false">IF(COUNTIF(لیست_سفید!$A$2:$A$21,B776)&gt;0,"بله","خیر")</f>
        <v>خیر</v>
      </c>
      <c r="AG776" s="24" t="n">
        <f aca="false">IF(H776="","",IF(AD776="فیش مفقودی",تنظیمات!$B$6,(INT(I776/1440)*تنظیمات!$B$5+IF(MOD(I776,1440)&lt;=تنظیمات!$B$2,0,MIN(تنظیمات!$B$5,تنظیمات!$B$3+MAX(0,ROUNDUP((MOD(I776,1440)-60)/60,0))*تنظیمات!$B$4)))*INDEX(تعرفه!$B$2:$B$7,MATCH(AD776,تعرفه!$A$2:$A$7,0))))</f>
        <v>0</v>
      </c>
      <c r="AH776" s="24" t="n">
        <v>0</v>
      </c>
      <c r="AI776" s="24" t="n">
        <f aca="false">IF(AG776="","",AH776-AG776)</f>
        <v>0</v>
      </c>
      <c r="AJ776" s="21" t="n">
        <v>-2</v>
      </c>
      <c r="AK776" s="21" t="n">
        <v>0</v>
      </c>
      <c r="AL776" s="16" t="s">
        <v>335</v>
      </c>
      <c r="AM776" s="16"/>
      <c r="AN776" s="16" t="s">
        <v>340</v>
      </c>
      <c r="AO776" s="16" t="s">
        <v>340</v>
      </c>
      <c r="AP776" s="16" t="s">
        <v>335</v>
      </c>
      <c r="AQ776" s="16"/>
      <c r="AR776" s="21" t="n">
        <f aca="false">IF(AND(T776&lt;&gt;"",H776&lt;&gt;""),IF(AND((T776-H776)*86400&gt;=0,(T776-H776)*86400&lt;تنظیمات!$B$13),1,0),0)</f>
        <v>0</v>
      </c>
      <c r="AS776" s="21" t="n">
        <f aca="false">IF(Z776="پوز",IF(OR(AB776="",COUNTIF(پوزها!$A$2:$A$5,AA776)=0),1,0),0)</f>
        <v>0</v>
      </c>
      <c r="AT776" s="21" t="n">
        <f aca="false">IF(AI776="",0,IF(AI776&gt;0,1,0))</f>
        <v>0</v>
      </c>
      <c r="AU776" s="21" t="n">
        <f aca="false">IF(AI776="",0,IF(AI776&lt;0,1,0))</f>
        <v>0</v>
      </c>
      <c r="AV776" s="21" t="n">
        <f aca="false">IF(U776&gt;V776,1,0)</f>
        <v>0</v>
      </c>
      <c r="AW776" s="21" t="n">
        <f aca="false">IF(OR(W776&gt;تنظیمات!$B$8,X776="بله"),1,0)</f>
        <v>0</v>
      </c>
      <c r="AX776" s="21" t="n">
        <f aca="false">IF(AND(N776="بله",L776&gt;تنظیمات!$B$9),1,0)</f>
        <v>0</v>
      </c>
      <c r="AY776" s="21" t="n">
        <f aca="false">IF(Y776="معکوس",1,0)</f>
        <v>0</v>
      </c>
      <c r="AZ776" s="21" t="n">
        <f aca="false">IF(ABS(AJ776)&gt;تنظیمات!$B$10,1,0)</f>
        <v>0</v>
      </c>
      <c r="BA776" s="21" t="n">
        <f aca="false">IF(AND(OR(AD776="رایگان/VIP",AD776="جانباز"),AF776="خیر"),1,0)</f>
        <v>1</v>
      </c>
      <c r="BB776" s="21" t="n">
        <f aca="false">IF(AE776="",0,IF(COUNTIF($AE$2:$AE$1001,AE776)&gt;1,1,0))</f>
        <v>0</v>
      </c>
      <c r="BC776" s="21" t="n">
        <f aca="false">IF(AND(H776="",I776&gt;تنظیمات!$B$12*60,AM776="خالی"),1,0)</f>
        <v>0</v>
      </c>
      <c r="BD776" s="21" t="n">
        <f aca="false">IF(AND(AP776="بله",I776&lt;تنظیمات!$B$14,AO776="خیر"),1,0)</f>
        <v>0</v>
      </c>
      <c r="BE776" s="21" t="n">
        <f aca="false">IF(AN776="خیر",1,0)</f>
        <v>0</v>
      </c>
      <c r="BF776" s="21" t="n">
        <f aca="false">IF(AND(AD776="فیش مفقودی",AQ776="بله",I776&gt;تنظیمات!$B$12*60),1,0)</f>
        <v>0</v>
      </c>
      <c r="BG776" s="21" t="n">
        <f aca="false">IF(AND(AK776&gt;تنظیمات!$B$11,AL776="بله"),1,0)</f>
        <v>0</v>
      </c>
      <c r="BH776" s="21" t="n">
        <f aca="false">MIN(100,AR776*تنظیمات!$B$21+AS776*تنظیمات!$B$22+AT776*تنظیمات!$B$23+AU776*تنظیمات!$B$24+AV776*تنظیمات!$B$25+AW776*تنظیمات!$B$26+AX776*تنظیمات!$B$27+AY776*تنظیمات!$B$28+AZ776*تنظیمات!$B$29+BA776*تنظیمات!$B$30+BB776*تنظیمات!$B$31+BC776*تنظیمات!$B$32+BD776*تنظیمات!$B$33+BE776*تنظیمات!$B$34+BF776*تنظیمات!$B$35+BG776*تنظیمات!$B$36)</f>
        <v>35</v>
      </c>
      <c r="BI776" s="16" t="str">
        <f aca="false">IF(BH776&gt;=60,"بحرانی",IF(BH776&gt;=30,"مشکوک",IF(BH776&gt;0,"هشدار","عادی")))</f>
        <v>مشکوک</v>
      </c>
      <c r="BJ776" s="16" t="s">
        <v>745</v>
      </c>
    </row>
    <row r="777" customFormat="false" ht="15" hidden="false" customHeight="false" outlineLevel="0" collapsed="false">
      <c r="A777" s="16" t="s">
        <v>2699</v>
      </c>
      <c r="B777" s="16" t="s">
        <v>1038</v>
      </c>
      <c r="C777" s="16"/>
      <c r="D777" s="16" t="s">
        <v>431</v>
      </c>
      <c r="E777" s="16" t="s">
        <v>375</v>
      </c>
      <c r="F777" s="16" t="s">
        <v>333</v>
      </c>
      <c r="G777" s="17" t="n">
        <v>46291.6133217593</v>
      </c>
      <c r="H777" s="17" t="n">
        <v>46291.6758217593</v>
      </c>
      <c r="I777" s="18" t="n">
        <f aca="false">IF(H777="",ROUND((تنظیمات!$B$7-G777)*1440,0),ROUND((H777-G777)*1440,0))</f>
        <v>90</v>
      </c>
      <c r="J777" s="16" t="s">
        <v>346</v>
      </c>
      <c r="K777" s="16" t="s">
        <v>400</v>
      </c>
      <c r="L777" s="19" t="n">
        <v>0.935</v>
      </c>
      <c r="M777" s="19" t="n">
        <v>0.958</v>
      </c>
      <c r="N777" s="16" t="s">
        <v>335</v>
      </c>
      <c r="O777" s="16" t="s">
        <v>650</v>
      </c>
      <c r="P777" s="16" t="s">
        <v>420</v>
      </c>
      <c r="Q777" s="20" t="n">
        <v>46291</v>
      </c>
      <c r="R777" s="16" t="s">
        <v>2700</v>
      </c>
      <c r="S777" s="16" t="s">
        <v>404</v>
      </c>
      <c r="T777" s="17"/>
      <c r="U777" s="21" t="n">
        <v>1</v>
      </c>
      <c r="V777" s="21" t="n">
        <v>1</v>
      </c>
      <c r="W777" s="22" t="n">
        <v>5.8</v>
      </c>
      <c r="X777" s="16" t="s">
        <v>335</v>
      </c>
      <c r="Y777" s="16" t="s">
        <v>338</v>
      </c>
      <c r="Z777" s="16" t="s">
        <v>405</v>
      </c>
      <c r="AA777" s="16"/>
      <c r="AB777" s="23"/>
      <c r="AC777" s="17"/>
      <c r="AD777" s="16" t="s">
        <v>338</v>
      </c>
      <c r="AE777" s="16"/>
      <c r="AF777" s="16" t="str">
        <f aca="false">IF(COUNTIF(لیست_سفید!$A$2:$A$21,B777)&gt;0,"بله","خیر")</f>
        <v>خیر</v>
      </c>
      <c r="AG777" s="24" t="n">
        <f aca="false">IF(H777="","",IF(AD777="فیش مفقودی",تنظیمات!$B$6,(INT(I777/1440)*تنظیمات!$B$5+IF(MOD(I777,1440)&lt;=تنظیمات!$B$2,0,MIN(تنظیمات!$B$5,تنظیمات!$B$3+MAX(0,ROUNDUP((MOD(I777,1440)-60)/60,0))*تنظیمات!$B$4)))*INDEX(تعرفه!$B$2:$B$7,MATCH(AD777,تعرفه!$A$2:$A$7,0))))</f>
        <v>34000</v>
      </c>
      <c r="AH777" s="24" t="n">
        <v>34000</v>
      </c>
      <c r="AI777" s="24" t="n">
        <f aca="false">IF(AG777="","",AH777-AG777)</f>
        <v>0</v>
      </c>
      <c r="AJ777" s="21" t="n">
        <v>0</v>
      </c>
      <c r="AK777" s="21" t="n">
        <v>0</v>
      </c>
      <c r="AL777" s="16" t="s">
        <v>335</v>
      </c>
      <c r="AM777" s="16"/>
      <c r="AN777" s="16" t="s">
        <v>340</v>
      </c>
      <c r="AO777" s="16" t="s">
        <v>340</v>
      </c>
      <c r="AP777" s="16" t="s">
        <v>335</v>
      </c>
      <c r="AQ777" s="16"/>
      <c r="AR777" s="21" t="n">
        <f aca="false">IF(AND(T777&lt;&gt;"",H777&lt;&gt;""),IF(AND((T777-H777)*86400&gt;=0,(T777-H777)*86400&lt;تنظیمات!$B$13),1,0),0)</f>
        <v>0</v>
      </c>
      <c r="AS777" s="21" t="n">
        <f aca="false">IF(Z777="پوز",IF(OR(AB777="",COUNTIF(پوزها!$A$2:$A$5,AA777)=0),1,0),0)</f>
        <v>0</v>
      </c>
      <c r="AT777" s="21" t="n">
        <f aca="false">IF(AI777="",0,IF(AI777&gt;0,1,0))</f>
        <v>0</v>
      </c>
      <c r="AU777" s="21" t="n">
        <f aca="false">IF(AI777="",0,IF(AI777&lt;0,1,0))</f>
        <v>0</v>
      </c>
      <c r="AV777" s="21" t="n">
        <f aca="false">IF(U777&gt;V777,1,0)</f>
        <v>0</v>
      </c>
      <c r="AW777" s="21" t="n">
        <f aca="false">IF(OR(W777&gt;تنظیمات!$B$8,X777="بله"),1,0)</f>
        <v>0</v>
      </c>
      <c r="AX777" s="21" t="n">
        <f aca="false">IF(AND(N777="بله",L777&gt;تنظیمات!$B$9),1,0)</f>
        <v>0</v>
      </c>
      <c r="AY777" s="21" t="n">
        <f aca="false">IF(Y777="معکوس",1,0)</f>
        <v>0</v>
      </c>
      <c r="AZ777" s="21" t="n">
        <f aca="false">IF(ABS(AJ777)&gt;تنظیمات!$B$10,1,0)</f>
        <v>0</v>
      </c>
      <c r="BA777" s="21" t="n">
        <f aca="false">IF(AND(OR(AD777="رایگان/VIP",AD777="جانباز"),AF777="خیر"),1,0)</f>
        <v>0</v>
      </c>
      <c r="BB777" s="21" t="n">
        <f aca="false">IF(AE777="",0,IF(COUNTIF($AE$2:$AE$1001,AE777)&gt;1,1,0))</f>
        <v>0</v>
      </c>
      <c r="BC777" s="21" t="n">
        <f aca="false">IF(AND(H777="",I777&gt;تنظیمات!$B$12*60,AM777="خالی"),1,0)</f>
        <v>0</v>
      </c>
      <c r="BD777" s="21" t="n">
        <f aca="false">IF(AND(AP777="بله",I777&lt;تنظیمات!$B$14,AO777="خیر"),1,0)</f>
        <v>0</v>
      </c>
      <c r="BE777" s="21" t="n">
        <f aca="false">IF(AN777="خیر",1,0)</f>
        <v>0</v>
      </c>
      <c r="BF777" s="21" t="n">
        <f aca="false">IF(AND(AD777="فیش مفقودی",AQ777="بله",I777&gt;تنظیمات!$B$12*60),1,0)</f>
        <v>0</v>
      </c>
      <c r="BG777" s="21" t="n">
        <f aca="false">IF(AND(AK777&gt;تنظیمات!$B$11,AL777="بله"),1,0)</f>
        <v>0</v>
      </c>
      <c r="BH777" s="21" t="n">
        <f aca="false">MIN(100,AR777*تنظیمات!$B$21+AS777*تنظیمات!$B$22+AT777*تنظیمات!$B$23+AU777*تنظیمات!$B$24+AV777*تنظیمات!$B$25+AW777*تنظیمات!$B$26+AX777*تنظیمات!$B$27+AY777*تنظیمات!$B$28+AZ777*تنظیمات!$B$29+BA777*تنظیمات!$B$30+BB777*تنظیمات!$B$31+BC777*تنظیمات!$B$32+BD777*تنظیمات!$B$33+BE777*تنظیمات!$B$34+BF777*تنظیمات!$B$35+BG777*تنظیمات!$B$36)</f>
        <v>0</v>
      </c>
      <c r="BI777" s="16" t="str">
        <f aca="false">IF(BH777&gt;=60,"بحرانی",IF(BH777&gt;=30,"مشکوک",IF(BH777&gt;0,"هشدار","عادی")))</f>
        <v>عادی</v>
      </c>
      <c r="BJ777" s="16" t="s">
        <v>338</v>
      </c>
    </row>
    <row r="778" customFormat="false" ht="15" hidden="false" customHeight="false" outlineLevel="0" collapsed="false">
      <c r="A778" s="16" t="s">
        <v>2701</v>
      </c>
      <c r="B778" s="16" t="s">
        <v>2427</v>
      </c>
      <c r="C778" s="16"/>
      <c r="D778" s="16" t="s">
        <v>386</v>
      </c>
      <c r="E778" s="16" t="s">
        <v>332</v>
      </c>
      <c r="F778" s="16" t="s">
        <v>333</v>
      </c>
      <c r="G778" s="17" t="n">
        <v>46291.6842361111</v>
      </c>
      <c r="H778" s="17" t="n">
        <v>46291.6870138889</v>
      </c>
      <c r="I778" s="18" t="n">
        <f aca="false">IF(H778="",ROUND((تنظیمات!$B$7-G778)*1440,0),ROUND((H778-G778)*1440,0))</f>
        <v>4</v>
      </c>
      <c r="J778" s="16" t="s">
        <v>334</v>
      </c>
      <c r="K778" s="16" t="s">
        <v>400</v>
      </c>
      <c r="L778" s="19" t="n">
        <v>0.937</v>
      </c>
      <c r="M778" s="19" t="n">
        <v>0.976</v>
      </c>
      <c r="N778" s="16" t="s">
        <v>335</v>
      </c>
      <c r="O778" s="16" t="s">
        <v>650</v>
      </c>
      <c r="P778" s="16" t="s">
        <v>420</v>
      </c>
      <c r="Q778" s="20" t="n">
        <v>46291</v>
      </c>
      <c r="R778" s="16" t="s">
        <v>2702</v>
      </c>
      <c r="S778" s="16" t="s">
        <v>404</v>
      </c>
      <c r="T778" s="17"/>
      <c r="U778" s="21" t="n">
        <v>1</v>
      </c>
      <c r="V778" s="21" t="n">
        <v>1</v>
      </c>
      <c r="W778" s="22" t="n">
        <v>7.6</v>
      </c>
      <c r="X778" s="16" t="s">
        <v>335</v>
      </c>
      <c r="Y778" s="16" t="s">
        <v>338</v>
      </c>
      <c r="Z778" s="16" t="s">
        <v>628</v>
      </c>
      <c r="AA778" s="16"/>
      <c r="AB778" s="23"/>
      <c r="AC778" s="17"/>
      <c r="AD778" s="16" t="s">
        <v>338</v>
      </c>
      <c r="AE778" s="16"/>
      <c r="AF778" s="16" t="str">
        <f aca="false">IF(COUNTIF(لیست_سفید!$A$2:$A$21,B778)&gt;0,"بله","خیر")</f>
        <v>خیر</v>
      </c>
      <c r="AG778" s="24" t="n">
        <f aca="false">IF(H778="","",IF(AD778="فیش مفقودی",تنظیمات!$B$6,(INT(I778/1440)*تنظیمات!$B$5+IF(MOD(I778,1440)&lt;=تنظیمات!$B$2,0,MIN(تنظیمات!$B$5,تنظیمات!$B$3+MAX(0,ROUNDUP((MOD(I778,1440)-60)/60,0))*تنظیمات!$B$4)))*INDEX(تعرفه!$B$2:$B$7,MATCH(AD778,تعرفه!$A$2:$A$7,0))))</f>
        <v>0</v>
      </c>
      <c r="AH778" s="24" t="n">
        <v>0</v>
      </c>
      <c r="AI778" s="24" t="n">
        <f aca="false">IF(AG778="","",AH778-AG778)</f>
        <v>0</v>
      </c>
      <c r="AJ778" s="21" t="n">
        <v>1</v>
      </c>
      <c r="AK778" s="21" t="n">
        <v>0</v>
      </c>
      <c r="AL778" s="16" t="s">
        <v>335</v>
      </c>
      <c r="AM778" s="16"/>
      <c r="AN778" s="16" t="s">
        <v>340</v>
      </c>
      <c r="AO778" s="16" t="s">
        <v>340</v>
      </c>
      <c r="AP778" s="16" t="s">
        <v>335</v>
      </c>
      <c r="AQ778" s="16"/>
      <c r="AR778" s="21" t="n">
        <f aca="false">IF(AND(T778&lt;&gt;"",H778&lt;&gt;""),IF(AND((T778-H778)*86400&gt;=0,(T778-H778)*86400&lt;تنظیمات!$B$13),1,0),0)</f>
        <v>0</v>
      </c>
      <c r="AS778" s="21" t="n">
        <f aca="false">IF(Z778="پوز",IF(OR(AB778="",COUNTIF(پوزها!$A$2:$A$5,AA778)=0),1,0),0)</f>
        <v>0</v>
      </c>
      <c r="AT778" s="21" t="n">
        <f aca="false">IF(AI778="",0,IF(AI778&gt;0,1,0))</f>
        <v>0</v>
      </c>
      <c r="AU778" s="21" t="n">
        <f aca="false">IF(AI778="",0,IF(AI778&lt;0,1,0))</f>
        <v>0</v>
      </c>
      <c r="AV778" s="21" t="n">
        <f aca="false">IF(U778&gt;V778,1,0)</f>
        <v>0</v>
      </c>
      <c r="AW778" s="21" t="n">
        <f aca="false">IF(OR(W778&gt;تنظیمات!$B$8,X778="بله"),1,0)</f>
        <v>0</v>
      </c>
      <c r="AX778" s="21" t="n">
        <f aca="false">IF(AND(N778="بله",L778&gt;تنظیمات!$B$9),1,0)</f>
        <v>0</v>
      </c>
      <c r="AY778" s="21" t="n">
        <f aca="false">IF(Y778="معکوس",1,0)</f>
        <v>0</v>
      </c>
      <c r="AZ778" s="21" t="n">
        <f aca="false">IF(ABS(AJ778)&gt;تنظیمات!$B$10,1,0)</f>
        <v>0</v>
      </c>
      <c r="BA778" s="21" t="n">
        <f aca="false">IF(AND(OR(AD778="رایگان/VIP",AD778="جانباز"),AF778="خیر"),1,0)</f>
        <v>0</v>
      </c>
      <c r="BB778" s="21" t="n">
        <f aca="false">IF(AE778="",0,IF(COUNTIF($AE$2:$AE$1001,AE778)&gt;1,1,0))</f>
        <v>0</v>
      </c>
      <c r="BC778" s="21" t="n">
        <f aca="false">IF(AND(H778="",I778&gt;تنظیمات!$B$12*60,AM778="خالی"),1,0)</f>
        <v>0</v>
      </c>
      <c r="BD778" s="21" t="n">
        <f aca="false">IF(AND(AP778="بله",I778&lt;تنظیمات!$B$14,AO778="خیر"),1,0)</f>
        <v>0</v>
      </c>
      <c r="BE778" s="21" t="n">
        <f aca="false">IF(AN778="خیر",1,0)</f>
        <v>0</v>
      </c>
      <c r="BF778" s="21" t="n">
        <f aca="false">IF(AND(AD778="فیش مفقودی",AQ778="بله",I778&gt;تنظیمات!$B$12*60),1,0)</f>
        <v>0</v>
      </c>
      <c r="BG778" s="21" t="n">
        <f aca="false">IF(AND(AK778&gt;تنظیمات!$B$11,AL778="بله"),1,0)</f>
        <v>0</v>
      </c>
      <c r="BH778" s="21" t="n">
        <f aca="false">MIN(100,AR778*تنظیمات!$B$21+AS778*تنظیمات!$B$22+AT778*تنظیمات!$B$23+AU778*تنظیمات!$B$24+AV778*تنظیمات!$B$25+AW778*تنظیمات!$B$26+AX778*تنظیمات!$B$27+AY778*تنظیمات!$B$28+AZ778*تنظیمات!$B$29+BA778*تنظیمات!$B$30+BB778*تنظیمات!$B$31+BC778*تنظیمات!$B$32+BD778*تنظیمات!$B$33+BE778*تنظیمات!$B$34+BF778*تنظیمات!$B$35+BG778*تنظیمات!$B$36)</f>
        <v>0</v>
      </c>
      <c r="BI778" s="16" t="str">
        <f aca="false">IF(BH778&gt;=60,"بحرانی",IF(BH778&gt;=30,"مشکوک",IF(BH778&gt;0,"هشدار","عادی")))</f>
        <v>عادی</v>
      </c>
      <c r="BJ778" s="16" t="s">
        <v>338</v>
      </c>
    </row>
    <row r="779" customFormat="false" ht="15" hidden="false" customHeight="false" outlineLevel="0" collapsed="false">
      <c r="A779" s="16" t="s">
        <v>2703</v>
      </c>
      <c r="B779" s="16" t="s">
        <v>357</v>
      </c>
      <c r="C779" s="16" t="s">
        <v>2704</v>
      </c>
      <c r="D779" s="16" t="s">
        <v>358</v>
      </c>
      <c r="E779" s="16" t="s">
        <v>351</v>
      </c>
      <c r="F779" s="16" t="s">
        <v>359</v>
      </c>
      <c r="G779" s="17" t="n">
        <v>46291.6965162037</v>
      </c>
      <c r="H779" s="17" t="n">
        <v>46291.7152662037</v>
      </c>
      <c r="I779" s="18" t="n">
        <f aca="false">IF(H779="",ROUND((تنظیمات!$B$7-G779)*1440,0),ROUND((H779-G779)*1440,0))</f>
        <v>27</v>
      </c>
      <c r="J779" s="16" t="s">
        <v>346</v>
      </c>
      <c r="K779" s="16" t="s">
        <v>410</v>
      </c>
      <c r="L779" s="19" t="n">
        <v>0.895</v>
      </c>
      <c r="M779" s="19" t="n">
        <v>0.939</v>
      </c>
      <c r="N779" s="16" t="s">
        <v>340</v>
      </c>
      <c r="O779" s="16" t="s">
        <v>666</v>
      </c>
      <c r="P779" s="16" t="s">
        <v>420</v>
      </c>
      <c r="Q779" s="20" t="n">
        <v>46291</v>
      </c>
      <c r="R779" s="16" t="s">
        <v>2705</v>
      </c>
      <c r="S779" s="16" t="s">
        <v>404</v>
      </c>
      <c r="T779" s="17"/>
      <c r="U779" s="21" t="n">
        <v>1</v>
      </c>
      <c r="V779" s="21" t="n">
        <v>1</v>
      </c>
      <c r="W779" s="22" t="n">
        <v>6</v>
      </c>
      <c r="X779" s="16" t="s">
        <v>335</v>
      </c>
      <c r="Y779" s="16" t="s">
        <v>338</v>
      </c>
      <c r="Z779" s="16" t="s">
        <v>405</v>
      </c>
      <c r="AA779" s="16"/>
      <c r="AB779" s="23"/>
      <c r="AC779" s="17"/>
      <c r="AD779" s="16" t="s">
        <v>338</v>
      </c>
      <c r="AE779" s="16"/>
      <c r="AF779" s="16" t="str">
        <f aca="false">IF(COUNTIF(لیست_سفید!$A$2:$A$21,B779)&gt;0,"بله","خیر")</f>
        <v>خیر</v>
      </c>
      <c r="AG779" s="24" t="n">
        <f aca="false">IF(H779="","",IF(AD779="فیش مفقودی",تنظیمات!$B$6,(INT(I779/1440)*تنظیمات!$B$5+IF(MOD(I779,1440)&lt;=تنظیمات!$B$2,0,MIN(تنظیمات!$B$5,تنظیمات!$B$3+MAX(0,ROUNDUP((MOD(I779,1440)-60)/60,0))*تنظیمات!$B$4)))*INDEX(تعرفه!$B$2:$B$7,MATCH(AD779,تعرفه!$A$2:$A$7,0))))</f>
        <v>20000</v>
      </c>
      <c r="AH779" s="24" t="n">
        <v>20000</v>
      </c>
      <c r="AI779" s="24" t="n">
        <f aca="false">IF(AG779="","",AH779-AG779)</f>
        <v>0</v>
      </c>
      <c r="AJ779" s="21" t="n">
        <v>3</v>
      </c>
      <c r="AK779" s="21" t="n">
        <v>0</v>
      </c>
      <c r="AL779" s="16" t="s">
        <v>335</v>
      </c>
      <c r="AM779" s="16"/>
      <c r="AN779" s="16" t="s">
        <v>340</v>
      </c>
      <c r="AO779" s="16" t="s">
        <v>340</v>
      </c>
      <c r="AP779" s="16" t="s">
        <v>335</v>
      </c>
      <c r="AQ779" s="16"/>
      <c r="AR779" s="21" t="n">
        <f aca="false">IF(AND(T779&lt;&gt;"",H779&lt;&gt;""),IF(AND((T779-H779)*86400&gt;=0,(T779-H779)*86400&lt;تنظیمات!$B$13),1,0),0)</f>
        <v>0</v>
      </c>
      <c r="AS779" s="21" t="n">
        <f aca="false">IF(Z779="پوز",IF(OR(AB779="",COUNTIF(پوزها!$A$2:$A$5,AA779)=0),1,0),0)</f>
        <v>0</v>
      </c>
      <c r="AT779" s="21" t="n">
        <f aca="false">IF(AI779="",0,IF(AI779&gt;0,1,0))</f>
        <v>0</v>
      </c>
      <c r="AU779" s="21" t="n">
        <f aca="false">IF(AI779="",0,IF(AI779&lt;0,1,0))</f>
        <v>0</v>
      </c>
      <c r="AV779" s="21" t="n">
        <f aca="false">IF(U779&gt;V779,1,0)</f>
        <v>0</v>
      </c>
      <c r="AW779" s="21" t="n">
        <f aca="false">IF(OR(W779&gt;تنظیمات!$B$8,X779="بله"),1,0)</f>
        <v>0</v>
      </c>
      <c r="AX779" s="21" t="n">
        <f aca="false">IF(AND(N779="بله",L779&gt;تنظیمات!$B$9),1,0)</f>
        <v>1</v>
      </c>
      <c r="AY779" s="21" t="n">
        <f aca="false">IF(Y779="معکوس",1,0)</f>
        <v>0</v>
      </c>
      <c r="AZ779" s="21" t="n">
        <f aca="false">IF(ABS(AJ779)&gt;تنظیمات!$B$10,1,0)</f>
        <v>0</v>
      </c>
      <c r="BA779" s="21" t="n">
        <f aca="false">IF(AND(OR(AD779="رایگان/VIP",AD779="جانباز"),AF779="خیر"),1,0)</f>
        <v>0</v>
      </c>
      <c r="BB779" s="21" t="n">
        <f aca="false">IF(AE779="",0,IF(COUNTIF($AE$2:$AE$1001,AE779)&gt;1,1,0))</f>
        <v>0</v>
      </c>
      <c r="BC779" s="21" t="n">
        <f aca="false">IF(AND(H779="",I779&gt;تنظیمات!$B$12*60,AM779="خالی"),1,0)</f>
        <v>0</v>
      </c>
      <c r="BD779" s="21" t="n">
        <f aca="false">IF(AND(AP779="بله",I779&lt;تنظیمات!$B$14,AO779="خیر"),1,0)</f>
        <v>0</v>
      </c>
      <c r="BE779" s="21" t="n">
        <f aca="false">IF(AN779="خیر",1,0)</f>
        <v>0</v>
      </c>
      <c r="BF779" s="21" t="n">
        <f aca="false">IF(AND(AD779="فیش مفقودی",AQ779="بله",I779&gt;تنظیمات!$B$12*60),1,0)</f>
        <v>0</v>
      </c>
      <c r="BG779" s="21" t="n">
        <f aca="false">IF(AND(AK779&gt;تنظیمات!$B$11,AL779="بله"),1,0)</f>
        <v>0</v>
      </c>
      <c r="BH779" s="21" t="n">
        <f aca="false">MIN(100,AR779*تنظیمات!$B$21+AS779*تنظیمات!$B$22+AT779*تنظیمات!$B$23+AU779*تنظیمات!$B$24+AV779*تنظیمات!$B$25+AW779*تنظیمات!$B$26+AX779*تنظیمات!$B$27+AY779*تنظیمات!$B$28+AZ779*تنظیمات!$B$29+BA779*تنظیمات!$B$30+BB779*تنظیمات!$B$31+BC779*تنظیمات!$B$32+BD779*تنظیمات!$B$33+BE779*تنظیمات!$B$34+BF779*تنظیمات!$B$35+BG779*تنظیمات!$B$36)</f>
        <v>30</v>
      </c>
      <c r="BI779" s="16" t="str">
        <f aca="false">IF(BH779&gt;=60,"بحرانی",IF(BH779&gt;=30,"مشکوک",IF(BH779&gt;0,"هشدار","عادی")))</f>
        <v>مشکوک</v>
      </c>
      <c r="BJ779" s="16" t="s">
        <v>622</v>
      </c>
    </row>
    <row r="780" customFormat="false" ht="15" hidden="false" customHeight="false" outlineLevel="0" collapsed="false">
      <c r="A780" s="16" t="s">
        <v>2706</v>
      </c>
      <c r="B780" s="16" t="s">
        <v>430</v>
      </c>
      <c r="C780" s="16"/>
      <c r="D780" s="16" t="s">
        <v>431</v>
      </c>
      <c r="E780" s="16" t="s">
        <v>363</v>
      </c>
      <c r="F780" s="16" t="s">
        <v>333</v>
      </c>
      <c r="G780" s="17" t="n">
        <v>46291.7425</v>
      </c>
      <c r="H780" s="17" t="n">
        <v>46291.7459722222</v>
      </c>
      <c r="I780" s="18" t="n">
        <f aca="false">IF(H780="",ROUND((تنظیمات!$B$7-G780)*1440,0),ROUND((H780-G780)*1440,0))</f>
        <v>5</v>
      </c>
      <c r="J780" s="16" t="s">
        <v>334</v>
      </c>
      <c r="K780" s="16" t="s">
        <v>400</v>
      </c>
      <c r="L780" s="19" t="n">
        <v>0.889</v>
      </c>
      <c r="M780" s="19" t="n">
        <v>0.938</v>
      </c>
      <c r="N780" s="16" t="s">
        <v>335</v>
      </c>
      <c r="O780" s="16" t="s">
        <v>650</v>
      </c>
      <c r="P780" s="16" t="s">
        <v>420</v>
      </c>
      <c r="Q780" s="20" t="n">
        <v>46291</v>
      </c>
      <c r="R780" s="16" t="s">
        <v>2707</v>
      </c>
      <c r="S780" s="16" t="s">
        <v>404</v>
      </c>
      <c r="T780" s="17"/>
      <c r="U780" s="21" t="n">
        <v>1</v>
      </c>
      <c r="V780" s="21" t="n">
        <v>1</v>
      </c>
      <c r="W780" s="22" t="n">
        <v>6.2</v>
      </c>
      <c r="X780" s="16" t="s">
        <v>335</v>
      </c>
      <c r="Y780" s="16" t="s">
        <v>338</v>
      </c>
      <c r="Z780" s="16" t="s">
        <v>628</v>
      </c>
      <c r="AA780" s="16"/>
      <c r="AB780" s="23"/>
      <c r="AC780" s="17"/>
      <c r="AD780" s="16" t="s">
        <v>338</v>
      </c>
      <c r="AE780" s="16"/>
      <c r="AF780" s="16" t="str">
        <f aca="false">IF(COUNTIF(لیست_سفید!$A$2:$A$21,B780)&gt;0,"بله","خیر")</f>
        <v>خیر</v>
      </c>
      <c r="AG780" s="24" t="n">
        <f aca="false">IF(H780="","",IF(AD780="فیش مفقودی",تنظیمات!$B$6,(INT(I780/1440)*تنظیمات!$B$5+IF(MOD(I780,1440)&lt;=تنظیمات!$B$2,0,MIN(تنظیمات!$B$5,تنظیمات!$B$3+MAX(0,ROUNDUP((MOD(I780,1440)-60)/60,0))*تنظیمات!$B$4)))*INDEX(تعرفه!$B$2:$B$7,MATCH(AD780,تعرفه!$A$2:$A$7,0))))</f>
        <v>0</v>
      </c>
      <c r="AH780" s="24" t="n">
        <v>0</v>
      </c>
      <c r="AI780" s="24" t="n">
        <f aca="false">IF(AG780="","",AH780-AG780)</f>
        <v>0</v>
      </c>
      <c r="AJ780" s="21" t="n">
        <v>0</v>
      </c>
      <c r="AK780" s="21" t="n">
        <v>0</v>
      </c>
      <c r="AL780" s="16" t="s">
        <v>335</v>
      </c>
      <c r="AM780" s="16"/>
      <c r="AN780" s="16" t="s">
        <v>340</v>
      </c>
      <c r="AO780" s="16" t="s">
        <v>340</v>
      </c>
      <c r="AP780" s="16" t="s">
        <v>335</v>
      </c>
      <c r="AQ780" s="16"/>
      <c r="AR780" s="21" t="n">
        <f aca="false">IF(AND(T780&lt;&gt;"",H780&lt;&gt;""),IF(AND((T780-H780)*86400&gt;=0,(T780-H780)*86400&lt;تنظیمات!$B$13),1,0),0)</f>
        <v>0</v>
      </c>
      <c r="AS780" s="21" t="n">
        <f aca="false">IF(Z780="پوز",IF(OR(AB780="",COUNTIF(پوزها!$A$2:$A$5,AA780)=0),1,0),0)</f>
        <v>0</v>
      </c>
      <c r="AT780" s="21" t="n">
        <f aca="false">IF(AI780="",0,IF(AI780&gt;0,1,0))</f>
        <v>0</v>
      </c>
      <c r="AU780" s="21" t="n">
        <f aca="false">IF(AI780="",0,IF(AI780&lt;0,1,0))</f>
        <v>0</v>
      </c>
      <c r="AV780" s="21" t="n">
        <f aca="false">IF(U780&gt;V780,1,0)</f>
        <v>0</v>
      </c>
      <c r="AW780" s="21" t="n">
        <f aca="false">IF(OR(W780&gt;تنظیمات!$B$8,X780="بله"),1,0)</f>
        <v>0</v>
      </c>
      <c r="AX780" s="21" t="n">
        <f aca="false">IF(AND(N780="بله",L780&gt;تنظیمات!$B$9),1,0)</f>
        <v>0</v>
      </c>
      <c r="AY780" s="21" t="n">
        <f aca="false">IF(Y780="معکوس",1,0)</f>
        <v>0</v>
      </c>
      <c r="AZ780" s="21" t="n">
        <f aca="false">IF(ABS(AJ780)&gt;تنظیمات!$B$10,1,0)</f>
        <v>0</v>
      </c>
      <c r="BA780" s="21" t="n">
        <f aca="false">IF(AND(OR(AD780="رایگان/VIP",AD780="جانباز"),AF780="خیر"),1,0)</f>
        <v>0</v>
      </c>
      <c r="BB780" s="21" t="n">
        <f aca="false">IF(AE780="",0,IF(COUNTIF($AE$2:$AE$1001,AE780)&gt;1,1,0))</f>
        <v>0</v>
      </c>
      <c r="BC780" s="21" t="n">
        <f aca="false">IF(AND(H780="",I780&gt;تنظیمات!$B$12*60,AM780="خالی"),1,0)</f>
        <v>0</v>
      </c>
      <c r="BD780" s="21" t="n">
        <f aca="false">IF(AND(AP780="بله",I780&lt;تنظیمات!$B$14,AO780="خیر"),1,0)</f>
        <v>0</v>
      </c>
      <c r="BE780" s="21" t="n">
        <f aca="false">IF(AN780="خیر",1,0)</f>
        <v>0</v>
      </c>
      <c r="BF780" s="21" t="n">
        <f aca="false">IF(AND(AD780="فیش مفقودی",AQ780="بله",I780&gt;تنظیمات!$B$12*60),1,0)</f>
        <v>0</v>
      </c>
      <c r="BG780" s="21" t="n">
        <f aca="false">IF(AND(AK780&gt;تنظیمات!$B$11,AL780="بله"),1,0)</f>
        <v>0</v>
      </c>
      <c r="BH780" s="21" t="n">
        <f aca="false">MIN(100,AR780*تنظیمات!$B$21+AS780*تنظیمات!$B$22+AT780*تنظیمات!$B$23+AU780*تنظیمات!$B$24+AV780*تنظیمات!$B$25+AW780*تنظیمات!$B$26+AX780*تنظیمات!$B$27+AY780*تنظیمات!$B$28+AZ780*تنظیمات!$B$29+BA780*تنظیمات!$B$30+BB780*تنظیمات!$B$31+BC780*تنظیمات!$B$32+BD780*تنظیمات!$B$33+BE780*تنظیمات!$B$34+BF780*تنظیمات!$B$35+BG780*تنظیمات!$B$36)</f>
        <v>0</v>
      </c>
      <c r="BI780" s="16" t="str">
        <f aca="false">IF(BH780&gt;=60,"بحرانی",IF(BH780&gt;=30,"مشکوک",IF(BH780&gt;0,"هشدار","عادی")))</f>
        <v>عادی</v>
      </c>
      <c r="BJ780" s="16" t="s">
        <v>338</v>
      </c>
    </row>
    <row r="781" customFormat="false" ht="15" hidden="false" customHeight="false" outlineLevel="0" collapsed="false">
      <c r="A781" s="16" t="s">
        <v>2708</v>
      </c>
      <c r="B781" s="16" t="s">
        <v>1546</v>
      </c>
      <c r="C781" s="16" t="s">
        <v>2709</v>
      </c>
      <c r="D781" s="16" t="s">
        <v>418</v>
      </c>
      <c r="E781" s="16" t="s">
        <v>332</v>
      </c>
      <c r="F781" s="16" t="s">
        <v>333</v>
      </c>
      <c r="G781" s="17" t="n">
        <v>46291.750462963</v>
      </c>
      <c r="H781" s="17" t="n">
        <v>46291.7601851852</v>
      </c>
      <c r="I781" s="18" t="n">
        <f aca="false">IF(H781="",ROUND((تنظیمات!$B$7-G781)*1440,0),ROUND((H781-G781)*1440,0))</f>
        <v>14</v>
      </c>
      <c r="J781" s="16" t="s">
        <v>346</v>
      </c>
      <c r="K781" s="16" t="s">
        <v>410</v>
      </c>
      <c r="L781" s="19" t="n">
        <v>0.875</v>
      </c>
      <c r="M781" s="19" t="n">
        <v>0.947</v>
      </c>
      <c r="N781" s="16" t="s">
        <v>340</v>
      </c>
      <c r="O781" s="16" t="s">
        <v>666</v>
      </c>
      <c r="P781" s="16" t="s">
        <v>420</v>
      </c>
      <c r="Q781" s="20" t="n">
        <v>46291</v>
      </c>
      <c r="R781" s="16" t="s">
        <v>2710</v>
      </c>
      <c r="S781" s="16" t="s">
        <v>404</v>
      </c>
      <c r="T781" s="17"/>
      <c r="U781" s="21" t="n">
        <v>1</v>
      </c>
      <c r="V781" s="21" t="n">
        <v>1</v>
      </c>
      <c r="W781" s="22" t="n">
        <v>15.8</v>
      </c>
      <c r="X781" s="16" t="s">
        <v>335</v>
      </c>
      <c r="Y781" s="16" t="s">
        <v>338</v>
      </c>
      <c r="Z781" s="16" t="s">
        <v>405</v>
      </c>
      <c r="AA781" s="16"/>
      <c r="AB781" s="23"/>
      <c r="AC781" s="17"/>
      <c r="AD781" s="16" t="s">
        <v>338</v>
      </c>
      <c r="AE781" s="16"/>
      <c r="AF781" s="16" t="str">
        <f aca="false">IF(COUNTIF(لیست_سفید!$A$2:$A$21,B781)&gt;0,"بله","خیر")</f>
        <v>خیر</v>
      </c>
      <c r="AG781" s="24" t="n">
        <f aca="false">IF(H781="","",IF(AD781="فیش مفقودی",تنظیمات!$B$6,(INT(I781/1440)*تنظیمات!$B$5+IF(MOD(I781,1440)&lt;=تنظیمات!$B$2,0,MIN(تنظیمات!$B$5,تنظیمات!$B$3+MAX(0,ROUNDUP((MOD(I781,1440)-60)/60,0))*تنظیمات!$B$4)))*INDEX(تعرفه!$B$2:$B$7,MATCH(AD781,تعرفه!$A$2:$A$7,0))))</f>
        <v>20000</v>
      </c>
      <c r="AH781" s="24" t="n">
        <v>20000</v>
      </c>
      <c r="AI781" s="24" t="n">
        <f aca="false">IF(AG781="","",AH781-AG781)</f>
        <v>0</v>
      </c>
      <c r="AJ781" s="21" t="n">
        <v>-1</v>
      </c>
      <c r="AK781" s="21" t="n">
        <v>0</v>
      </c>
      <c r="AL781" s="16" t="s">
        <v>335</v>
      </c>
      <c r="AM781" s="16"/>
      <c r="AN781" s="16" t="s">
        <v>340</v>
      </c>
      <c r="AO781" s="16" t="s">
        <v>340</v>
      </c>
      <c r="AP781" s="16" t="s">
        <v>335</v>
      </c>
      <c r="AQ781" s="16"/>
      <c r="AR781" s="21" t="n">
        <f aca="false">IF(AND(T781&lt;&gt;"",H781&lt;&gt;""),IF(AND((T781-H781)*86400&gt;=0,(T781-H781)*86400&lt;تنظیمات!$B$13),1,0),0)</f>
        <v>0</v>
      </c>
      <c r="AS781" s="21" t="n">
        <f aca="false">IF(Z781="پوز",IF(OR(AB781="",COUNTIF(پوزها!$A$2:$A$5,AA781)=0),1,0),0)</f>
        <v>0</v>
      </c>
      <c r="AT781" s="21" t="n">
        <f aca="false">IF(AI781="",0,IF(AI781&gt;0,1,0))</f>
        <v>0</v>
      </c>
      <c r="AU781" s="21" t="n">
        <f aca="false">IF(AI781="",0,IF(AI781&lt;0,1,0))</f>
        <v>0</v>
      </c>
      <c r="AV781" s="21" t="n">
        <f aca="false">IF(U781&gt;V781,1,0)</f>
        <v>0</v>
      </c>
      <c r="AW781" s="21" t="n">
        <f aca="false">IF(OR(W781&gt;تنظیمات!$B$8,X781="بله"),1,0)</f>
        <v>1</v>
      </c>
      <c r="AX781" s="21" t="n">
        <f aca="false">IF(AND(N781="بله",L781&gt;تنظیمات!$B$9),1,0)</f>
        <v>1</v>
      </c>
      <c r="AY781" s="21" t="n">
        <f aca="false">IF(Y781="معکوس",1,0)</f>
        <v>0</v>
      </c>
      <c r="AZ781" s="21" t="n">
        <f aca="false">IF(ABS(AJ781)&gt;تنظیمات!$B$10,1,0)</f>
        <v>0</v>
      </c>
      <c r="BA781" s="21" t="n">
        <f aca="false">IF(AND(OR(AD781="رایگان/VIP",AD781="جانباز"),AF781="خیر"),1,0)</f>
        <v>0</v>
      </c>
      <c r="BB781" s="21" t="n">
        <f aca="false">IF(AE781="",0,IF(COUNTIF($AE$2:$AE$1001,AE781)&gt;1,1,0))</f>
        <v>0</v>
      </c>
      <c r="BC781" s="21" t="n">
        <f aca="false">IF(AND(H781="",I781&gt;تنظیمات!$B$12*60,AM781="خالی"),1,0)</f>
        <v>0</v>
      </c>
      <c r="BD781" s="21" t="n">
        <f aca="false">IF(AND(AP781="بله",I781&lt;تنظیمات!$B$14,AO781="خیر"),1,0)</f>
        <v>0</v>
      </c>
      <c r="BE781" s="21" t="n">
        <f aca="false">IF(AN781="خیر",1,0)</f>
        <v>0</v>
      </c>
      <c r="BF781" s="21" t="n">
        <f aca="false">IF(AND(AD781="فیش مفقودی",AQ781="بله",I781&gt;تنظیمات!$B$12*60),1,0)</f>
        <v>0</v>
      </c>
      <c r="BG781" s="21" t="n">
        <f aca="false">IF(AND(AK781&gt;تنظیمات!$B$11,AL781="بله"),1,0)</f>
        <v>0</v>
      </c>
      <c r="BH781" s="21" t="n">
        <f aca="false">MIN(100,AR781*تنظیمات!$B$21+AS781*تنظیمات!$B$22+AT781*تنظیمات!$B$23+AU781*تنظیمات!$B$24+AV781*تنظیمات!$B$25+AW781*تنظیمات!$B$26+AX781*تنظیمات!$B$27+AY781*تنظیمات!$B$28+AZ781*تنظیمات!$B$29+BA781*تنظیمات!$B$30+BB781*تنظیمات!$B$31+BC781*تنظیمات!$B$32+BD781*تنظیمات!$B$33+BE781*تنظیمات!$B$34+BF781*تنظیمات!$B$35+BG781*تنظیمات!$B$36)</f>
        <v>55</v>
      </c>
      <c r="BI781" s="16" t="str">
        <f aca="false">IF(BH781&gt;=60,"بحرانی",IF(BH781&gt;=30,"مشکوک",IF(BH781&gt;0,"هشدار","عادی")))</f>
        <v>مشکوک</v>
      </c>
      <c r="BJ781" s="16" t="s">
        <v>700</v>
      </c>
    </row>
    <row r="782" customFormat="false" ht="15" hidden="false" customHeight="false" outlineLevel="0" collapsed="false">
      <c r="A782" s="16" t="s">
        <v>2711</v>
      </c>
      <c r="B782" s="16" t="s">
        <v>1849</v>
      </c>
      <c r="C782" s="16"/>
      <c r="D782" s="16" t="s">
        <v>382</v>
      </c>
      <c r="E782" s="16" t="s">
        <v>390</v>
      </c>
      <c r="F782" s="16" t="s">
        <v>333</v>
      </c>
      <c r="G782" s="17" t="n">
        <v>46291.7603587963</v>
      </c>
      <c r="H782" s="17" t="n">
        <v>46291.7950810185</v>
      </c>
      <c r="I782" s="18" t="n">
        <f aca="false">IF(H782="",ROUND((تنظیمات!$B$7-G782)*1440,0),ROUND((H782-G782)*1440,0))</f>
        <v>50</v>
      </c>
      <c r="J782" s="16" t="s">
        <v>334</v>
      </c>
      <c r="K782" s="16" t="s">
        <v>400</v>
      </c>
      <c r="L782" s="19" t="n">
        <v>0.931</v>
      </c>
      <c r="M782" s="19" t="n">
        <v>0.972</v>
      </c>
      <c r="N782" s="16" t="s">
        <v>335</v>
      </c>
      <c r="O782" s="16" t="s">
        <v>650</v>
      </c>
      <c r="P782" s="16" t="s">
        <v>420</v>
      </c>
      <c r="Q782" s="20" t="n">
        <v>46291</v>
      </c>
      <c r="R782" s="16" t="s">
        <v>2712</v>
      </c>
      <c r="S782" s="16" t="s">
        <v>404</v>
      </c>
      <c r="T782" s="17"/>
      <c r="U782" s="21" t="n">
        <v>1</v>
      </c>
      <c r="V782" s="21" t="n">
        <v>1</v>
      </c>
      <c r="W782" s="22" t="n">
        <v>6.7</v>
      </c>
      <c r="X782" s="16" t="s">
        <v>335</v>
      </c>
      <c r="Y782" s="16" t="s">
        <v>338</v>
      </c>
      <c r="Z782" s="16" t="s">
        <v>413</v>
      </c>
      <c r="AA782" s="16" t="s">
        <v>427</v>
      </c>
      <c r="AB782" s="23" t="s">
        <v>2713</v>
      </c>
      <c r="AC782" s="17" t="n">
        <v>46291.7942361111</v>
      </c>
      <c r="AD782" s="16" t="s">
        <v>338</v>
      </c>
      <c r="AE782" s="16"/>
      <c r="AF782" s="16" t="str">
        <f aca="false">IF(COUNTIF(لیست_سفید!$A$2:$A$21,B782)&gt;0,"بله","خیر")</f>
        <v>خیر</v>
      </c>
      <c r="AG782" s="24" t="n">
        <f aca="false">IF(H782="","",IF(AD782="فیش مفقودی",تنظیمات!$B$6,(INT(I782/1440)*تنظیمات!$B$5+IF(MOD(I782,1440)&lt;=تنظیمات!$B$2,0,MIN(تنظیمات!$B$5,تنظیمات!$B$3+MAX(0,ROUNDUP((MOD(I782,1440)-60)/60,0))*تنظیمات!$B$4)))*INDEX(تعرفه!$B$2:$B$7,MATCH(AD782,تعرفه!$A$2:$A$7,0))))</f>
        <v>20000</v>
      </c>
      <c r="AH782" s="24" t="n">
        <v>20000</v>
      </c>
      <c r="AI782" s="24" t="n">
        <f aca="false">IF(AG782="","",AH782-AG782)</f>
        <v>0</v>
      </c>
      <c r="AJ782" s="21" t="n">
        <v>-2</v>
      </c>
      <c r="AK782" s="21" t="n">
        <v>0</v>
      </c>
      <c r="AL782" s="16" t="s">
        <v>335</v>
      </c>
      <c r="AM782" s="16"/>
      <c r="AN782" s="16" t="s">
        <v>340</v>
      </c>
      <c r="AO782" s="16" t="s">
        <v>340</v>
      </c>
      <c r="AP782" s="16" t="s">
        <v>335</v>
      </c>
      <c r="AQ782" s="16"/>
      <c r="AR782" s="21" t="n">
        <f aca="false">IF(AND(T782&lt;&gt;"",H782&lt;&gt;""),IF(AND((T782-H782)*86400&gt;=0,(T782-H782)*86400&lt;تنظیمات!$B$13),1,0),0)</f>
        <v>0</v>
      </c>
      <c r="AS782" s="21" t="n">
        <f aca="false">IF(Z782="پوز",IF(OR(AB782="",COUNTIF(پوزها!$A$2:$A$5,AA782)=0),1,0),0)</f>
        <v>0</v>
      </c>
      <c r="AT782" s="21" t="n">
        <f aca="false">IF(AI782="",0,IF(AI782&gt;0,1,0))</f>
        <v>0</v>
      </c>
      <c r="AU782" s="21" t="n">
        <f aca="false">IF(AI782="",0,IF(AI782&lt;0,1,0))</f>
        <v>0</v>
      </c>
      <c r="AV782" s="21" t="n">
        <f aca="false">IF(U782&gt;V782,1,0)</f>
        <v>0</v>
      </c>
      <c r="AW782" s="21" t="n">
        <f aca="false">IF(OR(W782&gt;تنظیمات!$B$8,X782="بله"),1,0)</f>
        <v>0</v>
      </c>
      <c r="AX782" s="21" t="n">
        <f aca="false">IF(AND(N782="بله",L782&gt;تنظیمات!$B$9),1,0)</f>
        <v>0</v>
      </c>
      <c r="AY782" s="21" t="n">
        <f aca="false">IF(Y782="معکوس",1,0)</f>
        <v>0</v>
      </c>
      <c r="AZ782" s="21" t="n">
        <f aca="false">IF(ABS(AJ782)&gt;تنظیمات!$B$10,1,0)</f>
        <v>0</v>
      </c>
      <c r="BA782" s="21" t="n">
        <f aca="false">IF(AND(OR(AD782="رایگان/VIP",AD782="جانباز"),AF782="خیر"),1,0)</f>
        <v>0</v>
      </c>
      <c r="BB782" s="21" t="n">
        <f aca="false">IF(AE782="",0,IF(COUNTIF($AE$2:$AE$1001,AE782)&gt;1,1,0))</f>
        <v>0</v>
      </c>
      <c r="BC782" s="21" t="n">
        <f aca="false">IF(AND(H782="",I782&gt;تنظیمات!$B$12*60,AM782="خالی"),1,0)</f>
        <v>0</v>
      </c>
      <c r="BD782" s="21" t="n">
        <f aca="false">IF(AND(AP782="بله",I782&lt;تنظیمات!$B$14,AO782="خیر"),1,0)</f>
        <v>0</v>
      </c>
      <c r="BE782" s="21" t="n">
        <f aca="false">IF(AN782="خیر",1,0)</f>
        <v>0</v>
      </c>
      <c r="BF782" s="21" t="n">
        <f aca="false">IF(AND(AD782="فیش مفقودی",AQ782="بله",I782&gt;تنظیمات!$B$12*60),1,0)</f>
        <v>0</v>
      </c>
      <c r="BG782" s="21" t="n">
        <f aca="false">IF(AND(AK782&gt;تنظیمات!$B$11,AL782="بله"),1,0)</f>
        <v>0</v>
      </c>
      <c r="BH782" s="21" t="n">
        <f aca="false">MIN(100,AR782*تنظیمات!$B$21+AS782*تنظیمات!$B$22+AT782*تنظیمات!$B$23+AU782*تنظیمات!$B$24+AV782*تنظیمات!$B$25+AW782*تنظیمات!$B$26+AX782*تنظیمات!$B$27+AY782*تنظیمات!$B$28+AZ782*تنظیمات!$B$29+BA782*تنظیمات!$B$30+BB782*تنظیمات!$B$31+BC782*تنظیمات!$B$32+BD782*تنظیمات!$B$33+BE782*تنظیمات!$B$34+BF782*تنظیمات!$B$35+BG782*تنظیمات!$B$36)</f>
        <v>0</v>
      </c>
      <c r="BI782" s="16" t="str">
        <f aca="false">IF(BH782&gt;=60,"بحرانی",IF(BH782&gt;=30,"مشکوک",IF(BH782&gt;0,"هشدار","عادی")))</f>
        <v>عادی</v>
      </c>
      <c r="BJ782" s="16" t="s">
        <v>338</v>
      </c>
    </row>
    <row r="783" customFormat="false" ht="15" hidden="false" customHeight="false" outlineLevel="0" collapsed="false">
      <c r="A783" s="16" t="s">
        <v>2714</v>
      </c>
      <c r="B783" s="16" t="s">
        <v>399</v>
      </c>
      <c r="C783" s="16" t="s">
        <v>2715</v>
      </c>
      <c r="D783" s="16" t="s">
        <v>382</v>
      </c>
      <c r="E783" s="16" t="s">
        <v>351</v>
      </c>
      <c r="F783" s="16" t="s">
        <v>333</v>
      </c>
      <c r="G783" s="17" t="n">
        <v>46291.7657407407</v>
      </c>
      <c r="H783" s="17" t="n">
        <v>46291.7747685185</v>
      </c>
      <c r="I783" s="18" t="n">
        <f aca="false">IF(H783="",ROUND((تنظیمات!$B$7-G783)*1440,0),ROUND((H783-G783)*1440,0))</f>
        <v>13</v>
      </c>
      <c r="J783" s="16" t="s">
        <v>334</v>
      </c>
      <c r="K783" s="16" t="s">
        <v>410</v>
      </c>
      <c r="L783" s="19" t="n">
        <v>0.965</v>
      </c>
      <c r="M783" s="19" t="n">
        <v>0.969</v>
      </c>
      <c r="N783" s="16" t="s">
        <v>340</v>
      </c>
      <c r="O783" s="16" t="s">
        <v>666</v>
      </c>
      <c r="P783" s="16" t="s">
        <v>420</v>
      </c>
      <c r="Q783" s="20" t="n">
        <v>46291</v>
      </c>
      <c r="R783" s="16" t="s">
        <v>2716</v>
      </c>
      <c r="S783" s="16" t="s">
        <v>404</v>
      </c>
      <c r="T783" s="17"/>
      <c r="U783" s="21" t="n">
        <v>1</v>
      </c>
      <c r="V783" s="21" t="n">
        <v>1</v>
      </c>
      <c r="W783" s="22" t="n">
        <v>24.9</v>
      </c>
      <c r="X783" s="16" t="s">
        <v>335</v>
      </c>
      <c r="Y783" s="16" t="s">
        <v>338</v>
      </c>
      <c r="Z783" s="16" t="s">
        <v>405</v>
      </c>
      <c r="AA783" s="16"/>
      <c r="AB783" s="23"/>
      <c r="AC783" s="17"/>
      <c r="AD783" s="16" t="s">
        <v>338</v>
      </c>
      <c r="AE783" s="16"/>
      <c r="AF783" s="16" t="str">
        <f aca="false">IF(COUNTIF(لیست_سفید!$A$2:$A$21,B783)&gt;0,"بله","خیر")</f>
        <v>خیر</v>
      </c>
      <c r="AG783" s="24" t="n">
        <f aca="false">IF(H783="","",IF(AD783="فیش مفقودی",تنظیمات!$B$6,(INT(I783/1440)*تنظیمات!$B$5+IF(MOD(I783,1440)&lt;=تنظیمات!$B$2,0,MIN(تنظیمات!$B$5,تنظیمات!$B$3+MAX(0,ROUNDUP((MOD(I783,1440)-60)/60,0))*تنظیمات!$B$4)))*INDEX(تعرفه!$B$2:$B$7,MATCH(AD783,تعرفه!$A$2:$A$7,0))))</f>
        <v>20000</v>
      </c>
      <c r="AH783" s="24" t="n">
        <v>20000</v>
      </c>
      <c r="AI783" s="24" t="n">
        <f aca="false">IF(AG783="","",AH783-AG783)</f>
        <v>0</v>
      </c>
      <c r="AJ783" s="21" t="n">
        <v>0</v>
      </c>
      <c r="AK783" s="21" t="n">
        <v>0</v>
      </c>
      <c r="AL783" s="16" t="s">
        <v>335</v>
      </c>
      <c r="AM783" s="16"/>
      <c r="AN783" s="16" t="s">
        <v>340</v>
      </c>
      <c r="AO783" s="16" t="s">
        <v>340</v>
      </c>
      <c r="AP783" s="16" t="s">
        <v>335</v>
      </c>
      <c r="AQ783" s="16"/>
      <c r="AR783" s="21" t="n">
        <f aca="false">IF(AND(T783&lt;&gt;"",H783&lt;&gt;""),IF(AND((T783-H783)*86400&gt;=0,(T783-H783)*86400&lt;تنظیمات!$B$13),1,0),0)</f>
        <v>0</v>
      </c>
      <c r="AS783" s="21" t="n">
        <f aca="false">IF(Z783="پوز",IF(OR(AB783="",COUNTIF(پوزها!$A$2:$A$5,AA783)=0),1,0),0)</f>
        <v>0</v>
      </c>
      <c r="AT783" s="21" t="n">
        <f aca="false">IF(AI783="",0,IF(AI783&gt;0,1,0))</f>
        <v>0</v>
      </c>
      <c r="AU783" s="21" t="n">
        <f aca="false">IF(AI783="",0,IF(AI783&lt;0,1,0))</f>
        <v>0</v>
      </c>
      <c r="AV783" s="21" t="n">
        <f aca="false">IF(U783&gt;V783,1,0)</f>
        <v>0</v>
      </c>
      <c r="AW783" s="21" t="n">
        <f aca="false">IF(OR(W783&gt;تنظیمات!$B$8,X783="بله"),1,0)</f>
        <v>1</v>
      </c>
      <c r="AX783" s="21" t="n">
        <f aca="false">IF(AND(N783="بله",L783&gt;تنظیمات!$B$9),1,0)</f>
        <v>1</v>
      </c>
      <c r="AY783" s="21" t="n">
        <f aca="false">IF(Y783="معکوس",1,0)</f>
        <v>0</v>
      </c>
      <c r="AZ783" s="21" t="n">
        <f aca="false">IF(ABS(AJ783)&gt;تنظیمات!$B$10,1,0)</f>
        <v>0</v>
      </c>
      <c r="BA783" s="21" t="n">
        <f aca="false">IF(AND(OR(AD783="رایگان/VIP",AD783="جانباز"),AF783="خیر"),1,0)</f>
        <v>0</v>
      </c>
      <c r="BB783" s="21" t="n">
        <f aca="false">IF(AE783="",0,IF(COUNTIF($AE$2:$AE$1001,AE783)&gt;1,1,0))</f>
        <v>0</v>
      </c>
      <c r="BC783" s="21" t="n">
        <f aca="false">IF(AND(H783="",I783&gt;تنظیمات!$B$12*60,AM783="خالی"),1,0)</f>
        <v>0</v>
      </c>
      <c r="BD783" s="21" t="n">
        <f aca="false">IF(AND(AP783="بله",I783&lt;تنظیمات!$B$14,AO783="خیر"),1,0)</f>
        <v>0</v>
      </c>
      <c r="BE783" s="21" t="n">
        <f aca="false">IF(AN783="خیر",1,0)</f>
        <v>0</v>
      </c>
      <c r="BF783" s="21" t="n">
        <f aca="false">IF(AND(AD783="فیش مفقودی",AQ783="بله",I783&gt;تنظیمات!$B$12*60),1,0)</f>
        <v>0</v>
      </c>
      <c r="BG783" s="21" t="n">
        <f aca="false">IF(AND(AK783&gt;تنظیمات!$B$11,AL783="بله"),1,0)</f>
        <v>0</v>
      </c>
      <c r="BH783" s="21" t="n">
        <f aca="false">MIN(100,AR783*تنظیمات!$B$21+AS783*تنظیمات!$B$22+AT783*تنظیمات!$B$23+AU783*تنظیمات!$B$24+AV783*تنظیمات!$B$25+AW783*تنظیمات!$B$26+AX783*تنظیمات!$B$27+AY783*تنظیمات!$B$28+AZ783*تنظیمات!$B$29+BA783*تنظیمات!$B$30+BB783*تنظیمات!$B$31+BC783*تنظیمات!$B$32+BD783*تنظیمات!$B$33+BE783*تنظیمات!$B$34+BF783*تنظیمات!$B$35+BG783*تنظیمات!$B$36)</f>
        <v>55</v>
      </c>
      <c r="BI783" s="16" t="str">
        <f aca="false">IF(BH783&gt;=60,"بحرانی",IF(BH783&gt;=30,"مشکوک",IF(BH783&gt;0,"هشدار","عادی")))</f>
        <v>مشکوک</v>
      </c>
      <c r="BJ783" s="16" t="s">
        <v>700</v>
      </c>
    </row>
    <row r="784" customFormat="false" ht="15" hidden="false" customHeight="false" outlineLevel="0" collapsed="false">
      <c r="A784" s="16" t="s">
        <v>2717</v>
      </c>
      <c r="B784" s="16" t="s">
        <v>718</v>
      </c>
      <c r="C784" s="16"/>
      <c r="D784" s="16" t="s">
        <v>418</v>
      </c>
      <c r="E784" s="16" t="s">
        <v>390</v>
      </c>
      <c r="F784" s="16" t="s">
        <v>333</v>
      </c>
      <c r="G784" s="17" t="n">
        <v>46291.7671990741</v>
      </c>
      <c r="H784" s="17" t="n">
        <v>46291.8741435185</v>
      </c>
      <c r="I784" s="18" t="n">
        <f aca="false">IF(H784="",ROUND((تنظیمات!$B$7-G784)*1440,0),ROUND((H784-G784)*1440,0))</f>
        <v>154</v>
      </c>
      <c r="J784" s="16" t="s">
        <v>334</v>
      </c>
      <c r="K784" s="16" t="s">
        <v>410</v>
      </c>
      <c r="L784" s="19" t="n">
        <v>0.944</v>
      </c>
      <c r="M784" s="19" t="n">
        <v>0.884</v>
      </c>
      <c r="N784" s="16" t="s">
        <v>335</v>
      </c>
      <c r="O784" s="16" t="s">
        <v>666</v>
      </c>
      <c r="P784" s="16" t="s">
        <v>420</v>
      </c>
      <c r="Q784" s="20" t="n">
        <v>46291</v>
      </c>
      <c r="R784" s="16" t="s">
        <v>2718</v>
      </c>
      <c r="S784" s="16" t="s">
        <v>404</v>
      </c>
      <c r="T784" s="17"/>
      <c r="U784" s="21" t="n">
        <v>1</v>
      </c>
      <c r="V784" s="21" t="n">
        <v>1</v>
      </c>
      <c r="W784" s="22" t="n">
        <v>6.1</v>
      </c>
      <c r="X784" s="16" t="s">
        <v>335</v>
      </c>
      <c r="Y784" s="16" t="s">
        <v>338</v>
      </c>
      <c r="Z784" s="16" t="s">
        <v>405</v>
      </c>
      <c r="AA784" s="16"/>
      <c r="AB784" s="23"/>
      <c r="AC784" s="17"/>
      <c r="AD784" s="16" t="s">
        <v>338</v>
      </c>
      <c r="AE784" s="16"/>
      <c r="AF784" s="16" t="str">
        <f aca="false">IF(COUNTIF(لیست_سفید!$A$2:$A$21,B784)&gt;0,"بله","خیر")</f>
        <v>خیر</v>
      </c>
      <c r="AG784" s="24" t="n">
        <f aca="false">IF(H784="","",IF(AD784="فیش مفقودی",تنظیمات!$B$6,(INT(I784/1440)*تنظیمات!$B$5+IF(MOD(I784,1440)&lt;=تنظیمات!$B$2,0,MIN(تنظیمات!$B$5,تنظیمات!$B$3+MAX(0,ROUNDUP((MOD(I784,1440)-60)/60,0))*تنظیمات!$B$4)))*INDEX(تعرفه!$B$2:$B$7,MATCH(AD784,تعرفه!$A$2:$A$7,0))))</f>
        <v>48000</v>
      </c>
      <c r="AH784" s="24" t="n">
        <v>48000</v>
      </c>
      <c r="AI784" s="24" t="n">
        <f aca="false">IF(AG784="","",AH784-AG784)</f>
        <v>0</v>
      </c>
      <c r="AJ784" s="21" t="n">
        <v>-4</v>
      </c>
      <c r="AK784" s="21" t="n">
        <v>0</v>
      </c>
      <c r="AL784" s="16" t="s">
        <v>335</v>
      </c>
      <c r="AM784" s="16"/>
      <c r="AN784" s="16" t="s">
        <v>340</v>
      </c>
      <c r="AO784" s="16" t="s">
        <v>340</v>
      </c>
      <c r="AP784" s="16" t="s">
        <v>335</v>
      </c>
      <c r="AQ784" s="16"/>
      <c r="AR784" s="21" t="n">
        <f aca="false">IF(AND(T784&lt;&gt;"",H784&lt;&gt;""),IF(AND((T784-H784)*86400&gt;=0,(T784-H784)*86400&lt;تنظیمات!$B$13),1,0),0)</f>
        <v>0</v>
      </c>
      <c r="AS784" s="21" t="n">
        <f aca="false">IF(Z784="پوز",IF(OR(AB784="",COUNTIF(پوزها!$A$2:$A$5,AA784)=0),1,0),0)</f>
        <v>0</v>
      </c>
      <c r="AT784" s="21" t="n">
        <f aca="false">IF(AI784="",0,IF(AI784&gt;0,1,0))</f>
        <v>0</v>
      </c>
      <c r="AU784" s="21" t="n">
        <f aca="false">IF(AI784="",0,IF(AI784&lt;0,1,0))</f>
        <v>0</v>
      </c>
      <c r="AV784" s="21" t="n">
        <f aca="false">IF(U784&gt;V784,1,0)</f>
        <v>0</v>
      </c>
      <c r="AW784" s="21" t="n">
        <f aca="false">IF(OR(W784&gt;تنظیمات!$B$8,X784="بله"),1,0)</f>
        <v>0</v>
      </c>
      <c r="AX784" s="21" t="n">
        <f aca="false">IF(AND(N784="بله",L784&gt;تنظیمات!$B$9),1,0)</f>
        <v>0</v>
      </c>
      <c r="AY784" s="21" t="n">
        <f aca="false">IF(Y784="معکوس",1,0)</f>
        <v>0</v>
      </c>
      <c r="AZ784" s="21" t="n">
        <f aca="false">IF(ABS(AJ784)&gt;تنظیمات!$B$10,1,0)</f>
        <v>0</v>
      </c>
      <c r="BA784" s="21" t="n">
        <f aca="false">IF(AND(OR(AD784="رایگان/VIP",AD784="جانباز"),AF784="خیر"),1,0)</f>
        <v>0</v>
      </c>
      <c r="BB784" s="21" t="n">
        <f aca="false">IF(AE784="",0,IF(COUNTIF($AE$2:$AE$1001,AE784)&gt;1,1,0))</f>
        <v>0</v>
      </c>
      <c r="BC784" s="21" t="n">
        <f aca="false">IF(AND(H784="",I784&gt;تنظیمات!$B$12*60,AM784="خالی"),1,0)</f>
        <v>0</v>
      </c>
      <c r="BD784" s="21" t="n">
        <f aca="false">IF(AND(AP784="بله",I784&lt;تنظیمات!$B$14,AO784="خیر"),1,0)</f>
        <v>0</v>
      </c>
      <c r="BE784" s="21" t="n">
        <f aca="false">IF(AN784="خیر",1,0)</f>
        <v>0</v>
      </c>
      <c r="BF784" s="21" t="n">
        <f aca="false">IF(AND(AD784="فیش مفقودی",AQ784="بله",I784&gt;تنظیمات!$B$12*60),1,0)</f>
        <v>0</v>
      </c>
      <c r="BG784" s="21" t="n">
        <f aca="false">IF(AND(AK784&gt;تنظیمات!$B$11,AL784="بله"),1,0)</f>
        <v>0</v>
      </c>
      <c r="BH784" s="21" t="n">
        <f aca="false">MIN(100,AR784*تنظیمات!$B$21+AS784*تنظیمات!$B$22+AT784*تنظیمات!$B$23+AU784*تنظیمات!$B$24+AV784*تنظیمات!$B$25+AW784*تنظیمات!$B$26+AX784*تنظیمات!$B$27+AY784*تنظیمات!$B$28+AZ784*تنظیمات!$B$29+BA784*تنظیمات!$B$30+BB784*تنظیمات!$B$31+BC784*تنظیمات!$B$32+BD784*تنظیمات!$B$33+BE784*تنظیمات!$B$34+BF784*تنظیمات!$B$35+BG784*تنظیمات!$B$36)</f>
        <v>0</v>
      </c>
      <c r="BI784" s="16" t="str">
        <f aca="false">IF(BH784&gt;=60,"بحرانی",IF(BH784&gt;=30,"مشکوک",IF(BH784&gt;0,"هشدار","عادی")))</f>
        <v>عادی</v>
      </c>
      <c r="BJ784" s="16" t="s">
        <v>338</v>
      </c>
    </row>
    <row r="785" customFormat="false" ht="15" hidden="false" customHeight="false" outlineLevel="0" collapsed="false">
      <c r="A785" s="16" t="s">
        <v>2719</v>
      </c>
      <c r="B785" s="16" t="s">
        <v>835</v>
      </c>
      <c r="C785" s="16" t="s">
        <v>2720</v>
      </c>
      <c r="D785" s="16" t="s">
        <v>344</v>
      </c>
      <c r="E785" s="16" t="s">
        <v>375</v>
      </c>
      <c r="F785" s="16" t="s">
        <v>333</v>
      </c>
      <c r="G785" s="17" t="n">
        <v>46291.7737731482</v>
      </c>
      <c r="H785" s="17" t="n">
        <v>46291.7855787037</v>
      </c>
      <c r="I785" s="18" t="n">
        <f aca="false">IF(H785="",ROUND((تنظیمات!$B$7-G785)*1440,0),ROUND((H785-G785)*1440,0))</f>
        <v>17</v>
      </c>
      <c r="J785" s="16" t="s">
        <v>346</v>
      </c>
      <c r="K785" s="16" t="s">
        <v>410</v>
      </c>
      <c r="L785" s="19" t="n">
        <v>0.887</v>
      </c>
      <c r="M785" s="19" t="n">
        <v>0.894</v>
      </c>
      <c r="N785" s="16" t="s">
        <v>340</v>
      </c>
      <c r="O785" s="16" t="s">
        <v>666</v>
      </c>
      <c r="P785" s="16" t="s">
        <v>420</v>
      </c>
      <c r="Q785" s="20" t="n">
        <v>46291</v>
      </c>
      <c r="R785" s="16" t="s">
        <v>2721</v>
      </c>
      <c r="S785" s="16" t="s">
        <v>404</v>
      </c>
      <c r="T785" s="17"/>
      <c r="U785" s="21" t="n">
        <v>1</v>
      </c>
      <c r="V785" s="21" t="n">
        <v>1</v>
      </c>
      <c r="W785" s="22" t="n">
        <v>5.6</v>
      </c>
      <c r="X785" s="16" t="s">
        <v>335</v>
      </c>
      <c r="Y785" s="16" t="s">
        <v>338</v>
      </c>
      <c r="Z785" s="16" t="s">
        <v>405</v>
      </c>
      <c r="AA785" s="16"/>
      <c r="AB785" s="23"/>
      <c r="AC785" s="17"/>
      <c r="AD785" s="16" t="s">
        <v>338</v>
      </c>
      <c r="AE785" s="16"/>
      <c r="AF785" s="16" t="str">
        <f aca="false">IF(COUNTIF(لیست_سفید!$A$2:$A$21,B785)&gt;0,"بله","خیر")</f>
        <v>خیر</v>
      </c>
      <c r="AG785" s="24" t="n">
        <f aca="false">IF(H785="","",IF(AD785="فیش مفقودی",تنظیمات!$B$6,(INT(I785/1440)*تنظیمات!$B$5+IF(MOD(I785,1440)&lt;=تنظیمات!$B$2,0,MIN(تنظیمات!$B$5,تنظیمات!$B$3+MAX(0,ROUNDUP((MOD(I785,1440)-60)/60,0))*تنظیمات!$B$4)))*INDEX(تعرفه!$B$2:$B$7,MATCH(AD785,تعرفه!$A$2:$A$7,0))))</f>
        <v>20000</v>
      </c>
      <c r="AH785" s="24" t="n">
        <v>20000</v>
      </c>
      <c r="AI785" s="24" t="n">
        <f aca="false">IF(AG785="","",AH785-AG785)</f>
        <v>0</v>
      </c>
      <c r="AJ785" s="21" t="n">
        <v>2</v>
      </c>
      <c r="AK785" s="21" t="n">
        <v>0</v>
      </c>
      <c r="AL785" s="16" t="s">
        <v>335</v>
      </c>
      <c r="AM785" s="16"/>
      <c r="AN785" s="16" t="s">
        <v>340</v>
      </c>
      <c r="AO785" s="16" t="s">
        <v>340</v>
      </c>
      <c r="AP785" s="16" t="s">
        <v>335</v>
      </c>
      <c r="AQ785" s="16"/>
      <c r="AR785" s="21" t="n">
        <f aca="false">IF(AND(T785&lt;&gt;"",H785&lt;&gt;""),IF(AND((T785-H785)*86400&gt;=0,(T785-H785)*86400&lt;تنظیمات!$B$13),1,0),0)</f>
        <v>0</v>
      </c>
      <c r="AS785" s="21" t="n">
        <f aca="false">IF(Z785="پوز",IF(OR(AB785="",COUNTIF(پوزها!$A$2:$A$5,AA785)=0),1,0),0)</f>
        <v>0</v>
      </c>
      <c r="AT785" s="21" t="n">
        <f aca="false">IF(AI785="",0,IF(AI785&gt;0,1,0))</f>
        <v>0</v>
      </c>
      <c r="AU785" s="21" t="n">
        <f aca="false">IF(AI785="",0,IF(AI785&lt;0,1,0))</f>
        <v>0</v>
      </c>
      <c r="AV785" s="21" t="n">
        <f aca="false">IF(U785&gt;V785,1,0)</f>
        <v>0</v>
      </c>
      <c r="AW785" s="21" t="n">
        <f aca="false">IF(OR(W785&gt;تنظیمات!$B$8,X785="بله"),1,0)</f>
        <v>0</v>
      </c>
      <c r="AX785" s="21" t="n">
        <f aca="false">IF(AND(N785="بله",L785&gt;تنظیمات!$B$9),1,0)</f>
        <v>1</v>
      </c>
      <c r="AY785" s="21" t="n">
        <f aca="false">IF(Y785="معکوس",1,0)</f>
        <v>0</v>
      </c>
      <c r="AZ785" s="21" t="n">
        <f aca="false">IF(ABS(AJ785)&gt;تنظیمات!$B$10,1,0)</f>
        <v>0</v>
      </c>
      <c r="BA785" s="21" t="n">
        <f aca="false">IF(AND(OR(AD785="رایگان/VIP",AD785="جانباز"),AF785="خیر"),1,0)</f>
        <v>0</v>
      </c>
      <c r="BB785" s="21" t="n">
        <f aca="false">IF(AE785="",0,IF(COUNTIF($AE$2:$AE$1001,AE785)&gt;1,1,0))</f>
        <v>0</v>
      </c>
      <c r="BC785" s="21" t="n">
        <f aca="false">IF(AND(H785="",I785&gt;تنظیمات!$B$12*60,AM785="خالی"),1,0)</f>
        <v>0</v>
      </c>
      <c r="BD785" s="21" t="n">
        <f aca="false">IF(AND(AP785="بله",I785&lt;تنظیمات!$B$14,AO785="خیر"),1,0)</f>
        <v>0</v>
      </c>
      <c r="BE785" s="21" t="n">
        <f aca="false">IF(AN785="خیر",1,0)</f>
        <v>0</v>
      </c>
      <c r="BF785" s="21" t="n">
        <f aca="false">IF(AND(AD785="فیش مفقودی",AQ785="بله",I785&gt;تنظیمات!$B$12*60),1,0)</f>
        <v>0</v>
      </c>
      <c r="BG785" s="21" t="n">
        <f aca="false">IF(AND(AK785&gt;تنظیمات!$B$11,AL785="بله"),1,0)</f>
        <v>0</v>
      </c>
      <c r="BH785" s="21" t="n">
        <f aca="false">MIN(100,AR785*تنظیمات!$B$21+AS785*تنظیمات!$B$22+AT785*تنظیمات!$B$23+AU785*تنظیمات!$B$24+AV785*تنظیمات!$B$25+AW785*تنظیمات!$B$26+AX785*تنظیمات!$B$27+AY785*تنظیمات!$B$28+AZ785*تنظیمات!$B$29+BA785*تنظیمات!$B$30+BB785*تنظیمات!$B$31+BC785*تنظیمات!$B$32+BD785*تنظیمات!$B$33+BE785*تنظیمات!$B$34+BF785*تنظیمات!$B$35+BG785*تنظیمات!$B$36)</f>
        <v>30</v>
      </c>
      <c r="BI785" s="16" t="str">
        <f aca="false">IF(BH785&gt;=60,"بحرانی",IF(BH785&gt;=30,"مشکوک",IF(BH785&gt;0,"هشدار","عادی")))</f>
        <v>مشکوک</v>
      </c>
      <c r="BJ785" s="16" t="s">
        <v>622</v>
      </c>
    </row>
    <row r="786" customFormat="false" ht="15" hidden="false" customHeight="false" outlineLevel="0" collapsed="false">
      <c r="A786" s="16" t="s">
        <v>2722</v>
      </c>
      <c r="B786" s="16" t="s">
        <v>631</v>
      </c>
      <c r="C786" s="16"/>
      <c r="D786" s="16" t="s">
        <v>431</v>
      </c>
      <c r="E786" s="16" t="s">
        <v>351</v>
      </c>
      <c r="F786" s="16" t="s">
        <v>333</v>
      </c>
      <c r="G786" s="17" t="n">
        <v>46291.774525463</v>
      </c>
      <c r="H786" s="17" t="n">
        <v>46291.8654976852</v>
      </c>
      <c r="I786" s="18" t="n">
        <f aca="false">IF(H786="",ROUND((تنظیمات!$B$7-G786)*1440,0),ROUND((H786-G786)*1440,0))</f>
        <v>131</v>
      </c>
      <c r="J786" s="16" t="s">
        <v>346</v>
      </c>
      <c r="K786" s="16" t="s">
        <v>400</v>
      </c>
      <c r="L786" s="19" t="n">
        <v>0.936</v>
      </c>
      <c r="M786" s="19" t="n">
        <v>0.901</v>
      </c>
      <c r="N786" s="16" t="s">
        <v>335</v>
      </c>
      <c r="O786" s="16" t="s">
        <v>650</v>
      </c>
      <c r="P786" s="16" t="s">
        <v>420</v>
      </c>
      <c r="Q786" s="20" t="n">
        <v>46291</v>
      </c>
      <c r="R786" s="16" t="s">
        <v>2723</v>
      </c>
      <c r="S786" s="16" t="s">
        <v>404</v>
      </c>
      <c r="T786" s="17"/>
      <c r="U786" s="21" t="n">
        <v>1</v>
      </c>
      <c r="V786" s="21" t="n">
        <v>1</v>
      </c>
      <c r="W786" s="22" t="n">
        <v>4.6</v>
      </c>
      <c r="X786" s="16" t="s">
        <v>335</v>
      </c>
      <c r="Y786" s="16" t="s">
        <v>338</v>
      </c>
      <c r="Z786" s="16" t="s">
        <v>405</v>
      </c>
      <c r="AA786" s="16"/>
      <c r="AB786" s="23"/>
      <c r="AC786" s="17"/>
      <c r="AD786" s="16" t="s">
        <v>338</v>
      </c>
      <c r="AE786" s="16"/>
      <c r="AF786" s="16" t="str">
        <f aca="false">IF(COUNTIF(لیست_سفید!$A$2:$A$21,B786)&gt;0,"بله","خیر")</f>
        <v>خیر</v>
      </c>
      <c r="AG786" s="24" t="n">
        <f aca="false">IF(H786="","",IF(AD786="فیش مفقودی",تنظیمات!$B$6,(INT(I786/1440)*تنظیمات!$B$5+IF(MOD(I786,1440)&lt;=تنظیمات!$B$2,0,MIN(تنظیمات!$B$5,تنظیمات!$B$3+MAX(0,ROUNDUP((MOD(I786,1440)-60)/60,0))*تنظیمات!$B$4)))*INDEX(تعرفه!$B$2:$B$7,MATCH(AD786,تعرفه!$A$2:$A$7,0))))</f>
        <v>48000</v>
      </c>
      <c r="AH786" s="24" t="n">
        <v>48000</v>
      </c>
      <c r="AI786" s="24" t="n">
        <f aca="false">IF(AG786="","",AH786-AG786)</f>
        <v>0</v>
      </c>
      <c r="AJ786" s="21" t="n">
        <v>0</v>
      </c>
      <c r="AK786" s="21" t="n">
        <v>0</v>
      </c>
      <c r="AL786" s="16" t="s">
        <v>335</v>
      </c>
      <c r="AM786" s="16"/>
      <c r="AN786" s="16" t="s">
        <v>340</v>
      </c>
      <c r="AO786" s="16" t="s">
        <v>340</v>
      </c>
      <c r="AP786" s="16" t="s">
        <v>335</v>
      </c>
      <c r="AQ786" s="16"/>
      <c r="AR786" s="21" t="n">
        <f aca="false">IF(AND(T786&lt;&gt;"",H786&lt;&gt;""),IF(AND((T786-H786)*86400&gt;=0,(T786-H786)*86400&lt;تنظیمات!$B$13),1,0),0)</f>
        <v>0</v>
      </c>
      <c r="AS786" s="21" t="n">
        <f aca="false">IF(Z786="پوز",IF(OR(AB786="",COUNTIF(پوزها!$A$2:$A$5,AA786)=0),1,0),0)</f>
        <v>0</v>
      </c>
      <c r="AT786" s="21" t="n">
        <f aca="false">IF(AI786="",0,IF(AI786&gt;0,1,0))</f>
        <v>0</v>
      </c>
      <c r="AU786" s="21" t="n">
        <f aca="false">IF(AI786="",0,IF(AI786&lt;0,1,0))</f>
        <v>0</v>
      </c>
      <c r="AV786" s="21" t="n">
        <f aca="false">IF(U786&gt;V786,1,0)</f>
        <v>0</v>
      </c>
      <c r="AW786" s="21" t="n">
        <f aca="false">IF(OR(W786&gt;تنظیمات!$B$8,X786="بله"),1,0)</f>
        <v>0</v>
      </c>
      <c r="AX786" s="21" t="n">
        <f aca="false">IF(AND(N786="بله",L786&gt;تنظیمات!$B$9),1,0)</f>
        <v>0</v>
      </c>
      <c r="AY786" s="21" t="n">
        <f aca="false">IF(Y786="معکوس",1,0)</f>
        <v>0</v>
      </c>
      <c r="AZ786" s="21" t="n">
        <f aca="false">IF(ABS(AJ786)&gt;تنظیمات!$B$10,1,0)</f>
        <v>0</v>
      </c>
      <c r="BA786" s="21" t="n">
        <f aca="false">IF(AND(OR(AD786="رایگان/VIP",AD786="جانباز"),AF786="خیر"),1,0)</f>
        <v>0</v>
      </c>
      <c r="BB786" s="21" t="n">
        <f aca="false">IF(AE786="",0,IF(COUNTIF($AE$2:$AE$1001,AE786)&gt;1,1,0))</f>
        <v>0</v>
      </c>
      <c r="BC786" s="21" t="n">
        <f aca="false">IF(AND(H786="",I786&gt;تنظیمات!$B$12*60,AM786="خالی"),1,0)</f>
        <v>0</v>
      </c>
      <c r="BD786" s="21" t="n">
        <f aca="false">IF(AND(AP786="بله",I786&lt;تنظیمات!$B$14,AO786="خیر"),1,0)</f>
        <v>0</v>
      </c>
      <c r="BE786" s="21" t="n">
        <f aca="false">IF(AN786="خیر",1,0)</f>
        <v>0</v>
      </c>
      <c r="BF786" s="21" t="n">
        <f aca="false">IF(AND(AD786="فیش مفقودی",AQ786="بله",I786&gt;تنظیمات!$B$12*60),1,0)</f>
        <v>0</v>
      </c>
      <c r="BG786" s="21" t="n">
        <f aca="false">IF(AND(AK786&gt;تنظیمات!$B$11,AL786="بله"),1,0)</f>
        <v>0</v>
      </c>
      <c r="BH786" s="21" t="n">
        <f aca="false">MIN(100,AR786*تنظیمات!$B$21+AS786*تنظیمات!$B$22+AT786*تنظیمات!$B$23+AU786*تنظیمات!$B$24+AV786*تنظیمات!$B$25+AW786*تنظیمات!$B$26+AX786*تنظیمات!$B$27+AY786*تنظیمات!$B$28+AZ786*تنظیمات!$B$29+BA786*تنظیمات!$B$30+BB786*تنظیمات!$B$31+BC786*تنظیمات!$B$32+BD786*تنظیمات!$B$33+BE786*تنظیمات!$B$34+BF786*تنظیمات!$B$35+BG786*تنظیمات!$B$36)</f>
        <v>0</v>
      </c>
      <c r="BI786" s="16" t="str">
        <f aca="false">IF(BH786&gt;=60,"بحرانی",IF(BH786&gt;=30,"مشکوک",IF(BH786&gt;0,"هشدار","عادی")))</f>
        <v>عادی</v>
      </c>
      <c r="BJ786" s="16" t="s">
        <v>338</v>
      </c>
    </row>
    <row r="787" customFormat="false" ht="15" hidden="false" customHeight="false" outlineLevel="0" collapsed="false">
      <c r="A787" s="16" t="s">
        <v>2724</v>
      </c>
      <c r="B787" s="16" t="s">
        <v>2224</v>
      </c>
      <c r="C787" s="16"/>
      <c r="D787" s="16" t="s">
        <v>374</v>
      </c>
      <c r="E787" s="16" t="s">
        <v>345</v>
      </c>
      <c r="F787" s="16" t="s">
        <v>359</v>
      </c>
      <c r="G787" s="17" t="n">
        <v>46291.7789699074</v>
      </c>
      <c r="H787" s="17" t="n">
        <v>46291.8379976852</v>
      </c>
      <c r="I787" s="18" t="n">
        <f aca="false">IF(H787="",ROUND((تنظیمات!$B$7-G787)*1440,0),ROUND((H787-G787)*1440,0))</f>
        <v>85</v>
      </c>
      <c r="J787" s="16" t="s">
        <v>334</v>
      </c>
      <c r="K787" s="16" t="s">
        <v>400</v>
      </c>
      <c r="L787" s="19" t="n">
        <v>0.977</v>
      </c>
      <c r="M787" s="19" t="n">
        <v>0.995</v>
      </c>
      <c r="N787" s="16" t="s">
        <v>335</v>
      </c>
      <c r="O787" s="16" t="s">
        <v>650</v>
      </c>
      <c r="P787" s="16" t="s">
        <v>420</v>
      </c>
      <c r="Q787" s="20" t="n">
        <v>46291</v>
      </c>
      <c r="R787" s="16" t="s">
        <v>2725</v>
      </c>
      <c r="S787" s="16" t="s">
        <v>404</v>
      </c>
      <c r="T787" s="17"/>
      <c r="U787" s="21" t="n">
        <v>1</v>
      </c>
      <c r="V787" s="21" t="n">
        <v>1</v>
      </c>
      <c r="W787" s="22" t="n">
        <v>4.6</v>
      </c>
      <c r="X787" s="16" t="s">
        <v>335</v>
      </c>
      <c r="Y787" s="16" t="s">
        <v>338</v>
      </c>
      <c r="Z787" s="16" t="s">
        <v>405</v>
      </c>
      <c r="AA787" s="16"/>
      <c r="AB787" s="23"/>
      <c r="AC787" s="17"/>
      <c r="AD787" s="16" t="s">
        <v>338</v>
      </c>
      <c r="AE787" s="16"/>
      <c r="AF787" s="16" t="str">
        <f aca="false">IF(COUNTIF(لیست_سفید!$A$2:$A$21,B787)&gt;0,"بله","خیر")</f>
        <v>خیر</v>
      </c>
      <c r="AG787" s="24" t="n">
        <f aca="false">IF(H787="","",IF(AD787="فیش مفقودی",تنظیمات!$B$6,(INT(I787/1440)*تنظیمات!$B$5+IF(MOD(I787,1440)&lt;=تنظیمات!$B$2,0,MIN(تنظیمات!$B$5,تنظیمات!$B$3+MAX(0,ROUNDUP((MOD(I787,1440)-60)/60,0))*تنظیمات!$B$4)))*INDEX(تعرفه!$B$2:$B$7,MATCH(AD787,تعرفه!$A$2:$A$7,0))))</f>
        <v>34000</v>
      </c>
      <c r="AH787" s="24" t="n">
        <v>34000</v>
      </c>
      <c r="AI787" s="24" t="n">
        <f aca="false">IF(AG787="","",AH787-AG787)</f>
        <v>0</v>
      </c>
      <c r="AJ787" s="21" t="n">
        <v>-1</v>
      </c>
      <c r="AK787" s="21" t="n">
        <v>0</v>
      </c>
      <c r="AL787" s="16" t="s">
        <v>335</v>
      </c>
      <c r="AM787" s="16"/>
      <c r="AN787" s="16" t="s">
        <v>340</v>
      </c>
      <c r="AO787" s="16" t="s">
        <v>340</v>
      </c>
      <c r="AP787" s="16" t="s">
        <v>335</v>
      </c>
      <c r="AQ787" s="16"/>
      <c r="AR787" s="21" t="n">
        <f aca="false">IF(AND(T787&lt;&gt;"",H787&lt;&gt;""),IF(AND((T787-H787)*86400&gt;=0,(T787-H787)*86400&lt;تنظیمات!$B$13),1,0),0)</f>
        <v>0</v>
      </c>
      <c r="AS787" s="21" t="n">
        <f aca="false">IF(Z787="پوز",IF(OR(AB787="",COUNTIF(پوزها!$A$2:$A$5,AA787)=0),1,0),0)</f>
        <v>0</v>
      </c>
      <c r="AT787" s="21" t="n">
        <f aca="false">IF(AI787="",0,IF(AI787&gt;0,1,0))</f>
        <v>0</v>
      </c>
      <c r="AU787" s="21" t="n">
        <f aca="false">IF(AI787="",0,IF(AI787&lt;0,1,0))</f>
        <v>0</v>
      </c>
      <c r="AV787" s="21" t="n">
        <f aca="false">IF(U787&gt;V787,1,0)</f>
        <v>0</v>
      </c>
      <c r="AW787" s="21" t="n">
        <f aca="false">IF(OR(W787&gt;تنظیمات!$B$8,X787="بله"),1,0)</f>
        <v>0</v>
      </c>
      <c r="AX787" s="21" t="n">
        <f aca="false">IF(AND(N787="بله",L787&gt;تنظیمات!$B$9),1,0)</f>
        <v>0</v>
      </c>
      <c r="AY787" s="21" t="n">
        <f aca="false">IF(Y787="معکوس",1,0)</f>
        <v>0</v>
      </c>
      <c r="AZ787" s="21" t="n">
        <f aca="false">IF(ABS(AJ787)&gt;تنظیمات!$B$10,1,0)</f>
        <v>0</v>
      </c>
      <c r="BA787" s="21" t="n">
        <f aca="false">IF(AND(OR(AD787="رایگان/VIP",AD787="جانباز"),AF787="خیر"),1,0)</f>
        <v>0</v>
      </c>
      <c r="BB787" s="21" t="n">
        <f aca="false">IF(AE787="",0,IF(COUNTIF($AE$2:$AE$1001,AE787)&gt;1,1,0))</f>
        <v>0</v>
      </c>
      <c r="BC787" s="21" t="n">
        <f aca="false">IF(AND(H787="",I787&gt;تنظیمات!$B$12*60,AM787="خالی"),1,0)</f>
        <v>0</v>
      </c>
      <c r="BD787" s="21" t="n">
        <f aca="false">IF(AND(AP787="بله",I787&lt;تنظیمات!$B$14,AO787="خیر"),1,0)</f>
        <v>0</v>
      </c>
      <c r="BE787" s="21" t="n">
        <f aca="false">IF(AN787="خیر",1,0)</f>
        <v>0</v>
      </c>
      <c r="BF787" s="21" t="n">
        <f aca="false">IF(AND(AD787="فیش مفقودی",AQ787="بله",I787&gt;تنظیمات!$B$12*60),1,0)</f>
        <v>0</v>
      </c>
      <c r="BG787" s="21" t="n">
        <f aca="false">IF(AND(AK787&gt;تنظیمات!$B$11,AL787="بله"),1,0)</f>
        <v>0</v>
      </c>
      <c r="BH787" s="21" t="n">
        <f aca="false">MIN(100,AR787*تنظیمات!$B$21+AS787*تنظیمات!$B$22+AT787*تنظیمات!$B$23+AU787*تنظیمات!$B$24+AV787*تنظیمات!$B$25+AW787*تنظیمات!$B$26+AX787*تنظیمات!$B$27+AY787*تنظیمات!$B$28+AZ787*تنظیمات!$B$29+BA787*تنظیمات!$B$30+BB787*تنظیمات!$B$31+BC787*تنظیمات!$B$32+BD787*تنظیمات!$B$33+BE787*تنظیمات!$B$34+BF787*تنظیمات!$B$35+BG787*تنظیمات!$B$36)</f>
        <v>0</v>
      </c>
      <c r="BI787" s="16" t="str">
        <f aca="false">IF(BH787&gt;=60,"بحرانی",IF(BH787&gt;=30,"مشکوک",IF(BH787&gt;0,"هشدار","عادی")))</f>
        <v>عادی</v>
      </c>
      <c r="BJ787" s="16" t="s">
        <v>338</v>
      </c>
    </row>
    <row r="788" customFormat="false" ht="15" hidden="false" customHeight="false" outlineLevel="0" collapsed="false">
      <c r="A788" s="16" t="s">
        <v>2726</v>
      </c>
      <c r="B788" s="16" t="s">
        <v>1944</v>
      </c>
      <c r="C788" s="16"/>
      <c r="D788" s="16" t="s">
        <v>358</v>
      </c>
      <c r="E788" s="16" t="s">
        <v>375</v>
      </c>
      <c r="F788" s="16" t="s">
        <v>359</v>
      </c>
      <c r="G788" s="17" t="n">
        <v>46291.7813657407</v>
      </c>
      <c r="H788" s="17" t="n">
        <v>46291.8202546296</v>
      </c>
      <c r="I788" s="18" t="n">
        <f aca="false">IF(H788="",ROUND((تنظیمات!$B$7-G788)*1440,0),ROUND((H788-G788)*1440,0))</f>
        <v>56</v>
      </c>
      <c r="J788" s="16" t="s">
        <v>346</v>
      </c>
      <c r="K788" s="16" t="s">
        <v>410</v>
      </c>
      <c r="L788" s="19" t="n">
        <v>0.972</v>
      </c>
      <c r="M788" s="19" t="n">
        <v>0.955</v>
      </c>
      <c r="N788" s="16" t="s">
        <v>335</v>
      </c>
      <c r="O788" s="16" t="s">
        <v>666</v>
      </c>
      <c r="P788" s="16" t="s">
        <v>420</v>
      </c>
      <c r="Q788" s="20" t="n">
        <v>46291</v>
      </c>
      <c r="R788" s="16" t="s">
        <v>2727</v>
      </c>
      <c r="S788" s="16" t="s">
        <v>404</v>
      </c>
      <c r="T788" s="17"/>
      <c r="U788" s="21" t="n">
        <v>1</v>
      </c>
      <c r="V788" s="21" t="n">
        <v>1</v>
      </c>
      <c r="W788" s="22" t="n">
        <v>4.6</v>
      </c>
      <c r="X788" s="16" t="s">
        <v>335</v>
      </c>
      <c r="Y788" s="16" t="s">
        <v>338</v>
      </c>
      <c r="Z788" s="16" t="s">
        <v>413</v>
      </c>
      <c r="AA788" s="16" t="s">
        <v>414</v>
      </c>
      <c r="AB788" s="23" t="s">
        <v>2728</v>
      </c>
      <c r="AC788" s="17" t="n">
        <v>46291.819537037</v>
      </c>
      <c r="AD788" s="16" t="s">
        <v>338</v>
      </c>
      <c r="AE788" s="16"/>
      <c r="AF788" s="16" t="str">
        <f aca="false">IF(COUNTIF(لیست_سفید!$A$2:$A$21,B788)&gt;0,"بله","خیر")</f>
        <v>خیر</v>
      </c>
      <c r="AG788" s="24" t="n">
        <f aca="false">IF(H788="","",IF(AD788="فیش مفقودی",تنظیمات!$B$6,(INT(I788/1440)*تنظیمات!$B$5+IF(MOD(I788,1440)&lt;=تنظیمات!$B$2,0,MIN(تنظیمات!$B$5,تنظیمات!$B$3+MAX(0,ROUNDUP((MOD(I788,1440)-60)/60,0))*تنظیمات!$B$4)))*INDEX(تعرفه!$B$2:$B$7,MATCH(AD788,تعرفه!$A$2:$A$7,0))))</f>
        <v>20000</v>
      </c>
      <c r="AH788" s="24" t="n">
        <v>20000</v>
      </c>
      <c r="AI788" s="24" t="n">
        <f aca="false">IF(AG788="","",AH788-AG788)</f>
        <v>0</v>
      </c>
      <c r="AJ788" s="21" t="n">
        <v>-5</v>
      </c>
      <c r="AK788" s="21" t="n">
        <v>0</v>
      </c>
      <c r="AL788" s="16" t="s">
        <v>335</v>
      </c>
      <c r="AM788" s="16"/>
      <c r="AN788" s="16" t="s">
        <v>340</v>
      </c>
      <c r="AO788" s="16" t="s">
        <v>340</v>
      </c>
      <c r="AP788" s="16" t="s">
        <v>335</v>
      </c>
      <c r="AQ788" s="16"/>
      <c r="AR788" s="21" t="n">
        <f aca="false">IF(AND(T788&lt;&gt;"",H788&lt;&gt;""),IF(AND((T788-H788)*86400&gt;=0,(T788-H788)*86400&lt;تنظیمات!$B$13),1,0),0)</f>
        <v>0</v>
      </c>
      <c r="AS788" s="21" t="n">
        <f aca="false">IF(Z788="پوز",IF(OR(AB788="",COUNTIF(پوزها!$A$2:$A$5,AA788)=0),1,0),0)</f>
        <v>0</v>
      </c>
      <c r="AT788" s="21" t="n">
        <f aca="false">IF(AI788="",0,IF(AI788&gt;0,1,0))</f>
        <v>0</v>
      </c>
      <c r="AU788" s="21" t="n">
        <f aca="false">IF(AI788="",0,IF(AI788&lt;0,1,0))</f>
        <v>0</v>
      </c>
      <c r="AV788" s="21" t="n">
        <f aca="false">IF(U788&gt;V788,1,0)</f>
        <v>0</v>
      </c>
      <c r="AW788" s="21" t="n">
        <f aca="false">IF(OR(W788&gt;تنظیمات!$B$8,X788="بله"),1,0)</f>
        <v>0</v>
      </c>
      <c r="AX788" s="21" t="n">
        <f aca="false">IF(AND(N788="بله",L788&gt;تنظیمات!$B$9),1,0)</f>
        <v>0</v>
      </c>
      <c r="AY788" s="21" t="n">
        <f aca="false">IF(Y788="معکوس",1,0)</f>
        <v>0</v>
      </c>
      <c r="AZ788" s="21" t="n">
        <f aca="false">IF(ABS(AJ788)&gt;تنظیمات!$B$10,1,0)</f>
        <v>0</v>
      </c>
      <c r="BA788" s="21" t="n">
        <f aca="false">IF(AND(OR(AD788="رایگان/VIP",AD788="جانباز"),AF788="خیر"),1,0)</f>
        <v>0</v>
      </c>
      <c r="BB788" s="21" t="n">
        <f aca="false">IF(AE788="",0,IF(COUNTIF($AE$2:$AE$1001,AE788)&gt;1,1,0))</f>
        <v>0</v>
      </c>
      <c r="BC788" s="21" t="n">
        <f aca="false">IF(AND(H788="",I788&gt;تنظیمات!$B$12*60,AM788="خالی"),1,0)</f>
        <v>0</v>
      </c>
      <c r="BD788" s="21" t="n">
        <f aca="false">IF(AND(AP788="بله",I788&lt;تنظیمات!$B$14,AO788="خیر"),1,0)</f>
        <v>0</v>
      </c>
      <c r="BE788" s="21" t="n">
        <f aca="false">IF(AN788="خیر",1,0)</f>
        <v>0</v>
      </c>
      <c r="BF788" s="21" t="n">
        <f aca="false">IF(AND(AD788="فیش مفقودی",AQ788="بله",I788&gt;تنظیمات!$B$12*60),1,0)</f>
        <v>0</v>
      </c>
      <c r="BG788" s="21" t="n">
        <f aca="false">IF(AND(AK788&gt;تنظیمات!$B$11,AL788="بله"),1,0)</f>
        <v>0</v>
      </c>
      <c r="BH788" s="21" t="n">
        <f aca="false">MIN(100,AR788*تنظیمات!$B$21+AS788*تنظیمات!$B$22+AT788*تنظیمات!$B$23+AU788*تنظیمات!$B$24+AV788*تنظیمات!$B$25+AW788*تنظیمات!$B$26+AX788*تنظیمات!$B$27+AY788*تنظیمات!$B$28+AZ788*تنظیمات!$B$29+BA788*تنظیمات!$B$30+BB788*تنظیمات!$B$31+BC788*تنظیمات!$B$32+BD788*تنظیمات!$B$33+BE788*تنظیمات!$B$34+BF788*تنظیمات!$B$35+BG788*تنظیمات!$B$36)</f>
        <v>0</v>
      </c>
      <c r="BI788" s="16" t="str">
        <f aca="false">IF(BH788&gt;=60,"بحرانی",IF(BH788&gt;=30,"مشکوک",IF(BH788&gt;0,"هشدار","عادی")))</f>
        <v>عادی</v>
      </c>
      <c r="BJ788" s="16" t="s">
        <v>338</v>
      </c>
    </row>
    <row r="789" customFormat="false" ht="15" hidden="false" customHeight="false" outlineLevel="0" collapsed="false">
      <c r="A789" s="16" t="s">
        <v>2729</v>
      </c>
      <c r="B789" s="16" t="s">
        <v>2730</v>
      </c>
      <c r="C789" s="16" t="s">
        <v>2731</v>
      </c>
      <c r="D789" s="16" t="s">
        <v>450</v>
      </c>
      <c r="E789" s="16" t="s">
        <v>332</v>
      </c>
      <c r="F789" s="16" t="s">
        <v>333</v>
      </c>
      <c r="G789" s="17" t="n">
        <v>46291.7827314815</v>
      </c>
      <c r="H789" s="17" t="n">
        <v>46291.8000925926</v>
      </c>
      <c r="I789" s="18" t="n">
        <f aca="false">IF(H789="",ROUND((تنظیمات!$B$7-G789)*1440,0),ROUND((H789-G789)*1440,0))</f>
        <v>25</v>
      </c>
      <c r="J789" s="16" t="s">
        <v>334</v>
      </c>
      <c r="K789" s="16" t="s">
        <v>410</v>
      </c>
      <c r="L789" s="19" t="n">
        <v>0.9</v>
      </c>
      <c r="M789" s="19" t="n">
        <v>0.914</v>
      </c>
      <c r="N789" s="16" t="s">
        <v>340</v>
      </c>
      <c r="O789" s="16" t="s">
        <v>666</v>
      </c>
      <c r="P789" s="16" t="s">
        <v>420</v>
      </c>
      <c r="Q789" s="20" t="n">
        <v>46291</v>
      </c>
      <c r="R789" s="16" t="s">
        <v>2732</v>
      </c>
      <c r="S789" s="16" t="s">
        <v>404</v>
      </c>
      <c r="T789" s="17"/>
      <c r="U789" s="21" t="n">
        <v>1</v>
      </c>
      <c r="V789" s="21" t="n">
        <v>1</v>
      </c>
      <c r="W789" s="22" t="n">
        <v>21.3</v>
      </c>
      <c r="X789" s="16" t="s">
        <v>335</v>
      </c>
      <c r="Y789" s="16" t="s">
        <v>338</v>
      </c>
      <c r="Z789" s="16" t="s">
        <v>405</v>
      </c>
      <c r="AA789" s="16"/>
      <c r="AB789" s="23"/>
      <c r="AC789" s="17"/>
      <c r="AD789" s="16" t="s">
        <v>338</v>
      </c>
      <c r="AE789" s="16"/>
      <c r="AF789" s="16" t="str">
        <f aca="false">IF(COUNTIF(لیست_سفید!$A$2:$A$21,B789)&gt;0,"بله","خیر")</f>
        <v>خیر</v>
      </c>
      <c r="AG789" s="24" t="n">
        <f aca="false">IF(H789="","",IF(AD789="فیش مفقودی",تنظیمات!$B$6,(INT(I789/1440)*تنظیمات!$B$5+IF(MOD(I789,1440)&lt;=تنظیمات!$B$2,0,MIN(تنظیمات!$B$5,تنظیمات!$B$3+MAX(0,ROUNDUP((MOD(I789,1440)-60)/60,0))*تنظیمات!$B$4)))*INDEX(تعرفه!$B$2:$B$7,MATCH(AD789,تعرفه!$A$2:$A$7,0))))</f>
        <v>20000</v>
      </c>
      <c r="AH789" s="24" t="n">
        <v>20000</v>
      </c>
      <c r="AI789" s="24" t="n">
        <f aca="false">IF(AG789="","",AH789-AG789)</f>
        <v>0</v>
      </c>
      <c r="AJ789" s="21" t="n">
        <v>0</v>
      </c>
      <c r="AK789" s="21" t="n">
        <v>0</v>
      </c>
      <c r="AL789" s="16" t="s">
        <v>335</v>
      </c>
      <c r="AM789" s="16"/>
      <c r="AN789" s="16" t="s">
        <v>340</v>
      </c>
      <c r="AO789" s="16" t="s">
        <v>340</v>
      </c>
      <c r="AP789" s="16" t="s">
        <v>335</v>
      </c>
      <c r="AQ789" s="16"/>
      <c r="AR789" s="21" t="n">
        <f aca="false">IF(AND(T789&lt;&gt;"",H789&lt;&gt;""),IF(AND((T789-H789)*86400&gt;=0,(T789-H789)*86400&lt;تنظیمات!$B$13),1,0),0)</f>
        <v>0</v>
      </c>
      <c r="AS789" s="21" t="n">
        <f aca="false">IF(Z789="پوز",IF(OR(AB789="",COUNTIF(پوزها!$A$2:$A$5,AA789)=0),1,0),0)</f>
        <v>0</v>
      </c>
      <c r="AT789" s="21" t="n">
        <f aca="false">IF(AI789="",0,IF(AI789&gt;0,1,0))</f>
        <v>0</v>
      </c>
      <c r="AU789" s="21" t="n">
        <f aca="false">IF(AI789="",0,IF(AI789&lt;0,1,0))</f>
        <v>0</v>
      </c>
      <c r="AV789" s="21" t="n">
        <f aca="false">IF(U789&gt;V789,1,0)</f>
        <v>0</v>
      </c>
      <c r="AW789" s="21" t="n">
        <f aca="false">IF(OR(W789&gt;تنظیمات!$B$8,X789="بله"),1,0)</f>
        <v>1</v>
      </c>
      <c r="AX789" s="21" t="n">
        <f aca="false">IF(AND(N789="بله",L789&gt;تنظیمات!$B$9),1,0)</f>
        <v>1</v>
      </c>
      <c r="AY789" s="21" t="n">
        <f aca="false">IF(Y789="معکوس",1,0)</f>
        <v>0</v>
      </c>
      <c r="AZ789" s="21" t="n">
        <f aca="false">IF(ABS(AJ789)&gt;تنظیمات!$B$10,1,0)</f>
        <v>0</v>
      </c>
      <c r="BA789" s="21" t="n">
        <f aca="false">IF(AND(OR(AD789="رایگان/VIP",AD789="جانباز"),AF789="خیر"),1,0)</f>
        <v>0</v>
      </c>
      <c r="BB789" s="21" t="n">
        <f aca="false">IF(AE789="",0,IF(COUNTIF($AE$2:$AE$1001,AE789)&gt;1,1,0))</f>
        <v>0</v>
      </c>
      <c r="BC789" s="21" t="n">
        <f aca="false">IF(AND(H789="",I789&gt;تنظیمات!$B$12*60,AM789="خالی"),1,0)</f>
        <v>0</v>
      </c>
      <c r="BD789" s="21" t="n">
        <f aca="false">IF(AND(AP789="بله",I789&lt;تنظیمات!$B$14,AO789="خیر"),1,0)</f>
        <v>0</v>
      </c>
      <c r="BE789" s="21" t="n">
        <f aca="false">IF(AN789="خیر",1,0)</f>
        <v>0</v>
      </c>
      <c r="BF789" s="21" t="n">
        <f aca="false">IF(AND(AD789="فیش مفقودی",AQ789="بله",I789&gt;تنظیمات!$B$12*60),1,0)</f>
        <v>0</v>
      </c>
      <c r="BG789" s="21" t="n">
        <f aca="false">IF(AND(AK789&gt;تنظیمات!$B$11,AL789="بله"),1,0)</f>
        <v>0</v>
      </c>
      <c r="BH789" s="21" t="n">
        <f aca="false">MIN(100,AR789*تنظیمات!$B$21+AS789*تنظیمات!$B$22+AT789*تنظیمات!$B$23+AU789*تنظیمات!$B$24+AV789*تنظیمات!$B$25+AW789*تنظیمات!$B$26+AX789*تنظیمات!$B$27+AY789*تنظیمات!$B$28+AZ789*تنظیمات!$B$29+BA789*تنظیمات!$B$30+BB789*تنظیمات!$B$31+BC789*تنظیمات!$B$32+BD789*تنظیمات!$B$33+BE789*تنظیمات!$B$34+BF789*تنظیمات!$B$35+BG789*تنظیمات!$B$36)</f>
        <v>55</v>
      </c>
      <c r="BI789" s="16" t="str">
        <f aca="false">IF(BH789&gt;=60,"بحرانی",IF(BH789&gt;=30,"مشکوک",IF(BH789&gt;0,"هشدار","عادی")))</f>
        <v>مشکوک</v>
      </c>
      <c r="BJ789" s="16" t="s">
        <v>700</v>
      </c>
    </row>
    <row r="790" customFormat="false" ht="15" hidden="false" customHeight="false" outlineLevel="0" collapsed="false">
      <c r="A790" s="16" t="s">
        <v>2733</v>
      </c>
      <c r="B790" s="16" t="s">
        <v>1387</v>
      </c>
      <c r="C790" s="16" t="s">
        <v>2734</v>
      </c>
      <c r="D790" s="16" t="s">
        <v>508</v>
      </c>
      <c r="E790" s="16" t="s">
        <v>345</v>
      </c>
      <c r="F790" s="16" t="s">
        <v>333</v>
      </c>
      <c r="G790" s="17" t="n">
        <v>46291.8009143519</v>
      </c>
      <c r="H790" s="17" t="n">
        <v>46291.8196643519</v>
      </c>
      <c r="I790" s="18" t="n">
        <f aca="false">IF(H790="",ROUND((تنظیمات!$B$7-G790)*1440,0),ROUND((H790-G790)*1440,0))</f>
        <v>27</v>
      </c>
      <c r="J790" s="16" t="s">
        <v>334</v>
      </c>
      <c r="K790" s="16" t="s">
        <v>410</v>
      </c>
      <c r="L790" s="19" t="n">
        <v>0.881</v>
      </c>
      <c r="M790" s="19" t="n">
        <v>0.968</v>
      </c>
      <c r="N790" s="16" t="s">
        <v>340</v>
      </c>
      <c r="O790" s="16" t="s">
        <v>666</v>
      </c>
      <c r="P790" s="16" t="s">
        <v>420</v>
      </c>
      <c r="Q790" s="20" t="n">
        <v>46291</v>
      </c>
      <c r="R790" s="16" t="s">
        <v>2735</v>
      </c>
      <c r="S790" s="16" t="s">
        <v>404</v>
      </c>
      <c r="T790" s="17"/>
      <c r="U790" s="21" t="n">
        <v>1</v>
      </c>
      <c r="V790" s="21" t="n">
        <v>1</v>
      </c>
      <c r="W790" s="22" t="n">
        <v>19.2</v>
      </c>
      <c r="X790" s="16" t="s">
        <v>335</v>
      </c>
      <c r="Y790" s="16" t="s">
        <v>338</v>
      </c>
      <c r="Z790" s="16" t="s">
        <v>413</v>
      </c>
      <c r="AA790" s="16" t="s">
        <v>414</v>
      </c>
      <c r="AB790" s="23" t="s">
        <v>2736</v>
      </c>
      <c r="AC790" s="17" t="n">
        <v>46291.8193171296</v>
      </c>
      <c r="AD790" s="16" t="s">
        <v>338</v>
      </c>
      <c r="AE790" s="16"/>
      <c r="AF790" s="16" t="str">
        <f aca="false">IF(COUNTIF(لیست_سفید!$A$2:$A$21,B790)&gt;0,"بله","خیر")</f>
        <v>خیر</v>
      </c>
      <c r="AG790" s="24" t="n">
        <f aca="false">IF(H790="","",IF(AD790="فیش مفقودی",تنظیمات!$B$6,(INT(I790/1440)*تنظیمات!$B$5+IF(MOD(I790,1440)&lt;=تنظیمات!$B$2,0,MIN(تنظیمات!$B$5,تنظیمات!$B$3+MAX(0,ROUNDUP((MOD(I790,1440)-60)/60,0))*تنظیمات!$B$4)))*INDEX(تعرفه!$B$2:$B$7,MATCH(AD790,تعرفه!$A$2:$A$7,0))))</f>
        <v>20000</v>
      </c>
      <c r="AH790" s="24" t="n">
        <v>20000</v>
      </c>
      <c r="AI790" s="24" t="n">
        <f aca="false">IF(AG790="","",AH790-AG790)</f>
        <v>0</v>
      </c>
      <c r="AJ790" s="21" t="n">
        <v>0</v>
      </c>
      <c r="AK790" s="21" t="n">
        <v>0</v>
      </c>
      <c r="AL790" s="16" t="s">
        <v>335</v>
      </c>
      <c r="AM790" s="16"/>
      <c r="AN790" s="16" t="s">
        <v>340</v>
      </c>
      <c r="AO790" s="16" t="s">
        <v>340</v>
      </c>
      <c r="AP790" s="16" t="s">
        <v>335</v>
      </c>
      <c r="AQ790" s="16"/>
      <c r="AR790" s="21" t="n">
        <f aca="false">IF(AND(T790&lt;&gt;"",H790&lt;&gt;""),IF(AND((T790-H790)*86400&gt;=0,(T790-H790)*86400&lt;تنظیمات!$B$13),1,0),0)</f>
        <v>0</v>
      </c>
      <c r="AS790" s="21" t="n">
        <f aca="false">IF(Z790="پوز",IF(OR(AB790="",COUNTIF(پوزها!$A$2:$A$5,AA790)=0),1,0),0)</f>
        <v>0</v>
      </c>
      <c r="AT790" s="21" t="n">
        <f aca="false">IF(AI790="",0,IF(AI790&gt;0,1,0))</f>
        <v>0</v>
      </c>
      <c r="AU790" s="21" t="n">
        <f aca="false">IF(AI790="",0,IF(AI790&lt;0,1,0))</f>
        <v>0</v>
      </c>
      <c r="AV790" s="21" t="n">
        <f aca="false">IF(U790&gt;V790,1,0)</f>
        <v>0</v>
      </c>
      <c r="AW790" s="21" t="n">
        <f aca="false">IF(OR(W790&gt;تنظیمات!$B$8,X790="بله"),1,0)</f>
        <v>1</v>
      </c>
      <c r="AX790" s="21" t="n">
        <f aca="false">IF(AND(N790="بله",L790&gt;تنظیمات!$B$9),1,0)</f>
        <v>1</v>
      </c>
      <c r="AY790" s="21" t="n">
        <f aca="false">IF(Y790="معکوس",1,0)</f>
        <v>0</v>
      </c>
      <c r="AZ790" s="21" t="n">
        <f aca="false">IF(ABS(AJ790)&gt;تنظیمات!$B$10,1,0)</f>
        <v>0</v>
      </c>
      <c r="BA790" s="21" t="n">
        <f aca="false">IF(AND(OR(AD790="رایگان/VIP",AD790="جانباز"),AF790="خیر"),1,0)</f>
        <v>0</v>
      </c>
      <c r="BB790" s="21" t="n">
        <f aca="false">IF(AE790="",0,IF(COUNTIF($AE$2:$AE$1001,AE790)&gt;1,1,0))</f>
        <v>0</v>
      </c>
      <c r="BC790" s="21" t="n">
        <f aca="false">IF(AND(H790="",I790&gt;تنظیمات!$B$12*60,AM790="خالی"),1,0)</f>
        <v>0</v>
      </c>
      <c r="BD790" s="21" t="n">
        <f aca="false">IF(AND(AP790="بله",I790&lt;تنظیمات!$B$14,AO790="خیر"),1,0)</f>
        <v>0</v>
      </c>
      <c r="BE790" s="21" t="n">
        <f aca="false">IF(AN790="خیر",1,0)</f>
        <v>0</v>
      </c>
      <c r="BF790" s="21" t="n">
        <f aca="false">IF(AND(AD790="فیش مفقودی",AQ790="بله",I790&gt;تنظیمات!$B$12*60),1,0)</f>
        <v>0</v>
      </c>
      <c r="BG790" s="21" t="n">
        <f aca="false">IF(AND(AK790&gt;تنظیمات!$B$11,AL790="بله"),1,0)</f>
        <v>0</v>
      </c>
      <c r="BH790" s="21" t="n">
        <f aca="false">MIN(100,AR790*تنظیمات!$B$21+AS790*تنظیمات!$B$22+AT790*تنظیمات!$B$23+AU790*تنظیمات!$B$24+AV790*تنظیمات!$B$25+AW790*تنظیمات!$B$26+AX790*تنظیمات!$B$27+AY790*تنظیمات!$B$28+AZ790*تنظیمات!$B$29+BA790*تنظیمات!$B$30+BB790*تنظیمات!$B$31+BC790*تنظیمات!$B$32+BD790*تنظیمات!$B$33+BE790*تنظیمات!$B$34+BF790*تنظیمات!$B$35+BG790*تنظیمات!$B$36)</f>
        <v>55</v>
      </c>
      <c r="BI790" s="16" t="str">
        <f aca="false">IF(BH790&gt;=60,"بحرانی",IF(BH790&gt;=30,"مشکوک",IF(BH790&gt;0,"هشدار","عادی")))</f>
        <v>مشکوک</v>
      </c>
      <c r="BJ790" s="16" t="s">
        <v>700</v>
      </c>
    </row>
    <row r="791" customFormat="false" ht="15" hidden="false" customHeight="false" outlineLevel="0" collapsed="false">
      <c r="A791" s="16" t="s">
        <v>2737</v>
      </c>
      <c r="B791" s="16" t="s">
        <v>1490</v>
      </c>
      <c r="C791" s="16" t="s">
        <v>2738</v>
      </c>
      <c r="D791" s="16" t="s">
        <v>344</v>
      </c>
      <c r="E791" s="16" t="s">
        <v>345</v>
      </c>
      <c r="F791" s="16" t="s">
        <v>333</v>
      </c>
      <c r="G791" s="17" t="n">
        <v>46291.8823032407</v>
      </c>
      <c r="H791" s="17" t="n">
        <v>46291.9003587963</v>
      </c>
      <c r="I791" s="18" t="n">
        <f aca="false">IF(H791="",ROUND((تنظیمات!$B$7-G791)*1440,0),ROUND((H791-G791)*1440,0))</f>
        <v>26</v>
      </c>
      <c r="J791" s="16" t="s">
        <v>334</v>
      </c>
      <c r="K791" s="16" t="s">
        <v>410</v>
      </c>
      <c r="L791" s="19" t="n">
        <v>0.867</v>
      </c>
      <c r="M791" s="19" t="n">
        <v>0.957</v>
      </c>
      <c r="N791" s="16" t="s">
        <v>340</v>
      </c>
      <c r="O791" s="16" t="s">
        <v>666</v>
      </c>
      <c r="P791" s="16" t="s">
        <v>420</v>
      </c>
      <c r="Q791" s="20" t="n">
        <v>46291</v>
      </c>
      <c r="R791" s="16" t="s">
        <v>2739</v>
      </c>
      <c r="S791" s="16" t="s">
        <v>404</v>
      </c>
      <c r="T791" s="17"/>
      <c r="U791" s="21" t="n">
        <v>1</v>
      </c>
      <c r="V791" s="21" t="n">
        <v>1</v>
      </c>
      <c r="W791" s="22" t="n">
        <v>11.8</v>
      </c>
      <c r="X791" s="16" t="s">
        <v>335</v>
      </c>
      <c r="Y791" s="16" t="s">
        <v>338</v>
      </c>
      <c r="Z791" s="16" t="s">
        <v>405</v>
      </c>
      <c r="AA791" s="16"/>
      <c r="AB791" s="23"/>
      <c r="AC791" s="17"/>
      <c r="AD791" s="16" t="s">
        <v>338</v>
      </c>
      <c r="AE791" s="16"/>
      <c r="AF791" s="16" t="str">
        <f aca="false">IF(COUNTIF(لیست_سفید!$A$2:$A$21,B791)&gt;0,"بله","خیر")</f>
        <v>خیر</v>
      </c>
      <c r="AG791" s="24" t="n">
        <f aca="false">IF(H791="","",IF(AD791="فیش مفقودی",تنظیمات!$B$6,(INT(I791/1440)*تنظیمات!$B$5+IF(MOD(I791,1440)&lt;=تنظیمات!$B$2,0,MIN(تنظیمات!$B$5,تنظیمات!$B$3+MAX(0,ROUNDUP((MOD(I791,1440)-60)/60,0))*تنظیمات!$B$4)))*INDEX(تعرفه!$B$2:$B$7,MATCH(AD791,تعرفه!$A$2:$A$7,0))))</f>
        <v>20000</v>
      </c>
      <c r="AH791" s="24" t="n">
        <v>20000</v>
      </c>
      <c r="AI791" s="24" t="n">
        <f aca="false">IF(AG791="","",AH791-AG791)</f>
        <v>0</v>
      </c>
      <c r="AJ791" s="21" t="n">
        <v>-2</v>
      </c>
      <c r="AK791" s="21" t="n">
        <v>0</v>
      </c>
      <c r="AL791" s="16" t="s">
        <v>335</v>
      </c>
      <c r="AM791" s="16"/>
      <c r="AN791" s="16" t="s">
        <v>340</v>
      </c>
      <c r="AO791" s="16" t="s">
        <v>340</v>
      </c>
      <c r="AP791" s="16" t="s">
        <v>335</v>
      </c>
      <c r="AQ791" s="16"/>
      <c r="AR791" s="21" t="n">
        <f aca="false">IF(AND(T791&lt;&gt;"",H791&lt;&gt;""),IF(AND((T791-H791)*86400&gt;=0,(T791-H791)*86400&lt;تنظیمات!$B$13),1,0),0)</f>
        <v>0</v>
      </c>
      <c r="AS791" s="21" t="n">
        <f aca="false">IF(Z791="پوز",IF(OR(AB791="",COUNTIF(پوزها!$A$2:$A$5,AA791)=0),1,0),0)</f>
        <v>0</v>
      </c>
      <c r="AT791" s="21" t="n">
        <f aca="false">IF(AI791="",0,IF(AI791&gt;0,1,0))</f>
        <v>0</v>
      </c>
      <c r="AU791" s="21" t="n">
        <f aca="false">IF(AI791="",0,IF(AI791&lt;0,1,0))</f>
        <v>0</v>
      </c>
      <c r="AV791" s="21" t="n">
        <f aca="false">IF(U791&gt;V791,1,0)</f>
        <v>0</v>
      </c>
      <c r="AW791" s="21" t="n">
        <f aca="false">IF(OR(W791&gt;تنظیمات!$B$8,X791="بله"),1,0)</f>
        <v>0</v>
      </c>
      <c r="AX791" s="21" t="n">
        <f aca="false">IF(AND(N791="بله",L791&gt;تنظیمات!$B$9),1,0)</f>
        <v>1</v>
      </c>
      <c r="AY791" s="21" t="n">
        <f aca="false">IF(Y791="معکوس",1,0)</f>
        <v>0</v>
      </c>
      <c r="AZ791" s="21" t="n">
        <f aca="false">IF(ABS(AJ791)&gt;تنظیمات!$B$10,1,0)</f>
        <v>0</v>
      </c>
      <c r="BA791" s="21" t="n">
        <f aca="false">IF(AND(OR(AD791="رایگان/VIP",AD791="جانباز"),AF791="خیر"),1,0)</f>
        <v>0</v>
      </c>
      <c r="BB791" s="21" t="n">
        <f aca="false">IF(AE791="",0,IF(COUNTIF($AE$2:$AE$1001,AE791)&gt;1,1,0))</f>
        <v>0</v>
      </c>
      <c r="BC791" s="21" t="n">
        <f aca="false">IF(AND(H791="",I791&gt;تنظیمات!$B$12*60,AM791="خالی"),1,0)</f>
        <v>0</v>
      </c>
      <c r="BD791" s="21" t="n">
        <f aca="false">IF(AND(AP791="بله",I791&lt;تنظیمات!$B$14,AO791="خیر"),1,0)</f>
        <v>0</v>
      </c>
      <c r="BE791" s="21" t="n">
        <f aca="false">IF(AN791="خیر",1,0)</f>
        <v>0</v>
      </c>
      <c r="BF791" s="21" t="n">
        <f aca="false">IF(AND(AD791="فیش مفقودی",AQ791="بله",I791&gt;تنظیمات!$B$12*60),1,0)</f>
        <v>0</v>
      </c>
      <c r="BG791" s="21" t="n">
        <f aca="false">IF(AND(AK791&gt;تنظیمات!$B$11,AL791="بله"),1,0)</f>
        <v>0</v>
      </c>
      <c r="BH791" s="21" t="n">
        <f aca="false">MIN(100,AR791*تنظیمات!$B$21+AS791*تنظیمات!$B$22+AT791*تنظیمات!$B$23+AU791*تنظیمات!$B$24+AV791*تنظیمات!$B$25+AW791*تنظیمات!$B$26+AX791*تنظیمات!$B$27+AY791*تنظیمات!$B$28+AZ791*تنظیمات!$B$29+BA791*تنظیمات!$B$30+BB791*تنظیمات!$B$31+BC791*تنظیمات!$B$32+BD791*تنظیمات!$B$33+BE791*تنظیمات!$B$34+BF791*تنظیمات!$B$35+BG791*تنظیمات!$B$36)</f>
        <v>30</v>
      </c>
      <c r="BI791" s="16" t="str">
        <f aca="false">IF(BH791&gt;=60,"بحرانی",IF(BH791&gt;=30,"مشکوک",IF(BH791&gt;0,"هشدار","عادی")))</f>
        <v>مشکوک</v>
      </c>
      <c r="BJ791" s="16" t="s">
        <v>700</v>
      </c>
    </row>
    <row r="792" customFormat="false" ht="15" hidden="false" customHeight="false" outlineLevel="0" collapsed="false">
      <c r="A792" s="16" t="s">
        <v>2740</v>
      </c>
      <c r="B792" s="16" t="s">
        <v>689</v>
      </c>
      <c r="C792" s="16"/>
      <c r="D792" s="16" t="s">
        <v>418</v>
      </c>
      <c r="E792" s="16" t="s">
        <v>332</v>
      </c>
      <c r="F792" s="16" t="s">
        <v>333</v>
      </c>
      <c r="G792" s="17" t="n">
        <v>46291.9058680556</v>
      </c>
      <c r="H792" s="17" t="n">
        <v>46293.5447569444</v>
      </c>
      <c r="I792" s="18" t="n">
        <f aca="false">IF(H792="",ROUND((تنظیمات!$B$7-G792)*1440,0),ROUND((H792-G792)*1440,0))</f>
        <v>2360</v>
      </c>
      <c r="J792" s="16" t="s">
        <v>334</v>
      </c>
      <c r="K792" s="16" t="s">
        <v>410</v>
      </c>
      <c r="L792" s="19" t="n">
        <v>0.995</v>
      </c>
      <c r="M792" s="19" t="n">
        <v>0.871</v>
      </c>
      <c r="N792" s="16" t="s">
        <v>335</v>
      </c>
      <c r="O792" s="16" t="s">
        <v>666</v>
      </c>
      <c r="P792" s="16" t="s">
        <v>402</v>
      </c>
      <c r="Q792" s="20" t="n">
        <v>46293</v>
      </c>
      <c r="R792" s="16" t="s">
        <v>2741</v>
      </c>
      <c r="S792" s="16" t="s">
        <v>404</v>
      </c>
      <c r="T792" s="17"/>
      <c r="U792" s="21" t="n">
        <v>1</v>
      </c>
      <c r="V792" s="21" t="n">
        <v>1</v>
      </c>
      <c r="W792" s="22" t="n">
        <v>6</v>
      </c>
      <c r="X792" s="16" t="s">
        <v>335</v>
      </c>
      <c r="Y792" s="16" t="s">
        <v>338</v>
      </c>
      <c r="Z792" s="16" t="s">
        <v>405</v>
      </c>
      <c r="AA792" s="16"/>
      <c r="AB792" s="23"/>
      <c r="AC792" s="17"/>
      <c r="AD792" s="16" t="s">
        <v>338</v>
      </c>
      <c r="AE792" s="16"/>
      <c r="AF792" s="16" t="str">
        <f aca="false">IF(COUNTIF(لیست_سفید!$A$2:$A$21,B792)&gt;0,"بله","خیر")</f>
        <v>خیر</v>
      </c>
      <c r="AG792" s="24" t="n">
        <f aca="false">IF(H792="","",IF(AD792="فیش مفقودی",تنظیمات!$B$6,(INT(I792/1440)*تنظیمات!$B$5+IF(MOD(I792,1440)&lt;=تنظیمات!$B$2,0,MIN(تنظیمات!$B$5,تنظیمات!$B$3+MAX(0,ROUNDUP((MOD(I792,1440)-60)/60,0))*تنظیمات!$B$4)))*INDEX(تعرفه!$B$2:$B$7,MATCH(AD792,تعرفه!$A$2:$A$7,0))))</f>
        <v>360000</v>
      </c>
      <c r="AH792" s="24" t="n">
        <v>360000</v>
      </c>
      <c r="AI792" s="24" t="n">
        <f aca="false">IF(AG792="","",AH792-AG792)</f>
        <v>0</v>
      </c>
      <c r="AJ792" s="21" t="n">
        <v>0</v>
      </c>
      <c r="AK792" s="21" t="n">
        <v>0</v>
      </c>
      <c r="AL792" s="16" t="s">
        <v>335</v>
      </c>
      <c r="AM792" s="16"/>
      <c r="AN792" s="16" t="s">
        <v>340</v>
      </c>
      <c r="AO792" s="16" t="s">
        <v>340</v>
      </c>
      <c r="AP792" s="16" t="s">
        <v>335</v>
      </c>
      <c r="AQ792" s="16"/>
      <c r="AR792" s="21" t="n">
        <f aca="false">IF(AND(T792&lt;&gt;"",H792&lt;&gt;""),IF(AND((T792-H792)*86400&gt;=0,(T792-H792)*86400&lt;تنظیمات!$B$13),1,0),0)</f>
        <v>0</v>
      </c>
      <c r="AS792" s="21" t="n">
        <f aca="false">IF(Z792="پوز",IF(OR(AB792="",COUNTIF(پوزها!$A$2:$A$5,AA792)=0),1,0),0)</f>
        <v>0</v>
      </c>
      <c r="AT792" s="21" t="n">
        <f aca="false">IF(AI792="",0,IF(AI792&gt;0,1,0))</f>
        <v>0</v>
      </c>
      <c r="AU792" s="21" t="n">
        <f aca="false">IF(AI792="",0,IF(AI792&lt;0,1,0))</f>
        <v>0</v>
      </c>
      <c r="AV792" s="21" t="n">
        <f aca="false">IF(U792&gt;V792,1,0)</f>
        <v>0</v>
      </c>
      <c r="AW792" s="21" t="n">
        <f aca="false">IF(OR(W792&gt;تنظیمات!$B$8,X792="بله"),1,0)</f>
        <v>0</v>
      </c>
      <c r="AX792" s="21" t="n">
        <f aca="false">IF(AND(N792="بله",L792&gt;تنظیمات!$B$9),1,0)</f>
        <v>0</v>
      </c>
      <c r="AY792" s="21" t="n">
        <f aca="false">IF(Y792="معکوس",1,0)</f>
        <v>0</v>
      </c>
      <c r="AZ792" s="21" t="n">
        <f aca="false">IF(ABS(AJ792)&gt;تنظیمات!$B$10,1,0)</f>
        <v>0</v>
      </c>
      <c r="BA792" s="21" t="n">
        <f aca="false">IF(AND(OR(AD792="رایگان/VIP",AD792="جانباز"),AF792="خیر"),1,0)</f>
        <v>0</v>
      </c>
      <c r="BB792" s="21" t="n">
        <f aca="false">IF(AE792="",0,IF(COUNTIF($AE$2:$AE$1001,AE792)&gt;1,1,0))</f>
        <v>0</v>
      </c>
      <c r="BC792" s="21" t="n">
        <f aca="false">IF(AND(H792="",I792&gt;تنظیمات!$B$12*60,AM792="خالی"),1,0)</f>
        <v>0</v>
      </c>
      <c r="BD792" s="21" t="n">
        <f aca="false">IF(AND(AP792="بله",I792&lt;تنظیمات!$B$14,AO792="خیر"),1,0)</f>
        <v>0</v>
      </c>
      <c r="BE792" s="21" t="n">
        <f aca="false">IF(AN792="خیر",1,0)</f>
        <v>0</v>
      </c>
      <c r="BF792" s="21" t="n">
        <f aca="false">IF(AND(AD792="فیش مفقودی",AQ792="بله",I792&gt;تنظیمات!$B$12*60),1,0)</f>
        <v>0</v>
      </c>
      <c r="BG792" s="21" t="n">
        <f aca="false">IF(AND(AK792&gt;تنظیمات!$B$11,AL792="بله"),1,0)</f>
        <v>0</v>
      </c>
      <c r="BH792" s="21" t="n">
        <f aca="false">MIN(100,AR792*تنظیمات!$B$21+AS792*تنظیمات!$B$22+AT792*تنظیمات!$B$23+AU792*تنظیمات!$B$24+AV792*تنظیمات!$B$25+AW792*تنظیمات!$B$26+AX792*تنظیمات!$B$27+AY792*تنظیمات!$B$28+AZ792*تنظیمات!$B$29+BA792*تنظیمات!$B$30+BB792*تنظیمات!$B$31+BC792*تنظیمات!$B$32+BD792*تنظیمات!$B$33+BE792*تنظیمات!$B$34+BF792*تنظیمات!$B$35+BG792*تنظیمات!$B$36)</f>
        <v>0</v>
      </c>
      <c r="BI792" s="16" t="str">
        <f aca="false">IF(BH792&gt;=60,"بحرانی",IF(BH792&gt;=30,"مشکوک",IF(BH792&gt;0,"هشدار","عادی")))</f>
        <v>عادی</v>
      </c>
      <c r="BJ792" s="16" t="s">
        <v>338</v>
      </c>
    </row>
    <row r="793" customFormat="false" ht="15" hidden="false" customHeight="false" outlineLevel="0" collapsed="false">
      <c r="A793" s="16" t="s">
        <v>2742</v>
      </c>
      <c r="B793" s="16" t="s">
        <v>1944</v>
      </c>
      <c r="C793" s="16"/>
      <c r="D793" s="16" t="s">
        <v>358</v>
      </c>
      <c r="E793" s="16" t="s">
        <v>375</v>
      </c>
      <c r="F793" s="16" t="s">
        <v>359</v>
      </c>
      <c r="G793" s="17" t="n">
        <v>46291.9096759259</v>
      </c>
      <c r="H793" s="17" t="n">
        <v>46291.9325925926</v>
      </c>
      <c r="I793" s="18" t="n">
        <f aca="false">IF(H793="",ROUND((تنظیمات!$B$7-G793)*1440,0),ROUND((H793-G793)*1440,0))</f>
        <v>33</v>
      </c>
      <c r="J793" s="16" t="s">
        <v>334</v>
      </c>
      <c r="K793" s="16" t="s">
        <v>400</v>
      </c>
      <c r="L793" s="19" t="n">
        <v>0.932</v>
      </c>
      <c r="M793" s="19" t="n">
        <v>0.938</v>
      </c>
      <c r="N793" s="16" t="s">
        <v>335</v>
      </c>
      <c r="O793" s="16" t="s">
        <v>677</v>
      </c>
      <c r="P793" s="16" t="s">
        <v>651</v>
      </c>
      <c r="Q793" s="20" t="n">
        <v>46291</v>
      </c>
      <c r="R793" s="16" t="s">
        <v>2743</v>
      </c>
      <c r="S793" s="16" t="s">
        <v>404</v>
      </c>
      <c r="T793" s="17"/>
      <c r="U793" s="21" t="n">
        <v>1</v>
      </c>
      <c r="V793" s="21" t="n">
        <v>1</v>
      </c>
      <c r="W793" s="22" t="n">
        <v>5.2</v>
      </c>
      <c r="X793" s="16" t="s">
        <v>335</v>
      </c>
      <c r="Y793" s="16" t="s">
        <v>338</v>
      </c>
      <c r="Z793" s="16" t="s">
        <v>413</v>
      </c>
      <c r="AA793" s="16" t="s">
        <v>427</v>
      </c>
      <c r="AB793" s="23" t="s">
        <v>2744</v>
      </c>
      <c r="AC793" s="17" t="n">
        <v>46291.9318055556</v>
      </c>
      <c r="AD793" s="16" t="s">
        <v>338</v>
      </c>
      <c r="AE793" s="16"/>
      <c r="AF793" s="16" t="str">
        <f aca="false">IF(COUNTIF(لیست_سفید!$A$2:$A$21,B793)&gt;0,"بله","خیر")</f>
        <v>خیر</v>
      </c>
      <c r="AG793" s="24" t="n">
        <f aca="false">IF(H793="","",IF(AD793="فیش مفقودی",تنظیمات!$B$6,(INT(I793/1440)*تنظیمات!$B$5+IF(MOD(I793,1440)&lt;=تنظیمات!$B$2,0,MIN(تنظیمات!$B$5,تنظیمات!$B$3+MAX(0,ROUNDUP((MOD(I793,1440)-60)/60,0))*تنظیمات!$B$4)))*INDEX(تعرفه!$B$2:$B$7,MATCH(AD793,تعرفه!$A$2:$A$7,0))))</f>
        <v>20000</v>
      </c>
      <c r="AH793" s="24" t="n">
        <v>20000</v>
      </c>
      <c r="AI793" s="24" t="n">
        <f aca="false">IF(AG793="","",AH793-AG793)</f>
        <v>0</v>
      </c>
      <c r="AJ793" s="21" t="n">
        <v>2</v>
      </c>
      <c r="AK793" s="21" t="n">
        <v>0</v>
      </c>
      <c r="AL793" s="16" t="s">
        <v>335</v>
      </c>
      <c r="AM793" s="16"/>
      <c r="AN793" s="16" t="s">
        <v>340</v>
      </c>
      <c r="AO793" s="16" t="s">
        <v>340</v>
      </c>
      <c r="AP793" s="16" t="s">
        <v>335</v>
      </c>
      <c r="AQ793" s="16"/>
      <c r="AR793" s="21" t="n">
        <f aca="false">IF(AND(T793&lt;&gt;"",H793&lt;&gt;""),IF(AND((T793-H793)*86400&gt;=0,(T793-H793)*86400&lt;تنظیمات!$B$13),1,0),0)</f>
        <v>0</v>
      </c>
      <c r="AS793" s="21" t="n">
        <f aca="false">IF(Z793="پوز",IF(OR(AB793="",COUNTIF(پوزها!$A$2:$A$5,AA793)=0),1,0),0)</f>
        <v>0</v>
      </c>
      <c r="AT793" s="21" t="n">
        <f aca="false">IF(AI793="",0,IF(AI793&gt;0,1,0))</f>
        <v>0</v>
      </c>
      <c r="AU793" s="21" t="n">
        <f aca="false">IF(AI793="",0,IF(AI793&lt;0,1,0))</f>
        <v>0</v>
      </c>
      <c r="AV793" s="21" t="n">
        <f aca="false">IF(U793&gt;V793,1,0)</f>
        <v>0</v>
      </c>
      <c r="AW793" s="21" t="n">
        <f aca="false">IF(OR(W793&gt;تنظیمات!$B$8,X793="بله"),1,0)</f>
        <v>0</v>
      </c>
      <c r="AX793" s="21" t="n">
        <f aca="false">IF(AND(N793="بله",L793&gt;تنظیمات!$B$9),1,0)</f>
        <v>0</v>
      </c>
      <c r="AY793" s="21" t="n">
        <f aca="false">IF(Y793="معکوس",1,0)</f>
        <v>0</v>
      </c>
      <c r="AZ793" s="21" t="n">
        <f aca="false">IF(ABS(AJ793)&gt;تنظیمات!$B$10,1,0)</f>
        <v>0</v>
      </c>
      <c r="BA793" s="21" t="n">
        <f aca="false">IF(AND(OR(AD793="رایگان/VIP",AD793="جانباز"),AF793="خیر"),1,0)</f>
        <v>0</v>
      </c>
      <c r="BB793" s="21" t="n">
        <f aca="false">IF(AE793="",0,IF(COUNTIF($AE$2:$AE$1001,AE793)&gt;1,1,0))</f>
        <v>0</v>
      </c>
      <c r="BC793" s="21" t="n">
        <f aca="false">IF(AND(H793="",I793&gt;تنظیمات!$B$12*60,AM793="خالی"),1,0)</f>
        <v>0</v>
      </c>
      <c r="BD793" s="21" t="n">
        <f aca="false">IF(AND(AP793="بله",I793&lt;تنظیمات!$B$14,AO793="خیر"),1,0)</f>
        <v>0</v>
      </c>
      <c r="BE793" s="21" t="n">
        <f aca="false">IF(AN793="خیر",1,0)</f>
        <v>0</v>
      </c>
      <c r="BF793" s="21" t="n">
        <f aca="false">IF(AND(AD793="فیش مفقودی",AQ793="بله",I793&gt;تنظیمات!$B$12*60),1,0)</f>
        <v>0</v>
      </c>
      <c r="BG793" s="21" t="n">
        <f aca="false">IF(AND(AK793&gt;تنظیمات!$B$11,AL793="بله"),1,0)</f>
        <v>0</v>
      </c>
      <c r="BH793" s="21" t="n">
        <f aca="false">MIN(100,AR793*تنظیمات!$B$21+AS793*تنظیمات!$B$22+AT793*تنظیمات!$B$23+AU793*تنظیمات!$B$24+AV793*تنظیمات!$B$25+AW793*تنظیمات!$B$26+AX793*تنظیمات!$B$27+AY793*تنظیمات!$B$28+AZ793*تنظیمات!$B$29+BA793*تنظیمات!$B$30+BB793*تنظیمات!$B$31+BC793*تنظیمات!$B$32+BD793*تنظیمات!$B$33+BE793*تنظیمات!$B$34+BF793*تنظیمات!$B$35+BG793*تنظیمات!$B$36)</f>
        <v>0</v>
      </c>
      <c r="BI793" s="16" t="str">
        <f aca="false">IF(BH793&gt;=60,"بحرانی",IF(BH793&gt;=30,"مشکوک",IF(BH793&gt;0,"هشدار","عادی")))</f>
        <v>عادی</v>
      </c>
      <c r="BJ793" s="16" t="s">
        <v>338</v>
      </c>
    </row>
    <row r="794" customFormat="false" ht="15" hidden="false" customHeight="false" outlineLevel="0" collapsed="false">
      <c r="A794" s="16" t="s">
        <v>2745</v>
      </c>
      <c r="B794" s="16" t="s">
        <v>530</v>
      </c>
      <c r="C794" s="16"/>
      <c r="D794" s="16" t="s">
        <v>531</v>
      </c>
      <c r="E794" s="16" t="s">
        <v>390</v>
      </c>
      <c r="F794" s="16" t="s">
        <v>333</v>
      </c>
      <c r="G794" s="17" t="n">
        <v>46291.9193287037</v>
      </c>
      <c r="H794" s="17" t="n">
        <v>46291.9616898148</v>
      </c>
      <c r="I794" s="18" t="n">
        <f aca="false">IF(H794="",ROUND((تنظیمات!$B$7-G794)*1440,0),ROUND((H794-G794)*1440,0))</f>
        <v>61</v>
      </c>
      <c r="J794" s="16" t="s">
        <v>334</v>
      </c>
      <c r="K794" s="16" t="s">
        <v>400</v>
      </c>
      <c r="L794" s="19" t="n">
        <v>0.938</v>
      </c>
      <c r="M794" s="19" t="n">
        <v>0.915</v>
      </c>
      <c r="N794" s="16" t="s">
        <v>335</v>
      </c>
      <c r="O794" s="16" t="s">
        <v>677</v>
      </c>
      <c r="P794" s="16" t="s">
        <v>651</v>
      </c>
      <c r="Q794" s="20" t="n">
        <v>46291</v>
      </c>
      <c r="R794" s="16" t="s">
        <v>2746</v>
      </c>
      <c r="S794" s="16" t="s">
        <v>404</v>
      </c>
      <c r="T794" s="17"/>
      <c r="U794" s="21" t="n">
        <v>1</v>
      </c>
      <c r="V794" s="21" t="n">
        <v>1</v>
      </c>
      <c r="W794" s="22" t="n">
        <v>4.1</v>
      </c>
      <c r="X794" s="16" t="s">
        <v>335</v>
      </c>
      <c r="Y794" s="16" t="s">
        <v>338</v>
      </c>
      <c r="Z794" s="16" t="s">
        <v>405</v>
      </c>
      <c r="AA794" s="16"/>
      <c r="AB794" s="23"/>
      <c r="AC794" s="17"/>
      <c r="AD794" s="16" t="s">
        <v>338</v>
      </c>
      <c r="AE794" s="16"/>
      <c r="AF794" s="16" t="str">
        <f aca="false">IF(COUNTIF(لیست_سفید!$A$2:$A$21,B794)&gt;0,"بله","خیر")</f>
        <v>خیر</v>
      </c>
      <c r="AG794" s="24" t="n">
        <f aca="false">IF(H794="","",IF(AD794="فیش مفقودی",تنظیمات!$B$6,(INT(I794/1440)*تنظیمات!$B$5+IF(MOD(I794,1440)&lt;=تنظیمات!$B$2,0,MIN(تنظیمات!$B$5,تنظیمات!$B$3+MAX(0,ROUNDUP((MOD(I794,1440)-60)/60,0))*تنظیمات!$B$4)))*INDEX(تعرفه!$B$2:$B$7,MATCH(AD794,تعرفه!$A$2:$A$7,0))))</f>
        <v>34000</v>
      </c>
      <c r="AH794" s="24" t="n">
        <v>34000</v>
      </c>
      <c r="AI794" s="24" t="n">
        <f aca="false">IF(AG794="","",AH794-AG794)</f>
        <v>0</v>
      </c>
      <c r="AJ794" s="21" t="n">
        <v>2</v>
      </c>
      <c r="AK794" s="21" t="n">
        <v>0</v>
      </c>
      <c r="AL794" s="16" t="s">
        <v>335</v>
      </c>
      <c r="AM794" s="16"/>
      <c r="AN794" s="16" t="s">
        <v>340</v>
      </c>
      <c r="AO794" s="16" t="s">
        <v>340</v>
      </c>
      <c r="AP794" s="16" t="s">
        <v>335</v>
      </c>
      <c r="AQ794" s="16"/>
      <c r="AR794" s="21" t="n">
        <f aca="false">IF(AND(T794&lt;&gt;"",H794&lt;&gt;""),IF(AND((T794-H794)*86400&gt;=0,(T794-H794)*86400&lt;تنظیمات!$B$13),1,0),0)</f>
        <v>0</v>
      </c>
      <c r="AS794" s="21" t="n">
        <f aca="false">IF(Z794="پوز",IF(OR(AB794="",COUNTIF(پوزها!$A$2:$A$5,AA794)=0),1,0),0)</f>
        <v>0</v>
      </c>
      <c r="AT794" s="21" t="n">
        <f aca="false">IF(AI794="",0,IF(AI794&gt;0,1,0))</f>
        <v>0</v>
      </c>
      <c r="AU794" s="21" t="n">
        <f aca="false">IF(AI794="",0,IF(AI794&lt;0,1,0))</f>
        <v>0</v>
      </c>
      <c r="AV794" s="21" t="n">
        <f aca="false">IF(U794&gt;V794,1,0)</f>
        <v>0</v>
      </c>
      <c r="AW794" s="21" t="n">
        <f aca="false">IF(OR(W794&gt;تنظیمات!$B$8,X794="بله"),1,0)</f>
        <v>0</v>
      </c>
      <c r="AX794" s="21" t="n">
        <f aca="false">IF(AND(N794="بله",L794&gt;تنظیمات!$B$9),1,0)</f>
        <v>0</v>
      </c>
      <c r="AY794" s="21" t="n">
        <f aca="false">IF(Y794="معکوس",1,0)</f>
        <v>0</v>
      </c>
      <c r="AZ794" s="21" t="n">
        <f aca="false">IF(ABS(AJ794)&gt;تنظیمات!$B$10,1,0)</f>
        <v>0</v>
      </c>
      <c r="BA794" s="21" t="n">
        <f aca="false">IF(AND(OR(AD794="رایگان/VIP",AD794="جانباز"),AF794="خیر"),1,0)</f>
        <v>0</v>
      </c>
      <c r="BB794" s="21" t="n">
        <f aca="false">IF(AE794="",0,IF(COUNTIF($AE$2:$AE$1001,AE794)&gt;1,1,0))</f>
        <v>0</v>
      </c>
      <c r="BC794" s="21" t="n">
        <f aca="false">IF(AND(H794="",I794&gt;تنظیمات!$B$12*60,AM794="خالی"),1,0)</f>
        <v>0</v>
      </c>
      <c r="BD794" s="21" t="n">
        <f aca="false">IF(AND(AP794="بله",I794&lt;تنظیمات!$B$14,AO794="خیر"),1,0)</f>
        <v>0</v>
      </c>
      <c r="BE794" s="21" t="n">
        <f aca="false">IF(AN794="خیر",1,0)</f>
        <v>0</v>
      </c>
      <c r="BF794" s="21" t="n">
        <f aca="false">IF(AND(AD794="فیش مفقودی",AQ794="بله",I794&gt;تنظیمات!$B$12*60),1,0)</f>
        <v>0</v>
      </c>
      <c r="BG794" s="21" t="n">
        <f aca="false">IF(AND(AK794&gt;تنظیمات!$B$11,AL794="بله"),1,0)</f>
        <v>0</v>
      </c>
      <c r="BH794" s="21" t="n">
        <f aca="false">MIN(100,AR794*تنظیمات!$B$21+AS794*تنظیمات!$B$22+AT794*تنظیمات!$B$23+AU794*تنظیمات!$B$24+AV794*تنظیمات!$B$25+AW794*تنظیمات!$B$26+AX794*تنظیمات!$B$27+AY794*تنظیمات!$B$28+AZ794*تنظیمات!$B$29+BA794*تنظیمات!$B$30+BB794*تنظیمات!$B$31+BC794*تنظیمات!$B$32+BD794*تنظیمات!$B$33+BE794*تنظیمات!$B$34+BF794*تنظیمات!$B$35+BG794*تنظیمات!$B$36)</f>
        <v>0</v>
      </c>
      <c r="BI794" s="16" t="str">
        <f aca="false">IF(BH794&gt;=60,"بحرانی",IF(BH794&gt;=30,"مشکوک",IF(BH794&gt;0,"هشدار","عادی")))</f>
        <v>عادی</v>
      </c>
      <c r="BJ794" s="16" t="s">
        <v>338</v>
      </c>
    </row>
    <row r="795" customFormat="false" ht="15" hidden="false" customHeight="false" outlineLevel="0" collapsed="false">
      <c r="A795" s="16" t="s">
        <v>2747</v>
      </c>
      <c r="B795" s="16" t="s">
        <v>2748</v>
      </c>
      <c r="C795" s="16"/>
      <c r="D795" s="16" t="s">
        <v>523</v>
      </c>
      <c r="E795" s="16" t="s">
        <v>375</v>
      </c>
      <c r="F795" s="16" t="s">
        <v>333</v>
      </c>
      <c r="G795" s="17" t="n">
        <v>46292.0497106482</v>
      </c>
      <c r="H795" s="17" t="n">
        <v>46292.394849537</v>
      </c>
      <c r="I795" s="18" t="n">
        <f aca="false">IF(H795="",ROUND((تنظیمات!$B$7-G795)*1440,0),ROUND((H795-G795)*1440,0))</f>
        <v>497</v>
      </c>
      <c r="J795" s="16" t="s">
        <v>334</v>
      </c>
      <c r="K795" s="16" t="s">
        <v>400</v>
      </c>
      <c r="L795" s="19" t="n">
        <v>0.929</v>
      </c>
      <c r="M795" s="19" t="n">
        <v>0.965</v>
      </c>
      <c r="N795" s="16" t="s">
        <v>335</v>
      </c>
      <c r="O795" s="16" t="s">
        <v>425</v>
      </c>
      <c r="P795" s="16" t="s">
        <v>402</v>
      </c>
      <c r="Q795" s="20" t="n">
        <v>46292</v>
      </c>
      <c r="R795" s="16" t="s">
        <v>2749</v>
      </c>
      <c r="S795" s="16" t="s">
        <v>404</v>
      </c>
      <c r="T795" s="17"/>
      <c r="U795" s="21" t="n">
        <v>1</v>
      </c>
      <c r="V795" s="21" t="n">
        <v>1</v>
      </c>
      <c r="W795" s="22" t="n">
        <v>4.3</v>
      </c>
      <c r="X795" s="16" t="s">
        <v>335</v>
      </c>
      <c r="Y795" s="16" t="s">
        <v>338</v>
      </c>
      <c r="Z795" s="16" t="s">
        <v>413</v>
      </c>
      <c r="AA795" s="16" t="s">
        <v>427</v>
      </c>
      <c r="AB795" s="23" t="s">
        <v>2750</v>
      </c>
      <c r="AC795" s="17" t="n">
        <v>46292.3944560185</v>
      </c>
      <c r="AD795" s="16" t="s">
        <v>338</v>
      </c>
      <c r="AE795" s="16"/>
      <c r="AF795" s="16" t="str">
        <f aca="false">IF(COUNTIF(لیست_سفید!$A$2:$A$21,B795)&gt;0,"بله","خیر")</f>
        <v>خیر</v>
      </c>
      <c r="AG795" s="24" t="n">
        <f aca="false">IF(H795="","",IF(AD795="فیش مفقودی",تنظیمات!$B$6,(INT(I795/1440)*تنظیمات!$B$5+IF(MOD(I795,1440)&lt;=تنظیمات!$B$2,0,MIN(تنظیمات!$B$5,تنظیمات!$B$3+MAX(0,ROUNDUP((MOD(I795,1440)-60)/60,0))*تنظیمات!$B$4)))*INDEX(تعرفه!$B$2:$B$7,MATCH(AD795,تعرفه!$A$2:$A$7,0))))</f>
        <v>132000</v>
      </c>
      <c r="AH795" s="24" t="n">
        <v>132000</v>
      </c>
      <c r="AI795" s="24" t="n">
        <f aca="false">IF(AG795="","",AH795-AG795)</f>
        <v>0</v>
      </c>
      <c r="AJ795" s="21" t="n">
        <v>2</v>
      </c>
      <c r="AK795" s="21" t="n">
        <v>0</v>
      </c>
      <c r="AL795" s="16" t="s">
        <v>335</v>
      </c>
      <c r="AM795" s="16"/>
      <c r="AN795" s="16" t="s">
        <v>340</v>
      </c>
      <c r="AO795" s="16" t="s">
        <v>340</v>
      </c>
      <c r="AP795" s="16" t="s">
        <v>335</v>
      </c>
      <c r="AQ795" s="16"/>
      <c r="AR795" s="21" t="n">
        <f aca="false">IF(AND(T795&lt;&gt;"",H795&lt;&gt;""),IF(AND((T795-H795)*86400&gt;=0,(T795-H795)*86400&lt;تنظیمات!$B$13),1,0),0)</f>
        <v>0</v>
      </c>
      <c r="AS795" s="21" t="n">
        <f aca="false">IF(Z795="پوز",IF(OR(AB795="",COUNTIF(پوزها!$A$2:$A$5,AA795)=0),1,0),0)</f>
        <v>0</v>
      </c>
      <c r="AT795" s="21" t="n">
        <f aca="false">IF(AI795="",0,IF(AI795&gt;0,1,0))</f>
        <v>0</v>
      </c>
      <c r="AU795" s="21" t="n">
        <f aca="false">IF(AI795="",0,IF(AI795&lt;0,1,0))</f>
        <v>0</v>
      </c>
      <c r="AV795" s="21" t="n">
        <f aca="false">IF(U795&gt;V795,1,0)</f>
        <v>0</v>
      </c>
      <c r="AW795" s="21" t="n">
        <f aca="false">IF(OR(W795&gt;تنظیمات!$B$8,X795="بله"),1,0)</f>
        <v>0</v>
      </c>
      <c r="AX795" s="21" t="n">
        <f aca="false">IF(AND(N795="بله",L795&gt;تنظیمات!$B$9),1,0)</f>
        <v>0</v>
      </c>
      <c r="AY795" s="21" t="n">
        <f aca="false">IF(Y795="معکوس",1,0)</f>
        <v>0</v>
      </c>
      <c r="AZ795" s="21" t="n">
        <f aca="false">IF(ABS(AJ795)&gt;تنظیمات!$B$10,1,0)</f>
        <v>0</v>
      </c>
      <c r="BA795" s="21" t="n">
        <f aca="false">IF(AND(OR(AD795="رایگان/VIP",AD795="جانباز"),AF795="خیر"),1,0)</f>
        <v>0</v>
      </c>
      <c r="BB795" s="21" t="n">
        <f aca="false">IF(AE795="",0,IF(COUNTIF($AE$2:$AE$1001,AE795)&gt;1,1,0))</f>
        <v>0</v>
      </c>
      <c r="BC795" s="21" t="n">
        <f aca="false">IF(AND(H795="",I795&gt;تنظیمات!$B$12*60,AM795="خالی"),1,0)</f>
        <v>0</v>
      </c>
      <c r="BD795" s="21" t="n">
        <f aca="false">IF(AND(AP795="بله",I795&lt;تنظیمات!$B$14,AO795="خیر"),1,0)</f>
        <v>0</v>
      </c>
      <c r="BE795" s="21" t="n">
        <f aca="false">IF(AN795="خیر",1,0)</f>
        <v>0</v>
      </c>
      <c r="BF795" s="21" t="n">
        <f aca="false">IF(AND(AD795="فیش مفقودی",AQ795="بله",I795&gt;تنظیمات!$B$12*60),1,0)</f>
        <v>0</v>
      </c>
      <c r="BG795" s="21" t="n">
        <f aca="false">IF(AND(AK795&gt;تنظیمات!$B$11,AL795="بله"),1,0)</f>
        <v>0</v>
      </c>
      <c r="BH795" s="21" t="n">
        <f aca="false">MIN(100,AR795*تنظیمات!$B$21+AS795*تنظیمات!$B$22+AT795*تنظیمات!$B$23+AU795*تنظیمات!$B$24+AV795*تنظیمات!$B$25+AW795*تنظیمات!$B$26+AX795*تنظیمات!$B$27+AY795*تنظیمات!$B$28+AZ795*تنظیمات!$B$29+BA795*تنظیمات!$B$30+BB795*تنظیمات!$B$31+BC795*تنظیمات!$B$32+BD795*تنظیمات!$B$33+BE795*تنظیمات!$B$34+BF795*تنظیمات!$B$35+BG795*تنظیمات!$B$36)</f>
        <v>0</v>
      </c>
      <c r="BI795" s="16" t="str">
        <f aca="false">IF(BH795&gt;=60,"بحرانی",IF(BH795&gt;=30,"مشکوک",IF(BH795&gt;0,"هشدار","عادی")))</f>
        <v>عادی</v>
      </c>
      <c r="BJ795" s="16" t="s">
        <v>338</v>
      </c>
    </row>
    <row r="796" customFormat="false" ht="15" hidden="false" customHeight="false" outlineLevel="0" collapsed="false">
      <c r="A796" s="16" t="s">
        <v>2751</v>
      </c>
      <c r="B796" s="16" t="s">
        <v>1614</v>
      </c>
      <c r="C796" s="16"/>
      <c r="D796" s="16" t="s">
        <v>331</v>
      </c>
      <c r="E796" s="16" t="s">
        <v>363</v>
      </c>
      <c r="F796" s="16" t="s">
        <v>333</v>
      </c>
      <c r="G796" s="17" t="n">
        <v>46292.0719097222</v>
      </c>
      <c r="H796" s="17" t="n">
        <v>46292.4816319444</v>
      </c>
      <c r="I796" s="18" t="n">
        <f aca="false">IF(H796="",ROUND((تنظیمات!$B$7-G796)*1440,0),ROUND((H796-G796)*1440,0))</f>
        <v>590</v>
      </c>
      <c r="J796" s="16" t="s">
        <v>346</v>
      </c>
      <c r="K796" s="16" t="s">
        <v>410</v>
      </c>
      <c r="L796" s="19" t="n">
        <v>0.983</v>
      </c>
      <c r="M796" s="19" t="n">
        <v>0.976</v>
      </c>
      <c r="N796" s="16" t="s">
        <v>335</v>
      </c>
      <c r="O796" s="16" t="s">
        <v>441</v>
      </c>
      <c r="P796" s="16" t="s">
        <v>402</v>
      </c>
      <c r="Q796" s="20" t="n">
        <v>46292</v>
      </c>
      <c r="R796" s="16" t="s">
        <v>2752</v>
      </c>
      <c r="S796" s="16" t="s">
        <v>404</v>
      </c>
      <c r="T796" s="17"/>
      <c r="U796" s="21" t="n">
        <v>1</v>
      </c>
      <c r="V796" s="21" t="n">
        <v>1</v>
      </c>
      <c r="W796" s="22" t="n">
        <v>5.1</v>
      </c>
      <c r="X796" s="16" t="s">
        <v>335</v>
      </c>
      <c r="Y796" s="16" t="s">
        <v>338</v>
      </c>
      <c r="Z796" s="16" t="s">
        <v>443</v>
      </c>
      <c r="AA796" s="16"/>
      <c r="AB796" s="23"/>
      <c r="AC796" s="17"/>
      <c r="AD796" s="16" t="s">
        <v>444</v>
      </c>
      <c r="AE796" s="16"/>
      <c r="AF796" s="16" t="str">
        <f aca="false">IF(COUNTIF(لیست_سفید!$A$2:$A$21,B796)&gt;0,"بله","خیر")</f>
        <v>خیر</v>
      </c>
      <c r="AG796" s="24" t="n">
        <f aca="false">IF(H796="","",IF(AD796="فیش مفقودی",تنظیمات!$B$6,(INT(I796/1440)*تنظیمات!$B$5+IF(MOD(I796,1440)&lt;=تنظیمات!$B$2,0,MIN(تنظیمات!$B$5,تنظیمات!$B$3+MAX(0,ROUNDUP((MOD(I796,1440)-60)/60,0))*تنظیمات!$B$4)))*INDEX(تعرفه!$B$2:$B$7,MATCH(AD796,تعرفه!$A$2:$A$7,0))))</f>
        <v>0</v>
      </c>
      <c r="AH796" s="24" t="n">
        <v>0</v>
      </c>
      <c r="AI796" s="24" t="n">
        <f aca="false">IF(AG796="","",AH796-AG796)</f>
        <v>0</v>
      </c>
      <c r="AJ796" s="21" t="n">
        <v>-1</v>
      </c>
      <c r="AK796" s="21" t="n">
        <v>0</v>
      </c>
      <c r="AL796" s="16" t="s">
        <v>335</v>
      </c>
      <c r="AM796" s="16"/>
      <c r="AN796" s="16" t="s">
        <v>340</v>
      </c>
      <c r="AO796" s="16" t="s">
        <v>340</v>
      </c>
      <c r="AP796" s="16" t="s">
        <v>335</v>
      </c>
      <c r="AQ796" s="16"/>
      <c r="AR796" s="21" t="n">
        <f aca="false">IF(AND(T796&lt;&gt;"",H796&lt;&gt;""),IF(AND((T796-H796)*86400&gt;=0,(T796-H796)*86400&lt;تنظیمات!$B$13),1,0),0)</f>
        <v>0</v>
      </c>
      <c r="AS796" s="21" t="n">
        <f aca="false">IF(Z796="پوز",IF(OR(AB796="",COUNTIF(پوزها!$A$2:$A$5,AA796)=0),1,0),0)</f>
        <v>0</v>
      </c>
      <c r="AT796" s="21" t="n">
        <f aca="false">IF(AI796="",0,IF(AI796&gt;0,1,0))</f>
        <v>0</v>
      </c>
      <c r="AU796" s="21" t="n">
        <f aca="false">IF(AI796="",0,IF(AI796&lt;0,1,0))</f>
        <v>0</v>
      </c>
      <c r="AV796" s="21" t="n">
        <f aca="false">IF(U796&gt;V796,1,0)</f>
        <v>0</v>
      </c>
      <c r="AW796" s="21" t="n">
        <f aca="false">IF(OR(W796&gt;تنظیمات!$B$8,X796="بله"),1,0)</f>
        <v>0</v>
      </c>
      <c r="AX796" s="21" t="n">
        <f aca="false">IF(AND(N796="بله",L796&gt;تنظیمات!$B$9),1,0)</f>
        <v>0</v>
      </c>
      <c r="AY796" s="21" t="n">
        <f aca="false">IF(Y796="معکوس",1,0)</f>
        <v>0</v>
      </c>
      <c r="AZ796" s="21" t="n">
        <f aca="false">IF(ABS(AJ796)&gt;تنظیمات!$B$10,1,0)</f>
        <v>0</v>
      </c>
      <c r="BA796" s="21" t="n">
        <f aca="false">IF(AND(OR(AD796="رایگان/VIP",AD796="جانباز"),AF796="خیر"),1,0)</f>
        <v>0</v>
      </c>
      <c r="BB796" s="21" t="n">
        <f aca="false">IF(AE796="",0,IF(COUNTIF($AE$2:$AE$1001,AE796)&gt;1,1,0))</f>
        <v>0</v>
      </c>
      <c r="BC796" s="21" t="n">
        <f aca="false">IF(AND(H796="",I796&gt;تنظیمات!$B$12*60,AM796="خالی"),1,0)</f>
        <v>0</v>
      </c>
      <c r="BD796" s="21" t="n">
        <f aca="false">IF(AND(AP796="بله",I796&lt;تنظیمات!$B$14,AO796="خیر"),1,0)</f>
        <v>0</v>
      </c>
      <c r="BE796" s="21" t="n">
        <f aca="false">IF(AN796="خیر",1,0)</f>
        <v>0</v>
      </c>
      <c r="BF796" s="21" t="n">
        <f aca="false">IF(AND(AD796="فیش مفقودی",AQ796="بله",I796&gt;تنظیمات!$B$12*60),1,0)</f>
        <v>0</v>
      </c>
      <c r="BG796" s="21" t="n">
        <f aca="false">IF(AND(AK796&gt;تنظیمات!$B$11,AL796="بله"),1,0)</f>
        <v>0</v>
      </c>
      <c r="BH796" s="21" t="n">
        <f aca="false">MIN(100,AR796*تنظیمات!$B$21+AS796*تنظیمات!$B$22+AT796*تنظیمات!$B$23+AU796*تنظیمات!$B$24+AV796*تنظیمات!$B$25+AW796*تنظیمات!$B$26+AX796*تنظیمات!$B$27+AY796*تنظیمات!$B$28+AZ796*تنظیمات!$B$29+BA796*تنظیمات!$B$30+BB796*تنظیمات!$B$31+BC796*تنظیمات!$B$32+BD796*تنظیمات!$B$33+BE796*تنظیمات!$B$34+BF796*تنظیمات!$B$35+BG796*تنظیمات!$B$36)</f>
        <v>0</v>
      </c>
      <c r="BI796" s="16" t="str">
        <f aca="false">IF(BH796&gt;=60,"بحرانی",IF(BH796&gt;=30,"مشکوک",IF(BH796&gt;0,"هشدار","عادی")))</f>
        <v>عادی</v>
      </c>
      <c r="BJ796" s="16" t="s">
        <v>338</v>
      </c>
    </row>
    <row r="797" customFormat="false" ht="15" hidden="false" customHeight="false" outlineLevel="0" collapsed="false">
      <c r="A797" s="16" t="s">
        <v>2753</v>
      </c>
      <c r="B797" s="16" t="s">
        <v>788</v>
      </c>
      <c r="C797" s="16"/>
      <c r="D797" s="16" t="s">
        <v>508</v>
      </c>
      <c r="E797" s="16" t="s">
        <v>332</v>
      </c>
      <c r="F797" s="16" t="s">
        <v>333</v>
      </c>
      <c r="G797" s="17" t="n">
        <v>46292.0805092593</v>
      </c>
      <c r="H797" s="17" t="n">
        <v>46292.6749537037</v>
      </c>
      <c r="I797" s="18" t="n">
        <f aca="false">IF(H797="",ROUND((تنظیمات!$B$7-G797)*1440,0),ROUND((H797-G797)*1440,0))</f>
        <v>856</v>
      </c>
      <c r="J797" s="16" t="s">
        <v>346</v>
      </c>
      <c r="K797" s="16" t="s">
        <v>410</v>
      </c>
      <c r="L797" s="19" t="n">
        <v>0.963</v>
      </c>
      <c r="M797" s="19" t="n">
        <v>0.934</v>
      </c>
      <c r="N797" s="16" t="s">
        <v>335</v>
      </c>
      <c r="O797" s="16" t="s">
        <v>401</v>
      </c>
      <c r="P797" s="16" t="s">
        <v>420</v>
      </c>
      <c r="Q797" s="20" t="n">
        <v>46292</v>
      </c>
      <c r="R797" s="16" t="s">
        <v>2754</v>
      </c>
      <c r="S797" s="16" t="s">
        <v>404</v>
      </c>
      <c r="T797" s="17"/>
      <c r="U797" s="21" t="n">
        <v>1</v>
      </c>
      <c r="V797" s="21" t="n">
        <v>1</v>
      </c>
      <c r="W797" s="22" t="n">
        <v>3.8</v>
      </c>
      <c r="X797" s="16" t="s">
        <v>335</v>
      </c>
      <c r="Y797" s="16" t="s">
        <v>338</v>
      </c>
      <c r="Z797" s="16" t="s">
        <v>465</v>
      </c>
      <c r="AA797" s="16"/>
      <c r="AB797" s="23"/>
      <c r="AC797" s="17"/>
      <c r="AD797" s="16" t="s">
        <v>602</v>
      </c>
      <c r="AE797" s="16"/>
      <c r="AF797" s="16" t="str">
        <f aca="false">IF(COUNTIF(لیست_سفید!$A$2:$A$21,B797)&gt;0,"بله","خیر")</f>
        <v>خیر</v>
      </c>
      <c r="AG797" s="24" t="n">
        <f aca="false">IF(H797="","",IF(AD797="فیش مفقودی",تنظیمات!$B$6,(INT(I797/1440)*تنظیمات!$B$5+IF(MOD(I797,1440)&lt;=تنظیمات!$B$2,0,MIN(تنظیمات!$B$5,تنظیمات!$B$3+MAX(0,ROUNDUP((MOD(I797,1440)-60)/60,0))*تنظیمات!$B$4)))*INDEX(تعرفه!$B$2:$B$7,MATCH(AD797,تعرفه!$A$2:$A$7,0))))</f>
        <v>0</v>
      </c>
      <c r="AH797" s="24" t="n">
        <v>0</v>
      </c>
      <c r="AI797" s="24" t="n">
        <f aca="false">IF(AG797="","",AH797-AG797)</f>
        <v>0</v>
      </c>
      <c r="AJ797" s="21" t="n">
        <v>-1</v>
      </c>
      <c r="AK797" s="21" t="n">
        <v>0</v>
      </c>
      <c r="AL797" s="16" t="s">
        <v>335</v>
      </c>
      <c r="AM797" s="16"/>
      <c r="AN797" s="16" t="s">
        <v>340</v>
      </c>
      <c r="AO797" s="16" t="s">
        <v>340</v>
      </c>
      <c r="AP797" s="16" t="s">
        <v>335</v>
      </c>
      <c r="AQ797" s="16"/>
      <c r="AR797" s="21" t="n">
        <f aca="false">IF(AND(T797&lt;&gt;"",H797&lt;&gt;""),IF(AND((T797-H797)*86400&gt;=0,(T797-H797)*86400&lt;تنظیمات!$B$13),1,0),0)</f>
        <v>0</v>
      </c>
      <c r="AS797" s="21" t="n">
        <f aca="false">IF(Z797="پوز",IF(OR(AB797="",COUNTIF(پوزها!$A$2:$A$5,AA797)=0),1,0),0)</f>
        <v>0</v>
      </c>
      <c r="AT797" s="21" t="n">
        <f aca="false">IF(AI797="",0,IF(AI797&gt;0,1,0))</f>
        <v>0</v>
      </c>
      <c r="AU797" s="21" t="n">
        <f aca="false">IF(AI797="",0,IF(AI797&lt;0,1,0))</f>
        <v>0</v>
      </c>
      <c r="AV797" s="21" t="n">
        <f aca="false">IF(U797&gt;V797,1,0)</f>
        <v>0</v>
      </c>
      <c r="AW797" s="21" t="n">
        <f aca="false">IF(OR(W797&gt;تنظیمات!$B$8,X797="بله"),1,0)</f>
        <v>0</v>
      </c>
      <c r="AX797" s="21" t="n">
        <f aca="false">IF(AND(N797="بله",L797&gt;تنظیمات!$B$9),1,0)</f>
        <v>0</v>
      </c>
      <c r="AY797" s="21" t="n">
        <f aca="false">IF(Y797="معکوس",1,0)</f>
        <v>0</v>
      </c>
      <c r="AZ797" s="21" t="n">
        <f aca="false">IF(ABS(AJ797)&gt;تنظیمات!$B$10,1,0)</f>
        <v>0</v>
      </c>
      <c r="BA797" s="21" t="n">
        <f aca="false">IF(AND(OR(AD797="رایگان/VIP",AD797="جانباز"),AF797="خیر"),1,0)</f>
        <v>1</v>
      </c>
      <c r="BB797" s="21" t="n">
        <f aca="false">IF(AE797="",0,IF(COUNTIF($AE$2:$AE$1001,AE797)&gt;1,1,0))</f>
        <v>0</v>
      </c>
      <c r="BC797" s="21" t="n">
        <f aca="false">IF(AND(H797="",I797&gt;تنظیمات!$B$12*60,AM797="خالی"),1,0)</f>
        <v>0</v>
      </c>
      <c r="BD797" s="21" t="n">
        <f aca="false">IF(AND(AP797="بله",I797&lt;تنظیمات!$B$14,AO797="خیر"),1,0)</f>
        <v>0</v>
      </c>
      <c r="BE797" s="21" t="n">
        <f aca="false">IF(AN797="خیر",1,0)</f>
        <v>0</v>
      </c>
      <c r="BF797" s="21" t="n">
        <f aca="false">IF(AND(AD797="فیش مفقودی",AQ797="بله",I797&gt;تنظیمات!$B$12*60),1,0)</f>
        <v>0</v>
      </c>
      <c r="BG797" s="21" t="n">
        <f aca="false">IF(AND(AK797&gt;تنظیمات!$B$11,AL797="بله"),1,0)</f>
        <v>0</v>
      </c>
      <c r="BH797" s="21" t="n">
        <f aca="false">MIN(100,AR797*تنظیمات!$B$21+AS797*تنظیمات!$B$22+AT797*تنظیمات!$B$23+AU797*تنظیمات!$B$24+AV797*تنظیمات!$B$25+AW797*تنظیمات!$B$26+AX797*تنظیمات!$B$27+AY797*تنظیمات!$B$28+AZ797*تنظیمات!$B$29+BA797*تنظیمات!$B$30+BB797*تنظیمات!$B$31+BC797*تنظیمات!$B$32+BD797*تنظیمات!$B$33+BE797*تنظیمات!$B$34+BF797*تنظیمات!$B$35+BG797*تنظیمات!$B$36)</f>
        <v>35</v>
      </c>
      <c r="BI797" s="16" t="str">
        <f aca="false">IF(BH797&gt;=60,"بحرانی",IF(BH797&gt;=30,"مشکوک",IF(BH797&gt;0,"هشدار","عادی")))</f>
        <v>مشکوک</v>
      </c>
      <c r="BJ797" s="16" t="s">
        <v>745</v>
      </c>
    </row>
    <row r="798" customFormat="false" ht="15" hidden="false" customHeight="false" outlineLevel="0" collapsed="false">
      <c r="A798" s="16" t="s">
        <v>2755</v>
      </c>
      <c r="B798" s="16" t="s">
        <v>2062</v>
      </c>
      <c r="C798" s="16"/>
      <c r="D798" s="16" t="s">
        <v>508</v>
      </c>
      <c r="E798" s="16" t="s">
        <v>390</v>
      </c>
      <c r="F798" s="16" t="s">
        <v>333</v>
      </c>
      <c r="G798" s="17" t="n">
        <v>46292.1550347222</v>
      </c>
      <c r="H798" s="17" t="n">
        <v>46293.5911458333</v>
      </c>
      <c r="I798" s="18" t="n">
        <f aca="false">IF(H798="",ROUND((تنظیمات!$B$7-G798)*1440,0),ROUND((H798-G798)*1440,0))</f>
        <v>2068</v>
      </c>
      <c r="J798" s="16" t="s">
        <v>334</v>
      </c>
      <c r="K798" s="16" t="s">
        <v>400</v>
      </c>
      <c r="L798" s="19" t="n">
        <v>0.916</v>
      </c>
      <c r="M798" s="19" t="n">
        <v>0.965</v>
      </c>
      <c r="N798" s="16" t="s">
        <v>335</v>
      </c>
      <c r="O798" s="16" t="s">
        <v>677</v>
      </c>
      <c r="P798" s="16" t="s">
        <v>420</v>
      </c>
      <c r="Q798" s="20" t="n">
        <v>46293</v>
      </c>
      <c r="R798" s="16" t="s">
        <v>2756</v>
      </c>
      <c r="S798" s="16" t="s">
        <v>452</v>
      </c>
      <c r="T798" s="17" t="n">
        <v>46293.5866087963</v>
      </c>
      <c r="U798" s="21" t="n">
        <v>1</v>
      </c>
      <c r="V798" s="21" t="n">
        <v>1</v>
      </c>
      <c r="W798" s="22" t="n">
        <v>6.3</v>
      </c>
      <c r="X798" s="16" t="s">
        <v>335</v>
      </c>
      <c r="Y798" s="16" t="s">
        <v>338</v>
      </c>
      <c r="Z798" s="16" t="s">
        <v>413</v>
      </c>
      <c r="AA798" s="16" t="s">
        <v>427</v>
      </c>
      <c r="AB798" s="23" t="s">
        <v>2757</v>
      </c>
      <c r="AC798" s="17" t="n">
        <v>46293.5906018519</v>
      </c>
      <c r="AD798" s="16" t="s">
        <v>338</v>
      </c>
      <c r="AE798" s="16"/>
      <c r="AF798" s="16" t="str">
        <f aca="false">IF(COUNTIF(لیست_سفید!$A$2:$A$21,B798)&gt;0,"بله","خیر")</f>
        <v>خیر</v>
      </c>
      <c r="AG798" s="24" t="n">
        <f aca="false">IF(H798="","",IF(AD798="فیش مفقودی",تنظیمات!$B$6,(INT(I798/1440)*تنظیمات!$B$5+IF(MOD(I798,1440)&lt;=تنظیمات!$B$2,0,MIN(تنظیمات!$B$5,تنظیمات!$B$3+MAX(0,ROUNDUP((MOD(I798,1440)-60)/60,0))*تنظیمات!$B$4)))*INDEX(تعرفه!$B$2:$B$7,MATCH(AD798,تعرفه!$A$2:$A$7,0))))</f>
        <v>340000</v>
      </c>
      <c r="AH798" s="24" t="n">
        <v>340000</v>
      </c>
      <c r="AI798" s="24" t="n">
        <f aca="false">IF(AG798="","",AH798-AG798)</f>
        <v>0</v>
      </c>
      <c r="AJ798" s="21" t="n">
        <v>0</v>
      </c>
      <c r="AK798" s="21" t="n">
        <v>0</v>
      </c>
      <c r="AL798" s="16" t="s">
        <v>335</v>
      </c>
      <c r="AM798" s="16"/>
      <c r="AN798" s="16" t="s">
        <v>340</v>
      </c>
      <c r="AO798" s="16" t="s">
        <v>340</v>
      </c>
      <c r="AP798" s="16" t="s">
        <v>335</v>
      </c>
      <c r="AQ798" s="16"/>
      <c r="AR798" s="21" t="n">
        <f aca="false">IF(AND(T798&lt;&gt;"",H798&lt;&gt;""),IF(AND((T798-H798)*86400&gt;=0,(T798-H798)*86400&lt;تنظیمات!$B$13),1,0),0)</f>
        <v>0</v>
      </c>
      <c r="AS798" s="21" t="n">
        <f aca="false">IF(Z798="پوز",IF(OR(AB798="",COUNTIF(پوزها!$A$2:$A$5,AA798)=0),1,0),0)</f>
        <v>0</v>
      </c>
      <c r="AT798" s="21" t="n">
        <f aca="false">IF(AI798="",0,IF(AI798&gt;0,1,0))</f>
        <v>0</v>
      </c>
      <c r="AU798" s="21" t="n">
        <f aca="false">IF(AI798="",0,IF(AI798&lt;0,1,0))</f>
        <v>0</v>
      </c>
      <c r="AV798" s="21" t="n">
        <f aca="false">IF(U798&gt;V798,1,0)</f>
        <v>0</v>
      </c>
      <c r="AW798" s="21" t="n">
        <f aca="false">IF(OR(W798&gt;تنظیمات!$B$8,X798="بله"),1,0)</f>
        <v>0</v>
      </c>
      <c r="AX798" s="21" t="n">
        <f aca="false">IF(AND(N798="بله",L798&gt;تنظیمات!$B$9),1,0)</f>
        <v>0</v>
      </c>
      <c r="AY798" s="21" t="n">
        <f aca="false">IF(Y798="معکوس",1,0)</f>
        <v>0</v>
      </c>
      <c r="AZ798" s="21" t="n">
        <f aca="false">IF(ABS(AJ798)&gt;تنظیمات!$B$10,1,0)</f>
        <v>0</v>
      </c>
      <c r="BA798" s="21" t="n">
        <f aca="false">IF(AND(OR(AD798="رایگان/VIP",AD798="جانباز"),AF798="خیر"),1,0)</f>
        <v>0</v>
      </c>
      <c r="BB798" s="21" t="n">
        <f aca="false">IF(AE798="",0,IF(COUNTIF($AE$2:$AE$1001,AE798)&gt;1,1,0))</f>
        <v>0</v>
      </c>
      <c r="BC798" s="21" t="n">
        <f aca="false">IF(AND(H798="",I798&gt;تنظیمات!$B$12*60,AM798="خالی"),1,0)</f>
        <v>0</v>
      </c>
      <c r="BD798" s="21" t="n">
        <f aca="false">IF(AND(AP798="بله",I798&lt;تنظیمات!$B$14,AO798="خیر"),1,0)</f>
        <v>0</v>
      </c>
      <c r="BE798" s="21" t="n">
        <f aca="false">IF(AN798="خیر",1,0)</f>
        <v>0</v>
      </c>
      <c r="BF798" s="21" t="n">
        <f aca="false">IF(AND(AD798="فیش مفقودی",AQ798="بله",I798&gt;تنظیمات!$B$12*60),1,0)</f>
        <v>0</v>
      </c>
      <c r="BG798" s="21" t="n">
        <f aca="false">IF(AND(AK798&gt;تنظیمات!$B$11,AL798="بله"),1,0)</f>
        <v>0</v>
      </c>
      <c r="BH798" s="21" t="n">
        <f aca="false">MIN(100,AR798*تنظیمات!$B$21+AS798*تنظیمات!$B$22+AT798*تنظیمات!$B$23+AU798*تنظیمات!$B$24+AV798*تنظیمات!$B$25+AW798*تنظیمات!$B$26+AX798*تنظیمات!$B$27+AY798*تنظیمات!$B$28+AZ798*تنظیمات!$B$29+BA798*تنظیمات!$B$30+BB798*تنظیمات!$B$31+BC798*تنظیمات!$B$32+BD798*تنظیمات!$B$33+BE798*تنظیمات!$B$34+BF798*تنظیمات!$B$35+BG798*تنظیمات!$B$36)</f>
        <v>0</v>
      </c>
      <c r="BI798" s="16" t="str">
        <f aca="false">IF(BH798&gt;=60,"بحرانی",IF(BH798&gt;=30,"مشکوک",IF(BH798&gt;0,"هشدار","عادی")))</f>
        <v>عادی</v>
      </c>
      <c r="BJ798" s="16" t="s">
        <v>338</v>
      </c>
    </row>
    <row r="799" customFormat="false" ht="15" hidden="false" customHeight="false" outlineLevel="0" collapsed="false">
      <c r="A799" s="16" t="s">
        <v>2758</v>
      </c>
      <c r="B799" s="16" t="s">
        <v>2759</v>
      </c>
      <c r="C799" s="16"/>
      <c r="D799" s="16" t="s">
        <v>374</v>
      </c>
      <c r="E799" s="16" t="s">
        <v>345</v>
      </c>
      <c r="F799" s="16" t="s">
        <v>359</v>
      </c>
      <c r="G799" s="17" t="n">
        <v>46292.1605439815</v>
      </c>
      <c r="H799" s="17" t="n">
        <v>46292.534849537</v>
      </c>
      <c r="I799" s="18" t="n">
        <f aca="false">IF(H799="",ROUND((تنظیمات!$B$7-G799)*1440,0),ROUND((H799-G799)*1440,0))</f>
        <v>539</v>
      </c>
      <c r="J799" s="16" t="s">
        <v>346</v>
      </c>
      <c r="K799" s="16" t="s">
        <v>410</v>
      </c>
      <c r="L799" s="19" t="n">
        <v>0.952</v>
      </c>
      <c r="M799" s="19" t="n">
        <v>0.922</v>
      </c>
      <c r="N799" s="16" t="s">
        <v>335</v>
      </c>
      <c r="O799" s="16" t="s">
        <v>441</v>
      </c>
      <c r="P799" s="16" t="s">
        <v>402</v>
      </c>
      <c r="Q799" s="20" t="n">
        <v>46292</v>
      </c>
      <c r="R799" s="16" t="s">
        <v>2760</v>
      </c>
      <c r="S799" s="16" t="s">
        <v>404</v>
      </c>
      <c r="T799" s="17"/>
      <c r="U799" s="21" t="n">
        <v>1</v>
      </c>
      <c r="V799" s="21" t="n">
        <v>1</v>
      </c>
      <c r="W799" s="22" t="n">
        <v>6.8</v>
      </c>
      <c r="X799" s="16" t="s">
        <v>335</v>
      </c>
      <c r="Y799" s="16" t="s">
        <v>338</v>
      </c>
      <c r="Z799" s="16" t="s">
        <v>443</v>
      </c>
      <c r="AA799" s="16"/>
      <c r="AB799" s="23"/>
      <c r="AC799" s="17"/>
      <c r="AD799" s="16" t="s">
        <v>444</v>
      </c>
      <c r="AE799" s="16"/>
      <c r="AF799" s="16" t="str">
        <f aca="false">IF(COUNTIF(لیست_سفید!$A$2:$A$21,B799)&gt;0,"بله","خیر")</f>
        <v>خیر</v>
      </c>
      <c r="AG799" s="24" t="n">
        <f aca="false">IF(H799="","",IF(AD799="فیش مفقودی",تنظیمات!$B$6,(INT(I799/1440)*تنظیمات!$B$5+IF(MOD(I799,1440)&lt;=تنظیمات!$B$2,0,MIN(تنظیمات!$B$5,تنظیمات!$B$3+MAX(0,ROUNDUP((MOD(I799,1440)-60)/60,0))*تنظیمات!$B$4)))*INDEX(تعرفه!$B$2:$B$7,MATCH(AD799,تعرفه!$A$2:$A$7,0))))</f>
        <v>0</v>
      </c>
      <c r="AH799" s="24" t="n">
        <v>0</v>
      </c>
      <c r="AI799" s="24" t="n">
        <f aca="false">IF(AG799="","",AH799-AG799)</f>
        <v>0</v>
      </c>
      <c r="AJ799" s="21" t="n">
        <v>-3</v>
      </c>
      <c r="AK799" s="21" t="n">
        <v>0</v>
      </c>
      <c r="AL799" s="16" t="s">
        <v>335</v>
      </c>
      <c r="AM799" s="16"/>
      <c r="AN799" s="16" t="s">
        <v>340</v>
      </c>
      <c r="AO799" s="16" t="s">
        <v>340</v>
      </c>
      <c r="AP799" s="16" t="s">
        <v>335</v>
      </c>
      <c r="AQ799" s="16"/>
      <c r="AR799" s="21" t="n">
        <f aca="false">IF(AND(T799&lt;&gt;"",H799&lt;&gt;""),IF(AND((T799-H799)*86400&gt;=0,(T799-H799)*86400&lt;تنظیمات!$B$13),1,0),0)</f>
        <v>0</v>
      </c>
      <c r="AS799" s="21" t="n">
        <f aca="false">IF(Z799="پوز",IF(OR(AB799="",COUNTIF(پوزها!$A$2:$A$5,AA799)=0),1,0),0)</f>
        <v>0</v>
      </c>
      <c r="AT799" s="21" t="n">
        <f aca="false">IF(AI799="",0,IF(AI799&gt;0,1,0))</f>
        <v>0</v>
      </c>
      <c r="AU799" s="21" t="n">
        <f aca="false">IF(AI799="",0,IF(AI799&lt;0,1,0))</f>
        <v>0</v>
      </c>
      <c r="AV799" s="21" t="n">
        <f aca="false">IF(U799&gt;V799,1,0)</f>
        <v>0</v>
      </c>
      <c r="AW799" s="21" t="n">
        <f aca="false">IF(OR(W799&gt;تنظیمات!$B$8,X799="بله"),1,0)</f>
        <v>0</v>
      </c>
      <c r="AX799" s="21" t="n">
        <f aca="false">IF(AND(N799="بله",L799&gt;تنظیمات!$B$9),1,0)</f>
        <v>0</v>
      </c>
      <c r="AY799" s="21" t="n">
        <f aca="false">IF(Y799="معکوس",1,0)</f>
        <v>0</v>
      </c>
      <c r="AZ799" s="21" t="n">
        <f aca="false">IF(ABS(AJ799)&gt;تنظیمات!$B$10,1,0)</f>
        <v>0</v>
      </c>
      <c r="BA799" s="21" t="n">
        <f aca="false">IF(AND(OR(AD799="رایگان/VIP",AD799="جانباز"),AF799="خیر"),1,0)</f>
        <v>0</v>
      </c>
      <c r="BB799" s="21" t="n">
        <f aca="false">IF(AE799="",0,IF(COUNTIF($AE$2:$AE$1001,AE799)&gt;1,1,0))</f>
        <v>0</v>
      </c>
      <c r="BC799" s="21" t="n">
        <f aca="false">IF(AND(H799="",I799&gt;تنظیمات!$B$12*60,AM799="خالی"),1,0)</f>
        <v>0</v>
      </c>
      <c r="BD799" s="21" t="n">
        <f aca="false">IF(AND(AP799="بله",I799&lt;تنظیمات!$B$14,AO799="خیر"),1,0)</f>
        <v>0</v>
      </c>
      <c r="BE799" s="21" t="n">
        <f aca="false">IF(AN799="خیر",1,0)</f>
        <v>0</v>
      </c>
      <c r="BF799" s="21" t="n">
        <f aca="false">IF(AND(AD799="فیش مفقودی",AQ799="بله",I799&gt;تنظیمات!$B$12*60),1,0)</f>
        <v>0</v>
      </c>
      <c r="BG799" s="21" t="n">
        <f aca="false">IF(AND(AK799&gt;تنظیمات!$B$11,AL799="بله"),1,0)</f>
        <v>0</v>
      </c>
      <c r="BH799" s="21" t="n">
        <f aca="false">MIN(100,AR799*تنظیمات!$B$21+AS799*تنظیمات!$B$22+AT799*تنظیمات!$B$23+AU799*تنظیمات!$B$24+AV799*تنظیمات!$B$25+AW799*تنظیمات!$B$26+AX799*تنظیمات!$B$27+AY799*تنظیمات!$B$28+AZ799*تنظیمات!$B$29+BA799*تنظیمات!$B$30+BB799*تنظیمات!$B$31+BC799*تنظیمات!$B$32+BD799*تنظیمات!$B$33+BE799*تنظیمات!$B$34+BF799*تنظیمات!$B$35+BG799*تنظیمات!$B$36)</f>
        <v>0</v>
      </c>
      <c r="BI799" s="16" t="str">
        <f aca="false">IF(BH799&gt;=60,"بحرانی",IF(BH799&gt;=30,"مشکوک",IF(BH799&gt;0,"هشدار","عادی")))</f>
        <v>عادی</v>
      </c>
      <c r="BJ799" s="16" t="s">
        <v>338</v>
      </c>
    </row>
    <row r="800" customFormat="false" ht="15" hidden="false" customHeight="false" outlineLevel="0" collapsed="false">
      <c r="A800" s="16" t="s">
        <v>2761</v>
      </c>
      <c r="B800" s="16" t="s">
        <v>1984</v>
      </c>
      <c r="C800" s="16"/>
      <c r="D800" s="16" t="s">
        <v>386</v>
      </c>
      <c r="E800" s="16" t="s">
        <v>363</v>
      </c>
      <c r="F800" s="16" t="s">
        <v>333</v>
      </c>
      <c r="G800" s="17" t="n">
        <v>46292.2060300926</v>
      </c>
      <c r="H800" s="17" t="n">
        <v>46292.2935300926</v>
      </c>
      <c r="I800" s="18" t="n">
        <f aca="false">IF(H800="",ROUND((تنظیمات!$B$7-G800)*1440,0),ROUND((H800-G800)*1440,0))</f>
        <v>126</v>
      </c>
      <c r="J800" s="16" t="s">
        <v>346</v>
      </c>
      <c r="K800" s="16" t="s">
        <v>400</v>
      </c>
      <c r="L800" s="19" t="n">
        <v>0.955</v>
      </c>
      <c r="M800" s="19" t="n">
        <v>0.894</v>
      </c>
      <c r="N800" s="16" t="s">
        <v>335</v>
      </c>
      <c r="O800" s="16" t="s">
        <v>425</v>
      </c>
      <c r="P800" s="16" t="s">
        <v>402</v>
      </c>
      <c r="Q800" s="20" t="n">
        <v>46292</v>
      </c>
      <c r="R800" s="16" t="s">
        <v>2762</v>
      </c>
      <c r="S800" s="16" t="s">
        <v>404</v>
      </c>
      <c r="T800" s="17"/>
      <c r="U800" s="21" t="n">
        <v>1</v>
      </c>
      <c r="V800" s="21" t="n">
        <v>1</v>
      </c>
      <c r="W800" s="22" t="n">
        <v>4</v>
      </c>
      <c r="X800" s="16" t="s">
        <v>335</v>
      </c>
      <c r="Y800" s="16" t="s">
        <v>338</v>
      </c>
      <c r="Z800" s="16" t="s">
        <v>413</v>
      </c>
      <c r="AA800" s="16" t="s">
        <v>427</v>
      </c>
      <c r="AB800" s="23" t="s">
        <v>2763</v>
      </c>
      <c r="AC800" s="17" t="n">
        <v>46292.2924884259</v>
      </c>
      <c r="AD800" s="16" t="s">
        <v>338</v>
      </c>
      <c r="AE800" s="16"/>
      <c r="AF800" s="16" t="str">
        <f aca="false">IF(COUNTIF(لیست_سفید!$A$2:$A$21,B800)&gt;0,"بله","خیر")</f>
        <v>خیر</v>
      </c>
      <c r="AG800" s="24" t="n">
        <f aca="false">IF(H800="","",IF(AD800="فیش مفقودی",تنظیمات!$B$6,(INT(I800/1440)*تنظیمات!$B$5+IF(MOD(I800,1440)&lt;=تنظیمات!$B$2,0,MIN(تنظیمات!$B$5,تنظیمات!$B$3+MAX(0,ROUNDUP((MOD(I800,1440)-60)/60,0))*تنظیمات!$B$4)))*INDEX(تعرفه!$B$2:$B$7,MATCH(AD800,تعرفه!$A$2:$A$7,0))))</f>
        <v>48000</v>
      </c>
      <c r="AH800" s="24" t="n">
        <v>48000</v>
      </c>
      <c r="AI800" s="24" t="n">
        <f aca="false">IF(AG800="","",AH800-AG800)</f>
        <v>0</v>
      </c>
      <c r="AJ800" s="21" t="n">
        <v>0</v>
      </c>
      <c r="AK800" s="21" t="n">
        <v>70</v>
      </c>
      <c r="AL800" s="16" t="s">
        <v>335</v>
      </c>
      <c r="AM800" s="16"/>
      <c r="AN800" s="16" t="s">
        <v>340</v>
      </c>
      <c r="AO800" s="16" t="s">
        <v>340</v>
      </c>
      <c r="AP800" s="16" t="s">
        <v>335</v>
      </c>
      <c r="AQ800" s="16"/>
      <c r="AR800" s="21" t="n">
        <f aca="false">IF(AND(T800&lt;&gt;"",H800&lt;&gt;""),IF(AND((T800-H800)*86400&gt;=0,(T800-H800)*86400&lt;تنظیمات!$B$13),1,0),0)</f>
        <v>0</v>
      </c>
      <c r="AS800" s="21" t="n">
        <f aca="false">IF(Z800="پوز",IF(OR(AB800="",COUNTIF(پوزها!$A$2:$A$5,AA800)=0),1,0),0)</f>
        <v>0</v>
      </c>
      <c r="AT800" s="21" t="n">
        <f aca="false">IF(AI800="",0,IF(AI800&gt;0,1,0))</f>
        <v>0</v>
      </c>
      <c r="AU800" s="21" t="n">
        <f aca="false">IF(AI800="",0,IF(AI800&lt;0,1,0))</f>
        <v>0</v>
      </c>
      <c r="AV800" s="21" t="n">
        <f aca="false">IF(U800&gt;V800,1,0)</f>
        <v>0</v>
      </c>
      <c r="AW800" s="21" t="n">
        <f aca="false">IF(OR(W800&gt;تنظیمات!$B$8,X800="بله"),1,0)</f>
        <v>0</v>
      </c>
      <c r="AX800" s="21" t="n">
        <f aca="false">IF(AND(N800="بله",L800&gt;تنظیمات!$B$9),1,0)</f>
        <v>0</v>
      </c>
      <c r="AY800" s="21" t="n">
        <f aca="false">IF(Y800="معکوس",1,0)</f>
        <v>0</v>
      </c>
      <c r="AZ800" s="21" t="n">
        <f aca="false">IF(ABS(AJ800)&gt;تنظیمات!$B$10,1,0)</f>
        <v>0</v>
      </c>
      <c r="BA800" s="21" t="n">
        <f aca="false">IF(AND(OR(AD800="رایگان/VIP",AD800="جانباز"),AF800="خیر"),1,0)</f>
        <v>0</v>
      </c>
      <c r="BB800" s="21" t="n">
        <f aca="false">IF(AE800="",0,IF(COUNTIF($AE$2:$AE$1001,AE800)&gt;1,1,0))</f>
        <v>0</v>
      </c>
      <c r="BC800" s="21" t="n">
        <f aca="false">IF(AND(H800="",I800&gt;تنظیمات!$B$12*60,AM800="خالی"),1,0)</f>
        <v>0</v>
      </c>
      <c r="BD800" s="21" t="n">
        <f aca="false">IF(AND(AP800="بله",I800&lt;تنظیمات!$B$14,AO800="خیر"),1,0)</f>
        <v>0</v>
      </c>
      <c r="BE800" s="21" t="n">
        <f aca="false">IF(AN800="خیر",1,0)</f>
        <v>0</v>
      </c>
      <c r="BF800" s="21" t="n">
        <f aca="false">IF(AND(AD800="فیش مفقودی",AQ800="بله",I800&gt;تنظیمات!$B$12*60),1,0)</f>
        <v>0</v>
      </c>
      <c r="BG800" s="21" t="n">
        <f aca="false">IF(AND(AK800&gt;تنظیمات!$B$11,AL800="بله"),1,0)</f>
        <v>0</v>
      </c>
      <c r="BH800" s="21" t="n">
        <f aca="false">MIN(100,AR800*تنظیمات!$B$21+AS800*تنظیمات!$B$22+AT800*تنظیمات!$B$23+AU800*تنظیمات!$B$24+AV800*تنظیمات!$B$25+AW800*تنظیمات!$B$26+AX800*تنظیمات!$B$27+AY800*تنظیمات!$B$28+AZ800*تنظیمات!$B$29+BA800*تنظیمات!$B$30+BB800*تنظیمات!$B$31+BC800*تنظیمات!$B$32+BD800*تنظیمات!$B$33+BE800*تنظیمات!$B$34+BF800*تنظیمات!$B$35+BG800*تنظیمات!$B$36)</f>
        <v>0</v>
      </c>
      <c r="BI800" s="16" t="str">
        <f aca="false">IF(BH800&gt;=60,"بحرانی",IF(BH800&gt;=30,"مشکوک",IF(BH800&gt;0,"هشدار","عادی")))</f>
        <v>عادی</v>
      </c>
      <c r="BJ800" s="16" t="s">
        <v>338</v>
      </c>
    </row>
    <row r="801" customFormat="false" ht="15" hidden="false" customHeight="false" outlineLevel="0" collapsed="false">
      <c r="A801" s="16" t="s">
        <v>2764</v>
      </c>
      <c r="B801" s="16" t="s">
        <v>1069</v>
      </c>
      <c r="C801" s="16"/>
      <c r="D801" s="16" t="s">
        <v>344</v>
      </c>
      <c r="E801" s="16" t="s">
        <v>390</v>
      </c>
      <c r="F801" s="16" t="s">
        <v>333</v>
      </c>
      <c r="G801" s="17" t="n">
        <v>46292.2245601852</v>
      </c>
      <c r="H801" s="17" t="n">
        <v>46292.3974768519</v>
      </c>
      <c r="I801" s="18" t="n">
        <f aca="false">IF(H801="",ROUND((تنظیمات!$B$7-G801)*1440,0),ROUND((H801-G801)*1440,0))</f>
        <v>249</v>
      </c>
      <c r="J801" s="16" t="s">
        <v>346</v>
      </c>
      <c r="K801" s="16" t="s">
        <v>400</v>
      </c>
      <c r="L801" s="19" t="n">
        <v>0.96</v>
      </c>
      <c r="M801" s="19" t="n">
        <v>0.901</v>
      </c>
      <c r="N801" s="16" t="s">
        <v>335</v>
      </c>
      <c r="O801" s="16" t="s">
        <v>425</v>
      </c>
      <c r="P801" s="16" t="s">
        <v>402</v>
      </c>
      <c r="Q801" s="20" t="n">
        <v>46292</v>
      </c>
      <c r="R801" s="16" t="s">
        <v>2765</v>
      </c>
      <c r="S801" s="16" t="s">
        <v>404</v>
      </c>
      <c r="T801" s="17"/>
      <c r="U801" s="21" t="n">
        <v>1</v>
      </c>
      <c r="V801" s="21" t="n">
        <v>1</v>
      </c>
      <c r="W801" s="22" t="n">
        <v>4.3</v>
      </c>
      <c r="X801" s="16" t="s">
        <v>335</v>
      </c>
      <c r="Y801" s="16" t="s">
        <v>338</v>
      </c>
      <c r="Z801" s="16" t="s">
        <v>413</v>
      </c>
      <c r="AA801" s="16" t="s">
        <v>427</v>
      </c>
      <c r="AB801" s="23" t="s">
        <v>2766</v>
      </c>
      <c r="AC801" s="17" t="n">
        <v>46292.3967361111</v>
      </c>
      <c r="AD801" s="16" t="s">
        <v>338</v>
      </c>
      <c r="AE801" s="16"/>
      <c r="AF801" s="16" t="str">
        <f aca="false">IF(COUNTIF(لیست_سفید!$A$2:$A$21,B801)&gt;0,"بله","خیر")</f>
        <v>خیر</v>
      </c>
      <c r="AG801" s="24" t="n">
        <f aca="false">IF(H801="","",IF(AD801="فیش مفقودی",تنظیمات!$B$6,(INT(I801/1440)*تنظیمات!$B$5+IF(MOD(I801,1440)&lt;=تنظیمات!$B$2,0,MIN(تنظیمات!$B$5,تنظیمات!$B$3+MAX(0,ROUNDUP((MOD(I801,1440)-60)/60,0))*تنظیمات!$B$4)))*INDEX(تعرفه!$B$2:$B$7,MATCH(AD801,تعرفه!$A$2:$A$7,0))))</f>
        <v>76000</v>
      </c>
      <c r="AH801" s="24" t="n">
        <v>76000</v>
      </c>
      <c r="AI801" s="24" t="n">
        <f aca="false">IF(AG801="","",AH801-AG801)</f>
        <v>0</v>
      </c>
      <c r="AJ801" s="21" t="n">
        <v>-2</v>
      </c>
      <c r="AK801" s="21" t="n">
        <v>0</v>
      </c>
      <c r="AL801" s="16" t="s">
        <v>335</v>
      </c>
      <c r="AM801" s="16"/>
      <c r="AN801" s="16" t="s">
        <v>340</v>
      </c>
      <c r="AO801" s="16" t="s">
        <v>340</v>
      </c>
      <c r="AP801" s="16" t="s">
        <v>335</v>
      </c>
      <c r="AQ801" s="16"/>
      <c r="AR801" s="21" t="n">
        <f aca="false">IF(AND(T801&lt;&gt;"",H801&lt;&gt;""),IF(AND((T801-H801)*86400&gt;=0,(T801-H801)*86400&lt;تنظیمات!$B$13),1,0),0)</f>
        <v>0</v>
      </c>
      <c r="AS801" s="21" t="n">
        <f aca="false">IF(Z801="پوز",IF(OR(AB801="",COUNTIF(پوزها!$A$2:$A$5,AA801)=0),1,0),0)</f>
        <v>0</v>
      </c>
      <c r="AT801" s="21" t="n">
        <f aca="false">IF(AI801="",0,IF(AI801&gt;0,1,0))</f>
        <v>0</v>
      </c>
      <c r="AU801" s="21" t="n">
        <f aca="false">IF(AI801="",0,IF(AI801&lt;0,1,0))</f>
        <v>0</v>
      </c>
      <c r="AV801" s="21" t="n">
        <f aca="false">IF(U801&gt;V801,1,0)</f>
        <v>0</v>
      </c>
      <c r="AW801" s="21" t="n">
        <f aca="false">IF(OR(W801&gt;تنظیمات!$B$8,X801="بله"),1,0)</f>
        <v>0</v>
      </c>
      <c r="AX801" s="21" t="n">
        <f aca="false">IF(AND(N801="بله",L801&gt;تنظیمات!$B$9),1,0)</f>
        <v>0</v>
      </c>
      <c r="AY801" s="21" t="n">
        <f aca="false">IF(Y801="معکوس",1,0)</f>
        <v>0</v>
      </c>
      <c r="AZ801" s="21" t="n">
        <f aca="false">IF(ABS(AJ801)&gt;تنظیمات!$B$10,1,0)</f>
        <v>0</v>
      </c>
      <c r="BA801" s="21" t="n">
        <f aca="false">IF(AND(OR(AD801="رایگان/VIP",AD801="جانباز"),AF801="خیر"),1,0)</f>
        <v>0</v>
      </c>
      <c r="BB801" s="21" t="n">
        <f aca="false">IF(AE801="",0,IF(COUNTIF($AE$2:$AE$1001,AE801)&gt;1,1,0))</f>
        <v>0</v>
      </c>
      <c r="BC801" s="21" t="n">
        <f aca="false">IF(AND(H801="",I801&gt;تنظیمات!$B$12*60,AM801="خالی"),1,0)</f>
        <v>0</v>
      </c>
      <c r="BD801" s="21" t="n">
        <f aca="false">IF(AND(AP801="بله",I801&lt;تنظیمات!$B$14,AO801="خیر"),1,0)</f>
        <v>0</v>
      </c>
      <c r="BE801" s="21" t="n">
        <f aca="false">IF(AN801="خیر",1,0)</f>
        <v>0</v>
      </c>
      <c r="BF801" s="21" t="n">
        <f aca="false">IF(AND(AD801="فیش مفقودی",AQ801="بله",I801&gt;تنظیمات!$B$12*60),1,0)</f>
        <v>0</v>
      </c>
      <c r="BG801" s="21" t="n">
        <f aca="false">IF(AND(AK801&gt;تنظیمات!$B$11,AL801="بله"),1,0)</f>
        <v>0</v>
      </c>
      <c r="BH801" s="21" t="n">
        <f aca="false">MIN(100,AR801*تنظیمات!$B$21+AS801*تنظیمات!$B$22+AT801*تنظیمات!$B$23+AU801*تنظیمات!$B$24+AV801*تنظیمات!$B$25+AW801*تنظیمات!$B$26+AX801*تنظیمات!$B$27+AY801*تنظیمات!$B$28+AZ801*تنظیمات!$B$29+BA801*تنظیمات!$B$30+BB801*تنظیمات!$B$31+BC801*تنظیمات!$B$32+BD801*تنظیمات!$B$33+BE801*تنظیمات!$B$34+BF801*تنظیمات!$B$35+BG801*تنظیمات!$B$36)</f>
        <v>0</v>
      </c>
      <c r="BI801" s="16" t="str">
        <f aca="false">IF(BH801&gt;=60,"بحرانی",IF(BH801&gt;=30,"مشکوک",IF(BH801&gt;0,"هشدار","عادی")))</f>
        <v>عادی</v>
      </c>
      <c r="BJ801" s="16" t="s">
        <v>338</v>
      </c>
    </row>
    <row r="802" customFormat="false" ht="15" hidden="false" customHeight="false" outlineLevel="0" collapsed="false">
      <c r="A802" s="16" t="s">
        <v>2767</v>
      </c>
      <c r="B802" s="16" t="s">
        <v>983</v>
      </c>
      <c r="C802" s="16"/>
      <c r="D802" s="16" t="s">
        <v>450</v>
      </c>
      <c r="E802" s="16" t="s">
        <v>351</v>
      </c>
      <c r="F802" s="16" t="s">
        <v>333</v>
      </c>
      <c r="G802" s="17" t="n">
        <v>46292.2423032407</v>
      </c>
      <c r="H802" s="17" t="n">
        <v>46292.2929976852</v>
      </c>
      <c r="I802" s="18" t="n">
        <f aca="false">IF(H802="",ROUND((تنظیمات!$B$7-G802)*1440,0),ROUND((H802-G802)*1440,0))</f>
        <v>73</v>
      </c>
      <c r="J802" s="16" t="s">
        <v>346</v>
      </c>
      <c r="K802" s="16" t="s">
        <v>410</v>
      </c>
      <c r="L802" s="19" t="n">
        <v>0.95</v>
      </c>
      <c r="M802" s="19" t="n">
        <v>0.863</v>
      </c>
      <c r="N802" s="16" t="s">
        <v>335</v>
      </c>
      <c r="O802" s="16" t="s">
        <v>441</v>
      </c>
      <c r="P802" s="16" t="s">
        <v>402</v>
      </c>
      <c r="Q802" s="20" t="n">
        <v>46292</v>
      </c>
      <c r="R802" s="16" t="s">
        <v>2768</v>
      </c>
      <c r="S802" s="16" t="s">
        <v>404</v>
      </c>
      <c r="T802" s="17"/>
      <c r="U802" s="21" t="n">
        <v>1</v>
      </c>
      <c r="V802" s="21" t="n">
        <v>1</v>
      </c>
      <c r="W802" s="22" t="n">
        <v>5.5</v>
      </c>
      <c r="X802" s="16" t="s">
        <v>335</v>
      </c>
      <c r="Y802" s="16" t="s">
        <v>338</v>
      </c>
      <c r="Z802" s="16" t="s">
        <v>413</v>
      </c>
      <c r="AA802" s="16" t="s">
        <v>414</v>
      </c>
      <c r="AB802" s="23" t="s">
        <v>2769</v>
      </c>
      <c r="AC802" s="17" t="n">
        <v>46292.2925578704</v>
      </c>
      <c r="AD802" s="16" t="s">
        <v>338</v>
      </c>
      <c r="AE802" s="16"/>
      <c r="AF802" s="16" t="str">
        <f aca="false">IF(COUNTIF(لیست_سفید!$A$2:$A$21,B802)&gt;0,"بله","خیر")</f>
        <v>خیر</v>
      </c>
      <c r="AG802" s="24" t="n">
        <f aca="false">IF(H802="","",IF(AD802="فیش مفقودی",تنظیمات!$B$6,(INT(I802/1440)*تنظیمات!$B$5+IF(MOD(I802,1440)&lt;=تنظیمات!$B$2,0,MIN(تنظیمات!$B$5,تنظیمات!$B$3+MAX(0,ROUNDUP((MOD(I802,1440)-60)/60,0))*تنظیمات!$B$4)))*INDEX(تعرفه!$B$2:$B$7,MATCH(AD802,تعرفه!$A$2:$A$7,0))))</f>
        <v>34000</v>
      </c>
      <c r="AH802" s="24" t="n">
        <v>34000</v>
      </c>
      <c r="AI802" s="24" t="n">
        <f aca="false">IF(AG802="","",AH802-AG802)</f>
        <v>0</v>
      </c>
      <c r="AJ802" s="21" t="n">
        <v>1</v>
      </c>
      <c r="AK802" s="21" t="n">
        <v>0</v>
      </c>
      <c r="AL802" s="16" t="s">
        <v>335</v>
      </c>
      <c r="AM802" s="16"/>
      <c r="AN802" s="16" t="s">
        <v>340</v>
      </c>
      <c r="AO802" s="16" t="s">
        <v>340</v>
      </c>
      <c r="AP802" s="16" t="s">
        <v>335</v>
      </c>
      <c r="AQ802" s="16"/>
      <c r="AR802" s="21" t="n">
        <f aca="false">IF(AND(T802&lt;&gt;"",H802&lt;&gt;""),IF(AND((T802-H802)*86400&gt;=0,(T802-H802)*86400&lt;تنظیمات!$B$13),1,0),0)</f>
        <v>0</v>
      </c>
      <c r="AS802" s="21" t="n">
        <f aca="false">IF(Z802="پوز",IF(OR(AB802="",COUNTIF(پوزها!$A$2:$A$5,AA802)=0),1,0),0)</f>
        <v>0</v>
      </c>
      <c r="AT802" s="21" t="n">
        <f aca="false">IF(AI802="",0,IF(AI802&gt;0,1,0))</f>
        <v>0</v>
      </c>
      <c r="AU802" s="21" t="n">
        <f aca="false">IF(AI802="",0,IF(AI802&lt;0,1,0))</f>
        <v>0</v>
      </c>
      <c r="AV802" s="21" t="n">
        <f aca="false">IF(U802&gt;V802,1,0)</f>
        <v>0</v>
      </c>
      <c r="AW802" s="21" t="n">
        <f aca="false">IF(OR(W802&gt;تنظیمات!$B$8,X802="بله"),1,0)</f>
        <v>0</v>
      </c>
      <c r="AX802" s="21" t="n">
        <f aca="false">IF(AND(N802="بله",L802&gt;تنظیمات!$B$9),1,0)</f>
        <v>0</v>
      </c>
      <c r="AY802" s="21" t="n">
        <f aca="false">IF(Y802="معکوس",1,0)</f>
        <v>0</v>
      </c>
      <c r="AZ802" s="21" t="n">
        <f aca="false">IF(ABS(AJ802)&gt;تنظیمات!$B$10,1,0)</f>
        <v>0</v>
      </c>
      <c r="BA802" s="21" t="n">
        <f aca="false">IF(AND(OR(AD802="رایگان/VIP",AD802="جانباز"),AF802="خیر"),1,0)</f>
        <v>0</v>
      </c>
      <c r="BB802" s="21" t="n">
        <f aca="false">IF(AE802="",0,IF(COUNTIF($AE$2:$AE$1001,AE802)&gt;1,1,0))</f>
        <v>0</v>
      </c>
      <c r="BC802" s="21" t="n">
        <f aca="false">IF(AND(H802="",I802&gt;تنظیمات!$B$12*60,AM802="خالی"),1,0)</f>
        <v>0</v>
      </c>
      <c r="BD802" s="21" t="n">
        <f aca="false">IF(AND(AP802="بله",I802&lt;تنظیمات!$B$14,AO802="خیر"),1,0)</f>
        <v>0</v>
      </c>
      <c r="BE802" s="21" t="n">
        <f aca="false">IF(AN802="خیر",1,0)</f>
        <v>0</v>
      </c>
      <c r="BF802" s="21" t="n">
        <f aca="false">IF(AND(AD802="فیش مفقودی",AQ802="بله",I802&gt;تنظیمات!$B$12*60),1,0)</f>
        <v>0</v>
      </c>
      <c r="BG802" s="21" t="n">
        <f aca="false">IF(AND(AK802&gt;تنظیمات!$B$11,AL802="بله"),1,0)</f>
        <v>0</v>
      </c>
      <c r="BH802" s="21" t="n">
        <f aca="false">MIN(100,AR802*تنظیمات!$B$21+AS802*تنظیمات!$B$22+AT802*تنظیمات!$B$23+AU802*تنظیمات!$B$24+AV802*تنظیمات!$B$25+AW802*تنظیمات!$B$26+AX802*تنظیمات!$B$27+AY802*تنظیمات!$B$28+AZ802*تنظیمات!$B$29+BA802*تنظیمات!$B$30+BB802*تنظیمات!$B$31+BC802*تنظیمات!$B$32+BD802*تنظیمات!$B$33+BE802*تنظیمات!$B$34+BF802*تنظیمات!$B$35+BG802*تنظیمات!$B$36)</f>
        <v>0</v>
      </c>
      <c r="BI802" s="16" t="str">
        <f aca="false">IF(BH802&gt;=60,"بحرانی",IF(BH802&gt;=30,"مشکوک",IF(BH802&gt;0,"هشدار","عادی")))</f>
        <v>عادی</v>
      </c>
      <c r="BJ802" s="16" t="s">
        <v>338</v>
      </c>
    </row>
    <row r="803" customFormat="false" ht="15" hidden="false" customHeight="false" outlineLevel="0" collapsed="false">
      <c r="A803" s="16" t="s">
        <v>2770</v>
      </c>
      <c r="B803" s="16" t="s">
        <v>1255</v>
      </c>
      <c r="C803" s="16"/>
      <c r="D803" s="16" t="s">
        <v>523</v>
      </c>
      <c r="E803" s="16" t="s">
        <v>390</v>
      </c>
      <c r="F803" s="16" t="s">
        <v>333</v>
      </c>
      <c r="G803" s="17" t="n">
        <v>46292.245462963</v>
      </c>
      <c r="H803" s="17" t="n">
        <v>46292.3718518519</v>
      </c>
      <c r="I803" s="18" t="n">
        <f aca="false">IF(H803="",ROUND((تنظیمات!$B$7-G803)*1440,0),ROUND((H803-G803)*1440,0))</f>
        <v>182</v>
      </c>
      <c r="J803" s="16" t="s">
        <v>346</v>
      </c>
      <c r="K803" s="16" t="s">
        <v>400</v>
      </c>
      <c r="L803" s="19" t="n">
        <v>0.905</v>
      </c>
      <c r="M803" s="19" t="n">
        <v>0.978</v>
      </c>
      <c r="N803" s="16" t="s">
        <v>335</v>
      </c>
      <c r="O803" s="16" t="s">
        <v>425</v>
      </c>
      <c r="P803" s="16" t="s">
        <v>402</v>
      </c>
      <c r="Q803" s="20" t="n">
        <v>46292</v>
      </c>
      <c r="R803" s="16" t="s">
        <v>2771</v>
      </c>
      <c r="S803" s="16" t="s">
        <v>404</v>
      </c>
      <c r="T803" s="17"/>
      <c r="U803" s="21" t="n">
        <v>1</v>
      </c>
      <c r="V803" s="21" t="n">
        <v>1</v>
      </c>
      <c r="W803" s="22" t="n">
        <v>5.9</v>
      </c>
      <c r="X803" s="16" t="s">
        <v>335</v>
      </c>
      <c r="Y803" s="16" t="s">
        <v>338</v>
      </c>
      <c r="Z803" s="16" t="s">
        <v>413</v>
      </c>
      <c r="AA803" s="16" t="s">
        <v>427</v>
      </c>
      <c r="AB803" s="23" t="s">
        <v>2772</v>
      </c>
      <c r="AC803" s="17" t="n">
        <v>46292.3714583333</v>
      </c>
      <c r="AD803" s="16" t="s">
        <v>338</v>
      </c>
      <c r="AE803" s="16"/>
      <c r="AF803" s="16" t="str">
        <f aca="false">IF(COUNTIF(لیست_سفید!$A$2:$A$21,B803)&gt;0,"بله","خیر")</f>
        <v>خیر</v>
      </c>
      <c r="AG803" s="24" t="n">
        <f aca="false">IF(H803="","",IF(AD803="فیش مفقودی",تنظیمات!$B$6,(INT(I803/1440)*تنظیمات!$B$5+IF(MOD(I803,1440)&lt;=تنظیمات!$B$2,0,MIN(تنظیمات!$B$5,تنظیمات!$B$3+MAX(0,ROUNDUP((MOD(I803,1440)-60)/60,0))*تنظیمات!$B$4)))*INDEX(تعرفه!$B$2:$B$7,MATCH(AD803,تعرفه!$A$2:$A$7,0))))</f>
        <v>62000</v>
      </c>
      <c r="AH803" s="24" t="n">
        <v>62000</v>
      </c>
      <c r="AI803" s="24" t="n">
        <f aca="false">IF(AG803="","",AH803-AG803)</f>
        <v>0</v>
      </c>
      <c r="AJ803" s="21" t="n">
        <v>1</v>
      </c>
      <c r="AK803" s="21" t="n">
        <v>0</v>
      </c>
      <c r="AL803" s="16" t="s">
        <v>335</v>
      </c>
      <c r="AM803" s="16"/>
      <c r="AN803" s="16" t="s">
        <v>340</v>
      </c>
      <c r="AO803" s="16" t="s">
        <v>340</v>
      </c>
      <c r="AP803" s="16" t="s">
        <v>335</v>
      </c>
      <c r="AQ803" s="16"/>
      <c r="AR803" s="21" t="n">
        <f aca="false">IF(AND(T803&lt;&gt;"",H803&lt;&gt;""),IF(AND((T803-H803)*86400&gt;=0,(T803-H803)*86400&lt;تنظیمات!$B$13),1,0),0)</f>
        <v>0</v>
      </c>
      <c r="AS803" s="21" t="n">
        <f aca="false">IF(Z803="پوز",IF(OR(AB803="",COUNTIF(پوزها!$A$2:$A$5,AA803)=0),1,0),0)</f>
        <v>0</v>
      </c>
      <c r="AT803" s="21" t="n">
        <f aca="false">IF(AI803="",0,IF(AI803&gt;0,1,0))</f>
        <v>0</v>
      </c>
      <c r="AU803" s="21" t="n">
        <f aca="false">IF(AI803="",0,IF(AI803&lt;0,1,0))</f>
        <v>0</v>
      </c>
      <c r="AV803" s="21" t="n">
        <f aca="false">IF(U803&gt;V803,1,0)</f>
        <v>0</v>
      </c>
      <c r="AW803" s="21" t="n">
        <f aca="false">IF(OR(W803&gt;تنظیمات!$B$8,X803="بله"),1,0)</f>
        <v>0</v>
      </c>
      <c r="AX803" s="21" t="n">
        <f aca="false">IF(AND(N803="بله",L803&gt;تنظیمات!$B$9),1,0)</f>
        <v>0</v>
      </c>
      <c r="AY803" s="21" t="n">
        <f aca="false">IF(Y803="معکوس",1,0)</f>
        <v>0</v>
      </c>
      <c r="AZ803" s="21" t="n">
        <f aca="false">IF(ABS(AJ803)&gt;تنظیمات!$B$10,1,0)</f>
        <v>0</v>
      </c>
      <c r="BA803" s="21" t="n">
        <f aca="false">IF(AND(OR(AD803="رایگان/VIP",AD803="جانباز"),AF803="خیر"),1,0)</f>
        <v>0</v>
      </c>
      <c r="BB803" s="21" t="n">
        <f aca="false">IF(AE803="",0,IF(COUNTIF($AE$2:$AE$1001,AE803)&gt;1,1,0))</f>
        <v>0</v>
      </c>
      <c r="BC803" s="21" t="n">
        <f aca="false">IF(AND(H803="",I803&gt;تنظیمات!$B$12*60,AM803="خالی"),1,0)</f>
        <v>0</v>
      </c>
      <c r="BD803" s="21" t="n">
        <f aca="false">IF(AND(AP803="بله",I803&lt;تنظیمات!$B$14,AO803="خیر"),1,0)</f>
        <v>0</v>
      </c>
      <c r="BE803" s="21" t="n">
        <f aca="false">IF(AN803="خیر",1,0)</f>
        <v>0</v>
      </c>
      <c r="BF803" s="21" t="n">
        <f aca="false">IF(AND(AD803="فیش مفقودی",AQ803="بله",I803&gt;تنظیمات!$B$12*60),1,0)</f>
        <v>0</v>
      </c>
      <c r="BG803" s="21" t="n">
        <f aca="false">IF(AND(AK803&gt;تنظیمات!$B$11,AL803="بله"),1,0)</f>
        <v>0</v>
      </c>
      <c r="BH803" s="21" t="n">
        <f aca="false">MIN(100,AR803*تنظیمات!$B$21+AS803*تنظیمات!$B$22+AT803*تنظیمات!$B$23+AU803*تنظیمات!$B$24+AV803*تنظیمات!$B$25+AW803*تنظیمات!$B$26+AX803*تنظیمات!$B$27+AY803*تنظیمات!$B$28+AZ803*تنظیمات!$B$29+BA803*تنظیمات!$B$30+BB803*تنظیمات!$B$31+BC803*تنظیمات!$B$32+BD803*تنظیمات!$B$33+BE803*تنظیمات!$B$34+BF803*تنظیمات!$B$35+BG803*تنظیمات!$B$36)</f>
        <v>0</v>
      </c>
      <c r="BI803" s="16" t="str">
        <f aca="false">IF(BH803&gt;=60,"بحرانی",IF(BH803&gt;=30,"مشکوک",IF(BH803&gt;0,"هشدار","عادی")))</f>
        <v>عادی</v>
      </c>
      <c r="BJ803" s="16" t="s">
        <v>338</v>
      </c>
    </row>
    <row r="804" customFormat="false" ht="15" hidden="false" customHeight="false" outlineLevel="0" collapsed="false">
      <c r="A804" s="16" t="s">
        <v>2773</v>
      </c>
      <c r="B804" s="16" t="s">
        <v>1113</v>
      </c>
      <c r="C804" s="16"/>
      <c r="D804" s="16" t="s">
        <v>508</v>
      </c>
      <c r="E804" s="16" t="s">
        <v>332</v>
      </c>
      <c r="F804" s="16" t="s">
        <v>333</v>
      </c>
      <c r="G804" s="17" t="n">
        <v>46292.265474537</v>
      </c>
      <c r="H804" s="17" t="n">
        <v>46292.3814467593</v>
      </c>
      <c r="I804" s="18" t="n">
        <f aca="false">IF(H804="",ROUND((تنظیمات!$B$7-G804)*1440,0),ROUND((H804-G804)*1440,0))</f>
        <v>167</v>
      </c>
      <c r="J804" s="16" t="s">
        <v>334</v>
      </c>
      <c r="K804" s="16" t="s">
        <v>410</v>
      </c>
      <c r="L804" s="19" t="n">
        <v>0.975</v>
      </c>
      <c r="M804" s="19" t="n">
        <v>0.995</v>
      </c>
      <c r="N804" s="16" t="s">
        <v>335</v>
      </c>
      <c r="O804" s="16" t="s">
        <v>441</v>
      </c>
      <c r="P804" s="16" t="s">
        <v>402</v>
      </c>
      <c r="Q804" s="20" t="n">
        <v>46292</v>
      </c>
      <c r="R804" s="16" t="s">
        <v>2774</v>
      </c>
      <c r="S804" s="16" t="s">
        <v>404</v>
      </c>
      <c r="T804" s="17"/>
      <c r="U804" s="21" t="n">
        <v>1</v>
      </c>
      <c r="V804" s="21" t="n">
        <v>1</v>
      </c>
      <c r="W804" s="22" t="n">
        <v>3.2</v>
      </c>
      <c r="X804" s="16" t="s">
        <v>335</v>
      </c>
      <c r="Y804" s="16" t="s">
        <v>338</v>
      </c>
      <c r="Z804" s="16" t="s">
        <v>413</v>
      </c>
      <c r="AA804" s="16" t="s">
        <v>414</v>
      </c>
      <c r="AB804" s="23" t="s">
        <v>2775</v>
      </c>
      <c r="AC804" s="17" t="n">
        <v>46292.3807407407</v>
      </c>
      <c r="AD804" s="16" t="s">
        <v>338</v>
      </c>
      <c r="AE804" s="16"/>
      <c r="AF804" s="16" t="str">
        <f aca="false">IF(COUNTIF(لیست_سفید!$A$2:$A$21,B804)&gt;0,"بله","خیر")</f>
        <v>خیر</v>
      </c>
      <c r="AG804" s="24" t="n">
        <f aca="false">IF(H804="","",IF(AD804="فیش مفقودی",تنظیمات!$B$6,(INT(I804/1440)*تنظیمات!$B$5+IF(MOD(I804,1440)&lt;=تنظیمات!$B$2,0,MIN(تنظیمات!$B$5,تنظیمات!$B$3+MAX(0,ROUNDUP((MOD(I804,1440)-60)/60,0))*تنظیمات!$B$4)))*INDEX(تعرفه!$B$2:$B$7,MATCH(AD804,تعرفه!$A$2:$A$7,0))))</f>
        <v>48000</v>
      </c>
      <c r="AH804" s="24" t="n">
        <v>48000</v>
      </c>
      <c r="AI804" s="24" t="n">
        <f aca="false">IF(AG804="","",AH804-AG804)</f>
        <v>0</v>
      </c>
      <c r="AJ804" s="21" t="n">
        <v>1</v>
      </c>
      <c r="AK804" s="21" t="n">
        <v>0</v>
      </c>
      <c r="AL804" s="16" t="s">
        <v>335</v>
      </c>
      <c r="AM804" s="16"/>
      <c r="AN804" s="16" t="s">
        <v>340</v>
      </c>
      <c r="AO804" s="16" t="s">
        <v>340</v>
      </c>
      <c r="AP804" s="16" t="s">
        <v>335</v>
      </c>
      <c r="AQ804" s="16"/>
      <c r="AR804" s="21" t="n">
        <f aca="false">IF(AND(T804&lt;&gt;"",H804&lt;&gt;""),IF(AND((T804-H804)*86400&gt;=0,(T804-H804)*86400&lt;تنظیمات!$B$13),1,0),0)</f>
        <v>0</v>
      </c>
      <c r="AS804" s="21" t="n">
        <f aca="false">IF(Z804="پوز",IF(OR(AB804="",COUNTIF(پوزها!$A$2:$A$5,AA804)=0),1,0),0)</f>
        <v>0</v>
      </c>
      <c r="AT804" s="21" t="n">
        <f aca="false">IF(AI804="",0,IF(AI804&gt;0,1,0))</f>
        <v>0</v>
      </c>
      <c r="AU804" s="21" t="n">
        <f aca="false">IF(AI804="",0,IF(AI804&lt;0,1,0))</f>
        <v>0</v>
      </c>
      <c r="AV804" s="21" t="n">
        <f aca="false">IF(U804&gt;V804,1,0)</f>
        <v>0</v>
      </c>
      <c r="AW804" s="21" t="n">
        <f aca="false">IF(OR(W804&gt;تنظیمات!$B$8,X804="بله"),1,0)</f>
        <v>0</v>
      </c>
      <c r="AX804" s="21" t="n">
        <f aca="false">IF(AND(N804="بله",L804&gt;تنظیمات!$B$9),1,0)</f>
        <v>0</v>
      </c>
      <c r="AY804" s="21" t="n">
        <f aca="false">IF(Y804="معکوس",1,0)</f>
        <v>0</v>
      </c>
      <c r="AZ804" s="21" t="n">
        <f aca="false">IF(ABS(AJ804)&gt;تنظیمات!$B$10,1,0)</f>
        <v>0</v>
      </c>
      <c r="BA804" s="21" t="n">
        <f aca="false">IF(AND(OR(AD804="رایگان/VIP",AD804="جانباز"),AF804="خیر"),1,0)</f>
        <v>0</v>
      </c>
      <c r="BB804" s="21" t="n">
        <f aca="false">IF(AE804="",0,IF(COUNTIF($AE$2:$AE$1001,AE804)&gt;1,1,0))</f>
        <v>0</v>
      </c>
      <c r="BC804" s="21" t="n">
        <f aca="false">IF(AND(H804="",I804&gt;تنظیمات!$B$12*60,AM804="خالی"),1,0)</f>
        <v>0</v>
      </c>
      <c r="BD804" s="21" t="n">
        <f aca="false">IF(AND(AP804="بله",I804&lt;تنظیمات!$B$14,AO804="خیر"),1,0)</f>
        <v>0</v>
      </c>
      <c r="BE804" s="21" t="n">
        <f aca="false">IF(AN804="خیر",1,0)</f>
        <v>0</v>
      </c>
      <c r="BF804" s="21" t="n">
        <f aca="false">IF(AND(AD804="فیش مفقودی",AQ804="بله",I804&gt;تنظیمات!$B$12*60),1,0)</f>
        <v>0</v>
      </c>
      <c r="BG804" s="21" t="n">
        <f aca="false">IF(AND(AK804&gt;تنظیمات!$B$11,AL804="بله"),1,0)</f>
        <v>0</v>
      </c>
      <c r="BH804" s="21" t="n">
        <f aca="false">MIN(100,AR804*تنظیمات!$B$21+AS804*تنظیمات!$B$22+AT804*تنظیمات!$B$23+AU804*تنظیمات!$B$24+AV804*تنظیمات!$B$25+AW804*تنظیمات!$B$26+AX804*تنظیمات!$B$27+AY804*تنظیمات!$B$28+AZ804*تنظیمات!$B$29+BA804*تنظیمات!$B$30+BB804*تنظیمات!$B$31+BC804*تنظیمات!$B$32+BD804*تنظیمات!$B$33+BE804*تنظیمات!$B$34+BF804*تنظیمات!$B$35+BG804*تنظیمات!$B$36)</f>
        <v>0</v>
      </c>
      <c r="BI804" s="16" t="str">
        <f aca="false">IF(BH804&gt;=60,"بحرانی",IF(BH804&gt;=30,"مشکوک",IF(BH804&gt;0,"هشدار","عادی")))</f>
        <v>عادی</v>
      </c>
      <c r="BJ804" s="16" t="s">
        <v>338</v>
      </c>
    </row>
    <row r="805" customFormat="false" ht="15" hidden="false" customHeight="false" outlineLevel="0" collapsed="false">
      <c r="A805" s="16" t="s">
        <v>2776</v>
      </c>
      <c r="B805" s="16" t="s">
        <v>770</v>
      </c>
      <c r="C805" s="16"/>
      <c r="D805" s="16" t="s">
        <v>431</v>
      </c>
      <c r="E805" s="16" t="s">
        <v>375</v>
      </c>
      <c r="F805" s="16" t="s">
        <v>333</v>
      </c>
      <c r="G805" s="17" t="n">
        <v>46292.2720717593</v>
      </c>
      <c r="H805" s="17" t="n">
        <v>46292.5922106481</v>
      </c>
      <c r="I805" s="18" t="n">
        <f aca="false">IF(H805="",ROUND((تنظیمات!$B$7-G805)*1440,0),ROUND((H805-G805)*1440,0))</f>
        <v>461</v>
      </c>
      <c r="J805" s="16" t="s">
        <v>346</v>
      </c>
      <c r="K805" s="16" t="s">
        <v>400</v>
      </c>
      <c r="L805" s="19" t="n">
        <v>0.871</v>
      </c>
      <c r="M805" s="19" t="n">
        <v>0.912</v>
      </c>
      <c r="N805" s="16" t="s">
        <v>335</v>
      </c>
      <c r="O805" s="16" t="s">
        <v>411</v>
      </c>
      <c r="P805" s="16" t="s">
        <v>420</v>
      </c>
      <c r="Q805" s="20" t="n">
        <v>46292</v>
      </c>
      <c r="R805" s="16" t="s">
        <v>2777</v>
      </c>
      <c r="S805" s="16" t="s">
        <v>404</v>
      </c>
      <c r="T805" s="17"/>
      <c r="U805" s="21" t="n">
        <v>1</v>
      </c>
      <c r="V805" s="21" t="n">
        <v>1</v>
      </c>
      <c r="W805" s="22" t="n">
        <v>5.7</v>
      </c>
      <c r="X805" s="16" t="s">
        <v>335</v>
      </c>
      <c r="Y805" s="16" t="s">
        <v>338</v>
      </c>
      <c r="Z805" s="16" t="s">
        <v>443</v>
      </c>
      <c r="AA805" s="16"/>
      <c r="AB805" s="23"/>
      <c r="AC805" s="17"/>
      <c r="AD805" s="16" t="s">
        <v>444</v>
      </c>
      <c r="AE805" s="16"/>
      <c r="AF805" s="16" t="str">
        <f aca="false">IF(COUNTIF(لیست_سفید!$A$2:$A$21,B805)&gt;0,"بله","خیر")</f>
        <v>خیر</v>
      </c>
      <c r="AG805" s="24" t="n">
        <f aca="false">IF(H805="","",IF(AD805="فیش مفقودی",تنظیمات!$B$6,(INT(I805/1440)*تنظیمات!$B$5+IF(MOD(I805,1440)&lt;=تنظیمات!$B$2,0,MIN(تنظیمات!$B$5,تنظیمات!$B$3+MAX(0,ROUNDUP((MOD(I805,1440)-60)/60,0))*تنظیمات!$B$4)))*INDEX(تعرفه!$B$2:$B$7,MATCH(AD805,تعرفه!$A$2:$A$7,0))))</f>
        <v>0</v>
      </c>
      <c r="AH805" s="24" t="n">
        <v>0</v>
      </c>
      <c r="AI805" s="24" t="n">
        <f aca="false">IF(AG805="","",AH805-AG805)</f>
        <v>0</v>
      </c>
      <c r="AJ805" s="21" t="n">
        <v>-2</v>
      </c>
      <c r="AK805" s="21" t="n">
        <v>0</v>
      </c>
      <c r="AL805" s="16" t="s">
        <v>335</v>
      </c>
      <c r="AM805" s="16"/>
      <c r="AN805" s="16" t="s">
        <v>340</v>
      </c>
      <c r="AO805" s="16" t="s">
        <v>340</v>
      </c>
      <c r="AP805" s="16" t="s">
        <v>335</v>
      </c>
      <c r="AQ805" s="16"/>
      <c r="AR805" s="21" t="n">
        <f aca="false">IF(AND(T805&lt;&gt;"",H805&lt;&gt;""),IF(AND((T805-H805)*86400&gt;=0,(T805-H805)*86400&lt;تنظیمات!$B$13),1,0),0)</f>
        <v>0</v>
      </c>
      <c r="AS805" s="21" t="n">
        <f aca="false">IF(Z805="پوز",IF(OR(AB805="",COUNTIF(پوزها!$A$2:$A$5,AA805)=0),1,0),0)</f>
        <v>0</v>
      </c>
      <c r="AT805" s="21" t="n">
        <f aca="false">IF(AI805="",0,IF(AI805&gt;0,1,0))</f>
        <v>0</v>
      </c>
      <c r="AU805" s="21" t="n">
        <f aca="false">IF(AI805="",0,IF(AI805&lt;0,1,0))</f>
        <v>0</v>
      </c>
      <c r="AV805" s="21" t="n">
        <f aca="false">IF(U805&gt;V805,1,0)</f>
        <v>0</v>
      </c>
      <c r="AW805" s="21" t="n">
        <f aca="false">IF(OR(W805&gt;تنظیمات!$B$8,X805="بله"),1,0)</f>
        <v>0</v>
      </c>
      <c r="AX805" s="21" t="n">
        <f aca="false">IF(AND(N805="بله",L805&gt;تنظیمات!$B$9),1,0)</f>
        <v>0</v>
      </c>
      <c r="AY805" s="21" t="n">
        <f aca="false">IF(Y805="معکوس",1,0)</f>
        <v>0</v>
      </c>
      <c r="AZ805" s="21" t="n">
        <f aca="false">IF(ABS(AJ805)&gt;تنظیمات!$B$10,1,0)</f>
        <v>0</v>
      </c>
      <c r="BA805" s="21" t="n">
        <f aca="false">IF(AND(OR(AD805="رایگان/VIP",AD805="جانباز"),AF805="خیر"),1,0)</f>
        <v>0</v>
      </c>
      <c r="BB805" s="21" t="n">
        <f aca="false">IF(AE805="",0,IF(COUNTIF($AE$2:$AE$1001,AE805)&gt;1,1,0))</f>
        <v>0</v>
      </c>
      <c r="BC805" s="21" t="n">
        <f aca="false">IF(AND(H805="",I805&gt;تنظیمات!$B$12*60,AM805="خالی"),1,0)</f>
        <v>0</v>
      </c>
      <c r="BD805" s="21" t="n">
        <f aca="false">IF(AND(AP805="بله",I805&lt;تنظیمات!$B$14,AO805="خیر"),1,0)</f>
        <v>0</v>
      </c>
      <c r="BE805" s="21" t="n">
        <f aca="false">IF(AN805="خیر",1,0)</f>
        <v>0</v>
      </c>
      <c r="BF805" s="21" t="n">
        <f aca="false">IF(AND(AD805="فیش مفقودی",AQ805="بله",I805&gt;تنظیمات!$B$12*60),1,0)</f>
        <v>0</v>
      </c>
      <c r="BG805" s="21" t="n">
        <f aca="false">IF(AND(AK805&gt;تنظیمات!$B$11,AL805="بله"),1,0)</f>
        <v>0</v>
      </c>
      <c r="BH805" s="21" t="n">
        <f aca="false">MIN(100,AR805*تنظیمات!$B$21+AS805*تنظیمات!$B$22+AT805*تنظیمات!$B$23+AU805*تنظیمات!$B$24+AV805*تنظیمات!$B$25+AW805*تنظیمات!$B$26+AX805*تنظیمات!$B$27+AY805*تنظیمات!$B$28+AZ805*تنظیمات!$B$29+BA805*تنظیمات!$B$30+BB805*تنظیمات!$B$31+BC805*تنظیمات!$B$32+BD805*تنظیمات!$B$33+BE805*تنظیمات!$B$34+BF805*تنظیمات!$B$35+BG805*تنظیمات!$B$36)</f>
        <v>0</v>
      </c>
      <c r="BI805" s="16" t="str">
        <f aca="false">IF(BH805&gt;=60,"بحرانی",IF(BH805&gt;=30,"مشکوک",IF(BH805&gt;0,"هشدار","عادی")))</f>
        <v>عادی</v>
      </c>
      <c r="BJ805" s="16" t="s">
        <v>338</v>
      </c>
    </row>
    <row r="806" customFormat="false" ht="15" hidden="false" customHeight="false" outlineLevel="0" collapsed="false">
      <c r="A806" s="16" t="s">
        <v>2778</v>
      </c>
      <c r="B806" s="16" t="s">
        <v>1038</v>
      </c>
      <c r="C806" s="16"/>
      <c r="D806" s="16" t="s">
        <v>431</v>
      </c>
      <c r="E806" s="16" t="s">
        <v>375</v>
      </c>
      <c r="F806" s="16" t="s">
        <v>333</v>
      </c>
      <c r="G806" s="17" t="n">
        <v>46292.2830324074</v>
      </c>
      <c r="H806" s="17" t="n">
        <v>46292.3545601852</v>
      </c>
      <c r="I806" s="18" t="n">
        <f aca="false">IF(H806="",ROUND((تنظیمات!$B$7-G806)*1440,0),ROUND((H806-G806)*1440,0))</f>
        <v>103</v>
      </c>
      <c r="J806" s="16" t="s">
        <v>346</v>
      </c>
      <c r="K806" s="16" t="s">
        <v>410</v>
      </c>
      <c r="L806" s="19" t="n">
        <v>0.983</v>
      </c>
      <c r="M806" s="19" t="n">
        <v>0.991</v>
      </c>
      <c r="N806" s="16" t="s">
        <v>335</v>
      </c>
      <c r="O806" s="16" t="s">
        <v>441</v>
      </c>
      <c r="P806" s="16" t="s">
        <v>402</v>
      </c>
      <c r="Q806" s="20" t="n">
        <v>46292</v>
      </c>
      <c r="R806" s="16" t="s">
        <v>2779</v>
      </c>
      <c r="S806" s="16" t="s">
        <v>404</v>
      </c>
      <c r="T806" s="17"/>
      <c r="U806" s="21" t="n">
        <v>1</v>
      </c>
      <c r="V806" s="21" t="n">
        <v>1</v>
      </c>
      <c r="W806" s="22" t="n">
        <v>3.9</v>
      </c>
      <c r="X806" s="16" t="s">
        <v>335</v>
      </c>
      <c r="Y806" s="16" t="s">
        <v>338</v>
      </c>
      <c r="Z806" s="16" t="s">
        <v>413</v>
      </c>
      <c r="AA806" s="16" t="s">
        <v>414</v>
      </c>
      <c r="AB806" s="23" t="s">
        <v>2780</v>
      </c>
      <c r="AC806" s="17" t="n">
        <v>46292.3540162037</v>
      </c>
      <c r="AD806" s="16" t="s">
        <v>338</v>
      </c>
      <c r="AE806" s="16"/>
      <c r="AF806" s="16" t="str">
        <f aca="false">IF(COUNTIF(لیست_سفید!$A$2:$A$21,B806)&gt;0,"بله","خیر")</f>
        <v>خیر</v>
      </c>
      <c r="AG806" s="24" t="n">
        <f aca="false">IF(H806="","",IF(AD806="فیش مفقودی",تنظیمات!$B$6,(INT(I806/1440)*تنظیمات!$B$5+IF(MOD(I806,1440)&lt;=تنظیمات!$B$2,0,MIN(تنظیمات!$B$5,تنظیمات!$B$3+MAX(0,ROUNDUP((MOD(I806,1440)-60)/60,0))*تنظیمات!$B$4)))*INDEX(تعرفه!$B$2:$B$7,MATCH(AD806,تعرفه!$A$2:$A$7,0))))</f>
        <v>34000</v>
      </c>
      <c r="AH806" s="24" t="n">
        <v>34000</v>
      </c>
      <c r="AI806" s="24" t="n">
        <f aca="false">IF(AG806="","",AH806-AG806)</f>
        <v>0</v>
      </c>
      <c r="AJ806" s="21" t="n">
        <v>-2</v>
      </c>
      <c r="AK806" s="21" t="n">
        <v>0</v>
      </c>
      <c r="AL806" s="16" t="s">
        <v>335</v>
      </c>
      <c r="AM806" s="16"/>
      <c r="AN806" s="16" t="s">
        <v>340</v>
      </c>
      <c r="AO806" s="16" t="s">
        <v>340</v>
      </c>
      <c r="AP806" s="16" t="s">
        <v>335</v>
      </c>
      <c r="AQ806" s="16"/>
      <c r="AR806" s="21" t="n">
        <f aca="false">IF(AND(T806&lt;&gt;"",H806&lt;&gt;""),IF(AND((T806-H806)*86400&gt;=0,(T806-H806)*86400&lt;تنظیمات!$B$13),1,0),0)</f>
        <v>0</v>
      </c>
      <c r="AS806" s="21" t="n">
        <f aca="false">IF(Z806="پوز",IF(OR(AB806="",COUNTIF(پوزها!$A$2:$A$5,AA806)=0),1,0),0)</f>
        <v>0</v>
      </c>
      <c r="AT806" s="21" t="n">
        <f aca="false">IF(AI806="",0,IF(AI806&gt;0,1,0))</f>
        <v>0</v>
      </c>
      <c r="AU806" s="21" t="n">
        <f aca="false">IF(AI806="",0,IF(AI806&lt;0,1,0))</f>
        <v>0</v>
      </c>
      <c r="AV806" s="21" t="n">
        <f aca="false">IF(U806&gt;V806,1,0)</f>
        <v>0</v>
      </c>
      <c r="AW806" s="21" t="n">
        <f aca="false">IF(OR(W806&gt;تنظیمات!$B$8,X806="بله"),1,0)</f>
        <v>0</v>
      </c>
      <c r="AX806" s="21" t="n">
        <f aca="false">IF(AND(N806="بله",L806&gt;تنظیمات!$B$9),1,0)</f>
        <v>0</v>
      </c>
      <c r="AY806" s="21" t="n">
        <f aca="false">IF(Y806="معکوس",1,0)</f>
        <v>0</v>
      </c>
      <c r="AZ806" s="21" t="n">
        <f aca="false">IF(ABS(AJ806)&gt;تنظیمات!$B$10,1,0)</f>
        <v>0</v>
      </c>
      <c r="BA806" s="21" t="n">
        <f aca="false">IF(AND(OR(AD806="رایگان/VIP",AD806="جانباز"),AF806="خیر"),1,0)</f>
        <v>0</v>
      </c>
      <c r="BB806" s="21" t="n">
        <f aca="false">IF(AE806="",0,IF(COUNTIF($AE$2:$AE$1001,AE806)&gt;1,1,0))</f>
        <v>0</v>
      </c>
      <c r="BC806" s="21" t="n">
        <f aca="false">IF(AND(H806="",I806&gt;تنظیمات!$B$12*60,AM806="خالی"),1,0)</f>
        <v>0</v>
      </c>
      <c r="BD806" s="21" t="n">
        <f aca="false">IF(AND(AP806="بله",I806&lt;تنظیمات!$B$14,AO806="خیر"),1,0)</f>
        <v>0</v>
      </c>
      <c r="BE806" s="21" t="n">
        <f aca="false">IF(AN806="خیر",1,0)</f>
        <v>0</v>
      </c>
      <c r="BF806" s="21" t="n">
        <f aca="false">IF(AND(AD806="فیش مفقودی",AQ806="بله",I806&gt;تنظیمات!$B$12*60),1,0)</f>
        <v>0</v>
      </c>
      <c r="BG806" s="21" t="n">
        <f aca="false">IF(AND(AK806&gt;تنظیمات!$B$11,AL806="بله"),1,0)</f>
        <v>0</v>
      </c>
      <c r="BH806" s="21" t="n">
        <f aca="false">MIN(100,AR806*تنظیمات!$B$21+AS806*تنظیمات!$B$22+AT806*تنظیمات!$B$23+AU806*تنظیمات!$B$24+AV806*تنظیمات!$B$25+AW806*تنظیمات!$B$26+AX806*تنظیمات!$B$27+AY806*تنظیمات!$B$28+AZ806*تنظیمات!$B$29+BA806*تنظیمات!$B$30+BB806*تنظیمات!$B$31+BC806*تنظیمات!$B$32+BD806*تنظیمات!$B$33+BE806*تنظیمات!$B$34+BF806*تنظیمات!$B$35+BG806*تنظیمات!$B$36)</f>
        <v>0</v>
      </c>
      <c r="BI806" s="16" t="str">
        <f aca="false">IF(BH806&gt;=60,"بحرانی",IF(BH806&gt;=30,"مشکوک",IF(BH806&gt;0,"هشدار","عادی")))</f>
        <v>عادی</v>
      </c>
      <c r="BJ806" s="16" t="s">
        <v>338</v>
      </c>
    </row>
    <row r="807" customFormat="false" ht="15" hidden="false" customHeight="false" outlineLevel="0" collapsed="false">
      <c r="A807" s="16" t="s">
        <v>2781</v>
      </c>
      <c r="B807" s="16" t="s">
        <v>2782</v>
      </c>
      <c r="C807" s="16"/>
      <c r="D807" s="16" t="s">
        <v>386</v>
      </c>
      <c r="E807" s="16" t="s">
        <v>345</v>
      </c>
      <c r="F807" s="16" t="s">
        <v>333</v>
      </c>
      <c r="G807" s="17" t="n">
        <v>46292.2866203704</v>
      </c>
      <c r="H807" s="17" t="n">
        <v>46292.340787037</v>
      </c>
      <c r="I807" s="18" t="n">
        <f aca="false">IF(H807="",ROUND((تنظیمات!$B$7-G807)*1440,0),ROUND((H807-G807)*1440,0))</f>
        <v>78</v>
      </c>
      <c r="J807" s="16" t="s">
        <v>334</v>
      </c>
      <c r="K807" s="16" t="s">
        <v>410</v>
      </c>
      <c r="L807" s="19" t="n">
        <v>0.894</v>
      </c>
      <c r="M807" s="19" t="n">
        <v>0.958</v>
      </c>
      <c r="N807" s="16" t="s">
        <v>335</v>
      </c>
      <c r="O807" s="16" t="s">
        <v>441</v>
      </c>
      <c r="P807" s="16" t="s">
        <v>402</v>
      </c>
      <c r="Q807" s="20" t="n">
        <v>46292</v>
      </c>
      <c r="R807" s="16" t="s">
        <v>2783</v>
      </c>
      <c r="S807" s="16" t="s">
        <v>404</v>
      </c>
      <c r="T807" s="17"/>
      <c r="U807" s="21" t="n">
        <v>1</v>
      </c>
      <c r="V807" s="21" t="n">
        <v>1</v>
      </c>
      <c r="W807" s="22" t="n">
        <v>5.3</v>
      </c>
      <c r="X807" s="16" t="s">
        <v>335</v>
      </c>
      <c r="Y807" s="16" t="s">
        <v>338</v>
      </c>
      <c r="Z807" s="16" t="s">
        <v>465</v>
      </c>
      <c r="AA807" s="16"/>
      <c r="AB807" s="23"/>
      <c r="AC807" s="17"/>
      <c r="AD807" s="16" t="s">
        <v>466</v>
      </c>
      <c r="AE807" s="16"/>
      <c r="AF807" s="16" t="str">
        <f aca="false">IF(COUNTIF(لیست_سفید!$A$2:$A$21,B807)&gt;0,"بله","خیر")</f>
        <v>بله</v>
      </c>
      <c r="AG807" s="24" t="n">
        <f aca="false">IF(H807="","",IF(AD807="فیش مفقودی",تنظیمات!$B$6,(INT(I807/1440)*تنظیمات!$B$5+IF(MOD(I807,1440)&lt;=تنظیمات!$B$2,0,MIN(تنظیمات!$B$5,تنظیمات!$B$3+MAX(0,ROUNDUP((MOD(I807,1440)-60)/60,0))*تنظیمات!$B$4)))*INDEX(تعرفه!$B$2:$B$7,MATCH(AD807,تعرفه!$A$2:$A$7,0))))</f>
        <v>0</v>
      </c>
      <c r="AH807" s="24" t="n">
        <v>0</v>
      </c>
      <c r="AI807" s="24" t="n">
        <f aca="false">IF(AG807="","",AH807-AG807)</f>
        <v>0</v>
      </c>
      <c r="AJ807" s="21" t="n">
        <v>-3</v>
      </c>
      <c r="AK807" s="21" t="n">
        <v>0</v>
      </c>
      <c r="AL807" s="16" t="s">
        <v>335</v>
      </c>
      <c r="AM807" s="16"/>
      <c r="AN807" s="16" t="s">
        <v>340</v>
      </c>
      <c r="AO807" s="16" t="s">
        <v>340</v>
      </c>
      <c r="AP807" s="16" t="s">
        <v>335</v>
      </c>
      <c r="AQ807" s="16"/>
      <c r="AR807" s="21" t="n">
        <f aca="false">IF(AND(T807&lt;&gt;"",H807&lt;&gt;""),IF(AND((T807-H807)*86400&gt;=0,(T807-H807)*86400&lt;تنظیمات!$B$13),1,0),0)</f>
        <v>0</v>
      </c>
      <c r="AS807" s="21" t="n">
        <f aca="false">IF(Z807="پوز",IF(OR(AB807="",COUNTIF(پوزها!$A$2:$A$5,AA807)=0),1,0),0)</f>
        <v>0</v>
      </c>
      <c r="AT807" s="21" t="n">
        <f aca="false">IF(AI807="",0,IF(AI807&gt;0,1,0))</f>
        <v>0</v>
      </c>
      <c r="AU807" s="21" t="n">
        <f aca="false">IF(AI807="",0,IF(AI807&lt;0,1,0))</f>
        <v>0</v>
      </c>
      <c r="AV807" s="21" t="n">
        <f aca="false">IF(U807&gt;V807,1,0)</f>
        <v>0</v>
      </c>
      <c r="AW807" s="21" t="n">
        <f aca="false">IF(OR(W807&gt;تنظیمات!$B$8,X807="بله"),1,0)</f>
        <v>0</v>
      </c>
      <c r="AX807" s="21" t="n">
        <f aca="false">IF(AND(N807="بله",L807&gt;تنظیمات!$B$9),1,0)</f>
        <v>0</v>
      </c>
      <c r="AY807" s="21" t="n">
        <f aca="false">IF(Y807="معکوس",1,0)</f>
        <v>0</v>
      </c>
      <c r="AZ807" s="21" t="n">
        <f aca="false">IF(ABS(AJ807)&gt;تنظیمات!$B$10,1,0)</f>
        <v>0</v>
      </c>
      <c r="BA807" s="21" t="n">
        <f aca="false">IF(AND(OR(AD807="رایگان/VIP",AD807="جانباز"),AF807="خیر"),1,0)</f>
        <v>0</v>
      </c>
      <c r="BB807" s="21" t="n">
        <f aca="false">IF(AE807="",0,IF(COUNTIF($AE$2:$AE$1001,AE807)&gt;1,1,0))</f>
        <v>0</v>
      </c>
      <c r="BC807" s="21" t="n">
        <f aca="false">IF(AND(H807="",I807&gt;تنظیمات!$B$12*60,AM807="خالی"),1,0)</f>
        <v>0</v>
      </c>
      <c r="BD807" s="21" t="n">
        <f aca="false">IF(AND(AP807="بله",I807&lt;تنظیمات!$B$14,AO807="خیر"),1,0)</f>
        <v>0</v>
      </c>
      <c r="BE807" s="21" t="n">
        <f aca="false">IF(AN807="خیر",1,0)</f>
        <v>0</v>
      </c>
      <c r="BF807" s="21" t="n">
        <f aca="false">IF(AND(AD807="فیش مفقودی",AQ807="بله",I807&gt;تنظیمات!$B$12*60),1,0)</f>
        <v>0</v>
      </c>
      <c r="BG807" s="21" t="n">
        <f aca="false">IF(AND(AK807&gt;تنظیمات!$B$11,AL807="بله"),1,0)</f>
        <v>0</v>
      </c>
      <c r="BH807" s="21" t="n">
        <f aca="false">MIN(100,AR807*تنظیمات!$B$21+AS807*تنظیمات!$B$22+AT807*تنظیمات!$B$23+AU807*تنظیمات!$B$24+AV807*تنظیمات!$B$25+AW807*تنظیمات!$B$26+AX807*تنظیمات!$B$27+AY807*تنظیمات!$B$28+AZ807*تنظیمات!$B$29+BA807*تنظیمات!$B$30+BB807*تنظیمات!$B$31+BC807*تنظیمات!$B$32+BD807*تنظیمات!$B$33+BE807*تنظیمات!$B$34+BF807*تنظیمات!$B$35+BG807*تنظیمات!$B$36)</f>
        <v>0</v>
      </c>
      <c r="BI807" s="16" t="str">
        <f aca="false">IF(BH807&gt;=60,"بحرانی",IF(BH807&gt;=30,"مشکوک",IF(BH807&gt;0,"هشدار","عادی")))</f>
        <v>عادی</v>
      </c>
      <c r="BJ807" s="16" t="s">
        <v>338</v>
      </c>
    </row>
    <row r="808" customFormat="false" ht="15" hidden="false" customHeight="false" outlineLevel="0" collapsed="false">
      <c r="A808" s="16" t="s">
        <v>2784</v>
      </c>
      <c r="B808" s="16" t="s">
        <v>2785</v>
      </c>
      <c r="C808" s="16"/>
      <c r="D808" s="16" t="s">
        <v>382</v>
      </c>
      <c r="E808" s="16" t="s">
        <v>351</v>
      </c>
      <c r="F808" s="16" t="s">
        <v>333</v>
      </c>
      <c r="G808" s="17" t="n">
        <v>46292.2929513889</v>
      </c>
      <c r="H808" s="17" t="n">
        <v>46292.3533680556</v>
      </c>
      <c r="I808" s="18" t="n">
        <f aca="false">IF(H808="",ROUND((تنظیمات!$B$7-G808)*1440,0),ROUND((H808-G808)*1440,0))</f>
        <v>87</v>
      </c>
      <c r="J808" s="16" t="s">
        <v>334</v>
      </c>
      <c r="K808" s="16" t="s">
        <v>400</v>
      </c>
      <c r="L808" s="19" t="n">
        <v>0.911</v>
      </c>
      <c r="M808" s="19" t="n">
        <v>0.93</v>
      </c>
      <c r="N808" s="16" t="s">
        <v>335</v>
      </c>
      <c r="O808" s="16" t="s">
        <v>425</v>
      </c>
      <c r="P808" s="16" t="s">
        <v>402</v>
      </c>
      <c r="Q808" s="20" t="n">
        <v>46292</v>
      </c>
      <c r="R808" s="16" t="s">
        <v>2786</v>
      </c>
      <c r="S808" s="16" t="s">
        <v>404</v>
      </c>
      <c r="T808" s="17"/>
      <c r="U808" s="21" t="n">
        <v>1</v>
      </c>
      <c r="V808" s="21" t="n">
        <v>1</v>
      </c>
      <c r="W808" s="22" t="n">
        <v>4.7</v>
      </c>
      <c r="X808" s="16" t="s">
        <v>335</v>
      </c>
      <c r="Y808" s="16" t="s">
        <v>338</v>
      </c>
      <c r="Z808" s="16" t="s">
        <v>465</v>
      </c>
      <c r="AA808" s="16"/>
      <c r="AB808" s="23"/>
      <c r="AC808" s="17"/>
      <c r="AD808" s="16" t="s">
        <v>602</v>
      </c>
      <c r="AE808" s="16"/>
      <c r="AF808" s="16" t="str">
        <f aca="false">IF(COUNTIF(لیست_سفید!$A$2:$A$21,B808)&gt;0,"بله","خیر")</f>
        <v>بله</v>
      </c>
      <c r="AG808" s="24" t="n">
        <f aca="false">IF(H808="","",IF(AD808="فیش مفقودی",تنظیمات!$B$6,(INT(I808/1440)*تنظیمات!$B$5+IF(MOD(I808,1440)&lt;=تنظیمات!$B$2,0,MIN(تنظیمات!$B$5,تنظیمات!$B$3+MAX(0,ROUNDUP((MOD(I808,1440)-60)/60,0))*تنظیمات!$B$4)))*INDEX(تعرفه!$B$2:$B$7,MATCH(AD808,تعرفه!$A$2:$A$7,0))))</f>
        <v>0</v>
      </c>
      <c r="AH808" s="24" t="n">
        <v>0</v>
      </c>
      <c r="AI808" s="24" t="n">
        <f aca="false">IF(AG808="","",AH808-AG808)</f>
        <v>0</v>
      </c>
      <c r="AJ808" s="21" t="n">
        <v>2</v>
      </c>
      <c r="AK808" s="21" t="n">
        <v>0</v>
      </c>
      <c r="AL808" s="16" t="s">
        <v>335</v>
      </c>
      <c r="AM808" s="16"/>
      <c r="AN808" s="16" t="s">
        <v>340</v>
      </c>
      <c r="AO808" s="16" t="s">
        <v>340</v>
      </c>
      <c r="AP808" s="16" t="s">
        <v>335</v>
      </c>
      <c r="AQ808" s="16"/>
      <c r="AR808" s="21" t="n">
        <f aca="false">IF(AND(T808&lt;&gt;"",H808&lt;&gt;""),IF(AND((T808-H808)*86400&gt;=0,(T808-H808)*86400&lt;تنظیمات!$B$13),1,0),0)</f>
        <v>0</v>
      </c>
      <c r="AS808" s="21" t="n">
        <f aca="false">IF(Z808="پوز",IF(OR(AB808="",COUNTIF(پوزها!$A$2:$A$5,AA808)=0),1,0),0)</f>
        <v>0</v>
      </c>
      <c r="AT808" s="21" t="n">
        <f aca="false">IF(AI808="",0,IF(AI808&gt;0,1,0))</f>
        <v>0</v>
      </c>
      <c r="AU808" s="21" t="n">
        <f aca="false">IF(AI808="",0,IF(AI808&lt;0,1,0))</f>
        <v>0</v>
      </c>
      <c r="AV808" s="21" t="n">
        <f aca="false">IF(U808&gt;V808,1,0)</f>
        <v>0</v>
      </c>
      <c r="AW808" s="21" t="n">
        <f aca="false">IF(OR(W808&gt;تنظیمات!$B$8,X808="بله"),1,0)</f>
        <v>0</v>
      </c>
      <c r="AX808" s="21" t="n">
        <f aca="false">IF(AND(N808="بله",L808&gt;تنظیمات!$B$9),1,0)</f>
        <v>0</v>
      </c>
      <c r="AY808" s="21" t="n">
        <f aca="false">IF(Y808="معکوس",1,0)</f>
        <v>0</v>
      </c>
      <c r="AZ808" s="21" t="n">
        <f aca="false">IF(ABS(AJ808)&gt;تنظیمات!$B$10,1,0)</f>
        <v>0</v>
      </c>
      <c r="BA808" s="21" t="n">
        <f aca="false">IF(AND(OR(AD808="رایگان/VIP",AD808="جانباز"),AF808="خیر"),1,0)</f>
        <v>0</v>
      </c>
      <c r="BB808" s="21" t="n">
        <f aca="false">IF(AE808="",0,IF(COUNTIF($AE$2:$AE$1001,AE808)&gt;1,1,0))</f>
        <v>0</v>
      </c>
      <c r="BC808" s="21" t="n">
        <f aca="false">IF(AND(H808="",I808&gt;تنظیمات!$B$12*60,AM808="خالی"),1,0)</f>
        <v>0</v>
      </c>
      <c r="BD808" s="21" t="n">
        <f aca="false">IF(AND(AP808="بله",I808&lt;تنظیمات!$B$14,AO808="خیر"),1,0)</f>
        <v>0</v>
      </c>
      <c r="BE808" s="21" t="n">
        <f aca="false">IF(AN808="خیر",1,0)</f>
        <v>0</v>
      </c>
      <c r="BF808" s="21" t="n">
        <f aca="false">IF(AND(AD808="فیش مفقودی",AQ808="بله",I808&gt;تنظیمات!$B$12*60),1,0)</f>
        <v>0</v>
      </c>
      <c r="BG808" s="21" t="n">
        <f aca="false">IF(AND(AK808&gt;تنظیمات!$B$11,AL808="بله"),1,0)</f>
        <v>0</v>
      </c>
      <c r="BH808" s="21" t="n">
        <f aca="false">MIN(100,AR808*تنظیمات!$B$21+AS808*تنظیمات!$B$22+AT808*تنظیمات!$B$23+AU808*تنظیمات!$B$24+AV808*تنظیمات!$B$25+AW808*تنظیمات!$B$26+AX808*تنظیمات!$B$27+AY808*تنظیمات!$B$28+AZ808*تنظیمات!$B$29+BA808*تنظیمات!$B$30+BB808*تنظیمات!$B$31+BC808*تنظیمات!$B$32+BD808*تنظیمات!$B$33+BE808*تنظیمات!$B$34+BF808*تنظیمات!$B$35+BG808*تنظیمات!$B$36)</f>
        <v>0</v>
      </c>
      <c r="BI808" s="16" t="str">
        <f aca="false">IF(BH808&gt;=60,"بحرانی",IF(BH808&gt;=30,"مشکوک",IF(BH808&gt;0,"هشدار","عادی")))</f>
        <v>عادی</v>
      </c>
      <c r="BJ808" s="16" t="s">
        <v>338</v>
      </c>
    </row>
    <row r="809" customFormat="false" ht="15" hidden="false" customHeight="false" outlineLevel="0" collapsed="false">
      <c r="A809" s="16" t="s">
        <v>2787</v>
      </c>
      <c r="B809" s="16" t="s">
        <v>1448</v>
      </c>
      <c r="C809" s="16"/>
      <c r="D809" s="16" t="s">
        <v>523</v>
      </c>
      <c r="E809" s="16" t="s">
        <v>363</v>
      </c>
      <c r="F809" s="16" t="s">
        <v>333</v>
      </c>
      <c r="G809" s="17" t="n">
        <v>46292.3002662037</v>
      </c>
      <c r="H809" s="17" t="n">
        <v>46292.6224884259</v>
      </c>
      <c r="I809" s="18" t="n">
        <f aca="false">IF(H809="",ROUND((تنظیمات!$B$7-G809)*1440,0),ROUND((H809-G809)*1440,0))</f>
        <v>464</v>
      </c>
      <c r="J809" s="16" t="s">
        <v>334</v>
      </c>
      <c r="K809" s="16" t="s">
        <v>400</v>
      </c>
      <c r="L809" s="19" t="n">
        <v>0.919</v>
      </c>
      <c r="M809" s="19" t="n">
        <v>0.966</v>
      </c>
      <c r="N809" s="16" t="s">
        <v>335</v>
      </c>
      <c r="O809" s="16" t="s">
        <v>411</v>
      </c>
      <c r="P809" s="16" t="s">
        <v>420</v>
      </c>
      <c r="Q809" s="20" t="n">
        <v>46292</v>
      </c>
      <c r="R809" s="16" t="s">
        <v>2788</v>
      </c>
      <c r="S809" s="16" t="s">
        <v>404</v>
      </c>
      <c r="T809" s="17"/>
      <c r="U809" s="21" t="n">
        <v>1</v>
      </c>
      <c r="V809" s="21" t="n">
        <v>1</v>
      </c>
      <c r="W809" s="22" t="n">
        <v>4.1</v>
      </c>
      <c r="X809" s="16" t="s">
        <v>335</v>
      </c>
      <c r="Y809" s="16" t="s">
        <v>338</v>
      </c>
      <c r="Z809" s="16" t="s">
        <v>443</v>
      </c>
      <c r="AA809" s="16"/>
      <c r="AB809" s="23"/>
      <c r="AC809" s="17"/>
      <c r="AD809" s="16" t="s">
        <v>444</v>
      </c>
      <c r="AE809" s="16"/>
      <c r="AF809" s="16" t="str">
        <f aca="false">IF(COUNTIF(لیست_سفید!$A$2:$A$21,B809)&gt;0,"بله","خیر")</f>
        <v>خیر</v>
      </c>
      <c r="AG809" s="24" t="n">
        <f aca="false">IF(H809="","",IF(AD809="فیش مفقودی",تنظیمات!$B$6,(INT(I809/1440)*تنظیمات!$B$5+IF(MOD(I809,1440)&lt;=تنظیمات!$B$2,0,MIN(تنظیمات!$B$5,تنظیمات!$B$3+MAX(0,ROUNDUP((MOD(I809,1440)-60)/60,0))*تنظیمات!$B$4)))*INDEX(تعرفه!$B$2:$B$7,MATCH(AD809,تعرفه!$A$2:$A$7,0))))</f>
        <v>0</v>
      </c>
      <c r="AH809" s="24" t="n">
        <v>0</v>
      </c>
      <c r="AI809" s="24" t="n">
        <f aca="false">IF(AG809="","",AH809-AG809)</f>
        <v>0</v>
      </c>
      <c r="AJ809" s="21" t="n">
        <v>-1</v>
      </c>
      <c r="AK809" s="21" t="n">
        <v>0</v>
      </c>
      <c r="AL809" s="16" t="s">
        <v>335</v>
      </c>
      <c r="AM809" s="16"/>
      <c r="AN809" s="16" t="s">
        <v>340</v>
      </c>
      <c r="AO809" s="16" t="s">
        <v>340</v>
      </c>
      <c r="AP809" s="16" t="s">
        <v>335</v>
      </c>
      <c r="AQ809" s="16"/>
      <c r="AR809" s="21" t="n">
        <f aca="false">IF(AND(T809&lt;&gt;"",H809&lt;&gt;""),IF(AND((T809-H809)*86400&gt;=0,(T809-H809)*86400&lt;تنظیمات!$B$13),1,0),0)</f>
        <v>0</v>
      </c>
      <c r="AS809" s="21" t="n">
        <f aca="false">IF(Z809="پوز",IF(OR(AB809="",COUNTIF(پوزها!$A$2:$A$5,AA809)=0),1,0),0)</f>
        <v>0</v>
      </c>
      <c r="AT809" s="21" t="n">
        <f aca="false">IF(AI809="",0,IF(AI809&gt;0,1,0))</f>
        <v>0</v>
      </c>
      <c r="AU809" s="21" t="n">
        <f aca="false">IF(AI809="",0,IF(AI809&lt;0,1,0))</f>
        <v>0</v>
      </c>
      <c r="AV809" s="21" t="n">
        <f aca="false">IF(U809&gt;V809,1,0)</f>
        <v>0</v>
      </c>
      <c r="AW809" s="21" t="n">
        <f aca="false">IF(OR(W809&gt;تنظیمات!$B$8,X809="بله"),1,0)</f>
        <v>0</v>
      </c>
      <c r="AX809" s="21" t="n">
        <f aca="false">IF(AND(N809="بله",L809&gt;تنظیمات!$B$9),1,0)</f>
        <v>0</v>
      </c>
      <c r="AY809" s="21" t="n">
        <f aca="false">IF(Y809="معکوس",1,0)</f>
        <v>0</v>
      </c>
      <c r="AZ809" s="21" t="n">
        <f aca="false">IF(ABS(AJ809)&gt;تنظیمات!$B$10,1,0)</f>
        <v>0</v>
      </c>
      <c r="BA809" s="21" t="n">
        <f aca="false">IF(AND(OR(AD809="رایگان/VIP",AD809="جانباز"),AF809="خیر"),1,0)</f>
        <v>0</v>
      </c>
      <c r="BB809" s="21" t="n">
        <f aca="false">IF(AE809="",0,IF(COUNTIF($AE$2:$AE$1001,AE809)&gt;1,1,0))</f>
        <v>0</v>
      </c>
      <c r="BC809" s="21" t="n">
        <f aca="false">IF(AND(H809="",I809&gt;تنظیمات!$B$12*60,AM809="خالی"),1,0)</f>
        <v>0</v>
      </c>
      <c r="BD809" s="21" t="n">
        <f aca="false">IF(AND(AP809="بله",I809&lt;تنظیمات!$B$14,AO809="خیر"),1,0)</f>
        <v>0</v>
      </c>
      <c r="BE809" s="21" t="n">
        <f aca="false">IF(AN809="خیر",1,0)</f>
        <v>0</v>
      </c>
      <c r="BF809" s="21" t="n">
        <f aca="false">IF(AND(AD809="فیش مفقودی",AQ809="بله",I809&gt;تنظیمات!$B$12*60),1,0)</f>
        <v>0</v>
      </c>
      <c r="BG809" s="21" t="n">
        <f aca="false">IF(AND(AK809&gt;تنظیمات!$B$11,AL809="بله"),1,0)</f>
        <v>0</v>
      </c>
      <c r="BH809" s="21" t="n">
        <f aca="false">MIN(100,AR809*تنظیمات!$B$21+AS809*تنظیمات!$B$22+AT809*تنظیمات!$B$23+AU809*تنظیمات!$B$24+AV809*تنظیمات!$B$25+AW809*تنظیمات!$B$26+AX809*تنظیمات!$B$27+AY809*تنظیمات!$B$28+AZ809*تنظیمات!$B$29+BA809*تنظیمات!$B$30+BB809*تنظیمات!$B$31+BC809*تنظیمات!$B$32+BD809*تنظیمات!$B$33+BE809*تنظیمات!$B$34+BF809*تنظیمات!$B$35+BG809*تنظیمات!$B$36)</f>
        <v>0</v>
      </c>
      <c r="BI809" s="16" t="str">
        <f aca="false">IF(BH809&gt;=60,"بحرانی",IF(BH809&gt;=30,"مشکوک",IF(BH809&gt;0,"هشدار","عادی")))</f>
        <v>عادی</v>
      </c>
      <c r="BJ809" s="16" t="s">
        <v>338</v>
      </c>
    </row>
    <row r="810" customFormat="false" ht="15" hidden="false" customHeight="false" outlineLevel="0" collapsed="false">
      <c r="A810" s="16" t="s">
        <v>2789</v>
      </c>
      <c r="B810" s="16" t="s">
        <v>659</v>
      </c>
      <c r="C810" s="16"/>
      <c r="D810" s="16" t="s">
        <v>418</v>
      </c>
      <c r="E810" s="16" t="s">
        <v>345</v>
      </c>
      <c r="F810" s="16" t="s">
        <v>333</v>
      </c>
      <c r="G810" s="17" t="n">
        <v>46292.3008217593</v>
      </c>
      <c r="H810" s="17" t="n">
        <v>46292.9258217593</v>
      </c>
      <c r="I810" s="18" t="n">
        <f aca="false">IF(H810="",ROUND((تنظیمات!$B$7-G810)*1440,0),ROUND((H810-G810)*1440,0))</f>
        <v>900</v>
      </c>
      <c r="J810" s="16" t="s">
        <v>346</v>
      </c>
      <c r="K810" s="16" t="s">
        <v>400</v>
      </c>
      <c r="L810" s="19" t="n">
        <v>0.885</v>
      </c>
      <c r="M810" s="19" t="n">
        <v>0.928</v>
      </c>
      <c r="N810" s="16" t="s">
        <v>335</v>
      </c>
      <c r="O810" s="16" t="s">
        <v>419</v>
      </c>
      <c r="P810" s="16" t="s">
        <v>651</v>
      </c>
      <c r="Q810" s="20" t="n">
        <v>46292</v>
      </c>
      <c r="R810" s="16" t="s">
        <v>2790</v>
      </c>
      <c r="S810" s="16" t="s">
        <v>404</v>
      </c>
      <c r="T810" s="17"/>
      <c r="U810" s="21" t="n">
        <v>1</v>
      </c>
      <c r="V810" s="21" t="n">
        <v>1</v>
      </c>
      <c r="W810" s="22" t="n">
        <v>6.4</v>
      </c>
      <c r="X810" s="16" t="s">
        <v>335</v>
      </c>
      <c r="Y810" s="16" t="s">
        <v>338</v>
      </c>
      <c r="Z810" s="16" t="s">
        <v>413</v>
      </c>
      <c r="AA810" s="16" t="s">
        <v>427</v>
      </c>
      <c r="AB810" s="23" t="s">
        <v>2791</v>
      </c>
      <c r="AC810" s="17" t="n">
        <v>46292.9248611111</v>
      </c>
      <c r="AD810" s="16" t="s">
        <v>338</v>
      </c>
      <c r="AE810" s="16"/>
      <c r="AF810" s="16" t="str">
        <f aca="false">IF(COUNTIF(لیست_سفید!$A$2:$A$21,B810)&gt;0,"بله","خیر")</f>
        <v>خیر</v>
      </c>
      <c r="AG810" s="24" t="n">
        <f aca="false">IF(H810="","",IF(AD810="فیش مفقودی",تنظیمات!$B$6,(INT(I810/1440)*تنظیمات!$B$5+IF(MOD(I810,1440)&lt;=تنظیمات!$B$2,0,MIN(تنظیمات!$B$5,تنظیمات!$B$3+MAX(0,ROUNDUP((MOD(I810,1440)-60)/60,0))*تنظیمات!$B$4)))*INDEX(تعرفه!$B$2:$B$7,MATCH(AD810,تعرفه!$A$2:$A$7,0))))</f>
        <v>180000</v>
      </c>
      <c r="AH810" s="24" t="n">
        <v>180000</v>
      </c>
      <c r="AI810" s="24" t="n">
        <f aca="false">IF(AG810="","",AH810-AG810)</f>
        <v>0</v>
      </c>
      <c r="AJ810" s="21" t="n">
        <v>1</v>
      </c>
      <c r="AK810" s="21" t="n">
        <v>0</v>
      </c>
      <c r="AL810" s="16" t="s">
        <v>335</v>
      </c>
      <c r="AM810" s="16"/>
      <c r="AN810" s="16" t="s">
        <v>340</v>
      </c>
      <c r="AO810" s="16" t="s">
        <v>340</v>
      </c>
      <c r="AP810" s="16" t="s">
        <v>335</v>
      </c>
      <c r="AQ810" s="16"/>
      <c r="AR810" s="21" t="n">
        <f aca="false">IF(AND(T810&lt;&gt;"",H810&lt;&gt;""),IF(AND((T810-H810)*86400&gt;=0,(T810-H810)*86400&lt;تنظیمات!$B$13),1,0),0)</f>
        <v>0</v>
      </c>
      <c r="AS810" s="21" t="n">
        <f aca="false">IF(Z810="پوز",IF(OR(AB810="",COUNTIF(پوزها!$A$2:$A$5,AA810)=0),1,0),0)</f>
        <v>0</v>
      </c>
      <c r="AT810" s="21" t="n">
        <f aca="false">IF(AI810="",0,IF(AI810&gt;0,1,0))</f>
        <v>0</v>
      </c>
      <c r="AU810" s="21" t="n">
        <f aca="false">IF(AI810="",0,IF(AI810&lt;0,1,0))</f>
        <v>0</v>
      </c>
      <c r="AV810" s="21" t="n">
        <f aca="false">IF(U810&gt;V810,1,0)</f>
        <v>0</v>
      </c>
      <c r="AW810" s="21" t="n">
        <f aca="false">IF(OR(W810&gt;تنظیمات!$B$8,X810="بله"),1,0)</f>
        <v>0</v>
      </c>
      <c r="AX810" s="21" t="n">
        <f aca="false">IF(AND(N810="بله",L810&gt;تنظیمات!$B$9),1,0)</f>
        <v>0</v>
      </c>
      <c r="AY810" s="21" t="n">
        <f aca="false">IF(Y810="معکوس",1,0)</f>
        <v>0</v>
      </c>
      <c r="AZ810" s="21" t="n">
        <f aca="false">IF(ABS(AJ810)&gt;تنظیمات!$B$10,1,0)</f>
        <v>0</v>
      </c>
      <c r="BA810" s="21" t="n">
        <f aca="false">IF(AND(OR(AD810="رایگان/VIP",AD810="جانباز"),AF810="خیر"),1,0)</f>
        <v>0</v>
      </c>
      <c r="BB810" s="21" t="n">
        <f aca="false">IF(AE810="",0,IF(COUNTIF($AE$2:$AE$1001,AE810)&gt;1,1,0))</f>
        <v>0</v>
      </c>
      <c r="BC810" s="21" t="n">
        <f aca="false">IF(AND(H810="",I810&gt;تنظیمات!$B$12*60,AM810="خالی"),1,0)</f>
        <v>0</v>
      </c>
      <c r="BD810" s="21" t="n">
        <f aca="false">IF(AND(AP810="بله",I810&lt;تنظیمات!$B$14,AO810="خیر"),1,0)</f>
        <v>0</v>
      </c>
      <c r="BE810" s="21" t="n">
        <f aca="false">IF(AN810="خیر",1,0)</f>
        <v>0</v>
      </c>
      <c r="BF810" s="21" t="n">
        <f aca="false">IF(AND(AD810="فیش مفقودی",AQ810="بله",I810&gt;تنظیمات!$B$12*60),1,0)</f>
        <v>0</v>
      </c>
      <c r="BG810" s="21" t="n">
        <f aca="false">IF(AND(AK810&gt;تنظیمات!$B$11,AL810="بله"),1,0)</f>
        <v>0</v>
      </c>
      <c r="BH810" s="21" t="n">
        <f aca="false">MIN(100,AR810*تنظیمات!$B$21+AS810*تنظیمات!$B$22+AT810*تنظیمات!$B$23+AU810*تنظیمات!$B$24+AV810*تنظیمات!$B$25+AW810*تنظیمات!$B$26+AX810*تنظیمات!$B$27+AY810*تنظیمات!$B$28+AZ810*تنظیمات!$B$29+BA810*تنظیمات!$B$30+BB810*تنظیمات!$B$31+BC810*تنظیمات!$B$32+BD810*تنظیمات!$B$33+BE810*تنظیمات!$B$34+BF810*تنظیمات!$B$35+BG810*تنظیمات!$B$36)</f>
        <v>0</v>
      </c>
      <c r="BI810" s="16" t="str">
        <f aca="false">IF(BH810&gt;=60,"بحرانی",IF(BH810&gt;=30,"مشکوک",IF(BH810&gt;0,"هشدار","عادی")))</f>
        <v>عادی</v>
      </c>
      <c r="BJ810" s="16" t="s">
        <v>338</v>
      </c>
    </row>
    <row r="811" customFormat="false" ht="15" hidden="false" customHeight="false" outlineLevel="0" collapsed="false">
      <c r="A811" s="16" t="s">
        <v>2792</v>
      </c>
      <c r="B811" s="16" t="s">
        <v>1694</v>
      </c>
      <c r="C811" s="16"/>
      <c r="D811" s="16" t="s">
        <v>382</v>
      </c>
      <c r="E811" s="16" t="s">
        <v>375</v>
      </c>
      <c r="F811" s="16" t="s">
        <v>333</v>
      </c>
      <c r="G811" s="17" t="n">
        <v>46292.3043865741</v>
      </c>
      <c r="H811" s="17" t="n">
        <v>46292.3863310185</v>
      </c>
      <c r="I811" s="18" t="n">
        <f aca="false">IF(H811="",ROUND((تنظیمات!$B$7-G811)*1440,0),ROUND((H811-G811)*1440,0))</f>
        <v>118</v>
      </c>
      <c r="J811" s="16" t="s">
        <v>334</v>
      </c>
      <c r="K811" s="16" t="s">
        <v>400</v>
      </c>
      <c r="L811" s="19" t="n">
        <v>0.931</v>
      </c>
      <c r="M811" s="19" t="n">
        <v>0.995</v>
      </c>
      <c r="N811" s="16" t="s">
        <v>335</v>
      </c>
      <c r="O811" s="16" t="s">
        <v>425</v>
      </c>
      <c r="P811" s="16" t="s">
        <v>402</v>
      </c>
      <c r="Q811" s="20" t="n">
        <v>46292</v>
      </c>
      <c r="R811" s="16" t="s">
        <v>2793</v>
      </c>
      <c r="S811" s="16" t="s">
        <v>404</v>
      </c>
      <c r="T811" s="17"/>
      <c r="U811" s="21" t="n">
        <v>1</v>
      </c>
      <c r="V811" s="21" t="n">
        <v>1</v>
      </c>
      <c r="W811" s="22" t="n">
        <v>3.8</v>
      </c>
      <c r="X811" s="16" t="s">
        <v>335</v>
      </c>
      <c r="Y811" s="16" t="s">
        <v>338</v>
      </c>
      <c r="Z811" s="16" t="s">
        <v>413</v>
      </c>
      <c r="AA811" s="16" t="s">
        <v>427</v>
      </c>
      <c r="AB811" s="23" t="s">
        <v>2794</v>
      </c>
      <c r="AC811" s="17" t="n">
        <v>46292.3853240741</v>
      </c>
      <c r="AD811" s="16" t="s">
        <v>338</v>
      </c>
      <c r="AE811" s="16"/>
      <c r="AF811" s="16" t="str">
        <f aca="false">IF(COUNTIF(لیست_سفید!$A$2:$A$21,B811)&gt;0,"بله","خیر")</f>
        <v>خیر</v>
      </c>
      <c r="AG811" s="24" t="n">
        <f aca="false">IF(H811="","",IF(AD811="فیش مفقودی",تنظیمات!$B$6,(INT(I811/1440)*تنظیمات!$B$5+IF(MOD(I811,1440)&lt;=تنظیمات!$B$2,0,MIN(تنظیمات!$B$5,تنظیمات!$B$3+MAX(0,ROUNDUP((MOD(I811,1440)-60)/60,0))*تنظیمات!$B$4)))*INDEX(تعرفه!$B$2:$B$7,MATCH(AD811,تعرفه!$A$2:$A$7,0))))</f>
        <v>34000</v>
      </c>
      <c r="AH811" s="24" t="n">
        <v>34000</v>
      </c>
      <c r="AI811" s="24" t="n">
        <f aca="false">IF(AG811="","",AH811-AG811)</f>
        <v>0</v>
      </c>
      <c r="AJ811" s="21" t="n">
        <v>1</v>
      </c>
      <c r="AK811" s="21" t="n">
        <v>0</v>
      </c>
      <c r="AL811" s="16" t="s">
        <v>335</v>
      </c>
      <c r="AM811" s="16"/>
      <c r="AN811" s="16" t="s">
        <v>340</v>
      </c>
      <c r="AO811" s="16" t="s">
        <v>340</v>
      </c>
      <c r="AP811" s="16" t="s">
        <v>335</v>
      </c>
      <c r="AQ811" s="16"/>
      <c r="AR811" s="21" t="n">
        <f aca="false">IF(AND(T811&lt;&gt;"",H811&lt;&gt;""),IF(AND((T811-H811)*86400&gt;=0,(T811-H811)*86400&lt;تنظیمات!$B$13),1,0),0)</f>
        <v>0</v>
      </c>
      <c r="AS811" s="21" t="n">
        <f aca="false">IF(Z811="پوز",IF(OR(AB811="",COUNTIF(پوزها!$A$2:$A$5,AA811)=0),1,0),0)</f>
        <v>0</v>
      </c>
      <c r="AT811" s="21" t="n">
        <f aca="false">IF(AI811="",0,IF(AI811&gt;0,1,0))</f>
        <v>0</v>
      </c>
      <c r="AU811" s="21" t="n">
        <f aca="false">IF(AI811="",0,IF(AI811&lt;0,1,0))</f>
        <v>0</v>
      </c>
      <c r="AV811" s="21" t="n">
        <f aca="false">IF(U811&gt;V811,1,0)</f>
        <v>0</v>
      </c>
      <c r="AW811" s="21" t="n">
        <f aca="false">IF(OR(W811&gt;تنظیمات!$B$8,X811="بله"),1,0)</f>
        <v>0</v>
      </c>
      <c r="AX811" s="21" t="n">
        <f aca="false">IF(AND(N811="بله",L811&gt;تنظیمات!$B$9),1,0)</f>
        <v>0</v>
      </c>
      <c r="AY811" s="21" t="n">
        <f aca="false">IF(Y811="معکوس",1,0)</f>
        <v>0</v>
      </c>
      <c r="AZ811" s="21" t="n">
        <f aca="false">IF(ABS(AJ811)&gt;تنظیمات!$B$10,1,0)</f>
        <v>0</v>
      </c>
      <c r="BA811" s="21" t="n">
        <f aca="false">IF(AND(OR(AD811="رایگان/VIP",AD811="جانباز"),AF811="خیر"),1,0)</f>
        <v>0</v>
      </c>
      <c r="BB811" s="21" t="n">
        <f aca="false">IF(AE811="",0,IF(COUNTIF($AE$2:$AE$1001,AE811)&gt;1,1,0))</f>
        <v>0</v>
      </c>
      <c r="BC811" s="21" t="n">
        <f aca="false">IF(AND(H811="",I811&gt;تنظیمات!$B$12*60,AM811="خالی"),1,0)</f>
        <v>0</v>
      </c>
      <c r="BD811" s="21" t="n">
        <f aca="false">IF(AND(AP811="بله",I811&lt;تنظیمات!$B$14,AO811="خیر"),1,0)</f>
        <v>0</v>
      </c>
      <c r="BE811" s="21" t="n">
        <f aca="false">IF(AN811="خیر",1,0)</f>
        <v>0</v>
      </c>
      <c r="BF811" s="21" t="n">
        <f aca="false">IF(AND(AD811="فیش مفقودی",AQ811="بله",I811&gt;تنظیمات!$B$12*60),1,0)</f>
        <v>0</v>
      </c>
      <c r="BG811" s="21" t="n">
        <f aca="false">IF(AND(AK811&gt;تنظیمات!$B$11,AL811="بله"),1,0)</f>
        <v>0</v>
      </c>
      <c r="BH811" s="21" t="n">
        <f aca="false">MIN(100,AR811*تنظیمات!$B$21+AS811*تنظیمات!$B$22+AT811*تنظیمات!$B$23+AU811*تنظیمات!$B$24+AV811*تنظیمات!$B$25+AW811*تنظیمات!$B$26+AX811*تنظیمات!$B$27+AY811*تنظیمات!$B$28+AZ811*تنظیمات!$B$29+BA811*تنظیمات!$B$30+BB811*تنظیمات!$B$31+BC811*تنظیمات!$B$32+BD811*تنظیمات!$B$33+BE811*تنظیمات!$B$34+BF811*تنظیمات!$B$35+BG811*تنظیمات!$B$36)</f>
        <v>0</v>
      </c>
      <c r="BI811" s="16" t="str">
        <f aca="false">IF(BH811&gt;=60,"بحرانی",IF(BH811&gt;=30,"مشکوک",IF(BH811&gt;0,"هشدار","عادی")))</f>
        <v>عادی</v>
      </c>
      <c r="BJ811" s="16" t="s">
        <v>338</v>
      </c>
    </row>
    <row r="812" customFormat="false" ht="15" hidden="false" customHeight="false" outlineLevel="0" collapsed="false">
      <c r="A812" s="16" t="s">
        <v>2795</v>
      </c>
      <c r="B812" s="16" t="s">
        <v>389</v>
      </c>
      <c r="C812" s="16"/>
      <c r="D812" s="16" t="s">
        <v>382</v>
      </c>
      <c r="E812" s="16" t="s">
        <v>390</v>
      </c>
      <c r="F812" s="16" t="s">
        <v>333</v>
      </c>
      <c r="G812" s="17" t="n">
        <v>46292.3061689815</v>
      </c>
      <c r="H812" s="17" t="n">
        <v>46292.3714467593</v>
      </c>
      <c r="I812" s="18" t="n">
        <f aca="false">IF(H812="",ROUND((تنظیمات!$B$7-G812)*1440,0),ROUND((H812-G812)*1440,0))</f>
        <v>94</v>
      </c>
      <c r="J812" s="16" t="s">
        <v>334</v>
      </c>
      <c r="K812" s="16" t="s">
        <v>410</v>
      </c>
      <c r="L812" s="19" t="n">
        <v>0.96</v>
      </c>
      <c r="M812" s="19" t="n">
        <v>0.919</v>
      </c>
      <c r="N812" s="16" t="s">
        <v>335</v>
      </c>
      <c r="O812" s="16" t="s">
        <v>441</v>
      </c>
      <c r="P812" s="16" t="s">
        <v>402</v>
      </c>
      <c r="Q812" s="20" t="n">
        <v>46292</v>
      </c>
      <c r="R812" s="16" t="s">
        <v>2796</v>
      </c>
      <c r="S812" s="16" t="s">
        <v>404</v>
      </c>
      <c r="T812" s="17"/>
      <c r="U812" s="21" t="n">
        <v>1</v>
      </c>
      <c r="V812" s="21" t="n">
        <v>1</v>
      </c>
      <c r="W812" s="22" t="n">
        <v>3.4</v>
      </c>
      <c r="X812" s="16" t="s">
        <v>335</v>
      </c>
      <c r="Y812" s="16" t="s">
        <v>338</v>
      </c>
      <c r="Z812" s="16" t="s">
        <v>413</v>
      </c>
      <c r="AA812" s="16" t="s">
        <v>414</v>
      </c>
      <c r="AB812" s="23" t="s">
        <v>2797</v>
      </c>
      <c r="AC812" s="17" t="n">
        <v>46292.3706712963</v>
      </c>
      <c r="AD812" s="16" t="s">
        <v>338</v>
      </c>
      <c r="AE812" s="16"/>
      <c r="AF812" s="16" t="str">
        <f aca="false">IF(COUNTIF(لیست_سفید!$A$2:$A$21,B812)&gt;0,"بله","خیر")</f>
        <v>خیر</v>
      </c>
      <c r="AG812" s="24" t="n">
        <f aca="false">IF(H812="","",IF(AD812="فیش مفقودی",تنظیمات!$B$6,(INT(I812/1440)*تنظیمات!$B$5+IF(MOD(I812,1440)&lt;=تنظیمات!$B$2,0,MIN(تنظیمات!$B$5,تنظیمات!$B$3+MAX(0,ROUNDUP((MOD(I812,1440)-60)/60,0))*تنظیمات!$B$4)))*INDEX(تعرفه!$B$2:$B$7,MATCH(AD812,تعرفه!$A$2:$A$7,0))))</f>
        <v>34000</v>
      </c>
      <c r="AH812" s="24" t="n">
        <v>34000</v>
      </c>
      <c r="AI812" s="24" t="n">
        <f aca="false">IF(AG812="","",AH812-AG812)</f>
        <v>0</v>
      </c>
      <c r="AJ812" s="21" t="n">
        <v>6</v>
      </c>
      <c r="AK812" s="21" t="n">
        <v>0</v>
      </c>
      <c r="AL812" s="16" t="s">
        <v>335</v>
      </c>
      <c r="AM812" s="16"/>
      <c r="AN812" s="16" t="s">
        <v>340</v>
      </c>
      <c r="AO812" s="16" t="s">
        <v>340</v>
      </c>
      <c r="AP812" s="16" t="s">
        <v>335</v>
      </c>
      <c r="AQ812" s="16"/>
      <c r="AR812" s="21" t="n">
        <f aca="false">IF(AND(T812&lt;&gt;"",H812&lt;&gt;""),IF(AND((T812-H812)*86400&gt;=0,(T812-H812)*86400&lt;تنظیمات!$B$13),1,0),0)</f>
        <v>0</v>
      </c>
      <c r="AS812" s="21" t="n">
        <f aca="false">IF(Z812="پوز",IF(OR(AB812="",COUNTIF(پوزها!$A$2:$A$5,AA812)=0),1,0),0)</f>
        <v>0</v>
      </c>
      <c r="AT812" s="21" t="n">
        <f aca="false">IF(AI812="",0,IF(AI812&gt;0,1,0))</f>
        <v>0</v>
      </c>
      <c r="AU812" s="21" t="n">
        <f aca="false">IF(AI812="",0,IF(AI812&lt;0,1,0))</f>
        <v>0</v>
      </c>
      <c r="AV812" s="21" t="n">
        <f aca="false">IF(U812&gt;V812,1,0)</f>
        <v>0</v>
      </c>
      <c r="AW812" s="21" t="n">
        <f aca="false">IF(OR(W812&gt;تنظیمات!$B$8,X812="بله"),1,0)</f>
        <v>0</v>
      </c>
      <c r="AX812" s="21" t="n">
        <f aca="false">IF(AND(N812="بله",L812&gt;تنظیمات!$B$9),1,0)</f>
        <v>0</v>
      </c>
      <c r="AY812" s="21" t="n">
        <f aca="false">IF(Y812="معکوس",1,0)</f>
        <v>0</v>
      </c>
      <c r="AZ812" s="21" t="n">
        <f aca="false">IF(ABS(AJ812)&gt;تنظیمات!$B$10,1,0)</f>
        <v>0</v>
      </c>
      <c r="BA812" s="21" t="n">
        <f aca="false">IF(AND(OR(AD812="رایگان/VIP",AD812="جانباز"),AF812="خیر"),1,0)</f>
        <v>0</v>
      </c>
      <c r="BB812" s="21" t="n">
        <f aca="false">IF(AE812="",0,IF(COUNTIF($AE$2:$AE$1001,AE812)&gt;1,1,0))</f>
        <v>0</v>
      </c>
      <c r="BC812" s="21" t="n">
        <f aca="false">IF(AND(H812="",I812&gt;تنظیمات!$B$12*60,AM812="خالی"),1,0)</f>
        <v>0</v>
      </c>
      <c r="BD812" s="21" t="n">
        <f aca="false">IF(AND(AP812="بله",I812&lt;تنظیمات!$B$14,AO812="خیر"),1,0)</f>
        <v>0</v>
      </c>
      <c r="BE812" s="21" t="n">
        <f aca="false">IF(AN812="خیر",1,0)</f>
        <v>0</v>
      </c>
      <c r="BF812" s="21" t="n">
        <f aca="false">IF(AND(AD812="فیش مفقودی",AQ812="بله",I812&gt;تنظیمات!$B$12*60),1,0)</f>
        <v>0</v>
      </c>
      <c r="BG812" s="21" t="n">
        <f aca="false">IF(AND(AK812&gt;تنظیمات!$B$11,AL812="بله"),1,0)</f>
        <v>0</v>
      </c>
      <c r="BH812" s="21" t="n">
        <f aca="false">MIN(100,AR812*تنظیمات!$B$21+AS812*تنظیمات!$B$22+AT812*تنظیمات!$B$23+AU812*تنظیمات!$B$24+AV812*تنظیمات!$B$25+AW812*تنظیمات!$B$26+AX812*تنظیمات!$B$27+AY812*تنظیمات!$B$28+AZ812*تنظیمات!$B$29+BA812*تنظیمات!$B$30+BB812*تنظیمات!$B$31+BC812*تنظیمات!$B$32+BD812*تنظیمات!$B$33+BE812*تنظیمات!$B$34+BF812*تنظیمات!$B$35+BG812*تنظیمات!$B$36)</f>
        <v>0</v>
      </c>
      <c r="BI812" s="16" t="str">
        <f aca="false">IF(BH812&gt;=60,"بحرانی",IF(BH812&gt;=30,"مشکوک",IF(BH812&gt;0,"هشدار","عادی")))</f>
        <v>عادی</v>
      </c>
      <c r="BJ812" s="16" t="s">
        <v>338</v>
      </c>
    </row>
    <row r="813" customFormat="false" ht="15" hidden="false" customHeight="false" outlineLevel="0" collapsed="false">
      <c r="A813" s="16" t="s">
        <v>2798</v>
      </c>
      <c r="B813" s="16" t="s">
        <v>2128</v>
      </c>
      <c r="C813" s="16"/>
      <c r="D813" s="16" t="s">
        <v>450</v>
      </c>
      <c r="E813" s="16" t="s">
        <v>332</v>
      </c>
      <c r="F813" s="16" t="s">
        <v>333</v>
      </c>
      <c r="G813" s="17" t="n">
        <v>46292.3474537037</v>
      </c>
      <c r="H813" s="17" t="n">
        <v>46292.3877314815</v>
      </c>
      <c r="I813" s="18" t="n">
        <f aca="false">IF(H813="",ROUND((تنظیمات!$B$7-G813)*1440,0),ROUND((H813-G813)*1440,0))</f>
        <v>58</v>
      </c>
      <c r="J813" s="16" t="s">
        <v>334</v>
      </c>
      <c r="K813" s="16" t="s">
        <v>410</v>
      </c>
      <c r="L813" s="19" t="n">
        <v>0.954</v>
      </c>
      <c r="M813" s="19" t="n">
        <v>0.913</v>
      </c>
      <c r="N813" s="16" t="s">
        <v>335</v>
      </c>
      <c r="O813" s="16" t="s">
        <v>441</v>
      </c>
      <c r="P813" s="16" t="s">
        <v>402</v>
      </c>
      <c r="Q813" s="20" t="n">
        <v>46292</v>
      </c>
      <c r="R813" s="16" t="s">
        <v>2799</v>
      </c>
      <c r="S813" s="16" t="s">
        <v>404</v>
      </c>
      <c r="T813" s="17"/>
      <c r="U813" s="21" t="n">
        <v>1</v>
      </c>
      <c r="V813" s="21" t="n">
        <v>1</v>
      </c>
      <c r="W813" s="22" t="n">
        <v>3.6</v>
      </c>
      <c r="X813" s="16" t="s">
        <v>335</v>
      </c>
      <c r="Y813" s="16" t="s">
        <v>338</v>
      </c>
      <c r="Z813" s="16" t="s">
        <v>405</v>
      </c>
      <c r="AA813" s="16"/>
      <c r="AB813" s="23"/>
      <c r="AC813" s="17"/>
      <c r="AD813" s="16" t="s">
        <v>338</v>
      </c>
      <c r="AE813" s="16"/>
      <c r="AF813" s="16" t="str">
        <f aca="false">IF(COUNTIF(لیست_سفید!$A$2:$A$21,B813)&gt;0,"بله","خیر")</f>
        <v>خیر</v>
      </c>
      <c r="AG813" s="24" t="n">
        <f aca="false">IF(H813="","",IF(AD813="فیش مفقودی",تنظیمات!$B$6,(INT(I813/1440)*تنظیمات!$B$5+IF(MOD(I813,1440)&lt;=تنظیمات!$B$2,0,MIN(تنظیمات!$B$5,تنظیمات!$B$3+MAX(0,ROUNDUP((MOD(I813,1440)-60)/60,0))*تنظیمات!$B$4)))*INDEX(تعرفه!$B$2:$B$7,MATCH(AD813,تعرفه!$A$2:$A$7,0))))</f>
        <v>20000</v>
      </c>
      <c r="AH813" s="24" t="n">
        <v>20000</v>
      </c>
      <c r="AI813" s="24" t="n">
        <f aca="false">IF(AG813="","",AH813-AG813)</f>
        <v>0</v>
      </c>
      <c r="AJ813" s="21" t="n">
        <v>1</v>
      </c>
      <c r="AK813" s="21" t="n">
        <v>0</v>
      </c>
      <c r="AL813" s="16" t="s">
        <v>335</v>
      </c>
      <c r="AM813" s="16"/>
      <c r="AN813" s="16" t="s">
        <v>340</v>
      </c>
      <c r="AO813" s="16" t="s">
        <v>340</v>
      </c>
      <c r="AP813" s="16" t="s">
        <v>335</v>
      </c>
      <c r="AQ813" s="16"/>
      <c r="AR813" s="21" t="n">
        <f aca="false">IF(AND(T813&lt;&gt;"",H813&lt;&gt;""),IF(AND((T813-H813)*86400&gt;=0,(T813-H813)*86400&lt;تنظیمات!$B$13),1,0),0)</f>
        <v>0</v>
      </c>
      <c r="AS813" s="21" t="n">
        <f aca="false">IF(Z813="پوز",IF(OR(AB813="",COUNTIF(پوزها!$A$2:$A$5,AA813)=0),1,0),0)</f>
        <v>0</v>
      </c>
      <c r="AT813" s="21" t="n">
        <f aca="false">IF(AI813="",0,IF(AI813&gt;0,1,0))</f>
        <v>0</v>
      </c>
      <c r="AU813" s="21" t="n">
        <f aca="false">IF(AI813="",0,IF(AI813&lt;0,1,0))</f>
        <v>0</v>
      </c>
      <c r="AV813" s="21" t="n">
        <f aca="false">IF(U813&gt;V813,1,0)</f>
        <v>0</v>
      </c>
      <c r="AW813" s="21" t="n">
        <f aca="false">IF(OR(W813&gt;تنظیمات!$B$8,X813="بله"),1,0)</f>
        <v>0</v>
      </c>
      <c r="AX813" s="21" t="n">
        <f aca="false">IF(AND(N813="بله",L813&gt;تنظیمات!$B$9),1,0)</f>
        <v>0</v>
      </c>
      <c r="AY813" s="21" t="n">
        <f aca="false">IF(Y813="معکوس",1,0)</f>
        <v>0</v>
      </c>
      <c r="AZ813" s="21" t="n">
        <f aca="false">IF(ABS(AJ813)&gt;تنظیمات!$B$10,1,0)</f>
        <v>0</v>
      </c>
      <c r="BA813" s="21" t="n">
        <f aca="false">IF(AND(OR(AD813="رایگان/VIP",AD813="جانباز"),AF813="خیر"),1,0)</f>
        <v>0</v>
      </c>
      <c r="BB813" s="21" t="n">
        <f aca="false">IF(AE813="",0,IF(COUNTIF($AE$2:$AE$1001,AE813)&gt;1,1,0))</f>
        <v>0</v>
      </c>
      <c r="BC813" s="21" t="n">
        <f aca="false">IF(AND(H813="",I813&gt;تنظیمات!$B$12*60,AM813="خالی"),1,0)</f>
        <v>0</v>
      </c>
      <c r="BD813" s="21" t="n">
        <f aca="false">IF(AND(AP813="بله",I813&lt;تنظیمات!$B$14,AO813="خیر"),1,0)</f>
        <v>0</v>
      </c>
      <c r="BE813" s="21" t="n">
        <f aca="false">IF(AN813="خیر",1,0)</f>
        <v>0</v>
      </c>
      <c r="BF813" s="21" t="n">
        <f aca="false">IF(AND(AD813="فیش مفقودی",AQ813="بله",I813&gt;تنظیمات!$B$12*60),1,0)</f>
        <v>0</v>
      </c>
      <c r="BG813" s="21" t="n">
        <f aca="false">IF(AND(AK813&gt;تنظیمات!$B$11,AL813="بله"),1,0)</f>
        <v>0</v>
      </c>
      <c r="BH813" s="21" t="n">
        <f aca="false">MIN(100,AR813*تنظیمات!$B$21+AS813*تنظیمات!$B$22+AT813*تنظیمات!$B$23+AU813*تنظیمات!$B$24+AV813*تنظیمات!$B$25+AW813*تنظیمات!$B$26+AX813*تنظیمات!$B$27+AY813*تنظیمات!$B$28+AZ813*تنظیمات!$B$29+BA813*تنظیمات!$B$30+BB813*تنظیمات!$B$31+BC813*تنظیمات!$B$32+BD813*تنظیمات!$B$33+BE813*تنظیمات!$B$34+BF813*تنظیمات!$B$35+BG813*تنظیمات!$B$36)</f>
        <v>0</v>
      </c>
      <c r="BI813" s="16" t="str">
        <f aca="false">IF(BH813&gt;=60,"بحرانی",IF(BH813&gt;=30,"مشکوک",IF(BH813&gt;0,"هشدار","عادی")))</f>
        <v>عادی</v>
      </c>
      <c r="BJ813" s="16" t="s">
        <v>338</v>
      </c>
    </row>
    <row r="814" customFormat="false" ht="15" hidden="false" customHeight="false" outlineLevel="0" collapsed="false">
      <c r="A814" s="16" t="s">
        <v>2800</v>
      </c>
      <c r="B814" s="16" t="s">
        <v>2801</v>
      </c>
      <c r="C814" s="16"/>
      <c r="D814" s="16" t="s">
        <v>418</v>
      </c>
      <c r="E814" s="16" t="s">
        <v>345</v>
      </c>
      <c r="F814" s="16" t="s">
        <v>333</v>
      </c>
      <c r="G814" s="17" t="n">
        <v>46292.3573726852</v>
      </c>
      <c r="H814" s="17" t="n">
        <v>46292.4129282407</v>
      </c>
      <c r="I814" s="18" t="n">
        <f aca="false">IF(H814="",ROUND((تنظیمات!$B$7-G814)*1440,0),ROUND((H814-G814)*1440,0))</f>
        <v>80</v>
      </c>
      <c r="J814" s="16" t="s">
        <v>334</v>
      </c>
      <c r="K814" s="16" t="s">
        <v>410</v>
      </c>
      <c r="L814" s="19" t="n">
        <v>0.957</v>
      </c>
      <c r="M814" s="19" t="n">
        <v>0.933</v>
      </c>
      <c r="N814" s="16" t="s">
        <v>335</v>
      </c>
      <c r="O814" s="16" t="s">
        <v>441</v>
      </c>
      <c r="P814" s="16" t="s">
        <v>402</v>
      </c>
      <c r="Q814" s="20" t="n">
        <v>46292</v>
      </c>
      <c r="R814" s="16" t="s">
        <v>2802</v>
      </c>
      <c r="S814" s="16" t="s">
        <v>404</v>
      </c>
      <c r="T814" s="17"/>
      <c r="U814" s="21" t="n">
        <v>1</v>
      </c>
      <c r="V814" s="21" t="n">
        <v>1</v>
      </c>
      <c r="W814" s="22" t="n">
        <v>8.4</v>
      </c>
      <c r="X814" s="16" t="s">
        <v>335</v>
      </c>
      <c r="Y814" s="16" t="s">
        <v>338</v>
      </c>
      <c r="Z814" s="16" t="s">
        <v>413</v>
      </c>
      <c r="AA814" s="16" t="s">
        <v>414</v>
      </c>
      <c r="AB814" s="23" t="s">
        <v>2803</v>
      </c>
      <c r="AC814" s="17" t="n">
        <v>46292.4126041667</v>
      </c>
      <c r="AD814" s="16" t="s">
        <v>338</v>
      </c>
      <c r="AE814" s="16"/>
      <c r="AF814" s="16" t="str">
        <f aca="false">IF(COUNTIF(لیست_سفید!$A$2:$A$21,B814)&gt;0,"بله","خیر")</f>
        <v>خیر</v>
      </c>
      <c r="AG814" s="24" t="n">
        <f aca="false">IF(H814="","",IF(AD814="فیش مفقودی",تنظیمات!$B$6,(INT(I814/1440)*تنظیمات!$B$5+IF(MOD(I814,1440)&lt;=تنظیمات!$B$2,0,MIN(تنظیمات!$B$5,تنظیمات!$B$3+MAX(0,ROUNDUP((MOD(I814,1440)-60)/60,0))*تنظیمات!$B$4)))*INDEX(تعرفه!$B$2:$B$7,MATCH(AD814,تعرفه!$A$2:$A$7,0))))</f>
        <v>34000</v>
      </c>
      <c r="AH814" s="24" t="n">
        <v>34000</v>
      </c>
      <c r="AI814" s="24" t="n">
        <f aca="false">IF(AG814="","",AH814-AG814)</f>
        <v>0</v>
      </c>
      <c r="AJ814" s="21" t="n">
        <v>3</v>
      </c>
      <c r="AK814" s="21" t="n">
        <v>0</v>
      </c>
      <c r="AL814" s="16" t="s">
        <v>335</v>
      </c>
      <c r="AM814" s="16"/>
      <c r="AN814" s="16" t="s">
        <v>340</v>
      </c>
      <c r="AO814" s="16" t="s">
        <v>340</v>
      </c>
      <c r="AP814" s="16" t="s">
        <v>335</v>
      </c>
      <c r="AQ814" s="16"/>
      <c r="AR814" s="21" t="n">
        <f aca="false">IF(AND(T814&lt;&gt;"",H814&lt;&gt;""),IF(AND((T814-H814)*86400&gt;=0,(T814-H814)*86400&lt;تنظیمات!$B$13),1,0),0)</f>
        <v>0</v>
      </c>
      <c r="AS814" s="21" t="n">
        <f aca="false">IF(Z814="پوز",IF(OR(AB814="",COUNTIF(پوزها!$A$2:$A$5,AA814)=0),1,0),0)</f>
        <v>0</v>
      </c>
      <c r="AT814" s="21" t="n">
        <f aca="false">IF(AI814="",0,IF(AI814&gt;0,1,0))</f>
        <v>0</v>
      </c>
      <c r="AU814" s="21" t="n">
        <f aca="false">IF(AI814="",0,IF(AI814&lt;0,1,0))</f>
        <v>0</v>
      </c>
      <c r="AV814" s="21" t="n">
        <f aca="false">IF(U814&gt;V814,1,0)</f>
        <v>0</v>
      </c>
      <c r="AW814" s="21" t="n">
        <f aca="false">IF(OR(W814&gt;تنظیمات!$B$8,X814="بله"),1,0)</f>
        <v>0</v>
      </c>
      <c r="AX814" s="21" t="n">
        <f aca="false">IF(AND(N814="بله",L814&gt;تنظیمات!$B$9),1,0)</f>
        <v>0</v>
      </c>
      <c r="AY814" s="21" t="n">
        <f aca="false">IF(Y814="معکوس",1,0)</f>
        <v>0</v>
      </c>
      <c r="AZ814" s="21" t="n">
        <f aca="false">IF(ABS(AJ814)&gt;تنظیمات!$B$10,1,0)</f>
        <v>0</v>
      </c>
      <c r="BA814" s="21" t="n">
        <f aca="false">IF(AND(OR(AD814="رایگان/VIP",AD814="جانباز"),AF814="خیر"),1,0)</f>
        <v>0</v>
      </c>
      <c r="BB814" s="21" t="n">
        <f aca="false">IF(AE814="",0,IF(COUNTIF($AE$2:$AE$1001,AE814)&gt;1,1,0))</f>
        <v>0</v>
      </c>
      <c r="BC814" s="21" t="n">
        <f aca="false">IF(AND(H814="",I814&gt;تنظیمات!$B$12*60,AM814="خالی"),1,0)</f>
        <v>0</v>
      </c>
      <c r="BD814" s="21" t="n">
        <f aca="false">IF(AND(AP814="بله",I814&lt;تنظیمات!$B$14,AO814="خیر"),1,0)</f>
        <v>0</v>
      </c>
      <c r="BE814" s="21" t="n">
        <f aca="false">IF(AN814="خیر",1,0)</f>
        <v>0</v>
      </c>
      <c r="BF814" s="21" t="n">
        <f aca="false">IF(AND(AD814="فیش مفقودی",AQ814="بله",I814&gt;تنظیمات!$B$12*60),1,0)</f>
        <v>0</v>
      </c>
      <c r="BG814" s="21" t="n">
        <f aca="false">IF(AND(AK814&gt;تنظیمات!$B$11,AL814="بله"),1,0)</f>
        <v>0</v>
      </c>
      <c r="BH814" s="21" t="n">
        <f aca="false">MIN(100,AR814*تنظیمات!$B$21+AS814*تنظیمات!$B$22+AT814*تنظیمات!$B$23+AU814*تنظیمات!$B$24+AV814*تنظیمات!$B$25+AW814*تنظیمات!$B$26+AX814*تنظیمات!$B$27+AY814*تنظیمات!$B$28+AZ814*تنظیمات!$B$29+BA814*تنظیمات!$B$30+BB814*تنظیمات!$B$31+BC814*تنظیمات!$B$32+BD814*تنظیمات!$B$33+BE814*تنظیمات!$B$34+BF814*تنظیمات!$B$35+BG814*تنظیمات!$B$36)</f>
        <v>0</v>
      </c>
      <c r="BI814" s="16" t="str">
        <f aca="false">IF(BH814&gt;=60,"بحرانی",IF(BH814&gt;=30,"مشکوک",IF(BH814&gt;0,"هشدار","عادی")))</f>
        <v>عادی</v>
      </c>
      <c r="BJ814" s="16" t="s">
        <v>338</v>
      </c>
    </row>
    <row r="815" customFormat="false" ht="15" hidden="false" customHeight="false" outlineLevel="0" collapsed="false">
      <c r="A815" s="16" t="s">
        <v>2804</v>
      </c>
      <c r="B815" s="16" t="s">
        <v>634</v>
      </c>
      <c r="C815" s="16"/>
      <c r="D815" s="16" t="s">
        <v>523</v>
      </c>
      <c r="E815" s="16" t="s">
        <v>363</v>
      </c>
      <c r="F815" s="16" t="s">
        <v>333</v>
      </c>
      <c r="G815" s="17" t="n">
        <v>46292.3598726852</v>
      </c>
      <c r="H815" s="17" t="n">
        <v>46292.393900463</v>
      </c>
      <c r="I815" s="18" t="n">
        <f aca="false">IF(H815="",ROUND((تنظیمات!$B$7-G815)*1440,0),ROUND((H815-G815)*1440,0))</f>
        <v>49</v>
      </c>
      <c r="J815" s="16" t="s">
        <v>334</v>
      </c>
      <c r="K815" s="16" t="s">
        <v>410</v>
      </c>
      <c r="L815" s="19" t="n">
        <v>0.96</v>
      </c>
      <c r="M815" s="19" t="n">
        <v>0.995</v>
      </c>
      <c r="N815" s="16" t="s">
        <v>335</v>
      </c>
      <c r="O815" s="16" t="s">
        <v>441</v>
      </c>
      <c r="P815" s="16" t="s">
        <v>402</v>
      </c>
      <c r="Q815" s="20" t="n">
        <v>46292</v>
      </c>
      <c r="R815" s="16" t="s">
        <v>2805</v>
      </c>
      <c r="S815" s="16" t="s">
        <v>404</v>
      </c>
      <c r="T815" s="17"/>
      <c r="U815" s="21" t="n">
        <v>1</v>
      </c>
      <c r="V815" s="21" t="n">
        <v>1</v>
      </c>
      <c r="W815" s="22" t="n">
        <v>5.7</v>
      </c>
      <c r="X815" s="16" t="s">
        <v>335</v>
      </c>
      <c r="Y815" s="16" t="s">
        <v>338</v>
      </c>
      <c r="Z815" s="16" t="s">
        <v>413</v>
      </c>
      <c r="AA815" s="16" t="s">
        <v>414</v>
      </c>
      <c r="AB815" s="23" t="s">
        <v>2806</v>
      </c>
      <c r="AC815" s="17" t="n">
        <v>46292.3931365741</v>
      </c>
      <c r="AD815" s="16" t="s">
        <v>338</v>
      </c>
      <c r="AE815" s="16"/>
      <c r="AF815" s="16" t="str">
        <f aca="false">IF(COUNTIF(لیست_سفید!$A$2:$A$21,B815)&gt;0,"بله","خیر")</f>
        <v>خیر</v>
      </c>
      <c r="AG815" s="24" t="n">
        <f aca="false">IF(H815="","",IF(AD815="فیش مفقودی",تنظیمات!$B$6,(INT(I815/1440)*تنظیمات!$B$5+IF(MOD(I815,1440)&lt;=تنظیمات!$B$2,0,MIN(تنظیمات!$B$5,تنظیمات!$B$3+MAX(0,ROUNDUP((MOD(I815,1440)-60)/60,0))*تنظیمات!$B$4)))*INDEX(تعرفه!$B$2:$B$7,MATCH(AD815,تعرفه!$A$2:$A$7,0))))</f>
        <v>20000</v>
      </c>
      <c r="AH815" s="24" t="n">
        <v>20000</v>
      </c>
      <c r="AI815" s="24" t="n">
        <f aca="false">IF(AG815="","",AH815-AG815)</f>
        <v>0</v>
      </c>
      <c r="AJ815" s="21" t="n">
        <v>-1</v>
      </c>
      <c r="AK815" s="21" t="n">
        <v>0</v>
      </c>
      <c r="AL815" s="16" t="s">
        <v>335</v>
      </c>
      <c r="AM815" s="16"/>
      <c r="AN815" s="16" t="s">
        <v>340</v>
      </c>
      <c r="AO815" s="16" t="s">
        <v>340</v>
      </c>
      <c r="AP815" s="16" t="s">
        <v>335</v>
      </c>
      <c r="AQ815" s="16"/>
      <c r="AR815" s="21" t="n">
        <f aca="false">IF(AND(T815&lt;&gt;"",H815&lt;&gt;""),IF(AND((T815-H815)*86400&gt;=0,(T815-H815)*86400&lt;تنظیمات!$B$13),1,0),0)</f>
        <v>0</v>
      </c>
      <c r="AS815" s="21" t="n">
        <f aca="false">IF(Z815="پوز",IF(OR(AB815="",COUNTIF(پوزها!$A$2:$A$5,AA815)=0),1,0),0)</f>
        <v>0</v>
      </c>
      <c r="AT815" s="21" t="n">
        <f aca="false">IF(AI815="",0,IF(AI815&gt;0,1,0))</f>
        <v>0</v>
      </c>
      <c r="AU815" s="21" t="n">
        <f aca="false">IF(AI815="",0,IF(AI815&lt;0,1,0))</f>
        <v>0</v>
      </c>
      <c r="AV815" s="21" t="n">
        <f aca="false">IF(U815&gt;V815,1,0)</f>
        <v>0</v>
      </c>
      <c r="AW815" s="21" t="n">
        <f aca="false">IF(OR(W815&gt;تنظیمات!$B$8,X815="بله"),1,0)</f>
        <v>0</v>
      </c>
      <c r="AX815" s="21" t="n">
        <f aca="false">IF(AND(N815="بله",L815&gt;تنظیمات!$B$9),1,0)</f>
        <v>0</v>
      </c>
      <c r="AY815" s="21" t="n">
        <f aca="false">IF(Y815="معکوس",1,0)</f>
        <v>0</v>
      </c>
      <c r="AZ815" s="21" t="n">
        <f aca="false">IF(ABS(AJ815)&gt;تنظیمات!$B$10,1,0)</f>
        <v>0</v>
      </c>
      <c r="BA815" s="21" t="n">
        <f aca="false">IF(AND(OR(AD815="رایگان/VIP",AD815="جانباز"),AF815="خیر"),1,0)</f>
        <v>0</v>
      </c>
      <c r="BB815" s="21" t="n">
        <f aca="false">IF(AE815="",0,IF(COUNTIF($AE$2:$AE$1001,AE815)&gt;1,1,0))</f>
        <v>0</v>
      </c>
      <c r="BC815" s="21" t="n">
        <f aca="false">IF(AND(H815="",I815&gt;تنظیمات!$B$12*60,AM815="خالی"),1,0)</f>
        <v>0</v>
      </c>
      <c r="BD815" s="21" t="n">
        <f aca="false">IF(AND(AP815="بله",I815&lt;تنظیمات!$B$14,AO815="خیر"),1,0)</f>
        <v>0</v>
      </c>
      <c r="BE815" s="21" t="n">
        <f aca="false">IF(AN815="خیر",1,0)</f>
        <v>0</v>
      </c>
      <c r="BF815" s="21" t="n">
        <f aca="false">IF(AND(AD815="فیش مفقودی",AQ815="بله",I815&gt;تنظیمات!$B$12*60),1,0)</f>
        <v>0</v>
      </c>
      <c r="BG815" s="21" t="n">
        <f aca="false">IF(AND(AK815&gt;تنظیمات!$B$11,AL815="بله"),1,0)</f>
        <v>0</v>
      </c>
      <c r="BH815" s="21" t="n">
        <f aca="false">MIN(100,AR815*تنظیمات!$B$21+AS815*تنظیمات!$B$22+AT815*تنظیمات!$B$23+AU815*تنظیمات!$B$24+AV815*تنظیمات!$B$25+AW815*تنظیمات!$B$26+AX815*تنظیمات!$B$27+AY815*تنظیمات!$B$28+AZ815*تنظیمات!$B$29+BA815*تنظیمات!$B$30+BB815*تنظیمات!$B$31+BC815*تنظیمات!$B$32+BD815*تنظیمات!$B$33+BE815*تنظیمات!$B$34+BF815*تنظیمات!$B$35+BG815*تنظیمات!$B$36)</f>
        <v>0</v>
      </c>
      <c r="BI815" s="16" t="str">
        <f aca="false">IF(BH815&gt;=60,"بحرانی",IF(BH815&gt;=30,"مشکوک",IF(BH815&gt;0,"هشدار","عادی")))</f>
        <v>عادی</v>
      </c>
      <c r="BJ815" s="16" t="s">
        <v>338</v>
      </c>
    </row>
    <row r="816" customFormat="false" ht="15" hidden="false" customHeight="false" outlineLevel="0" collapsed="false">
      <c r="A816" s="16" t="s">
        <v>2807</v>
      </c>
      <c r="B816" s="16" t="s">
        <v>901</v>
      </c>
      <c r="C816" s="16"/>
      <c r="D816" s="16" t="s">
        <v>386</v>
      </c>
      <c r="E816" s="16" t="s">
        <v>375</v>
      </c>
      <c r="F816" s="16" t="s">
        <v>333</v>
      </c>
      <c r="G816" s="17" t="n">
        <v>46292.3640972222</v>
      </c>
      <c r="H816" s="17" t="n">
        <v>46292.4154861111</v>
      </c>
      <c r="I816" s="18" t="n">
        <f aca="false">IF(H816="",ROUND((تنظیمات!$B$7-G816)*1440,0),ROUND((H816-G816)*1440,0))</f>
        <v>74</v>
      </c>
      <c r="J816" s="16" t="s">
        <v>346</v>
      </c>
      <c r="K816" s="16" t="s">
        <v>410</v>
      </c>
      <c r="L816" s="19" t="n">
        <v>0.995</v>
      </c>
      <c r="M816" s="19" t="n">
        <v>0.96</v>
      </c>
      <c r="N816" s="16" t="s">
        <v>335</v>
      </c>
      <c r="O816" s="16" t="s">
        <v>441</v>
      </c>
      <c r="P816" s="16" t="s">
        <v>402</v>
      </c>
      <c r="Q816" s="20" t="n">
        <v>46292</v>
      </c>
      <c r="R816" s="16" t="s">
        <v>2808</v>
      </c>
      <c r="S816" s="16" t="s">
        <v>404</v>
      </c>
      <c r="T816" s="17"/>
      <c r="U816" s="21" t="n">
        <v>1</v>
      </c>
      <c r="V816" s="21" t="n">
        <v>1</v>
      </c>
      <c r="W816" s="22" t="n">
        <v>3.8</v>
      </c>
      <c r="X816" s="16" t="s">
        <v>335</v>
      </c>
      <c r="Y816" s="16" t="s">
        <v>338</v>
      </c>
      <c r="Z816" s="16" t="s">
        <v>413</v>
      </c>
      <c r="AA816" s="16" t="s">
        <v>414</v>
      </c>
      <c r="AB816" s="23" t="s">
        <v>2809</v>
      </c>
      <c r="AC816" s="17" t="n">
        <v>46292.4148958333</v>
      </c>
      <c r="AD816" s="16" t="s">
        <v>338</v>
      </c>
      <c r="AE816" s="16"/>
      <c r="AF816" s="16" t="str">
        <f aca="false">IF(COUNTIF(لیست_سفید!$A$2:$A$21,B816)&gt;0,"بله","خیر")</f>
        <v>خیر</v>
      </c>
      <c r="AG816" s="24" t="n">
        <f aca="false">IF(H816="","",IF(AD816="فیش مفقودی",تنظیمات!$B$6,(INT(I816/1440)*تنظیمات!$B$5+IF(MOD(I816,1440)&lt;=تنظیمات!$B$2,0,MIN(تنظیمات!$B$5,تنظیمات!$B$3+MAX(0,ROUNDUP((MOD(I816,1440)-60)/60,0))*تنظیمات!$B$4)))*INDEX(تعرفه!$B$2:$B$7,MATCH(AD816,تعرفه!$A$2:$A$7,0))))</f>
        <v>34000</v>
      </c>
      <c r="AH816" s="24" t="n">
        <v>34000</v>
      </c>
      <c r="AI816" s="24" t="n">
        <f aca="false">IF(AG816="","",AH816-AG816)</f>
        <v>0</v>
      </c>
      <c r="AJ816" s="21" t="n">
        <v>2</v>
      </c>
      <c r="AK816" s="21" t="n">
        <v>0</v>
      </c>
      <c r="AL816" s="16" t="s">
        <v>335</v>
      </c>
      <c r="AM816" s="16"/>
      <c r="AN816" s="16" t="s">
        <v>340</v>
      </c>
      <c r="AO816" s="16" t="s">
        <v>340</v>
      </c>
      <c r="AP816" s="16" t="s">
        <v>335</v>
      </c>
      <c r="AQ816" s="16"/>
      <c r="AR816" s="21" t="n">
        <f aca="false">IF(AND(T816&lt;&gt;"",H816&lt;&gt;""),IF(AND((T816-H816)*86400&gt;=0,(T816-H816)*86400&lt;تنظیمات!$B$13),1,0),0)</f>
        <v>0</v>
      </c>
      <c r="AS816" s="21" t="n">
        <f aca="false">IF(Z816="پوز",IF(OR(AB816="",COUNTIF(پوزها!$A$2:$A$5,AA816)=0),1,0),0)</f>
        <v>0</v>
      </c>
      <c r="AT816" s="21" t="n">
        <f aca="false">IF(AI816="",0,IF(AI816&gt;0,1,0))</f>
        <v>0</v>
      </c>
      <c r="AU816" s="21" t="n">
        <f aca="false">IF(AI816="",0,IF(AI816&lt;0,1,0))</f>
        <v>0</v>
      </c>
      <c r="AV816" s="21" t="n">
        <f aca="false">IF(U816&gt;V816,1,0)</f>
        <v>0</v>
      </c>
      <c r="AW816" s="21" t="n">
        <f aca="false">IF(OR(W816&gt;تنظیمات!$B$8,X816="بله"),1,0)</f>
        <v>0</v>
      </c>
      <c r="AX816" s="21" t="n">
        <f aca="false">IF(AND(N816="بله",L816&gt;تنظیمات!$B$9),1,0)</f>
        <v>0</v>
      </c>
      <c r="AY816" s="21" t="n">
        <f aca="false">IF(Y816="معکوس",1,0)</f>
        <v>0</v>
      </c>
      <c r="AZ816" s="21" t="n">
        <f aca="false">IF(ABS(AJ816)&gt;تنظیمات!$B$10,1,0)</f>
        <v>0</v>
      </c>
      <c r="BA816" s="21" t="n">
        <f aca="false">IF(AND(OR(AD816="رایگان/VIP",AD816="جانباز"),AF816="خیر"),1,0)</f>
        <v>0</v>
      </c>
      <c r="BB816" s="21" t="n">
        <f aca="false">IF(AE816="",0,IF(COUNTIF($AE$2:$AE$1001,AE816)&gt;1,1,0))</f>
        <v>0</v>
      </c>
      <c r="BC816" s="21" t="n">
        <f aca="false">IF(AND(H816="",I816&gt;تنظیمات!$B$12*60,AM816="خالی"),1,0)</f>
        <v>0</v>
      </c>
      <c r="BD816" s="21" t="n">
        <f aca="false">IF(AND(AP816="بله",I816&lt;تنظیمات!$B$14,AO816="خیر"),1,0)</f>
        <v>0</v>
      </c>
      <c r="BE816" s="21" t="n">
        <f aca="false">IF(AN816="خیر",1,0)</f>
        <v>0</v>
      </c>
      <c r="BF816" s="21" t="n">
        <f aca="false">IF(AND(AD816="فیش مفقودی",AQ816="بله",I816&gt;تنظیمات!$B$12*60),1,0)</f>
        <v>0</v>
      </c>
      <c r="BG816" s="21" t="n">
        <f aca="false">IF(AND(AK816&gt;تنظیمات!$B$11,AL816="بله"),1,0)</f>
        <v>0</v>
      </c>
      <c r="BH816" s="21" t="n">
        <f aca="false">MIN(100,AR816*تنظیمات!$B$21+AS816*تنظیمات!$B$22+AT816*تنظیمات!$B$23+AU816*تنظیمات!$B$24+AV816*تنظیمات!$B$25+AW816*تنظیمات!$B$26+AX816*تنظیمات!$B$27+AY816*تنظیمات!$B$28+AZ816*تنظیمات!$B$29+BA816*تنظیمات!$B$30+BB816*تنظیمات!$B$31+BC816*تنظیمات!$B$32+BD816*تنظیمات!$B$33+BE816*تنظیمات!$B$34+BF816*تنظیمات!$B$35+BG816*تنظیمات!$B$36)</f>
        <v>0</v>
      </c>
      <c r="BI816" s="16" t="str">
        <f aca="false">IF(BH816&gt;=60,"بحرانی",IF(BH816&gt;=30,"مشکوک",IF(BH816&gt;0,"هشدار","عادی")))</f>
        <v>عادی</v>
      </c>
      <c r="BJ816" s="16" t="s">
        <v>338</v>
      </c>
    </row>
    <row r="817" customFormat="false" ht="15" hidden="false" customHeight="false" outlineLevel="0" collapsed="false">
      <c r="A817" s="16" t="s">
        <v>2810</v>
      </c>
      <c r="B817" s="16" t="s">
        <v>369</v>
      </c>
      <c r="C817" s="16"/>
      <c r="D817" s="16" t="s">
        <v>370</v>
      </c>
      <c r="E817" s="16" t="s">
        <v>345</v>
      </c>
      <c r="F817" s="16" t="s">
        <v>333</v>
      </c>
      <c r="G817" s="17" t="n">
        <v>46292.3653819444</v>
      </c>
      <c r="H817" s="17" t="n">
        <v>46292.3952430556</v>
      </c>
      <c r="I817" s="18" t="n">
        <f aca="false">IF(H817="",ROUND((تنظیمات!$B$7-G817)*1440,0),ROUND((H817-G817)*1440,0))</f>
        <v>43</v>
      </c>
      <c r="J817" s="16" t="s">
        <v>346</v>
      </c>
      <c r="K817" s="16" t="s">
        <v>400</v>
      </c>
      <c r="L817" s="19" t="n">
        <v>0.903</v>
      </c>
      <c r="M817" s="19" t="n">
        <v>0.959</v>
      </c>
      <c r="N817" s="16" t="s">
        <v>335</v>
      </c>
      <c r="O817" s="16" t="s">
        <v>425</v>
      </c>
      <c r="P817" s="16" t="s">
        <v>402</v>
      </c>
      <c r="Q817" s="20" t="n">
        <v>46292</v>
      </c>
      <c r="R817" s="16" t="s">
        <v>2811</v>
      </c>
      <c r="S817" s="16" t="s">
        <v>404</v>
      </c>
      <c r="T817" s="17"/>
      <c r="U817" s="21" t="n">
        <v>1</v>
      </c>
      <c r="V817" s="21" t="n">
        <v>1</v>
      </c>
      <c r="W817" s="22" t="n">
        <v>7.1</v>
      </c>
      <c r="X817" s="16" t="s">
        <v>335</v>
      </c>
      <c r="Y817" s="16" t="s">
        <v>338</v>
      </c>
      <c r="Z817" s="16" t="s">
        <v>413</v>
      </c>
      <c r="AA817" s="16" t="s">
        <v>427</v>
      </c>
      <c r="AB817" s="23" t="s">
        <v>2812</v>
      </c>
      <c r="AC817" s="17" t="n">
        <v>46292.3950115741</v>
      </c>
      <c r="AD817" s="16" t="s">
        <v>338</v>
      </c>
      <c r="AE817" s="16"/>
      <c r="AF817" s="16" t="str">
        <f aca="false">IF(COUNTIF(لیست_سفید!$A$2:$A$21,B817)&gt;0,"بله","خیر")</f>
        <v>خیر</v>
      </c>
      <c r="AG817" s="24" t="n">
        <f aca="false">IF(H817="","",IF(AD817="فیش مفقودی",تنظیمات!$B$6,(INT(I817/1440)*تنظیمات!$B$5+IF(MOD(I817,1440)&lt;=تنظیمات!$B$2,0,MIN(تنظیمات!$B$5,تنظیمات!$B$3+MAX(0,ROUNDUP((MOD(I817,1440)-60)/60,0))*تنظیمات!$B$4)))*INDEX(تعرفه!$B$2:$B$7,MATCH(AD817,تعرفه!$A$2:$A$7,0))))</f>
        <v>20000</v>
      </c>
      <c r="AH817" s="24" t="n">
        <v>20000</v>
      </c>
      <c r="AI817" s="24" t="n">
        <f aca="false">IF(AG817="","",AH817-AG817)</f>
        <v>0</v>
      </c>
      <c r="AJ817" s="21" t="n">
        <v>-3</v>
      </c>
      <c r="AK817" s="21" t="n">
        <v>0</v>
      </c>
      <c r="AL817" s="16" t="s">
        <v>335</v>
      </c>
      <c r="AM817" s="16"/>
      <c r="AN817" s="16" t="s">
        <v>340</v>
      </c>
      <c r="AO817" s="16" t="s">
        <v>340</v>
      </c>
      <c r="AP817" s="16" t="s">
        <v>335</v>
      </c>
      <c r="AQ817" s="16"/>
      <c r="AR817" s="21" t="n">
        <f aca="false">IF(AND(T817&lt;&gt;"",H817&lt;&gt;""),IF(AND((T817-H817)*86400&gt;=0,(T817-H817)*86400&lt;تنظیمات!$B$13),1,0),0)</f>
        <v>0</v>
      </c>
      <c r="AS817" s="21" t="n">
        <f aca="false">IF(Z817="پوز",IF(OR(AB817="",COUNTIF(پوزها!$A$2:$A$5,AA817)=0),1,0),0)</f>
        <v>0</v>
      </c>
      <c r="AT817" s="21" t="n">
        <f aca="false">IF(AI817="",0,IF(AI817&gt;0,1,0))</f>
        <v>0</v>
      </c>
      <c r="AU817" s="21" t="n">
        <f aca="false">IF(AI817="",0,IF(AI817&lt;0,1,0))</f>
        <v>0</v>
      </c>
      <c r="AV817" s="21" t="n">
        <f aca="false">IF(U817&gt;V817,1,0)</f>
        <v>0</v>
      </c>
      <c r="AW817" s="21" t="n">
        <f aca="false">IF(OR(W817&gt;تنظیمات!$B$8,X817="بله"),1,0)</f>
        <v>0</v>
      </c>
      <c r="AX817" s="21" t="n">
        <f aca="false">IF(AND(N817="بله",L817&gt;تنظیمات!$B$9),1,0)</f>
        <v>0</v>
      </c>
      <c r="AY817" s="21" t="n">
        <f aca="false">IF(Y817="معکوس",1,0)</f>
        <v>0</v>
      </c>
      <c r="AZ817" s="21" t="n">
        <f aca="false">IF(ABS(AJ817)&gt;تنظیمات!$B$10,1,0)</f>
        <v>0</v>
      </c>
      <c r="BA817" s="21" t="n">
        <f aca="false">IF(AND(OR(AD817="رایگان/VIP",AD817="جانباز"),AF817="خیر"),1,0)</f>
        <v>0</v>
      </c>
      <c r="BB817" s="21" t="n">
        <f aca="false">IF(AE817="",0,IF(COUNTIF($AE$2:$AE$1001,AE817)&gt;1,1,0))</f>
        <v>0</v>
      </c>
      <c r="BC817" s="21" t="n">
        <f aca="false">IF(AND(H817="",I817&gt;تنظیمات!$B$12*60,AM817="خالی"),1,0)</f>
        <v>0</v>
      </c>
      <c r="BD817" s="21" t="n">
        <f aca="false">IF(AND(AP817="بله",I817&lt;تنظیمات!$B$14,AO817="خیر"),1,0)</f>
        <v>0</v>
      </c>
      <c r="BE817" s="21" t="n">
        <f aca="false">IF(AN817="خیر",1,0)</f>
        <v>0</v>
      </c>
      <c r="BF817" s="21" t="n">
        <f aca="false">IF(AND(AD817="فیش مفقودی",AQ817="بله",I817&gt;تنظیمات!$B$12*60),1,0)</f>
        <v>0</v>
      </c>
      <c r="BG817" s="21" t="n">
        <f aca="false">IF(AND(AK817&gt;تنظیمات!$B$11,AL817="بله"),1,0)</f>
        <v>0</v>
      </c>
      <c r="BH817" s="21" t="n">
        <f aca="false">MIN(100,AR817*تنظیمات!$B$21+AS817*تنظیمات!$B$22+AT817*تنظیمات!$B$23+AU817*تنظیمات!$B$24+AV817*تنظیمات!$B$25+AW817*تنظیمات!$B$26+AX817*تنظیمات!$B$27+AY817*تنظیمات!$B$28+AZ817*تنظیمات!$B$29+BA817*تنظیمات!$B$30+BB817*تنظیمات!$B$31+BC817*تنظیمات!$B$32+BD817*تنظیمات!$B$33+BE817*تنظیمات!$B$34+BF817*تنظیمات!$B$35+BG817*تنظیمات!$B$36)</f>
        <v>0</v>
      </c>
      <c r="BI817" s="16" t="str">
        <f aca="false">IF(BH817&gt;=60,"بحرانی",IF(BH817&gt;=30,"مشکوک",IF(BH817&gt;0,"هشدار","عادی")))</f>
        <v>عادی</v>
      </c>
      <c r="BJ817" s="16" t="s">
        <v>338</v>
      </c>
    </row>
    <row r="818" customFormat="false" ht="15" hidden="false" customHeight="false" outlineLevel="0" collapsed="false">
      <c r="A818" s="16" t="s">
        <v>2813</v>
      </c>
      <c r="B818" s="16" t="s">
        <v>2476</v>
      </c>
      <c r="C818" s="16"/>
      <c r="D818" s="16" t="s">
        <v>523</v>
      </c>
      <c r="E818" s="16" t="s">
        <v>351</v>
      </c>
      <c r="F818" s="16" t="s">
        <v>333</v>
      </c>
      <c r="G818" s="17" t="n">
        <v>46292.3712847222</v>
      </c>
      <c r="H818" s="17" t="n">
        <v>46292.4976736111</v>
      </c>
      <c r="I818" s="18" t="n">
        <f aca="false">IF(H818="",ROUND((تنظیمات!$B$7-G818)*1440,0),ROUND((H818-G818)*1440,0))</f>
        <v>182</v>
      </c>
      <c r="J818" s="16" t="s">
        <v>346</v>
      </c>
      <c r="K818" s="16" t="s">
        <v>400</v>
      </c>
      <c r="L818" s="19" t="n">
        <v>0.942</v>
      </c>
      <c r="M818" s="19" t="n">
        <v>0.913</v>
      </c>
      <c r="N818" s="16" t="s">
        <v>335</v>
      </c>
      <c r="O818" s="16" t="s">
        <v>425</v>
      </c>
      <c r="P818" s="16" t="s">
        <v>402</v>
      </c>
      <c r="Q818" s="20" t="n">
        <v>46292</v>
      </c>
      <c r="R818" s="16" t="s">
        <v>2814</v>
      </c>
      <c r="S818" s="16" t="s">
        <v>404</v>
      </c>
      <c r="T818" s="17"/>
      <c r="U818" s="21" t="n">
        <v>1</v>
      </c>
      <c r="V818" s="21" t="n">
        <v>1</v>
      </c>
      <c r="W818" s="22" t="n">
        <v>5.9</v>
      </c>
      <c r="X818" s="16" t="s">
        <v>335</v>
      </c>
      <c r="Y818" s="16" t="s">
        <v>338</v>
      </c>
      <c r="Z818" s="16" t="s">
        <v>405</v>
      </c>
      <c r="AA818" s="16"/>
      <c r="AB818" s="23"/>
      <c r="AC818" s="17"/>
      <c r="AD818" s="16" t="s">
        <v>338</v>
      </c>
      <c r="AE818" s="16"/>
      <c r="AF818" s="16" t="str">
        <f aca="false">IF(COUNTIF(لیست_سفید!$A$2:$A$21,B818)&gt;0,"بله","خیر")</f>
        <v>خیر</v>
      </c>
      <c r="AG818" s="24" t="n">
        <f aca="false">IF(H818="","",IF(AD818="فیش مفقودی",تنظیمات!$B$6,(INT(I818/1440)*تنظیمات!$B$5+IF(MOD(I818,1440)&lt;=تنظیمات!$B$2,0,MIN(تنظیمات!$B$5,تنظیمات!$B$3+MAX(0,ROUNDUP((MOD(I818,1440)-60)/60,0))*تنظیمات!$B$4)))*INDEX(تعرفه!$B$2:$B$7,MATCH(AD818,تعرفه!$A$2:$A$7,0))))</f>
        <v>62000</v>
      </c>
      <c r="AH818" s="24" t="n">
        <v>62000</v>
      </c>
      <c r="AI818" s="24" t="n">
        <f aca="false">IF(AG818="","",AH818-AG818)</f>
        <v>0</v>
      </c>
      <c r="AJ818" s="21" t="n">
        <v>-1</v>
      </c>
      <c r="AK818" s="21" t="n">
        <v>0</v>
      </c>
      <c r="AL818" s="16" t="s">
        <v>335</v>
      </c>
      <c r="AM818" s="16"/>
      <c r="AN818" s="16" t="s">
        <v>340</v>
      </c>
      <c r="AO818" s="16" t="s">
        <v>340</v>
      </c>
      <c r="AP818" s="16" t="s">
        <v>335</v>
      </c>
      <c r="AQ818" s="16"/>
      <c r="AR818" s="21" t="n">
        <f aca="false">IF(AND(T818&lt;&gt;"",H818&lt;&gt;""),IF(AND((T818-H818)*86400&gt;=0,(T818-H818)*86400&lt;تنظیمات!$B$13),1,0),0)</f>
        <v>0</v>
      </c>
      <c r="AS818" s="21" t="n">
        <f aca="false">IF(Z818="پوز",IF(OR(AB818="",COUNTIF(پوزها!$A$2:$A$5,AA818)=0),1,0),0)</f>
        <v>0</v>
      </c>
      <c r="AT818" s="21" t="n">
        <f aca="false">IF(AI818="",0,IF(AI818&gt;0,1,0))</f>
        <v>0</v>
      </c>
      <c r="AU818" s="21" t="n">
        <f aca="false">IF(AI818="",0,IF(AI818&lt;0,1,0))</f>
        <v>0</v>
      </c>
      <c r="AV818" s="21" t="n">
        <f aca="false">IF(U818&gt;V818,1,0)</f>
        <v>0</v>
      </c>
      <c r="AW818" s="21" t="n">
        <f aca="false">IF(OR(W818&gt;تنظیمات!$B$8,X818="بله"),1,0)</f>
        <v>0</v>
      </c>
      <c r="AX818" s="21" t="n">
        <f aca="false">IF(AND(N818="بله",L818&gt;تنظیمات!$B$9),1,0)</f>
        <v>0</v>
      </c>
      <c r="AY818" s="21" t="n">
        <f aca="false">IF(Y818="معکوس",1,0)</f>
        <v>0</v>
      </c>
      <c r="AZ818" s="21" t="n">
        <f aca="false">IF(ABS(AJ818)&gt;تنظیمات!$B$10,1,0)</f>
        <v>0</v>
      </c>
      <c r="BA818" s="21" t="n">
        <f aca="false">IF(AND(OR(AD818="رایگان/VIP",AD818="جانباز"),AF818="خیر"),1,0)</f>
        <v>0</v>
      </c>
      <c r="BB818" s="21" t="n">
        <f aca="false">IF(AE818="",0,IF(COUNTIF($AE$2:$AE$1001,AE818)&gt;1,1,0))</f>
        <v>0</v>
      </c>
      <c r="BC818" s="21" t="n">
        <f aca="false">IF(AND(H818="",I818&gt;تنظیمات!$B$12*60,AM818="خالی"),1,0)</f>
        <v>0</v>
      </c>
      <c r="BD818" s="21" t="n">
        <f aca="false">IF(AND(AP818="بله",I818&lt;تنظیمات!$B$14,AO818="خیر"),1,0)</f>
        <v>0</v>
      </c>
      <c r="BE818" s="21" t="n">
        <f aca="false">IF(AN818="خیر",1,0)</f>
        <v>0</v>
      </c>
      <c r="BF818" s="21" t="n">
        <f aca="false">IF(AND(AD818="فیش مفقودی",AQ818="بله",I818&gt;تنظیمات!$B$12*60),1,0)</f>
        <v>0</v>
      </c>
      <c r="BG818" s="21" t="n">
        <f aca="false">IF(AND(AK818&gt;تنظیمات!$B$11,AL818="بله"),1,0)</f>
        <v>0</v>
      </c>
      <c r="BH818" s="21" t="n">
        <f aca="false">MIN(100,AR818*تنظیمات!$B$21+AS818*تنظیمات!$B$22+AT818*تنظیمات!$B$23+AU818*تنظیمات!$B$24+AV818*تنظیمات!$B$25+AW818*تنظیمات!$B$26+AX818*تنظیمات!$B$27+AY818*تنظیمات!$B$28+AZ818*تنظیمات!$B$29+BA818*تنظیمات!$B$30+BB818*تنظیمات!$B$31+BC818*تنظیمات!$B$32+BD818*تنظیمات!$B$33+BE818*تنظیمات!$B$34+BF818*تنظیمات!$B$35+BG818*تنظیمات!$B$36)</f>
        <v>0</v>
      </c>
      <c r="BI818" s="16" t="str">
        <f aca="false">IF(BH818&gt;=60,"بحرانی",IF(BH818&gt;=30,"مشکوک",IF(BH818&gt;0,"هشدار","عادی")))</f>
        <v>عادی</v>
      </c>
      <c r="BJ818" s="16" t="s">
        <v>338</v>
      </c>
    </row>
    <row r="819" customFormat="false" ht="15" hidden="false" customHeight="false" outlineLevel="0" collapsed="false">
      <c r="A819" s="16" t="s">
        <v>2815</v>
      </c>
      <c r="B819" s="16" t="s">
        <v>1345</v>
      </c>
      <c r="C819" s="16"/>
      <c r="D819" s="16" t="s">
        <v>431</v>
      </c>
      <c r="E819" s="16" t="s">
        <v>375</v>
      </c>
      <c r="F819" s="16" t="s">
        <v>333</v>
      </c>
      <c r="G819" s="17" t="n">
        <v>46292.3866435185</v>
      </c>
      <c r="H819" s="17" t="n">
        <v>46292.4380324074</v>
      </c>
      <c r="I819" s="18" t="n">
        <f aca="false">IF(H819="",ROUND((تنظیمات!$B$7-G819)*1440,0),ROUND((H819-G819)*1440,0))</f>
        <v>74</v>
      </c>
      <c r="J819" s="16" t="s">
        <v>334</v>
      </c>
      <c r="K819" s="16" t="s">
        <v>410</v>
      </c>
      <c r="L819" s="19" t="n">
        <v>0.911</v>
      </c>
      <c r="M819" s="19" t="n">
        <v>0.982</v>
      </c>
      <c r="N819" s="16" t="s">
        <v>335</v>
      </c>
      <c r="O819" s="16" t="s">
        <v>441</v>
      </c>
      <c r="P819" s="16" t="s">
        <v>402</v>
      </c>
      <c r="Q819" s="20" t="n">
        <v>46292</v>
      </c>
      <c r="R819" s="16" t="s">
        <v>2816</v>
      </c>
      <c r="S819" s="16" t="s">
        <v>404</v>
      </c>
      <c r="T819" s="17"/>
      <c r="U819" s="21" t="n">
        <v>1</v>
      </c>
      <c r="V819" s="21" t="n">
        <v>1</v>
      </c>
      <c r="W819" s="22" t="n">
        <v>6.2</v>
      </c>
      <c r="X819" s="16" t="s">
        <v>335</v>
      </c>
      <c r="Y819" s="16" t="s">
        <v>338</v>
      </c>
      <c r="Z819" s="16" t="s">
        <v>405</v>
      </c>
      <c r="AA819" s="16"/>
      <c r="AB819" s="23"/>
      <c r="AC819" s="17"/>
      <c r="AD819" s="16" t="s">
        <v>338</v>
      </c>
      <c r="AE819" s="16"/>
      <c r="AF819" s="16" t="str">
        <f aca="false">IF(COUNTIF(لیست_سفید!$A$2:$A$21,B819)&gt;0,"بله","خیر")</f>
        <v>خیر</v>
      </c>
      <c r="AG819" s="24" t="n">
        <f aca="false">IF(H819="","",IF(AD819="فیش مفقودی",تنظیمات!$B$6,(INT(I819/1440)*تنظیمات!$B$5+IF(MOD(I819,1440)&lt;=تنظیمات!$B$2,0,MIN(تنظیمات!$B$5,تنظیمات!$B$3+MAX(0,ROUNDUP((MOD(I819,1440)-60)/60,0))*تنظیمات!$B$4)))*INDEX(تعرفه!$B$2:$B$7,MATCH(AD819,تعرفه!$A$2:$A$7,0))))</f>
        <v>34000</v>
      </c>
      <c r="AH819" s="24" t="n">
        <v>34000</v>
      </c>
      <c r="AI819" s="24" t="n">
        <f aca="false">IF(AG819="","",AH819-AG819)</f>
        <v>0</v>
      </c>
      <c r="AJ819" s="21" t="n">
        <v>4</v>
      </c>
      <c r="AK819" s="21" t="n">
        <v>0</v>
      </c>
      <c r="AL819" s="16" t="s">
        <v>335</v>
      </c>
      <c r="AM819" s="16"/>
      <c r="AN819" s="16" t="s">
        <v>340</v>
      </c>
      <c r="AO819" s="16" t="s">
        <v>340</v>
      </c>
      <c r="AP819" s="16" t="s">
        <v>335</v>
      </c>
      <c r="AQ819" s="16"/>
      <c r="AR819" s="21" t="n">
        <f aca="false">IF(AND(T819&lt;&gt;"",H819&lt;&gt;""),IF(AND((T819-H819)*86400&gt;=0,(T819-H819)*86400&lt;تنظیمات!$B$13),1,0),0)</f>
        <v>0</v>
      </c>
      <c r="AS819" s="21" t="n">
        <f aca="false">IF(Z819="پوز",IF(OR(AB819="",COUNTIF(پوزها!$A$2:$A$5,AA819)=0),1,0),0)</f>
        <v>0</v>
      </c>
      <c r="AT819" s="21" t="n">
        <f aca="false">IF(AI819="",0,IF(AI819&gt;0,1,0))</f>
        <v>0</v>
      </c>
      <c r="AU819" s="21" t="n">
        <f aca="false">IF(AI819="",0,IF(AI819&lt;0,1,0))</f>
        <v>0</v>
      </c>
      <c r="AV819" s="21" t="n">
        <f aca="false">IF(U819&gt;V819,1,0)</f>
        <v>0</v>
      </c>
      <c r="AW819" s="21" t="n">
        <f aca="false">IF(OR(W819&gt;تنظیمات!$B$8,X819="بله"),1,0)</f>
        <v>0</v>
      </c>
      <c r="AX819" s="21" t="n">
        <f aca="false">IF(AND(N819="بله",L819&gt;تنظیمات!$B$9),1,0)</f>
        <v>0</v>
      </c>
      <c r="AY819" s="21" t="n">
        <f aca="false">IF(Y819="معکوس",1,0)</f>
        <v>0</v>
      </c>
      <c r="AZ819" s="21" t="n">
        <f aca="false">IF(ABS(AJ819)&gt;تنظیمات!$B$10,1,0)</f>
        <v>0</v>
      </c>
      <c r="BA819" s="21" t="n">
        <f aca="false">IF(AND(OR(AD819="رایگان/VIP",AD819="جانباز"),AF819="خیر"),1,0)</f>
        <v>0</v>
      </c>
      <c r="BB819" s="21" t="n">
        <f aca="false">IF(AE819="",0,IF(COUNTIF($AE$2:$AE$1001,AE819)&gt;1,1,0))</f>
        <v>0</v>
      </c>
      <c r="BC819" s="21" t="n">
        <f aca="false">IF(AND(H819="",I819&gt;تنظیمات!$B$12*60,AM819="خالی"),1,0)</f>
        <v>0</v>
      </c>
      <c r="BD819" s="21" t="n">
        <f aca="false">IF(AND(AP819="بله",I819&lt;تنظیمات!$B$14,AO819="خیر"),1,0)</f>
        <v>0</v>
      </c>
      <c r="BE819" s="21" t="n">
        <f aca="false">IF(AN819="خیر",1,0)</f>
        <v>0</v>
      </c>
      <c r="BF819" s="21" t="n">
        <f aca="false">IF(AND(AD819="فیش مفقودی",AQ819="بله",I819&gt;تنظیمات!$B$12*60),1,0)</f>
        <v>0</v>
      </c>
      <c r="BG819" s="21" t="n">
        <f aca="false">IF(AND(AK819&gt;تنظیمات!$B$11,AL819="بله"),1,0)</f>
        <v>0</v>
      </c>
      <c r="BH819" s="21" t="n">
        <f aca="false">MIN(100,AR819*تنظیمات!$B$21+AS819*تنظیمات!$B$22+AT819*تنظیمات!$B$23+AU819*تنظیمات!$B$24+AV819*تنظیمات!$B$25+AW819*تنظیمات!$B$26+AX819*تنظیمات!$B$27+AY819*تنظیمات!$B$28+AZ819*تنظیمات!$B$29+BA819*تنظیمات!$B$30+BB819*تنظیمات!$B$31+BC819*تنظیمات!$B$32+BD819*تنظیمات!$B$33+BE819*تنظیمات!$B$34+BF819*تنظیمات!$B$35+BG819*تنظیمات!$B$36)</f>
        <v>0</v>
      </c>
      <c r="BI819" s="16" t="str">
        <f aca="false">IF(BH819&gt;=60,"بحرانی",IF(BH819&gt;=30,"مشکوک",IF(BH819&gt;0,"هشدار","عادی")))</f>
        <v>عادی</v>
      </c>
      <c r="BJ819" s="16" t="s">
        <v>338</v>
      </c>
    </row>
    <row r="820" customFormat="false" ht="15" hidden="false" customHeight="false" outlineLevel="0" collapsed="false">
      <c r="A820" s="16" t="s">
        <v>2817</v>
      </c>
      <c r="B820" s="16" t="s">
        <v>439</v>
      </c>
      <c r="C820" s="16"/>
      <c r="D820" s="16" t="s">
        <v>440</v>
      </c>
      <c r="E820" s="16" t="s">
        <v>345</v>
      </c>
      <c r="F820" s="16" t="s">
        <v>359</v>
      </c>
      <c r="G820" s="17" t="n">
        <v>46292.3903819445</v>
      </c>
      <c r="H820" s="17" t="n">
        <v>46292.7757986111</v>
      </c>
      <c r="I820" s="18" t="n">
        <f aca="false">IF(H820="",ROUND((تنظیمات!$B$7-G820)*1440,0),ROUND((H820-G820)*1440,0))</f>
        <v>555</v>
      </c>
      <c r="J820" s="16" t="s">
        <v>346</v>
      </c>
      <c r="K820" s="16" t="s">
        <v>410</v>
      </c>
      <c r="L820" s="19" t="n">
        <v>0.909</v>
      </c>
      <c r="M820" s="19" t="n">
        <v>0.947</v>
      </c>
      <c r="N820" s="16" t="s">
        <v>335</v>
      </c>
      <c r="O820" s="16" t="s">
        <v>401</v>
      </c>
      <c r="P820" s="16" t="s">
        <v>420</v>
      </c>
      <c r="Q820" s="20" t="n">
        <v>46292</v>
      </c>
      <c r="R820" s="16" t="s">
        <v>2818</v>
      </c>
      <c r="S820" s="16" t="s">
        <v>404</v>
      </c>
      <c r="T820" s="17"/>
      <c r="U820" s="21" t="n">
        <v>1</v>
      </c>
      <c r="V820" s="21" t="n">
        <v>1</v>
      </c>
      <c r="W820" s="22" t="n">
        <v>5.9</v>
      </c>
      <c r="X820" s="16" t="s">
        <v>335</v>
      </c>
      <c r="Y820" s="16" t="s">
        <v>338</v>
      </c>
      <c r="Z820" s="16" t="s">
        <v>443</v>
      </c>
      <c r="AA820" s="16"/>
      <c r="AB820" s="23"/>
      <c r="AC820" s="17"/>
      <c r="AD820" s="16" t="s">
        <v>444</v>
      </c>
      <c r="AE820" s="16"/>
      <c r="AF820" s="16" t="str">
        <f aca="false">IF(COUNTIF(لیست_سفید!$A$2:$A$21,B820)&gt;0,"بله","خیر")</f>
        <v>خیر</v>
      </c>
      <c r="AG820" s="24" t="n">
        <f aca="false">IF(H820="","",IF(AD820="فیش مفقودی",تنظیمات!$B$6,(INT(I820/1440)*تنظیمات!$B$5+IF(MOD(I820,1440)&lt;=تنظیمات!$B$2,0,MIN(تنظیمات!$B$5,تنظیمات!$B$3+MAX(0,ROUNDUP((MOD(I820,1440)-60)/60,0))*تنظیمات!$B$4)))*INDEX(تعرفه!$B$2:$B$7,MATCH(AD820,تعرفه!$A$2:$A$7,0))))</f>
        <v>0</v>
      </c>
      <c r="AH820" s="24" t="n">
        <v>0</v>
      </c>
      <c r="AI820" s="24" t="n">
        <f aca="false">IF(AG820="","",AH820-AG820)</f>
        <v>0</v>
      </c>
      <c r="AJ820" s="21" t="n">
        <v>0</v>
      </c>
      <c r="AK820" s="21" t="n">
        <v>27</v>
      </c>
      <c r="AL820" s="16" t="s">
        <v>335</v>
      </c>
      <c r="AM820" s="16"/>
      <c r="AN820" s="16" t="s">
        <v>340</v>
      </c>
      <c r="AO820" s="16" t="s">
        <v>340</v>
      </c>
      <c r="AP820" s="16" t="s">
        <v>335</v>
      </c>
      <c r="AQ820" s="16"/>
      <c r="AR820" s="21" t="n">
        <f aca="false">IF(AND(T820&lt;&gt;"",H820&lt;&gt;""),IF(AND((T820-H820)*86400&gt;=0,(T820-H820)*86400&lt;تنظیمات!$B$13),1,0),0)</f>
        <v>0</v>
      </c>
      <c r="AS820" s="21" t="n">
        <f aca="false">IF(Z820="پوز",IF(OR(AB820="",COUNTIF(پوزها!$A$2:$A$5,AA820)=0),1,0),0)</f>
        <v>0</v>
      </c>
      <c r="AT820" s="21" t="n">
        <f aca="false">IF(AI820="",0,IF(AI820&gt;0,1,0))</f>
        <v>0</v>
      </c>
      <c r="AU820" s="21" t="n">
        <f aca="false">IF(AI820="",0,IF(AI820&lt;0,1,0))</f>
        <v>0</v>
      </c>
      <c r="AV820" s="21" t="n">
        <f aca="false">IF(U820&gt;V820,1,0)</f>
        <v>0</v>
      </c>
      <c r="AW820" s="21" t="n">
        <f aca="false">IF(OR(W820&gt;تنظیمات!$B$8,X820="بله"),1,0)</f>
        <v>0</v>
      </c>
      <c r="AX820" s="21" t="n">
        <f aca="false">IF(AND(N820="بله",L820&gt;تنظیمات!$B$9),1,0)</f>
        <v>0</v>
      </c>
      <c r="AY820" s="21" t="n">
        <f aca="false">IF(Y820="معکوس",1,0)</f>
        <v>0</v>
      </c>
      <c r="AZ820" s="21" t="n">
        <f aca="false">IF(ABS(AJ820)&gt;تنظیمات!$B$10,1,0)</f>
        <v>0</v>
      </c>
      <c r="BA820" s="21" t="n">
        <f aca="false">IF(AND(OR(AD820="رایگان/VIP",AD820="جانباز"),AF820="خیر"),1,0)</f>
        <v>0</v>
      </c>
      <c r="BB820" s="21" t="n">
        <f aca="false">IF(AE820="",0,IF(COUNTIF($AE$2:$AE$1001,AE820)&gt;1,1,0))</f>
        <v>0</v>
      </c>
      <c r="BC820" s="21" t="n">
        <f aca="false">IF(AND(H820="",I820&gt;تنظیمات!$B$12*60,AM820="خالی"),1,0)</f>
        <v>0</v>
      </c>
      <c r="BD820" s="21" t="n">
        <f aca="false">IF(AND(AP820="بله",I820&lt;تنظیمات!$B$14,AO820="خیر"),1,0)</f>
        <v>0</v>
      </c>
      <c r="BE820" s="21" t="n">
        <f aca="false">IF(AN820="خیر",1,0)</f>
        <v>0</v>
      </c>
      <c r="BF820" s="21" t="n">
        <f aca="false">IF(AND(AD820="فیش مفقودی",AQ820="بله",I820&gt;تنظیمات!$B$12*60),1,0)</f>
        <v>0</v>
      </c>
      <c r="BG820" s="21" t="n">
        <f aca="false">IF(AND(AK820&gt;تنظیمات!$B$11,AL820="بله"),1,0)</f>
        <v>0</v>
      </c>
      <c r="BH820" s="21" t="n">
        <f aca="false">MIN(100,AR820*تنظیمات!$B$21+AS820*تنظیمات!$B$22+AT820*تنظیمات!$B$23+AU820*تنظیمات!$B$24+AV820*تنظیمات!$B$25+AW820*تنظیمات!$B$26+AX820*تنظیمات!$B$27+AY820*تنظیمات!$B$28+AZ820*تنظیمات!$B$29+BA820*تنظیمات!$B$30+BB820*تنظیمات!$B$31+BC820*تنظیمات!$B$32+BD820*تنظیمات!$B$33+BE820*تنظیمات!$B$34+BF820*تنظیمات!$B$35+BG820*تنظیمات!$B$36)</f>
        <v>0</v>
      </c>
      <c r="BI820" s="16" t="str">
        <f aca="false">IF(BH820&gt;=60,"بحرانی",IF(BH820&gt;=30,"مشکوک",IF(BH820&gt;0,"هشدار","عادی")))</f>
        <v>عادی</v>
      </c>
      <c r="BJ820" s="16" t="s">
        <v>338</v>
      </c>
    </row>
    <row r="821" customFormat="false" ht="15" hidden="false" customHeight="false" outlineLevel="0" collapsed="false">
      <c r="A821" s="16" t="s">
        <v>2819</v>
      </c>
      <c r="B821" s="16" t="s">
        <v>672</v>
      </c>
      <c r="C821" s="16"/>
      <c r="D821" s="16" t="s">
        <v>418</v>
      </c>
      <c r="E821" s="16" t="s">
        <v>345</v>
      </c>
      <c r="F821" s="16" t="s">
        <v>333</v>
      </c>
      <c r="G821" s="17" t="n">
        <v>46292.4029166667</v>
      </c>
      <c r="H821" s="17" t="n">
        <v>46292.5022222222</v>
      </c>
      <c r="I821" s="18" t="n">
        <f aca="false">IF(H821="",ROUND((تنظیمات!$B$7-G821)*1440,0),ROUND((H821-G821)*1440,0))</f>
        <v>143</v>
      </c>
      <c r="J821" s="16" t="s">
        <v>334</v>
      </c>
      <c r="K821" s="16" t="s">
        <v>400</v>
      </c>
      <c r="L821" s="19" t="n">
        <v>0.924</v>
      </c>
      <c r="M821" s="19" t="n">
        <v>0.916</v>
      </c>
      <c r="N821" s="16" t="s">
        <v>335</v>
      </c>
      <c r="O821" s="16" t="s">
        <v>425</v>
      </c>
      <c r="P821" s="16" t="s">
        <v>402</v>
      </c>
      <c r="Q821" s="20" t="n">
        <v>46292</v>
      </c>
      <c r="R821" s="16" t="s">
        <v>2820</v>
      </c>
      <c r="S821" s="16" t="s">
        <v>404</v>
      </c>
      <c r="T821" s="17"/>
      <c r="U821" s="21" t="n">
        <v>1</v>
      </c>
      <c r="V821" s="21" t="n">
        <v>1</v>
      </c>
      <c r="W821" s="22" t="n">
        <v>4.8</v>
      </c>
      <c r="X821" s="16" t="s">
        <v>335</v>
      </c>
      <c r="Y821" s="16" t="s">
        <v>338</v>
      </c>
      <c r="Z821" s="16" t="s">
        <v>413</v>
      </c>
      <c r="AA821" s="16" t="s">
        <v>427</v>
      </c>
      <c r="AB821" s="23" t="s">
        <v>2821</v>
      </c>
      <c r="AC821" s="17" t="n">
        <v>46292.5012962963</v>
      </c>
      <c r="AD821" s="16" t="s">
        <v>338</v>
      </c>
      <c r="AE821" s="16"/>
      <c r="AF821" s="16" t="str">
        <f aca="false">IF(COUNTIF(لیست_سفید!$A$2:$A$21,B821)&gt;0,"بله","خیر")</f>
        <v>خیر</v>
      </c>
      <c r="AG821" s="24" t="n">
        <f aca="false">IF(H821="","",IF(AD821="فیش مفقودی",تنظیمات!$B$6,(INT(I821/1440)*تنظیمات!$B$5+IF(MOD(I821,1440)&lt;=تنظیمات!$B$2,0,MIN(تنظیمات!$B$5,تنظیمات!$B$3+MAX(0,ROUNDUP((MOD(I821,1440)-60)/60,0))*تنظیمات!$B$4)))*INDEX(تعرفه!$B$2:$B$7,MATCH(AD821,تعرفه!$A$2:$A$7,0))))</f>
        <v>48000</v>
      </c>
      <c r="AH821" s="24" t="n">
        <v>48000</v>
      </c>
      <c r="AI821" s="24" t="n">
        <f aca="false">IF(AG821="","",AH821-AG821)</f>
        <v>0</v>
      </c>
      <c r="AJ821" s="21" t="n">
        <v>-2</v>
      </c>
      <c r="AK821" s="21" t="n">
        <v>23</v>
      </c>
      <c r="AL821" s="16" t="s">
        <v>335</v>
      </c>
      <c r="AM821" s="16"/>
      <c r="AN821" s="16" t="s">
        <v>340</v>
      </c>
      <c r="AO821" s="16" t="s">
        <v>340</v>
      </c>
      <c r="AP821" s="16" t="s">
        <v>335</v>
      </c>
      <c r="AQ821" s="16"/>
      <c r="AR821" s="21" t="n">
        <f aca="false">IF(AND(T821&lt;&gt;"",H821&lt;&gt;""),IF(AND((T821-H821)*86400&gt;=0,(T821-H821)*86400&lt;تنظیمات!$B$13),1,0),0)</f>
        <v>0</v>
      </c>
      <c r="AS821" s="21" t="n">
        <f aca="false">IF(Z821="پوز",IF(OR(AB821="",COUNTIF(پوزها!$A$2:$A$5,AA821)=0),1,0),0)</f>
        <v>0</v>
      </c>
      <c r="AT821" s="21" t="n">
        <f aca="false">IF(AI821="",0,IF(AI821&gt;0,1,0))</f>
        <v>0</v>
      </c>
      <c r="AU821" s="21" t="n">
        <f aca="false">IF(AI821="",0,IF(AI821&lt;0,1,0))</f>
        <v>0</v>
      </c>
      <c r="AV821" s="21" t="n">
        <f aca="false">IF(U821&gt;V821,1,0)</f>
        <v>0</v>
      </c>
      <c r="AW821" s="21" t="n">
        <f aca="false">IF(OR(W821&gt;تنظیمات!$B$8,X821="بله"),1,0)</f>
        <v>0</v>
      </c>
      <c r="AX821" s="21" t="n">
        <f aca="false">IF(AND(N821="بله",L821&gt;تنظیمات!$B$9),1,0)</f>
        <v>0</v>
      </c>
      <c r="AY821" s="21" t="n">
        <f aca="false">IF(Y821="معکوس",1,0)</f>
        <v>0</v>
      </c>
      <c r="AZ821" s="21" t="n">
        <f aca="false">IF(ABS(AJ821)&gt;تنظیمات!$B$10,1,0)</f>
        <v>0</v>
      </c>
      <c r="BA821" s="21" t="n">
        <f aca="false">IF(AND(OR(AD821="رایگان/VIP",AD821="جانباز"),AF821="خیر"),1,0)</f>
        <v>0</v>
      </c>
      <c r="BB821" s="21" t="n">
        <f aca="false">IF(AE821="",0,IF(COUNTIF($AE$2:$AE$1001,AE821)&gt;1,1,0))</f>
        <v>0</v>
      </c>
      <c r="BC821" s="21" t="n">
        <f aca="false">IF(AND(H821="",I821&gt;تنظیمات!$B$12*60,AM821="خالی"),1,0)</f>
        <v>0</v>
      </c>
      <c r="BD821" s="21" t="n">
        <f aca="false">IF(AND(AP821="بله",I821&lt;تنظیمات!$B$14,AO821="خیر"),1,0)</f>
        <v>0</v>
      </c>
      <c r="BE821" s="21" t="n">
        <f aca="false">IF(AN821="خیر",1,0)</f>
        <v>0</v>
      </c>
      <c r="BF821" s="21" t="n">
        <f aca="false">IF(AND(AD821="فیش مفقودی",AQ821="بله",I821&gt;تنظیمات!$B$12*60),1,0)</f>
        <v>0</v>
      </c>
      <c r="BG821" s="21" t="n">
        <f aca="false">IF(AND(AK821&gt;تنظیمات!$B$11,AL821="بله"),1,0)</f>
        <v>0</v>
      </c>
      <c r="BH821" s="21" t="n">
        <f aca="false">MIN(100,AR821*تنظیمات!$B$21+AS821*تنظیمات!$B$22+AT821*تنظیمات!$B$23+AU821*تنظیمات!$B$24+AV821*تنظیمات!$B$25+AW821*تنظیمات!$B$26+AX821*تنظیمات!$B$27+AY821*تنظیمات!$B$28+AZ821*تنظیمات!$B$29+BA821*تنظیمات!$B$30+BB821*تنظیمات!$B$31+BC821*تنظیمات!$B$32+BD821*تنظیمات!$B$33+BE821*تنظیمات!$B$34+BF821*تنظیمات!$B$35+BG821*تنظیمات!$B$36)</f>
        <v>0</v>
      </c>
      <c r="BI821" s="16" t="str">
        <f aca="false">IF(BH821&gt;=60,"بحرانی",IF(BH821&gt;=30,"مشکوک",IF(BH821&gt;0,"هشدار","عادی")))</f>
        <v>عادی</v>
      </c>
      <c r="BJ821" s="16" t="s">
        <v>338</v>
      </c>
    </row>
    <row r="822" customFormat="false" ht="15" hidden="false" customHeight="false" outlineLevel="0" collapsed="false">
      <c r="A822" s="16" t="s">
        <v>2822</v>
      </c>
      <c r="B822" s="16" t="s">
        <v>634</v>
      </c>
      <c r="C822" s="16"/>
      <c r="D822" s="16" t="s">
        <v>523</v>
      </c>
      <c r="E822" s="16" t="s">
        <v>363</v>
      </c>
      <c r="F822" s="16" t="s">
        <v>333</v>
      </c>
      <c r="G822" s="17" t="n">
        <v>46292.4049074074</v>
      </c>
      <c r="H822" s="17" t="n">
        <v>46292.4722685185</v>
      </c>
      <c r="I822" s="18" t="n">
        <f aca="false">IF(H822="",ROUND((تنظیمات!$B$7-G822)*1440,0),ROUND((H822-G822)*1440,0))</f>
        <v>97</v>
      </c>
      <c r="J822" s="16" t="s">
        <v>346</v>
      </c>
      <c r="K822" s="16" t="s">
        <v>400</v>
      </c>
      <c r="L822" s="19" t="n">
        <v>0.928</v>
      </c>
      <c r="M822" s="19" t="n">
        <v>0.979</v>
      </c>
      <c r="N822" s="16" t="s">
        <v>335</v>
      </c>
      <c r="O822" s="16" t="s">
        <v>425</v>
      </c>
      <c r="P822" s="16" t="s">
        <v>402</v>
      </c>
      <c r="Q822" s="20" t="n">
        <v>46292</v>
      </c>
      <c r="R822" s="16" t="s">
        <v>2823</v>
      </c>
      <c r="S822" s="16" t="s">
        <v>404</v>
      </c>
      <c r="T822" s="17"/>
      <c r="U822" s="21" t="n">
        <v>1</v>
      </c>
      <c r="V822" s="21" t="n">
        <v>1</v>
      </c>
      <c r="W822" s="22" t="n">
        <v>5.9</v>
      </c>
      <c r="X822" s="16" t="s">
        <v>335</v>
      </c>
      <c r="Y822" s="16" t="s">
        <v>338</v>
      </c>
      <c r="Z822" s="16" t="s">
        <v>413</v>
      </c>
      <c r="AA822" s="16" t="s">
        <v>427</v>
      </c>
      <c r="AB822" s="23" t="s">
        <v>2824</v>
      </c>
      <c r="AC822" s="17" t="n">
        <v>46292.471875</v>
      </c>
      <c r="AD822" s="16" t="s">
        <v>338</v>
      </c>
      <c r="AE822" s="16"/>
      <c r="AF822" s="16" t="str">
        <f aca="false">IF(COUNTIF(لیست_سفید!$A$2:$A$21,B822)&gt;0,"بله","خیر")</f>
        <v>خیر</v>
      </c>
      <c r="AG822" s="24" t="n">
        <f aca="false">IF(H822="","",IF(AD822="فیش مفقودی",تنظیمات!$B$6,(INT(I822/1440)*تنظیمات!$B$5+IF(MOD(I822,1440)&lt;=تنظیمات!$B$2,0,MIN(تنظیمات!$B$5,تنظیمات!$B$3+MAX(0,ROUNDUP((MOD(I822,1440)-60)/60,0))*تنظیمات!$B$4)))*INDEX(تعرفه!$B$2:$B$7,MATCH(AD822,تعرفه!$A$2:$A$7,0))))</f>
        <v>34000</v>
      </c>
      <c r="AH822" s="24" t="n">
        <v>34000</v>
      </c>
      <c r="AI822" s="24" t="n">
        <f aca="false">IF(AG822="","",AH822-AG822)</f>
        <v>0</v>
      </c>
      <c r="AJ822" s="21" t="n">
        <v>-4</v>
      </c>
      <c r="AK822" s="21" t="n">
        <v>15</v>
      </c>
      <c r="AL822" s="16" t="s">
        <v>335</v>
      </c>
      <c r="AM822" s="16"/>
      <c r="AN822" s="16" t="s">
        <v>340</v>
      </c>
      <c r="AO822" s="16" t="s">
        <v>340</v>
      </c>
      <c r="AP822" s="16" t="s">
        <v>335</v>
      </c>
      <c r="AQ822" s="16"/>
      <c r="AR822" s="21" t="n">
        <f aca="false">IF(AND(T822&lt;&gt;"",H822&lt;&gt;""),IF(AND((T822-H822)*86400&gt;=0,(T822-H822)*86400&lt;تنظیمات!$B$13),1,0),0)</f>
        <v>0</v>
      </c>
      <c r="AS822" s="21" t="n">
        <f aca="false">IF(Z822="پوز",IF(OR(AB822="",COUNTIF(پوزها!$A$2:$A$5,AA822)=0),1,0),0)</f>
        <v>0</v>
      </c>
      <c r="AT822" s="21" t="n">
        <f aca="false">IF(AI822="",0,IF(AI822&gt;0,1,0))</f>
        <v>0</v>
      </c>
      <c r="AU822" s="21" t="n">
        <f aca="false">IF(AI822="",0,IF(AI822&lt;0,1,0))</f>
        <v>0</v>
      </c>
      <c r="AV822" s="21" t="n">
        <f aca="false">IF(U822&gt;V822,1,0)</f>
        <v>0</v>
      </c>
      <c r="AW822" s="21" t="n">
        <f aca="false">IF(OR(W822&gt;تنظیمات!$B$8,X822="بله"),1,0)</f>
        <v>0</v>
      </c>
      <c r="AX822" s="21" t="n">
        <f aca="false">IF(AND(N822="بله",L822&gt;تنظیمات!$B$9),1,0)</f>
        <v>0</v>
      </c>
      <c r="AY822" s="21" t="n">
        <f aca="false">IF(Y822="معکوس",1,0)</f>
        <v>0</v>
      </c>
      <c r="AZ822" s="21" t="n">
        <f aca="false">IF(ABS(AJ822)&gt;تنظیمات!$B$10,1,0)</f>
        <v>0</v>
      </c>
      <c r="BA822" s="21" t="n">
        <f aca="false">IF(AND(OR(AD822="رایگان/VIP",AD822="جانباز"),AF822="خیر"),1,0)</f>
        <v>0</v>
      </c>
      <c r="BB822" s="21" t="n">
        <f aca="false">IF(AE822="",0,IF(COUNTIF($AE$2:$AE$1001,AE822)&gt;1,1,0))</f>
        <v>0</v>
      </c>
      <c r="BC822" s="21" t="n">
        <f aca="false">IF(AND(H822="",I822&gt;تنظیمات!$B$12*60,AM822="خالی"),1,0)</f>
        <v>0</v>
      </c>
      <c r="BD822" s="21" t="n">
        <f aca="false">IF(AND(AP822="بله",I822&lt;تنظیمات!$B$14,AO822="خیر"),1,0)</f>
        <v>0</v>
      </c>
      <c r="BE822" s="21" t="n">
        <f aca="false">IF(AN822="خیر",1,0)</f>
        <v>0</v>
      </c>
      <c r="BF822" s="21" t="n">
        <f aca="false">IF(AND(AD822="فیش مفقودی",AQ822="بله",I822&gt;تنظیمات!$B$12*60),1,0)</f>
        <v>0</v>
      </c>
      <c r="BG822" s="21" t="n">
        <f aca="false">IF(AND(AK822&gt;تنظیمات!$B$11,AL822="بله"),1,0)</f>
        <v>0</v>
      </c>
      <c r="BH822" s="21" t="n">
        <f aca="false">MIN(100,AR822*تنظیمات!$B$21+AS822*تنظیمات!$B$22+AT822*تنظیمات!$B$23+AU822*تنظیمات!$B$24+AV822*تنظیمات!$B$25+AW822*تنظیمات!$B$26+AX822*تنظیمات!$B$27+AY822*تنظیمات!$B$28+AZ822*تنظیمات!$B$29+BA822*تنظیمات!$B$30+BB822*تنظیمات!$B$31+BC822*تنظیمات!$B$32+BD822*تنظیمات!$B$33+BE822*تنظیمات!$B$34+BF822*تنظیمات!$B$35+BG822*تنظیمات!$B$36)</f>
        <v>0</v>
      </c>
      <c r="BI822" s="16" t="str">
        <f aca="false">IF(BH822&gt;=60,"بحرانی",IF(BH822&gt;=30,"مشکوک",IF(BH822&gt;0,"هشدار","عادی")))</f>
        <v>عادی</v>
      </c>
      <c r="BJ822" s="16" t="s">
        <v>338</v>
      </c>
    </row>
    <row r="823" customFormat="false" ht="15" hidden="false" customHeight="false" outlineLevel="0" collapsed="false">
      <c r="A823" s="16" t="s">
        <v>2825</v>
      </c>
      <c r="B823" s="16" t="s">
        <v>362</v>
      </c>
      <c r="C823" s="16"/>
      <c r="D823" s="16" t="s">
        <v>331</v>
      </c>
      <c r="E823" s="16" t="s">
        <v>363</v>
      </c>
      <c r="F823" s="16" t="s">
        <v>333</v>
      </c>
      <c r="G823" s="17" t="n">
        <v>46292.431875</v>
      </c>
      <c r="H823" s="17" t="n">
        <v>46292.4679861111</v>
      </c>
      <c r="I823" s="18" t="n">
        <f aca="false">IF(H823="",ROUND((تنظیمات!$B$7-G823)*1440,0),ROUND((H823-G823)*1440,0))</f>
        <v>52</v>
      </c>
      <c r="J823" s="16" t="s">
        <v>346</v>
      </c>
      <c r="K823" s="16" t="s">
        <v>400</v>
      </c>
      <c r="L823" s="19" t="n">
        <v>0.9</v>
      </c>
      <c r="M823" s="19" t="n">
        <v>0.995</v>
      </c>
      <c r="N823" s="16" t="s">
        <v>335</v>
      </c>
      <c r="O823" s="16" t="s">
        <v>425</v>
      </c>
      <c r="P823" s="16" t="s">
        <v>402</v>
      </c>
      <c r="Q823" s="20" t="n">
        <v>46292</v>
      </c>
      <c r="R823" s="16" t="s">
        <v>2826</v>
      </c>
      <c r="S823" s="16" t="s">
        <v>404</v>
      </c>
      <c r="T823" s="17"/>
      <c r="U823" s="21" t="n">
        <v>1</v>
      </c>
      <c r="V823" s="21" t="n">
        <v>1</v>
      </c>
      <c r="W823" s="22" t="n">
        <v>4.5</v>
      </c>
      <c r="X823" s="16" t="s">
        <v>335</v>
      </c>
      <c r="Y823" s="16" t="s">
        <v>338</v>
      </c>
      <c r="Z823" s="16" t="s">
        <v>413</v>
      </c>
      <c r="AA823" s="16" t="s">
        <v>427</v>
      </c>
      <c r="AB823" s="23" t="s">
        <v>2827</v>
      </c>
      <c r="AC823" s="17" t="n">
        <v>46292.4676851852</v>
      </c>
      <c r="AD823" s="16" t="s">
        <v>338</v>
      </c>
      <c r="AE823" s="16"/>
      <c r="AF823" s="16" t="str">
        <f aca="false">IF(COUNTIF(لیست_سفید!$A$2:$A$21,B823)&gt;0,"بله","خیر")</f>
        <v>خیر</v>
      </c>
      <c r="AG823" s="24" t="n">
        <f aca="false">IF(H823="","",IF(AD823="فیش مفقودی",تنظیمات!$B$6,(INT(I823/1440)*تنظیمات!$B$5+IF(MOD(I823,1440)&lt;=تنظیمات!$B$2,0,MIN(تنظیمات!$B$5,تنظیمات!$B$3+MAX(0,ROUNDUP((MOD(I823,1440)-60)/60,0))*تنظیمات!$B$4)))*INDEX(تعرفه!$B$2:$B$7,MATCH(AD823,تعرفه!$A$2:$A$7,0))))</f>
        <v>20000</v>
      </c>
      <c r="AH823" s="24" t="n">
        <v>20000</v>
      </c>
      <c r="AI823" s="24" t="n">
        <f aca="false">IF(AG823="","",AH823-AG823)</f>
        <v>0</v>
      </c>
      <c r="AJ823" s="21" t="n">
        <v>-3</v>
      </c>
      <c r="AK823" s="21" t="n">
        <v>0</v>
      </c>
      <c r="AL823" s="16" t="s">
        <v>335</v>
      </c>
      <c r="AM823" s="16"/>
      <c r="AN823" s="16" t="s">
        <v>340</v>
      </c>
      <c r="AO823" s="16" t="s">
        <v>340</v>
      </c>
      <c r="AP823" s="16" t="s">
        <v>335</v>
      </c>
      <c r="AQ823" s="16"/>
      <c r="AR823" s="21" t="n">
        <f aca="false">IF(AND(T823&lt;&gt;"",H823&lt;&gt;""),IF(AND((T823-H823)*86400&gt;=0,(T823-H823)*86400&lt;تنظیمات!$B$13),1,0),0)</f>
        <v>0</v>
      </c>
      <c r="AS823" s="21" t="n">
        <f aca="false">IF(Z823="پوز",IF(OR(AB823="",COUNTIF(پوزها!$A$2:$A$5,AA823)=0),1,0),0)</f>
        <v>0</v>
      </c>
      <c r="AT823" s="21" t="n">
        <f aca="false">IF(AI823="",0,IF(AI823&gt;0,1,0))</f>
        <v>0</v>
      </c>
      <c r="AU823" s="21" t="n">
        <f aca="false">IF(AI823="",0,IF(AI823&lt;0,1,0))</f>
        <v>0</v>
      </c>
      <c r="AV823" s="21" t="n">
        <f aca="false">IF(U823&gt;V823,1,0)</f>
        <v>0</v>
      </c>
      <c r="AW823" s="21" t="n">
        <f aca="false">IF(OR(W823&gt;تنظیمات!$B$8,X823="بله"),1,0)</f>
        <v>0</v>
      </c>
      <c r="AX823" s="21" t="n">
        <f aca="false">IF(AND(N823="بله",L823&gt;تنظیمات!$B$9),1,0)</f>
        <v>0</v>
      </c>
      <c r="AY823" s="21" t="n">
        <f aca="false">IF(Y823="معکوس",1,0)</f>
        <v>0</v>
      </c>
      <c r="AZ823" s="21" t="n">
        <f aca="false">IF(ABS(AJ823)&gt;تنظیمات!$B$10,1,0)</f>
        <v>0</v>
      </c>
      <c r="BA823" s="21" t="n">
        <f aca="false">IF(AND(OR(AD823="رایگان/VIP",AD823="جانباز"),AF823="خیر"),1,0)</f>
        <v>0</v>
      </c>
      <c r="BB823" s="21" t="n">
        <f aca="false">IF(AE823="",0,IF(COUNTIF($AE$2:$AE$1001,AE823)&gt;1,1,0))</f>
        <v>0</v>
      </c>
      <c r="BC823" s="21" t="n">
        <f aca="false">IF(AND(H823="",I823&gt;تنظیمات!$B$12*60,AM823="خالی"),1,0)</f>
        <v>0</v>
      </c>
      <c r="BD823" s="21" t="n">
        <f aca="false">IF(AND(AP823="بله",I823&lt;تنظیمات!$B$14,AO823="خیر"),1,0)</f>
        <v>0</v>
      </c>
      <c r="BE823" s="21" t="n">
        <f aca="false">IF(AN823="خیر",1,0)</f>
        <v>0</v>
      </c>
      <c r="BF823" s="21" t="n">
        <f aca="false">IF(AND(AD823="فیش مفقودی",AQ823="بله",I823&gt;تنظیمات!$B$12*60),1,0)</f>
        <v>0</v>
      </c>
      <c r="BG823" s="21" t="n">
        <f aca="false">IF(AND(AK823&gt;تنظیمات!$B$11,AL823="بله"),1,0)</f>
        <v>0</v>
      </c>
      <c r="BH823" s="21" t="n">
        <f aca="false">MIN(100,AR823*تنظیمات!$B$21+AS823*تنظیمات!$B$22+AT823*تنظیمات!$B$23+AU823*تنظیمات!$B$24+AV823*تنظیمات!$B$25+AW823*تنظیمات!$B$26+AX823*تنظیمات!$B$27+AY823*تنظیمات!$B$28+AZ823*تنظیمات!$B$29+BA823*تنظیمات!$B$30+BB823*تنظیمات!$B$31+BC823*تنظیمات!$B$32+BD823*تنظیمات!$B$33+BE823*تنظیمات!$B$34+BF823*تنظیمات!$B$35+BG823*تنظیمات!$B$36)</f>
        <v>0</v>
      </c>
      <c r="BI823" s="16" t="str">
        <f aca="false">IF(BH823&gt;=60,"بحرانی",IF(BH823&gt;=30,"مشکوک",IF(BH823&gt;0,"هشدار","عادی")))</f>
        <v>عادی</v>
      </c>
      <c r="BJ823" s="16" t="s">
        <v>338</v>
      </c>
    </row>
    <row r="824" customFormat="false" ht="15" hidden="false" customHeight="false" outlineLevel="0" collapsed="false">
      <c r="A824" s="16" t="s">
        <v>2828</v>
      </c>
      <c r="B824" s="16" t="s">
        <v>2829</v>
      </c>
      <c r="C824" s="16"/>
      <c r="D824" s="16" t="s">
        <v>382</v>
      </c>
      <c r="E824" s="16" t="s">
        <v>363</v>
      </c>
      <c r="F824" s="16" t="s">
        <v>333</v>
      </c>
      <c r="G824" s="17" t="n">
        <v>46292.4349652778</v>
      </c>
      <c r="H824" s="17" t="n">
        <v>46292.4842708333</v>
      </c>
      <c r="I824" s="18" t="n">
        <f aca="false">IF(H824="",ROUND((تنظیمات!$B$7-G824)*1440,0),ROUND((H824-G824)*1440,0))</f>
        <v>71</v>
      </c>
      <c r="J824" s="16" t="s">
        <v>346</v>
      </c>
      <c r="K824" s="16" t="s">
        <v>410</v>
      </c>
      <c r="L824" s="19" t="n">
        <v>0.925</v>
      </c>
      <c r="M824" s="19" t="n">
        <v>0.935</v>
      </c>
      <c r="N824" s="16" t="s">
        <v>335</v>
      </c>
      <c r="O824" s="16" t="s">
        <v>441</v>
      </c>
      <c r="P824" s="16" t="s">
        <v>402</v>
      </c>
      <c r="Q824" s="20" t="n">
        <v>46292</v>
      </c>
      <c r="R824" s="16" t="s">
        <v>2830</v>
      </c>
      <c r="S824" s="16" t="s">
        <v>404</v>
      </c>
      <c r="T824" s="17"/>
      <c r="U824" s="21" t="n">
        <v>1</v>
      </c>
      <c r="V824" s="21" t="n">
        <v>1</v>
      </c>
      <c r="W824" s="22" t="n">
        <v>4.6</v>
      </c>
      <c r="X824" s="16" t="s">
        <v>335</v>
      </c>
      <c r="Y824" s="16" t="s">
        <v>338</v>
      </c>
      <c r="Z824" s="16" t="s">
        <v>413</v>
      </c>
      <c r="AA824" s="16" t="s">
        <v>414</v>
      </c>
      <c r="AB824" s="23" t="s">
        <v>2831</v>
      </c>
      <c r="AC824" s="17" t="n">
        <v>46292.4836342593</v>
      </c>
      <c r="AD824" s="16" t="s">
        <v>338</v>
      </c>
      <c r="AE824" s="16"/>
      <c r="AF824" s="16" t="str">
        <f aca="false">IF(COUNTIF(لیست_سفید!$A$2:$A$21,B824)&gt;0,"بله","خیر")</f>
        <v>خیر</v>
      </c>
      <c r="AG824" s="24" t="n">
        <f aca="false">IF(H824="","",IF(AD824="فیش مفقودی",تنظیمات!$B$6,(INT(I824/1440)*تنظیمات!$B$5+IF(MOD(I824,1440)&lt;=تنظیمات!$B$2,0,MIN(تنظیمات!$B$5,تنظیمات!$B$3+MAX(0,ROUNDUP((MOD(I824,1440)-60)/60,0))*تنظیمات!$B$4)))*INDEX(تعرفه!$B$2:$B$7,MATCH(AD824,تعرفه!$A$2:$A$7,0))))</f>
        <v>34000</v>
      </c>
      <c r="AH824" s="24" t="n">
        <v>34000</v>
      </c>
      <c r="AI824" s="24" t="n">
        <f aca="false">IF(AG824="","",AH824-AG824)</f>
        <v>0</v>
      </c>
      <c r="AJ824" s="21" t="n">
        <v>-2</v>
      </c>
      <c r="AK824" s="21" t="n">
        <v>0</v>
      </c>
      <c r="AL824" s="16" t="s">
        <v>335</v>
      </c>
      <c r="AM824" s="16"/>
      <c r="AN824" s="16" t="s">
        <v>340</v>
      </c>
      <c r="AO824" s="16" t="s">
        <v>340</v>
      </c>
      <c r="AP824" s="16" t="s">
        <v>335</v>
      </c>
      <c r="AQ824" s="16"/>
      <c r="AR824" s="21" t="n">
        <f aca="false">IF(AND(T824&lt;&gt;"",H824&lt;&gt;""),IF(AND((T824-H824)*86400&gt;=0,(T824-H824)*86400&lt;تنظیمات!$B$13),1,0),0)</f>
        <v>0</v>
      </c>
      <c r="AS824" s="21" t="n">
        <f aca="false">IF(Z824="پوز",IF(OR(AB824="",COUNTIF(پوزها!$A$2:$A$5,AA824)=0),1,0),0)</f>
        <v>0</v>
      </c>
      <c r="AT824" s="21" t="n">
        <f aca="false">IF(AI824="",0,IF(AI824&gt;0,1,0))</f>
        <v>0</v>
      </c>
      <c r="AU824" s="21" t="n">
        <f aca="false">IF(AI824="",0,IF(AI824&lt;0,1,0))</f>
        <v>0</v>
      </c>
      <c r="AV824" s="21" t="n">
        <f aca="false">IF(U824&gt;V824,1,0)</f>
        <v>0</v>
      </c>
      <c r="AW824" s="21" t="n">
        <f aca="false">IF(OR(W824&gt;تنظیمات!$B$8,X824="بله"),1,0)</f>
        <v>0</v>
      </c>
      <c r="AX824" s="21" t="n">
        <f aca="false">IF(AND(N824="بله",L824&gt;تنظیمات!$B$9),1,0)</f>
        <v>0</v>
      </c>
      <c r="AY824" s="21" t="n">
        <f aca="false">IF(Y824="معکوس",1,0)</f>
        <v>0</v>
      </c>
      <c r="AZ824" s="21" t="n">
        <f aca="false">IF(ABS(AJ824)&gt;تنظیمات!$B$10,1,0)</f>
        <v>0</v>
      </c>
      <c r="BA824" s="21" t="n">
        <f aca="false">IF(AND(OR(AD824="رایگان/VIP",AD824="جانباز"),AF824="خیر"),1,0)</f>
        <v>0</v>
      </c>
      <c r="BB824" s="21" t="n">
        <f aca="false">IF(AE824="",0,IF(COUNTIF($AE$2:$AE$1001,AE824)&gt;1,1,0))</f>
        <v>0</v>
      </c>
      <c r="BC824" s="21" t="n">
        <f aca="false">IF(AND(H824="",I824&gt;تنظیمات!$B$12*60,AM824="خالی"),1,0)</f>
        <v>0</v>
      </c>
      <c r="BD824" s="21" t="n">
        <f aca="false">IF(AND(AP824="بله",I824&lt;تنظیمات!$B$14,AO824="خیر"),1,0)</f>
        <v>0</v>
      </c>
      <c r="BE824" s="21" t="n">
        <f aca="false">IF(AN824="خیر",1,0)</f>
        <v>0</v>
      </c>
      <c r="BF824" s="21" t="n">
        <f aca="false">IF(AND(AD824="فیش مفقودی",AQ824="بله",I824&gt;تنظیمات!$B$12*60),1,0)</f>
        <v>0</v>
      </c>
      <c r="BG824" s="21" t="n">
        <f aca="false">IF(AND(AK824&gt;تنظیمات!$B$11,AL824="بله"),1,0)</f>
        <v>0</v>
      </c>
      <c r="BH824" s="21" t="n">
        <f aca="false">MIN(100,AR824*تنظیمات!$B$21+AS824*تنظیمات!$B$22+AT824*تنظیمات!$B$23+AU824*تنظیمات!$B$24+AV824*تنظیمات!$B$25+AW824*تنظیمات!$B$26+AX824*تنظیمات!$B$27+AY824*تنظیمات!$B$28+AZ824*تنظیمات!$B$29+BA824*تنظیمات!$B$30+BB824*تنظیمات!$B$31+BC824*تنظیمات!$B$32+BD824*تنظیمات!$B$33+BE824*تنظیمات!$B$34+BF824*تنظیمات!$B$35+BG824*تنظیمات!$B$36)</f>
        <v>0</v>
      </c>
      <c r="BI824" s="16" t="str">
        <f aca="false">IF(BH824&gt;=60,"بحرانی",IF(BH824&gt;=30,"مشکوک",IF(BH824&gt;0,"هشدار","عادی")))</f>
        <v>عادی</v>
      </c>
      <c r="BJ824" s="16" t="s">
        <v>338</v>
      </c>
    </row>
    <row r="825" customFormat="false" ht="15" hidden="false" customHeight="false" outlineLevel="0" collapsed="false">
      <c r="A825" s="16" t="s">
        <v>2832</v>
      </c>
      <c r="B825" s="16" t="s">
        <v>851</v>
      </c>
      <c r="C825" s="16"/>
      <c r="D825" s="16" t="s">
        <v>344</v>
      </c>
      <c r="E825" s="16" t="s">
        <v>363</v>
      </c>
      <c r="F825" s="16" t="s">
        <v>333</v>
      </c>
      <c r="G825" s="17" t="n">
        <v>46292.4383101852</v>
      </c>
      <c r="H825" s="17" t="n">
        <v>46292.5417824074</v>
      </c>
      <c r="I825" s="18" t="n">
        <f aca="false">IF(H825="",ROUND((تنظیمات!$B$7-G825)*1440,0),ROUND((H825-G825)*1440,0))</f>
        <v>149</v>
      </c>
      <c r="J825" s="16" t="s">
        <v>346</v>
      </c>
      <c r="K825" s="16" t="s">
        <v>400</v>
      </c>
      <c r="L825" s="19" t="n">
        <v>0.941</v>
      </c>
      <c r="M825" s="19" t="n">
        <v>0.905</v>
      </c>
      <c r="N825" s="16" t="s">
        <v>335</v>
      </c>
      <c r="O825" s="16" t="s">
        <v>425</v>
      </c>
      <c r="P825" s="16" t="s">
        <v>402</v>
      </c>
      <c r="Q825" s="20" t="n">
        <v>46292</v>
      </c>
      <c r="R825" s="16" t="s">
        <v>2833</v>
      </c>
      <c r="S825" s="16" t="s">
        <v>404</v>
      </c>
      <c r="T825" s="17"/>
      <c r="U825" s="21" t="n">
        <v>1</v>
      </c>
      <c r="V825" s="21" t="n">
        <v>1</v>
      </c>
      <c r="W825" s="22" t="n">
        <v>7</v>
      </c>
      <c r="X825" s="16" t="s">
        <v>335</v>
      </c>
      <c r="Y825" s="16" t="s">
        <v>338</v>
      </c>
      <c r="Z825" s="16" t="s">
        <v>413</v>
      </c>
      <c r="AA825" s="16" t="s">
        <v>427</v>
      </c>
      <c r="AB825" s="23" t="s">
        <v>2834</v>
      </c>
      <c r="AC825" s="17" t="n">
        <v>46292.5413078704</v>
      </c>
      <c r="AD825" s="16" t="s">
        <v>338</v>
      </c>
      <c r="AE825" s="16"/>
      <c r="AF825" s="16" t="str">
        <f aca="false">IF(COUNTIF(لیست_سفید!$A$2:$A$21,B825)&gt;0,"بله","خیر")</f>
        <v>خیر</v>
      </c>
      <c r="AG825" s="24" t="n">
        <f aca="false">IF(H825="","",IF(AD825="فیش مفقودی",تنظیمات!$B$6,(INT(I825/1440)*تنظیمات!$B$5+IF(MOD(I825,1440)&lt;=تنظیمات!$B$2,0,MIN(تنظیمات!$B$5,تنظیمات!$B$3+MAX(0,ROUNDUP((MOD(I825,1440)-60)/60,0))*تنظیمات!$B$4)))*INDEX(تعرفه!$B$2:$B$7,MATCH(AD825,تعرفه!$A$2:$A$7,0))))</f>
        <v>48000</v>
      </c>
      <c r="AH825" s="24" t="n">
        <v>48000</v>
      </c>
      <c r="AI825" s="24" t="n">
        <f aca="false">IF(AG825="","",AH825-AG825)</f>
        <v>0</v>
      </c>
      <c r="AJ825" s="21" t="n">
        <v>-1</v>
      </c>
      <c r="AK825" s="21" t="n">
        <v>0</v>
      </c>
      <c r="AL825" s="16" t="s">
        <v>335</v>
      </c>
      <c r="AM825" s="16"/>
      <c r="AN825" s="16" t="s">
        <v>340</v>
      </c>
      <c r="AO825" s="16" t="s">
        <v>340</v>
      </c>
      <c r="AP825" s="16" t="s">
        <v>335</v>
      </c>
      <c r="AQ825" s="16"/>
      <c r="AR825" s="21" t="n">
        <f aca="false">IF(AND(T825&lt;&gt;"",H825&lt;&gt;""),IF(AND((T825-H825)*86400&gt;=0,(T825-H825)*86400&lt;تنظیمات!$B$13),1,0),0)</f>
        <v>0</v>
      </c>
      <c r="AS825" s="21" t="n">
        <f aca="false">IF(Z825="پوز",IF(OR(AB825="",COUNTIF(پوزها!$A$2:$A$5,AA825)=0),1,0),0)</f>
        <v>0</v>
      </c>
      <c r="AT825" s="21" t="n">
        <f aca="false">IF(AI825="",0,IF(AI825&gt;0,1,0))</f>
        <v>0</v>
      </c>
      <c r="AU825" s="21" t="n">
        <f aca="false">IF(AI825="",0,IF(AI825&lt;0,1,0))</f>
        <v>0</v>
      </c>
      <c r="AV825" s="21" t="n">
        <f aca="false">IF(U825&gt;V825,1,0)</f>
        <v>0</v>
      </c>
      <c r="AW825" s="21" t="n">
        <f aca="false">IF(OR(W825&gt;تنظیمات!$B$8,X825="بله"),1,0)</f>
        <v>0</v>
      </c>
      <c r="AX825" s="21" t="n">
        <f aca="false">IF(AND(N825="بله",L825&gt;تنظیمات!$B$9),1,0)</f>
        <v>0</v>
      </c>
      <c r="AY825" s="21" t="n">
        <f aca="false">IF(Y825="معکوس",1,0)</f>
        <v>0</v>
      </c>
      <c r="AZ825" s="21" t="n">
        <f aca="false">IF(ABS(AJ825)&gt;تنظیمات!$B$10,1,0)</f>
        <v>0</v>
      </c>
      <c r="BA825" s="21" t="n">
        <f aca="false">IF(AND(OR(AD825="رایگان/VIP",AD825="جانباز"),AF825="خیر"),1,0)</f>
        <v>0</v>
      </c>
      <c r="BB825" s="21" t="n">
        <f aca="false">IF(AE825="",0,IF(COUNTIF($AE$2:$AE$1001,AE825)&gt;1,1,0))</f>
        <v>0</v>
      </c>
      <c r="BC825" s="21" t="n">
        <f aca="false">IF(AND(H825="",I825&gt;تنظیمات!$B$12*60,AM825="خالی"),1,0)</f>
        <v>0</v>
      </c>
      <c r="BD825" s="21" t="n">
        <f aca="false">IF(AND(AP825="بله",I825&lt;تنظیمات!$B$14,AO825="خیر"),1,0)</f>
        <v>0</v>
      </c>
      <c r="BE825" s="21" t="n">
        <f aca="false">IF(AN825="خیر",1,0)</f>
        <v>0</v>
      </c>
      <c r="BF825" s="21" t="n">
        <f aca="false">IF(AND(AD825="فیش مفقودی",AQ825="بله",I825&gt;تنظیمات!$B$12*60),1,0)</f>
        <v>0</v>
      </c>
      <c r="BG825" s="21" t="n">
        <f aca="false">IF(AND(AK825&gt;تنظیمات!$B$11,AL825="بله"),1,0)</f>
        <v>0</v>
      </c>
      <c r="BH825" s="21" t="n">
        <f aca="false">MIN(100,AR825*تنظیمات!$B$21+AS825*تنظیمات!$B$22+AT825*تنظیمات!$B$23+AU825*تنظیمات!$B$24+AV825*تنظیمات!$B$25+AW825*تنظیمات!$B$26+AX825*تنظیمات!$B$27+AY825*تنظیمات!$B$28+AZ825*تنظیمات!$B$29+BA825*تنظیمات!$B$30+BB825*تنظیمات!$B$31+BC825*تنظیمات!$B$32+BD825*تنظیمات!$B$33+BE825*تنظیمات!$B$34+BF825*تنظیمات!$B$35+BG825*تنظیمات!$B$36)</f>
        <v>0</v>
      </c>
      <c r="BI825" s="16" t="str">
        <f aca="false">IF(BH825&gt;=60,"بحرانی",IF(BH825&gt;=30,"مشکوک",IF(BH825&gt;0,"هشدار","عادی")))</f>
        <v>عادی</v>
      </c>
      <c r="BJ825" s="16" t="s">
        <v>338</v>
      </c>
    </row>
    <row r="826" customFormat="false" ht="15" hidden="false" customHeight="false" outlineLevel="0" collapsed="false">
      <c r="A826" s="16" t="s">
        <v>2835</v>
      </c>
      <c r="B826" s="16" t="s">
        <v>1717</v>
      </c>
      <c r="C826" s="16"/>
      <c r="D826" s="16" t="s">
        <v>382</v>
      </c>
      <c r="E826" s="16" t="s">
        <v>345</v>
      </c>
      <c r="F826" s="16" t="s">
        <v>333</v>
      </c>
      <c r="G826" s="17" t="n">
        <v>46292.462337963</v>
      </c>
      <c r="H826" s="17" t="n">
        <v>46292.5831712963</v>
      </c>
      <c r="I826" s="18" t="n">
        <f aca="false">IF(H826="",ROUND((تنظیمات!$B$7-G826)*1440,0),ROUND((H826-G826)*1440,0))</f>
        <v>174</v>
      </c>
      <c r="J826" s="16" t="s">
        <v>346</v>
      </c>
      <c r="K826" s="16" t="s">
        <v>410</v>
      </c>
      <c r="L826" s="19" t="n">
        <v>0.892</v>
      </c>
      <c r="M826" s="19" t="n">
        <v>0.965</v>
      </c>
      <c r="N826" s="16" t="s">
        <v>335</v>
      </c>
      <c r="O826" s="16" t="s">
        <v>441</v>
      </c>
      <c r="P826" s="16" t="s">
        <v>402</v>
      </c>
      <c r="Q826" s="20" t="n">
        <v>46292</v>
      </c>
      <c r="R826" s="16" t="s">
        <v>2836</v>
      </c>
      <c r="S826" s="16" t="s">
        <v>404</v>
      </c>
      <c r="T826" s="17"/>
      <c r="U826" s="21" t="n">
        <v>1</v>
      </c>
      <c r="V826" s="21" t="n">
        <v>1</v>
      </c>
      <c r="W826" s="22" t="n">
        <v>7.4</v>
      </c>
      <c r="X826" s="16" t="s">
        <v>335</v>
      </c>
      <c r="Y826" s="16" t="s">
        <v>338</v>
      </c>
      <c r="Z826" s="16" t="s">
        <v>413</v>
      </c>
      <c r="AA826" s="16" t="s">
        <v>414</v>
      </c>
      <c r="AB826" s="23" t="s">
        <v>2837</v>
      </c>
      <c r="AC826" s="17" t="n">
        <v>46292.5828935185</v>
      </c>
      <c r="AD826" s="16" t="s">
        <v>338</v>
      </c>
      <c r="AE826" s="16"/>
      <c r="AF826" s="16" t="str">
        <f aca="false">IF(COUNTIF(لیست_سفید!$A$2:$A$21,B826)&gt;0,"بله","خیر")</f>
        <v>خیر</v>
      </c>
      <c r="AG826" s="24" t="n">
        <f aca="false">IF(H826="","",IF(AD826="فیش مفقودی",تنظیمات!$B$6,(INT(I826/1440)*تنظیمات!$B$5+IF(MOD(I826,1440)&lt;=تنظیمات!$B$2,0,MIN(تنظیمات!$B$5,تنظیمات!$B$3+MAX(0,ROUNDUP((MOD(I826,1440)-60)/60,0))*تنظیمات!$B$4)))*INDEX(تعرفه!$B$2:$B$7,MATCH(AD826,تعرفه!$A$2:$A$7,0))))</f>
        <v>48000</v>
      </c>
      <c r="AH826" s="24" t="n">
        <v>48000</v>
      </c>
      <c r="AI826" s="24" t="n">
        <f aca="false">IF(AG826="","",AH826-AG826)</f>
        <v>0</v>
      </c>
      <c r="AJ826" s="21" t="n">
        <v>0</v>
      </c>
      <c r="AK826" s="21" t="n">
        <v>0</v>
      </c>
      <c r="AL826" s="16" t="s">
        <v>335</v>
      </c>
      <c r="AM826" s="16"/>
      <c r="AN826" s="16" t="s">
        <v>340</v>
      </c>
      <c r="AO826" s="16" t="s">
        <v>340</v>
      </c>
      <c r="AP826" s="16" t="s">
        <v>335</v>
      </c>
      <c r="AQ826" s="16"/>
      <c r="AR826" s="21" t="n">
        <f aca="false">IF(AND(T826&lt;&gt;"",H826&lt;&gt;""),IF(AND((T826-H826)*86400&gt;=0,(T826-H826)*86400&lt;تنظیمات!$B$13),1,0),0)</f>
        <v>0</v>
      </c>
      <c r="AS826" s="21" t="n">
        <f aca="false">IF(Z826="پوز",IF(OR(AB826="",COUNTIF(پوزها!$A$2:$A$5,AA826)=0),1,0),0)</f>
        <v>0</v>
      </c>
      <c r="AT826" s="21" t="n">
        <f aca="false">IF(AI826="",0,IF(AI826&gt;0,1,0))</f>
        <v>0</v>
      </c>
      <c r="AU826" s="21" t="n">
        <f aca="false">IF(AI826="",0,IF(AI826&lt;0,1,0))</f>
        <v>0</v>
      </c>
      <c r="AV826" s="21" t="n">
        <f aca="false">IF(U826&gt;V826,1,0)</f>
        <v>0</v>
      </c>
      <c r="AW826" s="21" t="n">
        <f aca="false">IF(OR(W826&gt;تنظیمات!$B$8,X826="بله"),1,0)</f>
        <v>0</v>
      </c>
      <c r="AX826" s="21" t="n">
        <f aca="false">IF(AND(N826="بله",L826&gt;تنظیمات!$B$9),1,0)</f>
        <v>0</v>
      </c>
      <c r="AY826" s="21" t="n">
        <f aca="false">IF(Y826="معکوس",1,0)</f>
        <v>0</v>
      </c>
      <c r="AZ826" s="21" t="n">
        <f aca="false">IF(ABS(AJ826)&gt;تنظیمات!$B$10,1,0)</f>
        <v>0</v>
      </c>
      <c r="BA826" s="21" t="n">
        <f aca="false">IF(AND(OR(AD826="رایگان/VIP",AD826="جانباز"),AF826="خیر"),1,0)</f>
        <v>0</v>
      </c>
      <c r="BB826" s="21" t="n">
        <f aca="false">IF(AE826="",0,IF(COUNTIF($AE$2:$AE$1001,AE826)&gt;1,1,0))</f>
        <v>0</v>
      </c>
      <c r="BC826" s="21" t="n">
        <f aca="false">IF(AND(H826="",I826&gt;تنظیمات!$B$12*60,AM826="خالی"),1,0)</f>
        <v>0</v>
      </c>
      <c r="BD826" s="21" t="n">
        <f aca="false">IF(AND(AP826="بله",I826&lt;تنظیمات!$B$14,AO826="خیر"),1,0)</f>
        <v>0</v>
      </c>
      <c r="BE826" s="21" t="n">
        <f aca="false">IF(AN826="خیر",1,0)</f>
        <v>0</v>
      </c>
      <c r="BF826" s="21" t="n">
        <f aca="false">IF(AND(AD826="فیش مفقودی",AQ826="بله",I826&gt;تنظیمات!$B$12*60),1,0)</f>
        <v>0</v>
      </c>
      <c r="BG826" s="21" t="n">
        <f aca="false">IF(AND(AK826&gt;تنظیمات!$B$11,AL826="بله"),1,0)</f>
        <v>0</v>
      </c>
      <c r="BH826" s="21" t="n">
        <f aca="false">MIN(100,AR826*تنظیمات!$B$21+AS826*تنظیمات!$B$22+AT826*تنظیمات!$B$23+AU826*تنظیمات!$B$24+AV826*تنظیمات!$B$25+AW826*تنظیمات!$B$26+AX826*تنظیمات!$B$27+AY826*تنظیمات!$B$28+AZ826*تنظیمات!$B$29+BA826*تنظیمات!$B$30+BB826*تنظیمات!$B$31+BC826*تنظیمات!$B$32+BD826*تنظیمات!$B$33+BE826*تنظیمات!$B$34+BF826*تنظیمات!$B$35+BG826*تنظیمات!$B$36)</f>
        <v>0</v>
      </c>
      <c r="BI826" s="16" t="str">
        <f aca="false">IF(BH826&gt;=60,"بحرانی",IF(BH826&gt;=30,"مشکوک",IF(BH826&gt;0,"هشدار","عادی")))</f>
        <v>عادی</v>
      </c>
      <c r="BJ826" s="16" t="s">
        <v>338</v>
      </c>
    </row>
    <row r="827" customFormat="false" ht="15" hidden="false" customHeight="false" outlineLevel="0" collapsed="false">
      <c r="A827" s="16" t="s">
        <v>2838</v>
      </c>
      <c r="B827" s="16" t="s">
        <v>393</v>
      </c>
      <c r="C827" s="16"/>
      <c r="D827" s="16" t="s">
        <v>386</v>
      </c>
      <c r="E827" s="16" t="s">
        <v>375</v>
      </c>
      <c r="F827" s="16" t="s">
        <v>333</v>
      </c>
      <c r="G827" s="17" t="n">
        <v>46292.4665046296</v>
      </c>
      <c r="H827" s="17" t="n">
        <v>46292.5178935185</v>
      </c>
      <c r="I827" s="18" t="n">
        <f aca="false">IF(H827="",ROUND((تنظیمات!$B$7-G827)*1440,0),ROUND((H827-G827)*1440,0))</f>
        <v>74</v>
      </c>
      <c r="J827" s="16" t="s">
        <v>346</v>
      </c>
      <c r="K827" s="16" t="s">
        <v>400</v>
      </c>
      <c r="L827" s="19" t="n">
        <v>0.965</v>
      </c>
      <c r="M827" s="19" t="n">
        <v>0.89</v>
      </c>
      <c r="N827" s="16" t="s">
        <v>335</v>
      </c>
      <c r="O827" s="16" t="s">
        <v>425</v>
      </c>
      <c r="P827" s="16" t="s">
        <v>402</v>
      </c>
      <c r="Q827" s="20" t="n">
        <v>46292</v>
      </c>
      <c r="R827" s="16" t="s">
        <v>2839</v>
      </c>
      <c r="S827" s="16" t="s">
        <v>452</v>
      </c>
      <c r="T827" s="17" t="n">
        <v>46292.5127662037</v>
      </c>
      <c r="U827" s="21" t="n">
        <v>1</v>
      </c>
      <c r="V827" s="21" t="n">
        <v>1</v>
      </c>
      <c r="W827" s="22" t="n">
        <v>2.5</v>
      </c>
      <c r="X827" s="16" t="s">
        <v>335</v>
      </c>
      <c r="Y827" s="16" t="s">
        <v>338</v>
      </c>
      <c r="Z827" s="16" t="s">
        <v>413</v>
      </c>
      <c r="AA827" s="16" t="s">
        <v>427</v>
      </c>
      <c r="AB827" s="23" t="s">
        <v>2840</v>
      </c>
      <c r="AC827" s="17" t="n">
        <v>46292.5176157407</v>
      </c>
      <c r="AD827" s="16" t="s">
        <v>338</v>
      </c>
      <c r="AE827" s="16"/>
      <c r="AF827" s="16" t="str">
        <f aca="false">IF(COUNTIF(لیست_سفید!$A$2:$A$21,B827)&gt;0,"بله","خیر")</f>
        <v>خیر</v>
      </c>
      <c r="AG827" s="24" t="n">
        <f aca="false">IF(H827="","",IF(AD827="فیش مفقودی",تنظیمات!$B$6,(INT(I827/1440)*تنظیمات!$B$5+IF(MOD(I827,1440)&lt;=تنظیمات!$B$2,0,MIN(تنظیمات!$B$5,تنظیمات!$B$3+MAX(0,ROUNDUP((MOD(I827,1440)-60)/60,0))*تنظیمات!$B$4)))*INDEX(تعرفه!$B$2:$B$7,MATCH(AD827,تعرفه!$A$2:$A$7,0))))</f>
        <v>34000</v>
      </c>
      <c r="AH827" s="24" t="n">
        <v>34000</v>
      </c>
      <c r="AI827" s="24" t="n">
        <f aca="false">IF(AG827="","",AH827-AG827)</f>
        <v>0</v>
      </c>
      <c r="AJ827" s="21" t="n">
        <v>-4</v>
      </c>
      <c r="AK827" s="21" t="n">
        <v>0</v>
      </c>
      <c r="AL827" s="16" t="s">
        <v>335</v>
      </c>
      <c r="AM827" s="16"/>
      <c r="AN827" s="16" t="s">
        <v>340</v>
      </c>
      <c r="AO827" s="16" t="s">
        <v>340</v>
      </c>
      <c r="AP827" s="16" t="s">
        <v>335</v>
      </c>
      <c r="AQ827" s="16"/>
      <c r="AR827" s="21" t="n">
        <f aca="false">IF(AND(T827&lt;&gt;"",H827&lt;&gt;""),IF(AND((T827-H827)*86400&gt;=0,(T827-H827)*86400&lt;تنظیمات!$B$13),1,0),0)</f>
        <v>0</v>
      </c>
      <c r="AS827" s="21" t="n">
        <f aca="false">IF(Z827="پوز",IF(OR(AB827="",COUNTIF(پوزها!$A$2:$A$5,AA827)=0),1,0),0)</f>
        <v>0</v>
      </c>
      <c r="AT827" s="21" t="n">
        <f aca="false">IF(AI827="",0,IF(AI827&gt;0,1,0))</f>
        <v>0</v>
      </c>
      <c r="AU827" s="21" t="n">
        <f aca="false">IF(AI827="",0,IF(AI827&lt;0,1,0))</f>
        <v>0</v>
      </c>
      <c r="AV827" s="21" t="n">
        <f aca="false">IF(U827&gt;V827,1,0)</f>
        <v>0</v>
      </c>
      <c r="AW827" s="21" t="n">
        <f aca="false">IF(OR(W827&gt;تنظیمات!$B$8,X827="بله"),1,0)</f>
        <v>0</v>
      </c>
      <c r="AX827" s="21" t="n">
        <f aca="false">IF(AND(N827="بله",L827&gt;تنظیمات!$B$9),1,0)</f>
        <v>0</v>
      </c>
      <c r="AY827" s="21" t="n">
        <f aca="false">IF(Y827="معکوس",1,0)</f>
        <v>0</v>
      </c>
      <c r="AZ827" s="21" t="n">
        <f aca="false">IF(ABS(AJ827)&gt;تنظیمات!$B$10,1,0)</f>
        <v>0</v>
      </c>
      <c r="BA827" s="21" t="n">
        <f aca="false">IF(AND(OR(AD827="رایگان/VIP",AD827="جانباز"),AF827="خیر"),1,0)</f>
        <v>0</v>
      </c>
      <c r="BB827" s="21" t="n">
        <f aca="false">IF(AE827="",0,IF(COUNTIF($AE$2:$AE$1001,AE827)&gt;1,1,0))</f>
        <v>0</v>
      </c>
      <c r="BC827" s="21" t="n">
        <f aca="false">IF(AND(H827="",I827&gt;تنظیمات!$B$12*60,AM827="خالی"),1,0)</f>
        <v>0</v>
      </c>
      <c r="BD827" s="21" t="n">
        <f aca="false">IF(AND(AP827="بله",I827&lt;تنظیمات!$B$14,AO827="خیر"),1,0)</f>
        <v>0</v>
      </c>
      <c r="BE827" s="21" t="n">
        <f aca="false">IF(AN827="خیر",1,0)</f>
        <v>0</v>
      </c>
      <c r="BF827" s="21" t="n">
        <f aca="false">IF(AND(AD827="فیش مفقودی",AQ827="بله",I827&gt;تنظیمات!$B$12*60),1,0)</f>
        <v>0</v>
      </c>
      <c r="BG827" s="21" t="n">
        <f aca="false">IF(AND(AK827&gt;تنظیمات!$B$11,AL827="بله"),1,0)</f>
        <v>0</v>
      </c>
      <c r="BH827" s="21" t="n">
        <f aca="false">MIN(100,AR827*تنظیمات!$B$21+AS827*تنظیمات!$B$22+AT827*تنظیمات!$B$23+AU827*تنظیمات!$B$24+AV827*تنظیمات!$B$25+AW827*تنظیمات!$B$26+AX827*تنظیمات!$B$27+AY827*تنظیمات!$B$28+AZ827*تنظیمات!$B$29+BA827*تنظیمات!$B$30+BB827*تنظیمات!$B$31+BC827*تنظیمات!$B$32+BD827*تنظیمات!$B$33+BE827*تنظیمات!$B$34+BF827*تنظیمات!$B$35+BG827*تنظیمات!$B$36)</f>
        <v>0</v>
      </c>
      <c r="BI827" s="16" t="str">
        <f aca="false">IF(BH827&gt;=60,"بحرانی",IF(BH827&gt;=30,"مشکوک",IF(BH827&gt;0,"هشدار","عادی")))</f>
        <v>عادی</v>
      </c>
      <c r="BJ827" s="16" t="s">
        <v>338</v>
      </c>
    </row>
    <row r="828" customFormat="false" ht="15" hidden="false" customHeight="false" outlineLevel="0" collapsed="false">
      <c r="A828" s="16" t="s">
        <v>2841</v>
      </c>
      <c r="B828" s="16" t="s">
        <v>958</v>
      </c>
      <c r="C828" s="16"/>
      <c r="D828" s="16" t="s">
        <v>431</v>
      </c>
      <c r="E828" s="16" t="s">
        <v>351</v>
      </c>
      <c r="F828" s="16" t="s">
        <v>333</v>
      </c>
      <c r="G828" s="17" t="n">
        <v>46292.4679976852</v>
      </c>
      <c r="H828" s="17" t="n">
        <v>46292.6798032407</v>
      </c>
      <c r="I828" s="18" t="n">
        <f aca="false">IF(H828="",ROUND((تنظیمات!$B$7-G828)*1440,0),ROUND((H828-G828)*1440,0))</f>
        <v>305</v>
      </c>
      <c r="J828" s="16" t="s">
        <v>346</v>
      </c>
      <c r="K828" s="16" t="s">
        <v>410</v>
      </c>
      <c r="L828" s="19" t="n">
        <v>0.995</v>
      </c>
      <c r="M828" s="19" t="n">
        <v>0.92</v>
      </c>
      <c r="N828" s="16" t="s">
        <v>335</v>
      </c>
      <c r="O828" s="16" t="s">
        <v>401</v>
      </c>
      <c r="P828" s="16" t="s">
        <v>420</v>
      </c>
      <c r="Q828" s="20" t="n">
        <v>46292</v>
      </c>
      <c r="R828" s="16" t="s">
        <v>2842</v>
      </c>
      <c r="S828" s="16" t="s">
        <v>404</v>
      </c>
      <c r="T828" s="17"/>
      <c r="U828" s="21" t="n">
        <v>1</v>
      </c>
      <c r="V828" s="21" t="n">
        <v>1</v>
      </c>
      <c r="W828" s="22" t="n">
        <v>3.5</v>
      </c>
      <c r="X828" s="16" t="s">
        <v>335</v>
      </c>
      <c r="Y828" s="16" t="s">
        <v>338</v>
      </c>
      <c r="Z828" s="16" t="s">
        <v>465</v>
      </c>
      <c r="AA828" s="16"/>
      <c r="AB828" s="23"/>
      <c r="AC828" s="17"/>
      <c r="AD828" s="16" t="s">
        <v>602</v>
      </c>
      <c r="AE828" s="16"/>
      <c r="AF828" s="16" t="str">
        <f aca="false">IF(COUNTIF(لیست_سفید!$A$2:$A$21,B828)&gt;0,"بله","خیر")</f>
        <v>خیر</v>
      </c>
      <c r="AG828" s="24" t="n">
        <f aca="false">IF(H828="","",IF(AD828="فیش مفقودی",تنظیمات!$B$6,(INT(I828/1440)*تنظیمات!$B$5+IF(MOD(I828,1440)&lt;=تنظیمات!$B$2,0,MIN(تنظیمات!$B$5,تنظیمات!$B$3+MAX(0,ROUNDUP((MOD(I828,1440)-60)/60,0))*تنظیمات!$B$4)))*INDEX(تعرفه!$B$2:$B$7,MATCH(AD828,تعرفه!$A$2:$A$7,0))))</f>
        <v>0</v>
      </c>
      <c r="AH828" s="24" t="n">
        <v>0</v>
      </c>
      <c r="AI828" s="24" t="n">
        <f aca="false">IF(AG828="","",AH828-AG828)</f>
        <v>0</v>
      </c>
      <c r="AJ828" s="21" t="n">
        <v>-1</v>
      </c>
      <c r="AK828" s="21" t="n">
        <v>0</v>
      </c>
      <c r="AL828" s="16" t="s">
        <v>335</v>
      </c>
      <c r="AM828" s="16"/>
      <c r="AN828" s="16" t="s">
        <v>340</v>
      </c>
      <c r="AO828" s="16" t="s">
        <v>340</v>
      </c>
      <c r="AP828" s="16" t="s">
        <v>335</v>
      </c>
      <c r="AQ828" s="16"/>
      <c r="AR828" s="21" t="n">
        <f aca="false">IF(AND(T828&lt;&gt;"",H828&lt;&gt;""),IF(AND((T828-H828)*86400&gt;=0,(T828-H828)*86400&lt;تنظیمات!$B$13),1,0),0)</f>
        <v>0</v>
      </c>
      <c r="AS828" s="21" t="n">
        <f aca="false">IF(Z828="پوز",IF(OR(AB828="",COUNTIF(پوزها!$A$2:$A$5,AA828)=0),1,0),0)</f>
        <v>0</v>
      </c>
      <c r="AT828" s="21" t="n">
        <f aca="false">IF(AI828="",0,IF(AI828&gt;0,1,0))</f>
        <v>0</v>
      </c>
      <c r="AU828" s="21" t="n">
        <f aca="false">IF(AI828="",0,IF(AI828&lt;0,1,0))</f>
        <v>0</v>
      </c>
      <c r="AV828" s="21" t="n">
        <f aca="false">IF(U828&gt;V828,1,0)</f>
        <v>0</v>
      </c>
      <c r="AW828" s="21" t="n">
        <f aca="false">IF(OR(W828&gt;تنظیمات!$B$8,X828="بله"),1,0)</f>
        <v>0</v>
      </c>
      <c r="AX828" s="21" t="n">
        <f aca="false">IF(AND(N828="بله",L828&gt;تنظیمات!$B$9),1,0)</f>
        <v>0</v>
      </c>
      <c r="AY828" s="21" t="n">
        <f aca="false">IF(Y828="معکوس",1,0)</f>
        <v>0</v>
      </c>
      <c r="AZ828" s="21" t="n">
        <f aca="false">IF(ABS(AJ828)&gt;تنظیمات!$B$10,1,0)</f>
        <v>0</v>
      </c>
      <c r="BA828" s="21" t="n">
        <f aca="false">IF(AND(OR(AD828="رایگان/VIP",AD828="جانباز"),AF828="خیر"),1,0)</f>
        <v>1</v>
      </c>
      <c r="BB828" s="21" t="n">
        <f aca="false">IF(AE828="",0,IF(COUNTIF($AE$2:$AE$1001,AE828)&gt;1,1,0))</f>
        <v>0</v>
      </c>
      <c r="BC828" s="21" t="n">
        <f aca="false">IF(AND(H828="",I828&gt;تنظیمات!$B$12*60,AM828="خالی"),1,0)</f>
        <v>0</v>
      </c>
      <c r="BD828" s="21" t="n">
        <f aca="false">IF(AND(AP828="بله",I828&lt;تنظیمات!$B$14,AO828="خیر"),1,0)</f>
        <v>0</v>
      </c>
      <c r="BE828" s="21" t="n">
        <f aca="false">IF(AN828="خیر",1,0)</f>
        <v>0</v>
      </c>
      <c r="BF828" s="21" t="n">
        <f aca="false">IF(AND(AD828="فیش مفقودی",AQ828="بله",I828&gt;تنظیمات!$B$12*60),1,0)</f>
        <v>0</v>
      </c>
      <c r="BG828" s="21" t="n">
        <f aca="false">IF(AND(AK828&gt;تنظیمات!$B$11,AL828="بله"),1,0)</f>
        <v>0</v>
      </c>
      <c r="BH828" s="21" t="n">
        <f aca="false">MIN(100,AR828*تنظیمات!$B$21+AS828*تنظیمات!$B$22+AT828*تنظیمات!$B$23+AU828*تنظیمات!$B$24+AV828*تنظیمات!$B$25+AW828*تنظیمات!$B$26+AX828*تنظیمات!$B$27+AY828*تنظیمات!$B$28+AZ828*تنظیمات!$B$29+BA828*تنظیمات!$B$30+BB828*تنظیمات!$B$31+BC828*تنظیمات!$B$32+BD828*تنظیمات!$B$33+BE828*تنظیمات!$B$34+BF828*تنظیمات!$B$35+BG828*تنظیمات!$B$36)</f>
        <v>35</v>
      </c>
      <c r="BI828" s="16" t="str">
        <f aca="false">IF(BH828&gt;=60,"بحرانی",IF(BH828&gt;=30,"مشکوک",IF(BH828&gt;0,"هشدار","عادی")))</f>
        <v>مشکوک</v>
      </c>
      <c r="BJ828" s="16" t="s">
        <v>745</v>
      </c>
    </row>
    <row r="829" customFormat="false" ht="15" hidden="false" customHeight="false" outlineLevel="0" collapsed="false">
      <c r="A829" s="16" t="s">
        <v>2843</v>
      </c>
      <c r="B829" s="16" t="s">
        <v>1633</v>
      </c>
      <c r="C829" s="16"/>
      <c r="D829" s="16" t="s">
        <v>440</v>
      </c>
      <c r="E829" s="16" t="s">
        <v>363</v>
      </c>
      <c r="F829" s="16" t="s">
        <v>359</v>
      </c>
      <c r="G829" s="17" t="n">
        <v>46292.4734953704</v>
      </c>
      <c r="H829" s="17" t="n">
        <v>46292.5929398148</v>
      </c>
      <c r="I829" s="18" t="n">
        <f aca="false">IF(H829="",ROUND((تنظیمات!$B$7-G829)*1440,0),ROUND((H829-G829)*1440,0))</f>
        <v>172</v>
      </c>
      <c r="J829" s="16" t="s">
        <v>346</v>
      </c>
      <c r="K829" s="16" t="s">
        <v>410</v>
      </c>
      <c r="L829" s="19" t="n">
        <v>0.892</v>
      </c>
      <c r="M829" s="19" t="n">
        <v>0.905</v>
      </c>
      <c r="N829" s="16" t="s">
        <v>335</v>
      </c>
      <c r="O829" s="16" t="s">
        <v>401</v>
      </c>
      <c r="P829" s="16" t="s">
        <v>420</v>
      </c>
      <c r="Q829" s="20" t="n">
        <v>46292</v>
      </c>
      <c r="R829" s="16" t="s">
        <v>2844</v>
      </c>
      <c r="S829" s="16" t="s">
        <v>404</v>
      </c>
      <c r="T829" s="17"/>
      <c r="U829" s="21" t="n">
        <v>1</v>
      </c>
      <c r="V829" s="21" t="n">
        <v>1</v>
      </c>
      <c r="W829" s="22" t="n">
        <v>5.3</v>
      </c>
      <c r="X829" s="16" t="s">
        <v>335</v>
      </c>
      <c r="Y829" s="16" t="s">
        <v>338</v>
      </c>
      <c r="Z829" s="16" t="s">
        <v>413</v>
      </c>
      <c r="AA829" s="16" t="s">
        <v>414</v>
      </c>
      <c r="AB829" s="23"/>
      <c r="AC829" s="17" t="n">
        <v>46292.5922569444</v>
      </c>
      <c r="AD829" s="16" t="s">
        <v>338</v>
      </c>
      <c r="AE829" s="16"/>
      <c r="AF829" s="16" t="str">
        <f aca="false">IF(COUNTIF(لیست_سفید!$A$2:$A$21,B829)&gt;0,"بله","خیر")</f>
        <v>خیر</v>
      </c>
      <c r="AG829" s="24" t="n">
        <f aca="false">IF(H829="","",IF(AD829="فیش مفقودی",تنظیمات!$B$6,(INT(I829/1440)*تنظیمات!$B$5+IF(MOD(I829,1440)&lt;=تنظیمات!$B$2,0,MIN(تنظیمات!$B$5,تنظیمات!$B$3+MAX(0,ROUNDUP((MOD(I829,1440)-60)/60,0))*تنظیمات!$B$4)))*INDEX(تعرفه!$B$2:$B$7,MATCH(AD829,تعرفه!$A$2:$A$7,0))))</f>
        <v>48000</v>
      </c>
      <c r="AH829" s="24" t="n">
        <v>48000</v>
      </c>
      <c r="AI829" s="24" t="n">
        <f aca="false">IF(AG829="","",AH829-AG829)</f>
        <v>0</v>
      </c>
      <c r="AJ829" s="21" t="n">
        <v>3</v>
      </c>
      <c r="AK829" s="21" t="n">
        <v>0</v>
      </c>
      <c r="AL829" s="16" t="s">
        <v>335</v>
      </c>
      <c r="AM829" s="16"/>
      <c r="AN829" s="16" t="s">
        <v>340</v>
      </c>
      <c r="AO829" s="16" t="s">
        <v>340</v>
      </c>
      <c r="AP829" s="16" t="s">
        <v>335</v>
      </c>
      <c r="AQ829" s="16"/>
      <c r="AR829" s="21" t="n">
        <f aca="false">IF(AND(T829&lt;&gt;"",H829&lt;&gt;""),IF(AND((T829-H829)*86400&gt;=0,(T829-H829)*86400&lt;تنظیمات!$B$13),1,0),0)</f>
        <v>0</v>
      </c>
      <c r="AS829" s="21" t="n">
        <f aca="false">IF(Z829="پوز",IF(OR(AB829="",COUNTIF(پوزها!$A$2:$A$5,AA829)=0),1,0),0)</f>
        <v>1</v>
      </c>
      <c r="AT829" s="21" t="n">
        <f aca="false">IF(AI829="",0,IF(AI829&gt;0,1,0))</f>
        <v>0</v>
      </c>
      <c r="AU829" s="21" t="n">
        <f aca="false">IF(AI829="",0,IF(AI829&lt;0,1,0))</f>
        <v>0</v>
      </c>
      <c r="AV829" s="21" t="n">
        <f aca="false">IF(U829&gt;V829,1,0)</f>
        <v>0</v>
      </c>
      <c r="AW829" s="21" t="n">
        <f aca="false">IF(OR(W829&gt;تنظیمات!$B$8,X829="بله"),1,0)</f>
        <v>0</v>
      </c>
      <c r="AX829" s="21" t="n">
        <f aca="false">IF(AND(N829="بله",L829&gt;تنظیمات!$B$9),1,0)</f>
        <v>0</v>
      </c>
      <c r="AY829" s="21" t="n">
        <f aca="false">IF(Y829="معکوس",1,0)</f>
        <v>0</v>
      </c>
      <c r="AZ829" s="21" t="n">
        <f aca="false">IF(ABS(AJ829)&gt;تنظیمات!$B$10,1,0)</f>
        <v>0</v>
      </c>
      <c r="BA829" s="21" t="n">
        <f aca="false">IF(AND(OR(AD829="رایگان/VIP",AD829="جانباز"),AF829="خیر"),1,0)</f>
        <v>0</v>
      </c>
      <c r="BB829" s="21" t="n">
        <f aca="false">IF(AE829="",0,IF(COUNTIF($AE$2:$AE$1001,AE829)&gt;1,1,0))</f>
        <v>0</v>
      </c>
      <c r="BC829" s="21" t="n">
        <f aca="false">IF(AND(H829="",I829&gt;تنظیمات!$B$12*60,AM829="خالی"),1,0)</f>
        <v>0</v>
      </c>
      <c r="BD829" s="21" t="n">
        <f aca="false">IF(AND(AP829="بله",I829&lt;تنظیمات!$B$14,AO829="خیر"),1,0)</f>
        <v>0</v>
      </c>
      <c r="BE829" s="21" t="n">
        <f aca="false">IF(AN829="خیر",1,0)</f>
        <v>0</v>
      </c>
      <c r="BF829" s="21" t="n">
        <f aca="false">IF(AND(AD829="فیش مفقودی",AQ829="بله",I829&gt;تنظیمات!$B$12*60),1,0)</f>
        <v>0</v>
      </c>
      <c r="BG829" s="21" t="n">
        <f aca="false">IF(AND(AK829&gt;تنظیمات!$B$11,AL829="بله"),1,0)</f>
        <v>0</v>
      </c>
      <c r="BH829" s="21" t="n">
        <f aca="false">MIN(100,AR829*تنظیمات!$B$21+AS829*تنظیمات!$B$22+AT829*تنظیمات!$B$23+AU829*تنظیمات!$B$24+AV829*تنظیمات!$B$25+AW829*تنظیمات!$B$26+AX829*تنظیمات!$B$27+AY829*تنظیمات!$B$28+AZ829*تنظیمات!$B$29+BA829*تنظیمات!$B$30+BB829*تنظیمات!$B$31+BC829*تنظیمات!$B$32+BD829*تنظیمات!$B$33+BE829*تنظیمات!$B$34+BF829*تنظیمات!$B$35+BG829*تنظیمات!$B$36)</f>
        <v>35</v>
      </c>
      <c r="BI829" s="16" t="str">
        <f aca="false">IF(BH829&gt;=60,"بحرانی",IF(BH829&gt;=30,"مشکوک",IF(BH829&gt;0,"هشدار","عادی")))</f>
        <v>مشکوک</v>
      </c>
      <c r="BJ829" s="16" t="s">
        <v>722</v>
      </c>
    </row>
    <row r="830" customFormat="false" ht="15" hidden="false" customHeight="false" outlineLevel="0" collapsed="false">
      <c r="A830" s="16" t="s">
        <v>2845</v>
      </c>
      <c r="B830" s="16" t="s">
        <v>1509</v>
      </c>
      <c r="C830" s="16"/>
      <c r="D830" s="16" t="s">
        <v>370</v>
      </c>
      <c r="E830" s="16" t="s">
        <v>363</v>
      </c>
      <c r="F830" s="16" t="s">
        <v>333</v>
      </c>
      <c r="G830" s="17" t="n">
        <v>46292.4870486111</v>
      </c>
      <c r="H830" s="17" t="n">
        <v>46292.4981597222</v>
      </c>
      <c r="I830" s="18" t="n">
        <f aca="false">IF(H830="",ROUND((تنظیمات!$B$7-G830)*1440,0),ROUND((H830-G830)*1440,0))</f>
        <v>16</v>
      </c>
      <c r="J830" s="16" t="s">
        <v>346</v>
      </c>
      <c r="K830" s="16" t="s">
        <v>400</v>
      </c>
      <c r="L830" s="19" t="n">
        <v>0.982</v>
      </c>
      <c r="M830" s="19" t="n">
        <v>0.995</v>
      </c>
      <c r="N830" s="16" t="s">
        <v>335</v>
      </c>
      <c r="O830" s="16" t="s">
        <v>425</v>
      </c>
      <c r="P830" s="16" t="s">
        <v>402</v>
      </c>
      <c r="Q830" s="20" t="n">
        <v>46292</v>
      </c>
      <c r="R830" s="16" t="s">
        <v>2846</v>
      </c>
      <c r="S830" s="16" t="s">
        <v>404</v>
      </c>
      <c r="T830" s="17"/>
      <c r="U830" s="21" t="n">
        <v>1</v>
      </c>
      <c r="V830" s="21" t="n">
        <v>1</v>
      </c>
      <c r="W830" s="22" t="n">
        <v>5.5</v>
      </c>
      <c r="X830" s="16" t="s">
        <v>335</v>
      </c>
      <c r="Y830" s="16" t="s">
        <v>338</v>
      </c>
      <c r="Z830" s="16" t="s">
        <v>413</v>
      </c>
      <c r="AA830" s="16" t="s">
        <v>427</v>
      </c>
      <c r="AB830" s="23" t="s">
        <v>2847</v>
      </c>
      <c r="AC830" s="17" t="n">
        <v>46292.4976388889</v>
      </c>
      <c r="AD830" s="16" t="s">
        <v>338</v>
      </c>
      <c r="AE830" s="16"/>
      <c r="AF830" s="16" t="str">
        <f aca="false">IF(COUNTIF(لیست_سفید!$A$2:$A$21,B830)&gt;0,"بله","خیر")</f>
        <v>خیر</v>
      </c>
      <c r="AG830" s="24" t="n">
        <f aca="false">IF(H830="","",IF(AD830="فیش مفقودی",تنظیمات!$B$6,(INT(I830/1440)*تنظیمات!$B$5+IF(MOD(I830,1440)&lt;=تنظیمات!$B$2,0,MIN(تنظیمات!$B$5,تنظیمات!$B$3+MAX(0,ROUNDUP((MOD(I830,1440)-60)/60,0))*تنظیمات!$B$4)))*INDEX(تعرفه!$B$2:$B$7,MATCH(AD830,تعرفه!$A$2:$A$7,0))))</f>
        <v>20000</v>
      </c>
      <c r="AH830" s="24" t="n">
        <v>20000</v>
      </c>
      <c r="AI830" s="24" t="n">
        <f aca="false">IF(AG830="","",AH830-AG830)</f>
        <v>0</v>
      </c>
      <c r="AJ830" s="21" t="n">
        <v>2</v>
      </c>
      <c r="AK830" s="21" t="n">
        <v>0</v>
      </c>
      <c r="AL830" s="16" t="s">
        <v>335</v>
      </c>
      <c r="AM830" s="16"/>
      <c r="AN830" s="16" t="s">
        <v>340</v>
      </c>
      <c r="AO830" s="16" t="s">
        <v>340</v>
      </c>
      <c r="AP830" s="16" t="s">
        <v>335</v>
      </c>
      <c r="AQ830" s="16"/>
      <c r="AR830" s="21" t="n">
        <f aca="false">IF(AND(T830&lt;&gt;"",H830&lt;&gt;""),IF(AND((T830-H830)*86400&gt;=0,(T830-H830)*86400&lt;تنظیمات!$B$13),1,0),0)</f>
        <v>0</v>
      </c>
      <c r="AS830" s="21" t="n">
        <f aca="false">IF(Z830="پوز",IF(OR(AB830="",COUNTIF(پوزها!$A$2:$A$5,AA830)=0),1,0),0)</f>
        <v>0</v>
      </c>
      <c r="AT830" s="21" t="n">
        <f aca="false">IF(AI830="",0,IF(AI830&gt;0,1,0))</f>
        <v>0</v>
      </c>
      <c r="AU830" s="21" t="n">
        <f aca="false">IF(AI830="",0,IF(AI830&lt;0,1,0))</f>
        <v>0</v>
      </c>
      <c r="AV830" s="21" t="n">
        <f aca="false">IF(U830&gt;V830,1,0)</f>
        <v>0</v>
      </c>
      <c r="AW830" s="21" t="n">
        <f aca="false">IF(OR(W830&gt;تنظیمات!$B$8,X830="بله"),1,0)</f>
        <v>0</v>
      </c>
      <c r="AX830" s="21" t="n">
        <f aca="false">IF(AND(N830="بله",L830&gt;تنظیمات!$B$9),1,0)</f>
        <v>0</v>
      </c>
      <c r="AY830" s="21" t="n">
        <f aca="false">IF(Y830="معکوس",1,0)</f>
        <v>0</v>
      </c>
      <c r="AZ830" s="21" t="n">
        <f aca="false">IF(ABS(AJ830)&gt;تنظیمات!$B$10,1,0)</f>
        <v>0</v>
      </c>
      <c r="BA830" s="21" t="n">
        <f aca="false">IF(AND(OR(AD830="رایگان/VIP",AD830="جانباز"),AF830="خیر"),1,0)</f>
        <v>0</v>
      </c>
      <c r="BB830" s="21" t="n">
        <f aca="false">IF(AE830="",0,IF(COUNTIF($AE$2:$AE$1001,AE830)&gt;1,1,0))</f>
        <v>0</v>
      </c>
      <c r="BC830" s="21" t="n">
        <f aca="false">IF(AND(H830="",I830&gt;تنظیمات!$B$12*60,AM830="خالی"),1,0)</f>
        <v>0</v>
      </c>
      <c r="BD830" s="21" t="n">
        <f aca="false">IF(AND(AP830="بله",I830&lt;تنظیمات!$B$14,AO830="خیر"),1,0)</f>
        <v>0</v>
      </c>
      <c r="BE830" s="21" t="n">
        <f aca="false">IF(AN830="خیر",1,0)</f>
        <v>0</v>
      </c>
      <c r="BF830" s="21" t="n">
        <f aca="false">IF(AND(AD830="فیش مفقودی",AQ830="بله",I830&gt;تنظیمات!$B$12*60),1,0)</f>
        <v>0</v>
      </c>
      <c r="BG830" s="21" t="n">
        <f aca="false">IF(AND(AK830&gt;تنظیمات!$B$11,AL830="بله"),1,0)</f>
        <v>0</v>
      </c>
      <c r="BH830" s="21" t="n">
        <f aca="false">MIN(100,AR830*تنظیمات!$B$21+AS830*تنظیمات!$B$22+AT830*تنظیمات!$B$23+AU830*تنظیمات!$B$24+AV830*تنظیمات!$B$25+AW830*تنظیمات!$B$26+AX830*تنظیمات!$B$27+AY830*تنظیمات!$B$28+AZ830*تنظیمات!$B$29+BA830*تنظیمات!$B$30+BB830*تنظیمات!$B$31+BC830*تنظیمات!$B$32+BD830*تنظیمات!$B$33+BE830*تنظیمات!$B$34+BF830*تنظیمات!$B$35+BG830*تنظیمات!$B$36)</f>
        <v>0</v>
      </c>
      <c r="BI830" s="16" t="str">
        <f aca="false">IF(BH830&gt;=60,"بحرانی",IF(BH830&gt;=30,"مشکوک",IF(BH830&gt;0,"هشدار","عادی")))</f>
        <v>عادی</v>
      </c>
      <c r="BJ830" s="16" t="s">
        <v>338</v>
      </c>
    </row>
    <row r="831" customFormat="false" ht="15" hidden="false" customHeight="false" outlineLevel="0" collapsed="false">
      <c r="A831" s="16" t="s">
        <v>2848</v>
      </c>
      <c r="B831" s="16" t="s">
        <v>856</v>
      </c>
      <c r="C831" s="16"/>
      <c r="D831" s="16" t="s">
        <v>523</v>
      </c>
      <c r="E831" s="16" t="s">
        <v>390</v>
      </c>
      <c r="F831" s="16" t="s">
        <v>333</v>
      </c>
      <c r="G831" s="17" t="n">
        <v>46292.5041782407</v>
      </c>
      <c r="H831" s="17" t="n">
        <v>46292.5347337963</v>
      </c>
      <c r="I831" s="18" t="n">
        <f aca="false">IF(H831="",ROUND((تنظیمات!$B$7-G831)*1440,0),ROUND((H831-G831)*1440,0))</f>
        <v>44</v>
      </c>
      <c r="J831" s="16" t="s">
        <v>334</v>
      </c>
      <c r="K831" s="16" t="s">
        <v>400</v>
      </c>
      <c r="L831" s="19" t="n">
        <v>0.948</v>
      </c>
      <c r="M831" s="19" t="n">
        <v>0.945</v>
      </c>
      <c r="N831" s="16" t="s">
        <v>335</v>
      </c>
      <c r="O831" s="16" t="s">
        <v>425</v>
      </c>
      <c r="P831" s="16" t="s">
        <v>402</v>
      </c>
      <c r="Q831" s="20" t="n">
        <v>46292</v>
      </c>
      <c r="R831" s="16" t="s">
        <v>2849</v>
      </c>
      <c r="S831" s="16" t="s">
        <v>404</v>
      </c>
      <c r="T831" s="17"/>
      <c r="U831" s="21" t="n">
        <v>1</v>
      </c>
      <c r="V831" s="21" t="n">
        <v>1</v>
      </c>
      <c r="W831" s="22" t="n">
        <v>6.3</v>
      </c>
      <c r="X831" s="16" t="s">
        <v>335</v>
      </c>
      <c r="Y831" s="16" t="s">
        <v>338</v>
      </c>
      <c r="Z831" s="16" t="s">
        <v>405</v>
      </c>
      <c r="AA831" s="16"/>
      <c r="AB831" s="23"/>
      <c r="AC831" s="17"/>
      <c r="AD831" s="16" t="s">
        <v>338</v>
      </c>
      <c r="AE831" s="16"/>
      <c r="AF831" s="16" t="str">
        <f aca="false">IF(COUNTIF(لیست_سفید!$A$2:$A$21,B831)&gt;0,"بله","خیر")</f>
        <v>خیر</v>
      </c>
      <c r="AG831" s="24" t="n">
        <f aca="false">IF(H831="","",IF(AD831="فیش مفقودی",تنظیمات!$B$6,(INT(I831/1440)*تنظیمات!$B$5+IF(MOD(I831,1440)&lt;=تنظیمات!$B$2,0,MIN(تنظیمات!$B$5,تنظیمات!$B$3+MAX(0,ROUNDUP((MOD(I831,1440)-60)/60,0))*تنظیمات!$B$4)))*INDEX(تعرفه!$B$2:$B$7,MATCH(AD831,تعرفه!$A$2:$A$7,0))))</f>
        <v>20000</v>
      </c>
      <c r="AH831" s="24" t="n">
        <v>20000</v>
      </c>
      <c r="AI831" s="24" t="n">
        <f aca="false">IF(AG831="","",AH831-AG831)</f>
        <v>0</v>
      </c>
      <c r="AJ831" s="21" t="n">
        <v>2</v>
      </c>
      <c r="AK831" s="21" t="n">
        <v>33</v>
      </c>
      <c r="AL831" s="16" t="s">
        <v>335</v>
      </c>
      <c r="AM831" s="16"/>
      <c r="AN831" s="16" t="s">
        <v>340</v>
      </c>
      <c r="AO831" s="16" t="s">
        <v>340</v>
      </c>
      <c r="AP831" s="16" t="s">
        <v>335</v>
      </c>
      <c r="AQ831" s="16"/>
      <c r="AR831" s="21" t="n">
        <f aca="false">IF(AND(T831&lt;&gt;"",H831&lt;&gt;""),IF(AND((T831-H831)*86400&gt;=0,(T831-H831)*86400&lt;تنظیمات!$B$13),1,0),0)</f>
        <v>0</v>
      </c>
      <c r="AS831" s="21" t="n">
        <f aca="false">IF(Z831="پوز",IF(OR(AB831="",COUNTIF(پوزها!$A$2:$A$5,AA831)=0),1,0),0)</f>
        <v>0</v>
      </c>
      <c r="AT831" s="21" t="n">
        <f aca="false">IF(AI831="",0,IF(AI831&gt;0,1,0))</f>
        <v>0</v>
      </c>
      <c r="AU831" s="21" t="n">
        <f aca="false">IF(AI831="",0,IF(AI831&lt;0,1,0))</f>
        <v>0</v>
      </c>
      <c r="AV831" s="21" t="n">
        <f aca="false">IF(U831&gt;V831,1,0)</f>
        <v>0</v>
      </c>
      <c r="AW831" s="21" t="n">
        <f aca="false">IF(OR(W831&gt;تنظیمات!$B$8,X831="بله"),1,0)</f>
        <v>0</v>
      </c>
      <c r="AX831" s="21" t="n">
        <f aca="false">IF(AND(N831="بله",L831&gt;تنظیمات!$B$9),1,0)</f>
        <v>0</v>
      </c>
      <c r="AY831" s="21" t="n">
        <f aca="false">IF(Y831="معکوس",1,0)</f>
        <v>0</v>
      </c>
      <c r="AZ831" s="21" t="n">
        <f aca="false">IF(ABS(AJ831)&gt;تنظیمات!$B$10,1,0)</f>
        <v>0</v>
      </c>
      <c r="BA831" s="21" t="n">
        <f aca="false">IF(AND(OR(AD831="رایگان/VIP",AD831="جانباز"),AF831="خیر"),1,0)</f>
        <v>0</v>
      </c>
      <c r="BB831" s="21" t="n">
        <f aca="false">IF(AE831="",0,IF(COUNTIF($AE$2:$AE$1001,AE831)&gt;1,1,0))</f>
        <v>0</v>
      </c>
      <c r="BC831" s="21" t="n">
        <f aca="false">IF(AND(H831="",I831&gt;تنظیمات!$B$12*60,AM831="خالی"),1,0)</f>
        <v>0</v>
      </c>
      <c r="BD831" s="21" t="n">
        <f aca="false">IF(AND(AP831="بله",I831&lt;تنظیمات!$B$14,AO831="خیر"),1,0)</f>
        <v>0</v>
      </c>
      <c r="BE831" s="21" t="n">
        <f aca="false">IF(AN831="خیر",1,0)</f>
        <v>0</v>
      </c>
      <c r="BF831" s="21" t="n">
        <f aca="false">IF(AND(AD831="فیش مفقودی",AQ831="بله",I831&gt;تنظیمات!$B$12*60),1,0)</f>
        <v>0</v>
      </c>
      <c r="BG831" s="21" t="n">
        <f aca="false">IF(AND(AK831&gt;تنظیمات!$B$11,AL831="بله"),1,0)</f>
        <v>0</v>
      </c>
      <c r="BH831" s="21" t="n">
        <f aca="false">MIN(100,AR831*تنظیمات!$B$21+AS831*تنظیمات!$B$22+AT831*تنظیمات!$B$23+AU831*تنظیمات!$B$24+AV831*تنظیمات!$B$25+AW831*تنظیمات!$B$26+AX831*تنظیمات!$B$27+AY831*تنظیمات!$B$28+AZ831*تنظیمات!$B$29+BA831*تنظیمات!$B$30+BB831*تنظیمات!$B$31+BC831*تنظیمات!$B$32+BD831*تنظیمات!$B$33+BE831*تنظیمات!$B$34+BF831*تنظیمات!$B$35+BG831*تنظیمات!$B$36)</f>
        <v>0</v>
      </c>
      <c r="BI831" s="16" t="str">
        <f aca="false">IF(BH831&gt;=60,"بحرانی",IF(BH831&gt;=30,"مشکوک",IF(BH831&gt;0,"هشدار","عادی")))</f>
        <v>عادی</v>
      </c>
      <c r="BJ831" s="16" t="s">
        <v>338</v>
      </c>
    </row>
    <row r="832" customFormat="false" ht="15" hidden="false" customHeight="false" outlineLevel="0" collapsed="false">
      <c r="A832" s="16" t="s">
        <v>2850</v>
      </c>
      <c r="B832" s="16" t="s">
        <v>455</v>
      </c>
      <c r="C832" s="16"/>
      <c r="D832" s="16" t="s">
        <v>331</v>
      </c>
      <c r="E832" s="16" t="s">
        <v>351</v>
      </c>
      <c r="F832" s="16" t="s">
        <v>333</v>
      </c>
      <c r="G832" s="17" t="n">
        <v>46292.5046296296</v>
      </c>
      <c r="H832" s="17" t="n">
        <v>46292.544212963</v>
      </c>
      <c r="I832" s="18" t="n">
        <f aca="false">IF(H832="",ROUND((تنظیمات!$B$7-G832)*1440,0),ROUND((H832-G832)*1440,0))</f>
        <v>57</v>
      </c>
      <c r="J832" s="16" t="s">
        <v>346</v>
      </c>
      <c r="K832" s="16" t="s">
        <v>410</v>
      </c>
      <c r="L832" s="19" t="n">
        <v>0.941</v>
      </c>
      <c r="M832" s="19" t="n">
        <v>0.942</v>
      </c>
      <c r="N832" s="16" t="s">
        <v>335</v>
      </c>
      <c r="O832" s="16" t="s">
        <v>441</v>
      </c>
      <c r="P832" s="16" t="s">
        <v>402</v>
      </c>
      <c r="Q832" s="20" t="n">
        <v>46292</v>
      </c>
      <c r="R832" s="16" t="s">
        <v>2851</v>
      </c>
      <c r="S832" s="16" t="s">
        <v>404</v>
      </c>
      <c r="T832" s="17"/>
      <c r="U832" s="21" t="n">
        <v>1</v>
      </c>
      <c r="V832" s="21" t="n">
        <v>1</v>
      </c>
      <c r="W832" s="22" t="n">
        <v>4.5</v>
      </c>
      <c r="X832" s="16" t="s">
        <v>335</v>
      </c>
      <c r="Y832" s="16" t="s">
        <v>338</v>
      </c>
      <c r="Z832" s="16" t="s">
        <v>413</v>
      </c>
      <c r="AA832" s="16" t="s">
        <v>414</v>
      </c>
      <c r="AB832" s="23" t="s">
        <v>2852</v>
      </c>
      <c r="AC832" s="17" t="n">
        <v>46292.5435300926</v>
      </c>
      <c r="AD832" s="16" t="s">
        <v>338</v>
      </c>
      <c r="AE832" s="16"/>
      <c r="AF832" s="16" t="str">
        <f aca="false">IF(COUNTIF(لیست_سفید!$A$2:$A$21,B832)&gt;0,"بله","خیر")</f>
        <v>خیر</v>
      </c>
      <c r="AG832" s="24" t="n">
        <f aca="false">IF(H832="","",IF(AD832="فیش مفقودی",تنظیمات!$B$6,(INT(I832/1440)*تنظیمات!$B$5+IF(MOD(I832,1440)&lt;=تنظیمات!$B$2,0,MIN(تنظیمات!$B$5,تنظیمات!$B$3+MAX(0,ROUNDUP((MOD(I832,1440)-60)/60,0))*تنظیمات!$B$4)))*INDEX(تعرفه!$B$2:$B$7,MATCH(AD832,تعرفه!$A$2:$A$7,0))))</f>
        <v>20000</v>
      </c>
      <c r="AH832" s="24" t="n">
        <v>20000</v>
      </c>
      <c r="AI832" s="24" t="n">
        <f aca="false">IF(AG832="","",AH832-AG832)</f>
        <v>0</v>
      </c>
      <c r="AJ832" s="21" t="n">
        <v>4</v>
      </c>
      <c r="AK832" s="21" t="n">
        <v>0</v>
      </c>
      <c r="AL832" s="16" t="s">
        <v>335</v>
      </c>
      <c r="AM832" s="16"/>
      <c r="AN832" s="16" t="s">
        <v>340</v>
      </c>
      <c r="AO832" s="16" t="s">
        <v>340</v>
      </c>
      <c r="AP832" s="16" t="s">
        <v>335</v>
      </c>
      <c r="AQ832" s="16"/>
      <c r="AR832" s="21" t="n">
        <f aca="false">IF(AND(T832&lt;&gt;"",H832&lt;&gt;""),IF(AND((T832-H832)*86400&gt;=0,(T832-H832)*86400&lt;تنظیمات!$B$13),1,0),0)</f>
        <v>0</v>
      </c>
      <c r="AS832" s="21" t="n">
        <f aca="false">IF(Z832="پوز",IF(OR(AB832="",COUNTIF(پوزها!$A$2:$A$5,AA832)=0),1,0),0)</f>
        <v>0</v>
      </c>
      <c r="AT832" s="21" t="n">
        <f aca="false">IF(AI832="",0,IF(AI832&gt;0,1,0))</f>
        <v>0</v>
      </c>
      <c r="AU832" s="21" t="n">
        <f aca="false">IF(AI832="",0,IF(AI832&lt;0,1,0))</f>
        <v>0</v>
      </c>
      <c r="AV832" s="21" t="n">
        <f aca="false">IF(U832&gt;V832,1,0)</f>
        <v>0</v>
      </c>
      <c r="AW832" s="21" t="n">
        <f aca="false">IF(OR(W832&gt;تنظیمات!$B$8,X832="بله"),1,0)</f>
        <v>0</v>
      </c>
      <c r="AX832" s="21" t="n">
        <f aca="false">IF(AND(N832="بله",L832&gt;تنظیمات!$B$9),1,0)</f>
        <v>0</v>
      </c>
      <c r="AY832" s="21" t="n">
        <f aca="false">IF(Y832="معکوس",1,0)</f>
        <v>0</v>
      </c>
      <c r="AZ832" s="21" t="n">
        <f aca="false">IF(ABS(AJ832)&gt;تنظیمات!$B$10,1,0)</f>
        <v>0</v>
      </c>
      <c r="BA832" s="21" t="n">
        <f aca="false">IF(AND(OR(AD832="رایگان/VIP",AD832="جانباز"),AF832="خیر"),1,0)</f>
        <v>0</v>
      </c>
      <c r="BB832" s="21" t="n">
        <f aca="false">IF(AE832="",0,IF(COUNTIF($AE$2:$AE$1001,AE832)&gt;1,1,0))</f>
        <v>0</v>
      </c>
      <c r="BC832" s="21" t="n">
        <f aca="false">IF(AND(H832="",I832&gt;تنظیمات!$B$12*60,AM832="خالی"),1,0)</f>
        <v>0</v>
      </c>
      <c r="BD832" s="21" t="n">
        <f aca="false">IF(AND(AP832="بله",I832&lt;تنظیمات!$B$14,AO832="خیر"),1,0)</f>
        <v>0</v>
      </c>
      <c r="BE832" s="21" t="n">
        <f aca="false">IF(AN832="خیر",1,0)</f>
        <v>0</v>
      </c>
      <c r="BF832" s="21" t="n">
        <f aca="false">IF(AND(AD832="فیش مفقودی",AQ832="بله",I832&gt;تنظیمات!$B$12*60),1,0)</f>
        <v>0</v>
      </c>
      <c r="BG832" s="21" t="n">
        <f aca="false">IF(AND(AK832&gt;تنظیمات!$B$11,AL832="بله"),1,0)</f>
        <v>0</v>
      </c>
      <c r="BH832" s="21" t="n">
        <f aca="false">MIN(100,AR832*تنظیمات!$B$21+AS832*تنظیمات!$B$22+AT832*تنظیمات!$B$23+AU832*تنظیمات!$B$24+AV832*تنظیمات!$B$25+AW832*تنظیمات!$B$26+AX832*تنظیمات!$B$27+AY832*تنظیمات!$B$28+AZ832*تنظیمات!$B$29+BA832*تنظیمات!$B$30+BB832*تنظیمات!$B$31+BC832*تنظیمات!$B$32+BD832*تنظیمات!$B$33+BE832*تنظیمات!$B$34+BF832*تنظیمات!$B$35+BG832*تنظیمات!$B$36)</f>
        <v>0</v>
      </c>
      <c r="BI832" s="16" t="str">
        <f aca="false">IF(BH832&gt;=60,"بحرانی",IF(BH832&gt;=30,"مشکوک",IF(BH832&gt;0,"هشدار","عادی")))</f>
        <v>عادی</v>
      </c>
      <c r="BJ832" s="16" t="s">
        <v>338</v>
      </c>
    </row>
    <row r="833" customFormat="false" ht="15" hidden="false" customHeight="false" outlineLevel="0" collapsed="false">
      <c r="A833" s="16" t="s">
        <v>2853</v>
      </c>
      <c r="B833" s="16" t="s">
        <v>705</v>
      </c>
      <c r="C833" s="16"/>
      <c r="D833" s="16" t="s">
        <v>418</v>
      </c>
      <c r="E833" s="16" t="s">
        <v>345</v>
      </c>
      <c r="F833" s="16" t="s">
        <v>333</v>
      </c>
      <c r="G833" s="17" t="n">
        <v>46292.5063310185</v>
      </c>
      <c r="H833" s="17" t="n">
        <v>46292.588275463</v>
      </c>
      <c r="I833" s="18" t="n">
        <f aca="false">IF(H833="",ROUND((تنظیمات!$B$7-G833)*1440,0),ROUND((H833-G833)*1440,0))</f>
        <v>118</v>
      </c>
      <c r="J833" s="16" t="s">
        <v>334</v>
      </c>
      <c r="K833" s="16" t="s">
        <v>410</v>
      </c>
      <c r="L833" s="19" t="n">
        <v>0.995</v>
      </c>
      <c r="M833" s="19" t="n">
        <v>0.916</v>
      </c>
      <c r="N833" s="16" t="s">
        <v>335</v>
      </c>
      <c r="O833" s="16" t="s">
        <v>401</v>
      </c>
      <c r="P833" s="16" t="s">
        <v>420</v>
      </c>
      <c r="Q833" s="20" t="n">
        <v>46292</v>
      </c>
      <c r="R833" s="16" t="s">
        <v>2854</v>
      </c>
      <c r="S833" s="16" t="s">
        <v>404</v>
      </c>
      <c r="T833" s="17"/>
      <c r="U833" s="21" t="n">
        <v>1</v>
      </c>
      <c r="V833" s="21" t="n">
        <v>1</v>
      </c>
      <c r="W833" s="22" t="n">
        <v>4.7</v>
      </c>
      <c r="X833" s="16" t="s">
        <v>335</v>
      </c>
      <c r="Y833" s="16" t="s">
        <v>338</v>
      </c>
      <c r="Z833" s="16" t="s">
        <v>413</v>
      </c>
      <c r="AA833" s="16" t="s">
        <v>414</v>
      </c>
      <c r="AB833" s="23"/>
      <c r="AC833" s="17" t="n">
        <v>46292.5873263889</v>
      </c>
      <c r="AD833" s="16" t="s">
        <v>338</v>
      </c>
      <c r="AE833" s="16"/>
      <c r="AF833" s="16" t="str">
        <f aca="false">IF(COUNTIF(لیست_سفید!$A$2:$A$21,B833)&gt;0,"بله","خیر")</f>
        <v>خیر</v>
      </c>
      <c r="AG833" s="24" t="n">
        <f aca="false">IF(H833="","",IF(AD833="فیش مفقودی",تنظیمات!$B$6,(INT(I833/1440)*تنظیمات!$B$5+IF(MOD(I833,1440)&lt;=تنظیمات!$B$2,0,MIN(تنظیمات!$B$5,تنظیمات!$B$3+MAX(0,ROUNDUP((MOD(I833,1440)-60)/60,0))*تنظیمات!$B$4)))*INDEX(تعرفه!$B$2:$B$7,MATCH(AD833,تعرفه!$A$2:$A$7,0))))</f>
        <v>34000</v>
      </c>
      <c r="AH833" s="24" t="n">
        <v>34000</v>
      </c>
      <c r="AI833" s="24" t="n">
        <f aca="false">IF(AG833="","",AH833-AG833)</f>
        <v>0</v>
      </c>
      <c r="AJ833" s="21" t="n">
        <v>-3</v>
      </c>
      <c r="AK833" s="21" t="n">
        <v>0</v>
      </c>
      <c r="AL833" s="16" t="s">
        <v>335</v>
      </c>
      <c r="AM833" s="16"/>
      <c r="AN833" s="16" t="s">
        <v>340</v>
      </c>
      <c r="AO833" s="16" t="s">
        <v>340</v>
      </c>
      <c r="AP833" s="16" t="s">
        <v>335</v>
      </c>
      <c r="AQ833" s="16"/>
      <c r="AR833" s="21" t="n">
        <f aca="false">IF(AND(T833&lt;&gt;"",H833&lt;&gt;""),IF(AND((T833-H833)*86400&gt;=0,(T833-H833)*86400&lt;تنظیمات!$B$13),1,0),0)</f>
        <v>0</v>
      </c>
      <c r="AS833" s="21" t="n">
        <f aca="false">IF(Z833="پوز",IF(OR(AB833="",COUNTIF(پوزها!$A$2:$A$5,AA833)=0),1,0),0)</f>
        <v>1</v>
      </c>
      <c r="AT833" s="21" t="n">
        <f aca="false">IF(AI833="",0,IF(AI833&gt;0,1,0))</f>
        <v>0</v>
      </c>
      <c r="AU833" s="21" t="n">
        <f aca="false">IF(AI833="",0,IF(AI833&lt;0,1,0))</f>
        <v>0</v>
      </c>
      <c r="AV833" s="21" t="n">
        <f aca="false">IF(U833&gt;V833,1,0)</f>
        <v>0</v>
      </c>
      <c r="AW833" s="21" t="n">
        <f aca="false">IF(OR(W833&gt;تنظیمات!$B$8,X833="بله"),1,0)</f>
        <v>0</v>
      </c>
      <c r="AX833" s="21" t="n">
        <f aca="false">IF(AND(N833="بله",L833&gt;تنظیمات!$B$9),1,0)</f>
        <v>0</v>
      </c>
      <c r="AY833" s="21" t="n">
        <f aca="false">IF(Y833="معکوس",1,0)</f>
        <v>0</v>
      </c>
      <c r="AZ833" s="21" t="n">
        <f aca="false">IF(ABS(AJ833)&gt;تنظیمات!$B$10,1,0)</f>
        <v>0</v>
      </c>
      <c r="BA833" s="21" t="n">
        <f aca="false">IF(AND(OR(AD833="رایگان/VIP",AD833="جانباز"),AF833="خیر"),1,0)</f>
        <v>0</v>
      </c>
      <c r="BB833" s="21" t="n">
        <f aca="false">IF(AE833="",0,IF(COUNTIF($AE$2:$AE$1001,AE833)&gt;1,1,0))</f>
        <v>0</v>
      </c>
      <c r="BC833" s="21" t="n">
        <f aca="false">IF(AND(H833="",I833&gt;تنظیمات!$B$12*60,AM833="خالی"),1,0)</f>
        <v>0</v>
      </c>
      <c r="BD833" s="21" t="n">
        <f aca="false">IF(AND(AP833="بله",I833&lt;تنظیمات!$B$14,AO833="خیر"),1,0)</f>
        <v>0</v>
      </c>
      <c r="BE833" s="21" t="n">
        <f aca="false">IF(AN833="خیر",1,0)</f>
        <v>0</v>
      </c>
      <c r="BF833" s="21" t="n">
        <f aca="false">IF(AND(AD833="فیش مفقودی",AQ833="بله",I833&gt;تنظیمات!$B$12*60),1,0)</f>
        <v>0</v>
      </c>
      <c r="BG833" s="21" t="n">
        <f aca="false">IF(AND(AK833&gt;تنظیمات!$B$11,AL833="بله"),1,0)</f>
        <v>0</v>
      </c>
      <c r="BH833" s="21" t="n">
        <f aca="false">MIN(100,AR833*تنظیمات!$B$21+AS833*تنظیمات!$B$22+AT833*تنظیمات!$B$23+AU833*تنظیمات!$B$24+AV833*تنظیمات!$B$25+AW833*تنظیمات!$B$26+AX833*تنظیمات!$B$27+AY833*تنظیمات!$B$28+AZ833*تنظیمات!$B$29+BA833*تنظیمات!$B$30+BB833*تنظیمات!$B$31+BC833*تنظیمات!$B$32+BD833*تنظیمات!$B$33+BE833*تنظیمات!$B$34+BF833*تنظیمات!$B$35+BG833*تنظیمات!$B$36)</f>
        <v>35</v>
      </c>
      <c r="BI833" s="16" t="str">
        <f aca="false">IF(BH833&gt;=60,"بحرانی",IF(BH833&gt;=30,"مشکوک",IF(BH833&gt;0,"هشدار","عادی")))</f>
        <v>مشکوک</v>
      </c>
      <c r="BJ833" s="16" t="s">
        <v>722</v>
      </c>
    </row>
    <row r="834" customFormat="false" ht="15" hidden="false" customHeight="false" outlineLevel="0" collapsed="false">
      <c r="A834" s="16" t="s">
        <v>2855</v>
      </c>
      <c r="B834" s="16" t="s">
        <v>989</v>
      </c>
      <c r="C834" s="16"/>
      <c r="D834" s="16" t="s">
        <v>508</v>
      </c>
      <c r="E834" s="16" t="s">
        <v>375</v>
      </c>
      <c r="F834" s="16" t="s">
        <v>333</v>
      </c>
      <c r="G834" s="17" t="n">
        <v>46292.5071412037</v>
      </c>
      <c r="H834" s="17" t="n">
        <v>46292.7196412037</v>
      </c>
      <c r="I834" s="18" t="n">
        <f aca="false">IF(H834="",ROUND((تنظیمات!$B$7-G834)*1440,0),ROUND((H834-G834)*1440,0))</f>
        <v>306</v>
      </c>
      <c r="J834" s="16" t="s">
        <v>346</v>
      </c>
      <c r="K834" s="16" t="s">
        <v>410</v>
      </c>
      <c r="L834" s="19" t="n">
        <v>0.871</v>
      </c>
      <c r="M834" s="19" t="n">
        <v>0.995</v>
      </c>
      <c r="N834" s="16" t="s">
        <v>335</v>
      </c>
      <c r="O834" s="16" t="s">
        <v>401</v>
      </c>
      <c r="P834" s="16" t="s">
        <v>420</v>
      </c>
      <c r="Q834" s="20" t="n">
        <v>46292</v>
      </c>
      <c r="R834" s="16" t="s">
        <v>2856</v>
      </c>
      <c r="S834" s="16" t="s">
        <v>404</v>
      </c>
      <c r="T834" s="17"/>
      <c r="U834" s="21" t="n">
        <v>1</v>
      </c>
      <c r="V834" s="21" t="n">
        <v>1</v>
      </c>
      <c r="W834" s="22" t="n">
        <v>6.7</v>
      </c>
      <c r="X834" s="16" t="s">
        <v>335</v>
      </c>
      <c r="Y834" s="16" t="s">
        <v>338</v>
      </c>
      <c r="Z834" s="16" t="s">
        <v>443</v>
      </c>
      <c r="AA834" s="16"/>
      <c r="AB834" s="23"/>
      <c r="AC834" s="17"/>
      <c r="AD834" s="16" t="s">
        <v>444</v>
      </c>
      <c r="AE834" s="16"/>
      <c r="AF834" s="16" t="str">
        <f aca="false">IF(COUNTIF(لیست_سفید!$A$2:$A$21,B834)&gt;0,"بله","خیر")</f>
        <v>خیر</v>
      </c>
      <c r="AG834" s="24" t="n">
        <f aca="false">IF(H834="","",IF(AD834="فیش مفقودی",تنظیمات!$B$6,(INT(I834/1440)*تنظیمات!$B$5+IF(MOD(I834,1440)&lt;=تنظیمات!$B$2,0,MIN(تنظیمات!$B$5,تنظیمات!$B$3+MAX(0,ROUNDUP((MOD(I834,1440)-60)/60,0))*تنظیمات!$B$4)))*INDEX(تعرفه!$B$2:$B$7,MATCH(AD834,تعرفه!$A$2:$A$7,0))))</f>
        <v>0</v>
      </c>
      <c r="AH834" s="24" t="n">
        <v>0</v>
      </c>
      <c r="AI834" s="24" t="n">
        <f aca="false">IF(AG834="","",AH834-AG834)</f>
        <v>0</v>
      </c>
      <c r="AJ834" s="21" t="n">
        <v>-2</v>
      </c>
      <c r="AK834" s="21" t="n">
        <v>0</v>
      </c>
      <c r="AL834" s="16" t="s">
        <v>335</v>
      </c>
      <c r="AM834" s="16"/>
      <c r="AN834" s="16" t="s">
        <v>340</v>
      </c>
      <c r="AO834" s="16" t="s">
        <v>340</v>
      </c>
      <c r="AP834" s="16" t="s">
        <v>335</v>
      </c>
      <c r="AQ834" s="16"/>
      <c r="AR834" s="21" t="n">
        <f aca="false">IF(AND(T834&lt;&gt;"",H834&lt;&gt;""),IF(AND((T834-H834)*86400&gt;=0,(T834-H834)*86400&lt;تنظیمات!$B$13),1,0),0)</f>
        <v>0</v>
      </c>
      <c r="AS834" s="21" t="n">
        <f aca="false">IF(Z834="پوز",IF(OR(AB834="",COUNTIF(پوزها!$A$2:$A$5,AA834)=0),1,0),0)</f>
        <v>0</v>
      </c>
      <c r="AT834" s="21" t="n">
        <f aca="false">IF(AI834="",0,IF(AI834&gt;0,1,0))</f>
        <v>0</v>
      </c>
      <c r="AU834" s="21" t="n">
        <f aca="false">IF(AI834="",0,IF(AI834&lt;0,1,0))</f>
        <v>0</v>
      </c>
      <c r="AV834" s="21" t="n">
        <f aca="false">IF(U834&gt;V834,1,0)</f>
        <v>0</v>
      </c>
      <c r="AW834" s="21" t="n">
        <f aca="false">IF(OR(W834&gt;تنظیمات!$B$8,X834="بله"),1,0)</f>
        <v>0</v>
      </c>
      <c r="AX834" s="21" t="n">
        <f aca="false">IF(AND(N834="بله",L834&gt;تنظیمات!$B$9),1,0)</f>
        <v>0</v>
      </c>
      <c r="AY834" s="21" t="n">
        <f aca="false">IF(Y834="معکوس",1,0)</f>
        <v>0</v>
      </c>
      <c r="AZ834" s="21" t="n">
        <f aca="false">IF(ABS(AJ834)&gt;تنظیمات!$B$10,1,0)</f>
        <v>0</v>
      </c>
      <c r="BA834" s="21" t="n">
        <f aca="false">IF(AND(OR(AD834="رایگان/VIP",AD834="جانباز"),AF834="خیر"),1,0)</f>
        <v>0</v>
      </c>
      <c r="BB834" s="21" t="n">
        <f aca="false">IF(AE834="",0,IF(COUNTIF($AE$2:$AE$1001,AE834)&gt;1,1,0))</f>
        <v>0</v>
      </c>
      <c r="BC834" s="21" t="n">
        <f aca="false">IF(AND(H834="",I834&gt;تنظیمات!$B$12*60,AM834="خالی"),1,0)</f>
        <v>0</v>
      </c>
      <c r="BD834" s="21" t="n">
        <f aca="false">IF(AND(AP834="بله",I834&lt;تنظیمات!$B$14,AO834="خیر"),1,0)</f>
        <v>0</v>
      </c>
      <c r="BE834" s="21" t="n">
        <f aca="false">IF(AN834="خیر",1,0)</f>
        <v>0</v>
      </c>
      <c r="BF834" s="21" t="n">
        <f aca="false">IF(AND(AD834="فیش مفقودی",AQ834="بله",I834&gt;تنظیمات!$B$12*60),1,0)</f>
        <v>0</v>
      </c>
      <c r="BG834" s="21" t="n">
        <f aca="false">IF(AND(AK834&gt;تنظیمات!$B$11,AL834="بله"),1,0)</f>
        <v>0</v>
      </c>
      <c r="BH834" s="21" t="n">
        <f aca="false">MIN(100,AR834*تنظیمات!$B$21+AS834*تنظیمات!$B$22+AT834*تنظیمات!$B$23+AU834*تنظیمات!$B$24+AV834*تنظیمات!$B$25+AW834*تنظیمات!$B$26+AX834*تنظیمات!$B$27+AY834*تنظیمات!$B$28+AZ834*تنظیمات!$B$29+BA834*تنظیمات!$B$30+BB834*تنظیمات!$B$31+BC834*تنظیمات!$B$32+BD834*تنظیمات!$B$33+BE834*تنظیمات!$B$34+BF834*تنظیمات!$B$35+BG834*تنظیمات!$B$36)</f>
        <v>0</v>
      </c>
      <c r="BI834" s="16" t="str">
        <f aca="false">IF(BH834&gt;=60,"بحرانی",IF(BH834&gt;=30,"مشکوک",IF(BH834&gt;0,"هشدار","عادی")))</f>
        <v>عادی</v>
      </c>
      <c r="BJ834" s="16" t="s">
        <v>338</v>
      </c>
    </row>
    <row r="835" customFormat="false" ht="15" hidden="false" customHeight="false" outlineLevel="0" collapsed="false">
      <c r="A835" s="16" t="s">
        <v>2857</v>
      </c>
      <c r="B835" s="16" t="s">
        <v>2224</v>
      </c>
      <c r="C835" s="16"/>
      <c r="D835" s="16" t="s">
        <v>374</v>
      </c>
      <c r="E835" s="16" t="s">
        <v>345</v>
      </c>
      <c r="F835" s="16" t="s">
        <v>359</v>
      </c>
      <c r="G835" s="17" t="n">
        <v>46292.508587963</v>
      </c>
      <c r="H835" s="17" t="n">
        <v>46292.5419212963</v>
      </c>
      <c r="I835" s="18" t="n">
        <f aca="false">IF(H835="",ROUND((تنظیمات!$B$7-G835)*1440,0),ROUND((H835-G835)*1440,0))</f>
        <v>48</v>
      </c>
      <c r="J835" s="16" t="s">
        <v>346</v>
      </c>
      <c r="K835" s="16" t="s">
        <v>410</v>
      </c>
      <c r="L835" s="19" t="n">
        <v>0.926</v>
      </c>
      <c r="M835" s="19" t="n">
        <v>0.943</v>
      </c>
      <c r="N835" s="16" t="s">
        <v>335</v>
      </c>
      <c r="O835" s="16" t="s">
        <v>441</v>
      </c>
      <c r="P835" s="16" t="s">
        <v>402</v>
      </c>
      <c r="Q835" s="20" t="n">
        <v>46292</v>
      </c>
      <c r="R835" s="16" t="s">
        <v>2858</v>
      </c>
      <c r="S835" s="16" t="s">
        <v>404</v>
      </c>
      <c r="T835" s="17"/>
      <c r="U835" s="21" t="n">
        <v>1</v>
      </c>
      <c r="V835" s="21" t="n">
        <v>1</v>
      </c>
      <c r="W835" s="22" t="n">
        <v>5.8</v>
      </c>
      <c r="X835" s="16" t="s">
        <v>335</v>
      </c>
      <c r="Y835" s="16" t="s">
        <v>338</v>
      </c>
      <c r="Z835" s="16" t="s">
        <v>413</v>
      </c>
      <c r="AA835" s="16" t="s">
        <v>414</v>
      </c>
      <c r="AB835" s="23" t="s">
        <v>2859</v>
      </c>
      <c r="AC835" s="17" t="n">
        <v>46292.5410532407</v>
      </c>
      <c r="AD835" s="16" t="s">
        <v>338</v>
      </c>
      <c r="AE835" s="16"/>
      <c r="AF835" s="16" t="str">
        <f aca="false">IF(COUNTIF(لیست_سفید!$A$2:$A$21,B835)&gt;0,"بله","خیر")</f>
        <v>خیر</v>
      </c>
      <c r="AG835" s="24" t="n">
        <f aca="false">IF(H835="","",IF(AD835="فیش مفقودی",تنظیمات!$B$6,(INT(I835/1440)*تنظیمات!$B$5+IF(MOD(I835,1440)&lt;=تنظیمات!$B$2,0,MIN(تنظیمات!$B$5,تنظیمات!$B$3+MAX(0,ROUNDUP((MOD(I835,1440)-60)/60,0))*تنظیمات!$B$4)))*INDEX(تعرفه!$B$2:$B$7,MATCH(AD835,تعرفه!$A$2:$A$7,0))))</f>
        <v>20000</v>
      </c>
      <c r="AH835" s="24" t="n">
        <v>20000</v>
      </c>
      <c r="AI835" s="24" t="n">
        <f aca="false">IF(AG835="","",AH835-AG835)</f>
        <v>0</v>
      </c>
      <c r="AJ835" s="21" t="n">
        <v>0</v>
      </c>
      <c r="AK835" s="21" t="n">
        <v>0</v>
      </c>
      <c r="AL835" s="16" t="s">
        <v>335</v>
      </c>
      <c r="AM835" s="16"/>
      <c r="AN835" s="16" t="s">
        <v>340</v>
      </c>
      <c r="AO835" s="16" t="s">
        <v>340</v>
      </c>
      <c r="AP835" s="16" t="s">
        <v>335</v>
      </c>
      <c r="AQ835" s="16"/>
      <c r="AR835" s="21" t="n">
        <f aca="false">IF(AND(T835&lt;&gt;"",H835&lt;&gt;""),IF(AND((T835-H835)*86400&gt;=0,(T835-H835)*86400&lt;تنظیمات!$B$13),1,0),0)</f>
        <v>0</v>
      </c>
      <c r="AS835" s="21" t="n">
        <f aca="false">IF(Z835="پوز",IF(OR(AB835="",COUNTIF(پوزها!$A$2:$A$5,AA835)=0),1,0),0)</f>
        <v>0</v>
      </c>
      <c r="AT835" s="21" t="n">
        <f aca="false">IF(AI835="",0,IF(AI835&gt;0,1,0))</f>
        <v>0</v>
      </c>
      <c r="AU835" s="21" t="n">
        <f aca="false">IF(AI835="",0,IF(AI835&lt;0,1,0))</f>
        <v>0</v>
      </c>
      <c r="AV835" s="21" t="n">
        <f aca="false">IF(U835&gt;V835,1,0)</f>
        <v>0</v>
      </c>
      <c r="AW835" s="21" t="n">
        <f aca="false">IF(OR(W835&gt;تنظیمات!$B$8,X835="بله"),1,0)</f>
        <v>0</v>
      </c>
      <c r="AX835" s="21" t="n">
        <f aca="false">IF(AND(N835="بله",L835&gt;تنظیمات!$B$9),1,0)</f>
        <v>0</v>
      </c>
      <c r="AY835" s="21" t="n">
        <f aca="false">IF(Y835="معکوس",1,0)</f>
        <v>0</v>
      </c>
      <c r="AZ835" s="21" t="n">
        <f aca="false">IF(ABS(AJ835)&gt;تنظیمات!$B$10,1,0)</f>
        <v>0</v>
      </c>
      <c r="BA835" s="21" t="n">
        <f aca="false">IF(AND(OR(AD835="رایگان/VIP",AD835="جانباز"),AF835="خیر"),1,0)</f>
        <v>0</v>
      </c>
      <c r="BB835" s="21" t="n">
        <f aca="false">IF(AE835="",0,IF(COUNTIF($AE$2:$AE$1001,AE835)&gt;1,1,0))</f>
        <v>0</v>
      </c>
      <c r="BC835" s="21" t="n">
        <f aca="false">IF(AND(H835="",I835&gt;تنظیمات!$B$12*60,AM835="خالی"),1,0)</f>
        <v>0</v>
      </c>
      <c r="BD835" s="21" t="n">
        <f aca="false">IF(AND(AP835="بله",I835&lt;تنظیمات!$B$14,AO835="خیر"),1,0)</f>
        <v>0</v>
      </c>
      <c r="BE835" s="21" t="n">
        <f aca="false">IF(AN835="خیر",1,0)</f>
        <v>0</v>
      </c>
      <c r="BF835" s="21" t="n">
        <f aca="false">IF(AND(AD835="فیش مفقودی",AQ835="بله",I835&gt;تنظیمات!$B$12*60),1,0)</f>
        <v>0</v>
      </c>
      <c r="BG835" s="21" t="n">
        <f aca="false">IF(AND(AK835&gt;تنظیمات!$B$11,AL835="بله"),1,0)</f>
        <v>0</v>
      </c>
      <c r="BH835" s="21" t="n">
        <f aca="false">MIN(100,AR835*تنظیمات!$B$21+AS835*تنظیمات!$B$22+AT835*تنظیمات!$B$23+AU835*تنظیمات!$B$24+AV835*تنظیمات!$B$25+AW835*تنظیمات!$B$26+AX835*تنظیمات!$B$27+AY835*تنظیمات!$B$28+AZ835*تنظیمات!$B$29+BA835*تنظیمات!$B$30+BB835*تنظیمات!$B$31+BC835*تنظیمات!$B$32+BD835*تنظیمات!$B$33+BE835*تنظیمات!$B$34+BF835*تنظیمات!$B$35+BG835*تنظیمات!$B$36)</f>
        <v>0</v>
      </c>
      <c r="BI835" s="16" t="str">
        <f aca="false">IF(BH835&gt;=60,"بحرانی",IF(BH835&gt;=30,"مشکوک",IF(BH835&gt;0,"هشدار","عادی")))</f>
        <v>عادی</v>
      </c>
      <c r="BJ835" s="16" t="s">
        <v>338</v>
      </c>
    </row>
    <row r="836" customFormat="false" ht="15" hidden="false" customHeight="false" outlineLevel="0" collapsed="false">
      <c r="A836" s="16" t="s">
        <v>2860</v>
      </c>
      <c r="B836" s="16" t="s">
        <v>2405</v>
      </c>
      <c r="C836" s="16"/>
      <c r="D836" s="16" t="s">
        <v>523</v>
      </c>
      <c r="E836" s="16" t="s">
        <v>351</v>
      </c>
      <c r="F836" s="16" t="s">
        <v>333</v>
      </c>
      <c r="G836" s="17" t="n">
        <v>46292.5196643519</v>
      </c>
      <c r="H836" s="17" t="n">
        <v>46292.5731365741</v>
      </c>
      <c r="I836" s="18" t="n">
        <f aca="false">IF(H836="",ROUND((تنظیمات!$B$7-G836)*1440,0),ROUND((H836-G836)*1440,0))</f>
        <v>77</v>
      </c>
      <c r="J836" s="16" t="s">
        <v>346</v>
      </c>
      <c r="K836" s="16" t="s">
        <v>400</v>
      </c>
      <c r="L836" s="19" t="n">
        <v>0.96</v>
      </c>
      <c r="M836" s="19" t="n">
        <v>0.941</v>
      </c>
      <c r="N836" s="16" t="s">
        <v>335</v>
      </c>
      <c r="O836" s="16" t="s">
        <v>425</v>
      </c>
      <c r="P836" s="16" t="s">
        <v>402</v>
      </c>
      <c r="Q836" s="20" t="n">
        <v>46292</v>
      </c>
      <c r="R836" s="16" t="s">
        <v>2861</v>
      </c>
      <c r="S836" s="16" t="s">
        <v>404</v>
      </c>
      <c r="T836" s="17"/>
      <c r="U836" s="21" t="n">
        <v>1</v>
      </c>
      <c r="V836" s="21" t="n">
        <v>1</v>
      </c>
      <c r="W836" s="22" t="n">
        <v>4.6</v>
      </c>
      <c r="X836" s="16" t="s">
        <v>335</v>
      </c>
      <c r="Y836" s="16" t="s">
        <v>338</v>
      </c>
      <c r="Z836" s="16" t="s">
        <v>413</v>
      </c>
      <c r="AA836" s="16" t="s">
        <v>427</v>
      </c>
      <c r="AB836" s="23" t="s">
        <v>2862</v>
      </c>
      <c r="AC836" s="17" t="n">
        <v>46292.5728587963</v>
      </c>
      <c r="AD836" s="16" t="s">
        <v>338</v>
      </c>
      <c r="AE836" s="16"/>
      <c r="AF836" s="16" t="str">
        <f aca="false">IF(COUNTIF(لیست_سفید!$A$2:$A$21,B836)&gt;0,"بله","خیر")</f>
        <v>خیر</v>
      </c>
      <c r="AG836" s="24" t="n">
        <f aca="false">IF(H836="","",IF(AD836="فیش مفقودی",تنظیمات!$B$6,(INT(I836/1440)*تنظیمات!$B$5+IF(MOD(I836,1440)&lt;=تنظیمات!$B$2,0,MIN(تنظیمات!$B$5,تنظیمات!$B$3+MAX(0,ROUNDUP((MOD(I836,1440)-60)/60,0))*تنظیمات!$B$4)))*INDEX(تعرفه!$B$2:$B$7,MATCH(AD836,تعرفه!$A$2:$A$7,0))))</f>
        <v>34000</v>
      </c>
      <c r="AH836" s="24" t="n">
        <v>34000</v>
      </c>
      <c r="AI836" s="24" t="n">
        <f aca="false">IF(AG836="","",AH836-AG836)</f>
        <v>0</v>
      </c>
      <c r="AJ836" s="21" t="n">
        <v>3</v>
      </c>
      <c r="AK836" s="21" t="n">
        <v>0</v>
      </c>
      <c r="AL836" s="16" t="s">
        <v>335</v>
      </c>
      <c r="AM836" s="16"/>
      <c r="AN836" s="16" t="s">
        <v>340</v>
      </c>
      <c r="AO836" s="16" t="s">
        <v>340</v>
      </c>
      <c r="AP836" s="16" t="s">
        <v>335</v>
      </c>
      <c r="AQ836" s="16"/>
      <c r="AR836" s="21" t="n">
        <f aca="false">IF(AND(T836&lt;&gt;"",H836&lt;&gt;""),IF(AND((T836-H836)*86400&gt;=0,(T836-H836)*86400&lt;تنظیمات!$B$13),1,0),0)</f>
        <v>0</v>
      </c>
      <c r="AS836" s="21" t="n">
        <f aca="false">IF(Z836="پوز",IF(OR(AB836="",COUNTIF(پوزها!$A$2:$A$5,AA836)=0),1,0),0)</f>
        <v>0</v>
      </c>
      <c r="AT836" s="21" t="n">
        <f aca="false">IF(AI836="",0,IF(AI836&gt;0,1,0))</f>
        <v>0</v>
      </c>
      <c r="AU836" s="21" t="n">
        <f aca="false">IF(AI836="",0,IF(AI836&lt;0,1,0))</f>
        <v>0</v>
      </c>
      <c r="AV836" s="21" t="n">
        <f aca="false">IF(U836&gt;V836,1,0)</f>
        <v>0</v>
      </c>
      <c r="AW836" s="21" t="n">
        <f aca="false">IF(OR(W836&gt;تنظیمات!$B$8,X836="بله"),1,0)</f>
        <v>0</v>
      </c>
      <c r="AX836" s="21" t="n">
        <f aca="false">IF(AND(N836="بله",L836&gt;تنظیمات!$B$9),1,0)</f>
        <v>0</v>
      </c>
      <c r="AY836" s="21" t="n">
        <f aca="false">IF(Y836="معکوس",1,0)</f>
        <v>0</v>
      </c>
      <c r="AZ836" s="21" t="n">
        <f aca="false">IF(ABS(AJ836)&gt;تنظیمات!$B$10,1,0)</f>
        <v>0</v>
      </c>
      <c r="BA836" s="21" t="n">
        <f aca="false">IF(AND(OR(AD836="رایگان/VIP",AD836="جانباز"),AF836="خیر"),1,0)</f>
        <v>0</v>
      </c>
      <c r="BB836" s="21" t="n">
        <f aca="false">IF(AE836="",0,IF(COUNTIF($AE$2:$AE$1001,AE836)&gt;1,1,0))</f>
        <v>0</v>
      </c>
      <c r="BC836" s="21" t="n">
        <f aca="false">IF(AND(H836="",I836&gt;تنظیمات!$B$12*60,AM836="خالی"),1,0)</f>
        <v>0</v>
      </c>
      <c r="BD836" s="21" t="n">
        <f aca="false">IF(AND(AP836="بله",I836&lt;تنظیمات!$B$14,AO836="خیر"),1,0)</f>
        <v>0</v>
      </c>
      <c r="BE836" s="21" t="n">
        <f aca="false">IF(AN836="خیر",1,0)</f>
        <v>0</v>
      </c>
      <c r="BF836" s="21" t="n">
        <f aca="false">IF(AND(AD836="فیش مفقودی",AQ836="بله",I836&gt;تنظیمات!$B$12*60),1,0)</f>
        <v>0</v>
      </c>
      <c r="BG836" s="21" t="n">
        <f aca="false">IF(AND(AK836&gt;تنظیمات!$B$11,AL836="بله"),1,0)</f>
        <v>0</v>
      </c>
      <c r="BH836" s="21" t="n">
        <f aca="false">MIN(100,AR836*تنظیمات!$B$21+AS836*تنظیمات!$B$22+AT836*تنظیمات!$B$23+AU836*تنظیمات!$B$24+AV836*تنظیمات!$B$25+AW836*تنظیمات!$B$26+AX836*تنظیمات!$B$27+AY836*تنظیمات!$B$28+AZ836*تنظیمات!$B$29+BA836*تنظیمات!$B$30+BB836*تنظیمات!$B$31+BC836*تنظیمات!$B$32+BD836*تنظیمات!$B$33+BE836*تنظیمات!$B$34+BF836*تنظیمات!$B$35+BG836*تنظیمات!$B$36)</f>
        <v>0</v>
      </c>
      <c r="BI836" s="16" t="str">
        <f aca="false">IF(BH836&gt;=60,"بحرانی",IF(BH836&gt;=30,"مشکوک",IF(BH836&gt;0,"هشدار","عادی")))</f>
        <v>عادی</v>
      </c>
      <c r="BJ836" s="16" t="s">
        <v>338</v>
      </c>
    </row>
    <row r="837" customFormat="false" ht="15" hidden="false" customHeight="false" outlineLevel="0" collapsed="false">
      <c r="A837" s="16" t="s">
        <v>2863</v>
      </c>
      <c r="B837" s="16" t="s">
        <v>2153</v>
      </c>
      <c r="C837" s="16"/>
      <c r="D837" s="16" t="s">
        <v>508</v>
      </c>
      <c r="E837" s="16" t="s">
        <v>375</v>
      </c>
      <c r="F837" s="16" t="s">
        <v>333</v>
      </c>
      <c r="G837" s="17" t="n">
        <v>46292.5225462963</v>
      </c>
      <c r="H837" s="17" t="n">
        <v>46292.5510185185</v>
      </c>
      <c r="I837" s="18" t="n">
        <f aca="false">IF(H837="",ROUND((تنظیمات!$B$7-G837)*1440,0),ROUND((H837-G837)*1440,0))</f>
        <v>41</v>
      </c>
      <c r="J837" s="16" t="s">
        <v>346</v>
      </c>
      <c r="K837" s="16" t="s">
        <v>410</v>
      </c>
      <c r="L837" s="19" t="n">
        <v>0.92</v>
      </c>
      <c r="M837" s="19" t="n">
        <v>0.971</v>
      </c>
      <c r="N837" s="16" t="s">
        <v>335</v>
      </c>
      <c r="O837" s="16" t="s">
        <v>441</v>
      </c>
      <c r="P837" s="16" t="s">
        <v>402</v>
      </c>
      <c r="Q837" s="20" t="n">
        <v>46292</v>
      </c>
      <c r="R837" s="16" t="s">
        <v>2864</v>
      </c>
      <c r="S837" s="16" t="s">
        <v>404</v>
      </c>
      <c r="T837" s="17"/>
      <c r="U837" s="21" t="n">
        <v>1</v>
      </c>
      <c r="V837" s="21" t="n">
        <v>1</v>
      </c>
      <c r="W837" s="22" t="n">
        <v>4</v>
      </c>
      <c r="X837" s="16" t="s">
        <v>335</v>
      </c>
      <c r="Y837" s="16" t="s">
        <v>338</v>
      </c>
      <c r="Z837" s="16" t="s">
        <v>413</v>
      </c>
      <c r="AA837" s="16" t="s">
        <v>414</v>
      </c>
      <c r="AB837" s="23" t="s">
        <v>2865</v>
      </c>
      <c r="AC837" s="17" t="n">
        <v>46292.55</v>
      </c>
      <c r="AD837" s="16" t="s">
        <v>338</v>
      </c>
      <c r="AE837" s="16"/>
      <c r="AF837" s="16" t="str">
        <f aca="false">IF(COUNTIF(لیست_سفید!$A$2:$A$21,B837)&gt;0,"بله","خیر")</f>
        <v>خیر</v>
      </c>
      <c r="AG837" s="24" t="n">
        <f aca="false">IF(H837="","",IF(AD837="فیش مفقودی",تنظیمات!$B$6,(INT(I837/1440)*تنظیمات!$B$5+IF(MOD(I837,1440)&lt;=تنظیمات!$B$2,0,MIN(تنظیمات!$B$5,تنظیمات!$B$3+MAX(0,ROUNDUP((MOD(I837,1440)-60)/60,0))*تنظیمات!$B$4)))*INDEX(تعرفه!$B$2:$B$7,MATCH(AD837,تعرفه!$A$2:$A$7,0))))</f>
        <v>20000</v>
      </c>
      <c r="AH837" s="24" t="n">
        <v>20000</v>
      </c>
      <c r="AI837" s="24" t="n">
        <f aca="false">IF(AG837="","",AH837-AG837)</f>
        <v>0</v>
      </c>
      <c r="AJ837" s="21" t="n">
        <v>0</v>
      </c>
      <c r="AK837" s="21" t="n">
        <v>0</v>
      </c>
      <c r="AL837" s="16" t="s">
        <v>335</v>
      </c>
      <c r="AM837" s="16"/>
      <c r="AN837" s="16" t="s">
        <v>340</v>
      </c>
      <c r="AO837" s="16" t="s">
        <v>340</v>
      </c>
      <c r="AP837" s="16" t="s">
        <v>335</v>
      </c>
      <c r="AQ837" s="16"/>
      <c r="AR837" s="21" t="n">
        <f aca="false">IF(AND(T837&lt;&gt;"",H837&lt;&gt;""),IF(AND((T837-H837)*86400&gt;=0,(T837-H837)*86400&lt;تنظیمات!$B$13),1,0),0)</f>
        <v>0</v>
      </c>
      <c r="AS837" s="21" t="n">
        <f aca="false">IF(Z837="پوز",IF(OR(AB837="",COUNTIF(پوزها!$A$2:$A$5,AA837)=0),1,0),0)</f>
        <v>0</v>
      </c>
      <c r="AT837" s="21" t="n">
        <f aca="false">IF(AI837="",0,IF(AI837&gt;0,1,0))</f>
        <v>0</v>
      </c>
      <c r="AU837" s="21" t="n">
        <f aca="false">IF(AI837="",0,IF(AI837&lt;0,1,0))</f>
        <v>0</v>
      </c>
      <c r="AV837" s="21" t="n">
        <f aca="false">IF(U837&gt;V837,1,0)</f>
        <v>0</v>
      </c>
      <c r="AW837" s="21" t="n">
        <f aca="false">IF(OR(W837&gt;تنظیمات!$B$8,X837="بله"),1,0)</f>
        <v>0</v>
      </c>
      <c r="AX837" s="21" t="n">
        <f aca="false">IF(AND(N837="بله",L837&gt;تنظیمات!$B$9),1,0)</f>
        <v>0</v>
      </c>
      <c r="AY837" s="21" t="n">
        <f aca="false">IF(Y837="معکوس",1,0)</f>
        <v>0</v>
      </c>
      <c r="AZ837" s="21" t="n">
        <f aca="false">IF(ABS(AJ837)&gt;تنظیمات!$B$10,1,0)</f>
        <v>0</v>
      </c>
      <c r="BA837" s="21" t="n">
        <f aca="false">IF(AND(OR(AD837="رایگان/VIP",AD837="جانباز"),AF837="خیر"),1,0)</f>
        <v>0</v>
      </c>
      <c r="BB837" s="21" t="n">
        <f aca="false">IF(AE837="",0,IF(COUNTIF($AE$2:$AE$1001,AE837)&gt;1,1,0))</f>
        <v>0</v>
      </c>
      <c r="BC837" s="21" t="n">
        <f aca="false">IF(AND(H837="",I837&gt;تنظیمات!$B$12*60,AM837="خالی"),1,0)</f>
        <v>0</v>
      </c>
      <c r="BD837" s="21" t="n">
        <f aca="false">IF(AND(AP837="بله",I837&lt;تنظیمات!$B$14,AO837="خیر"),1,0)</f>
        <v>0</v>
      </c>
      <c r="BE837" s="21" t="n">
        <f aca="false">IF(AN837="خیر",1,0)</f>
        <v>0</v>
      </c>
      <c r="BF837" s="21" t="n">
        <f aca="false">IF(AND(AD837="فیش مفقودی",AQ837="بله",I837&gt;تنظیمات!$B$12*60),1,0)</f>
        <v>0</v>
      </c>
      <c r="BG837" s="21" t="n">
        <f aca="false">IF(AND(AK837&gt;تنظیمات!$B$11,AL837="بله"),1,0)</f>
        <v>0</v>
      </c>
      <c r="BH837" s="21" t="n">
        <f aca="false">MIN(100,AR837*تنظیمات!$B$21+AS837*تنظیمات!$B$22+AT837*تنظیمات!$B$23+AU837*تنظیمات!$B$24+AV837*تنظیمات!$B$25+AW837*تنظیمات!$B$26+AX837*تنظیمات!$B$27+AY837*تنظیمات!$B$28+AZ837*تنظیمات!$B$29+BA837*تنظیمات!$B$30+BB837*تنظیمات!$B$31+BC837*تنظیمات!$B$32+BD837*تنظیمات!$B$33+BE837*تنظیمات!$B$34+BF837*تنظیمات!$B$35+BG837*تنظیمات!$B$36)</f>
        <v>0</v>
      </c>
      <c r="BI837" s="16" t="str">
        <f aca="false">IF(BH837&gt;=60,"بحرانی",IF(BH837&gt;=30,"مشکوک",IF(BH837&gt;0,"هشدار","عادی")))</f>
        <v>عادی</v>
      </c>
      <c r="BJ837" s="16" t="s">
        <v>338</v>
      </c>
    </row>
    <row r="838" customFormat="false" ht="15" hidden="false" customHeight="false" outlineLevel="0" collapsed="false">
      <c r="A838" s="16" t="s">
        <v>2866</v>
      </c>
      <c r="B838" s="16" t="s">
        <v>2867</v>
      </c>
      <c r="C838" s="16"/>
      <c r="D838" s="16" t="s">
        <v>370</v>
      </c>
      <c r="E838" s="16" t="s">
        <v>345</v>
      </c>
      <c r="F838" s="16" t="s">
        <v>333</v>
      </c>
      <c r="G838" s="17" t="n">
        <v>46292.5465856482</v>
      </c>
      <c r="H838" s="17" t="n">
        <v>46292.5549189815</v>
      </c>
      <c r="I838" s="18" t="n">
        <f aca="false">IF(H838="",ROUND((تنظیمات!$B$7-G838)*1440,0),ROUND((H838-G838)*1440,0))</f>
        <v>12</v>
      </c>
      <c r="J838" s="16" t="s">
        <v>334</v>
      </c>
      <c r="K838" s="16" t="s">
        <v>410</v>
      </c>
      <c r="L838" s="19" t="n">
        <v>0.933</v>
      </c>
      <c r="M838" s="19" t="n">
        <v>0.944</v>
      </c>
      <c r="N838" s="16" t="s">
        <v>335</v>
      </c>
      <c r="O838" s="16" t="s">
        <v>441</v>
      </c>
      <c r="P838" s="16" t="s">
        <v>402</v>
      </c>
      <c r="Q838" s="20" t="n">
        <v>46292</v>
      </c>
      <c r="R838" s="16" t="s">
        <v>2868</v>
      </c>
      <c r="S838" s="16" t="s">
        <v>404</v>
      </c>
      <c r="T838" s="17"/>
      <c r="U838" s="21" t="n">
        <v>1</v>
      </c>
      <c r="V838" s="21" t="n">
        <v>1</v>
      </c>
      <c r="W838" s="22" t="n">
        <v>5.6</v>
      </c>
      <c r="X838" s="16" t="s">
        <v>335</v>
      </c>
      <c r="Y838" s="16" t="s">
        <v>338</v>
      </c>
      <c r="Z838" s="16" t="s">
        <v>413</v>
      </c>
      <c r="AA838" s="16" t="s">
        <v>414</v>
      </c>
      <c r="AB838" s="23" t="s">
        <v>2869</v>
      </c>
      <c r="AC838" s="17" t="n">
        <v>46292.5543518519</v>
      </c>
      <c r="AD838" s="16" t="s">
        <v>338</v>
      </c>
      <c r="AE838" s="16"/>
      <c r="AF838" s="16" t="str">
        <f aca="false">IF(COUNTIF(لیست_سفید!$A$2:$A$21,B838)&gt;0,"بله","خیر")</f>
        <v>خیر</v>
      </c>
      <c r="AG838" s="24" t="n">
        <f aca="false">IF(H838="","",IF(AD838="فیش مفقودی",تنظیمات!$B$6,(INT(I838/1440)*تنظیمات!$B$5+IF(MOD(I838,1440)&lt;=تنظیمات!$B$2,0,MIN(تنظیمات!$B$5,تنظیمات!$B$3+MAX(0,ROUNDUP((MOD(I838,1440)-60)/60,0))*تنظیمات!$B$4)))*INDEX(تعرفه!$B$2:$B$7,MATCH(AD838,تعرفه!$A$2:$A$7,0))))</f>
        <v>20000</v>
      </c>
      <c r="AH838" s="24" t="n">
        <v>20000</v>
      </c>
      <c r="AI838" s="24" t="n">
        <f aca="false">IF(AG838="","",AH838-AG838)</f>
        <v>0</v>
      </c>
      <c r="AJ838" s="21" t="n">
        <v>0</v>
      </c>
      <c r="AK838" s="21" t="n">
        <v>0</v>
      </c>
      <c r="AL838" s="16" t="s">
        <v>335</v>
      </c>
      <c r="AM838" s="16"/>
      <c r="AN838" s="16" t="s">
        <v>340</v>
      </c>
      <c r="AO838" s="16" t="s">
        <v>340</v>
      </c>
      <c r="AP838" s="16" t="s">
        <v>335</v>
      </c>
      <c r="AQ838" s="16"/>
      <c r="AR838" s="21" t="n">
        <f aca="false">IF(AND(T838&lt;&gt;"",H838&lt;&gt;""),IF(AND((T838-H838)*86400&gt;=0,(T838-H838)*86400&lt;تنظیمات!$B$13),1,0),0)</f>
        <v>0</v>
      </c>
      <c r="AS838" s="21" t="n">
        <f aca="false">IF(Z838="پوز",IF(OR(AB838="",COUNTIF(پوزها!$A$2:$A$5,AA838)=0),1,0),0)</f>
        <v>0</v>
      </c>
      <c r="AT838" s="21" t="n">
        <f aca="false">IF(AI838="",0,IF(AI838&gt;0,1,0))</f>
        <v>0</v>
      </c>
      <c r="AU838" s="21" t="n">
        <f aca="false">IF(AI838="",0,IF(AI838&lt;0,1,0))</f>
        <v>0</v>
      </c>
      <c r="AV838" s="21" t="n">
        <f aca="false">IF(U838&gt;V838,1,0)</f>
        <v>0</v>
      </c>
      <c r="AW838" s="21" t="n">
        <f aca="false">IF(OR(W838&gt;تنظیمات!$B$8,X838="بله"),1,0)</f>
        <v>0</v>
      </c>
      <c r="AX838" s="21" t="n">
        <f aca="false">IF(AND(N838="بله",L838&gt;تنظیمات!$B$9),1,0)</f>
        <v>0</v>
      </c>
      <c r="AY838" s="21" t="n">
        <f aca="false">IF(Y838="معکوس",1,0)</f>
        <v>0</v>
      </c>
      <c r="AZ838" s="21" t="n">
        <f aca="false">IF(ABS(AJ838)&gt;تنظیمات!$B$10,1,0)</f>
        <v>0</v>
      </c>
      <c r="BA838" s="21" t="n">
        <f aca="false">IF(AND(OR(AD838="رایگان/VIP",AD838="جانباز"),AF838="خیر"),1,0)</f>
        <v>0</v>
      </c>
      <c r="BB838" s="21" t="n">
        <f aca="false">IF(AE838="",0,IF(COUNTIF($AE$2:$AE$1001,AE838)&gt;1,1,0))</f>
        <v>0</v>
      </c>
      <c r="BC838" s="21" t="n">
        <f aca="false">IF(AND(H838="",I838&gt;تنظیمات!$B$12*60,AM838="خالی"),1,0)</f>
        <v>0</v>
      </c>
      <c r="BD838" s="21" t="n">
        <f aca="false">IF(AND(AP838="بله",I838&lt;تنظیمات!$B$14,AO838="خیر"),1,0)</f>
        <v>0</v>
      </c>
      <c r="BE838" s="21" t="n">
        <f aca="false">IF(AN838="خیر",1,0)</f>
        <v>0</v>
      </c>
      <c r="BF838" s="21" t="n">
        <f aca="false">IF(AND(AD838="فیش مفقودی",AQ838="بله",I838&gt;تنظیمات!$B$12*60),1,0)</f>
        <v>0</v>
      </c>
      <c r="BG838" s="21" t="n">
        <f aca="false">IF(AND(AK838&gt;تنظیمات!$B$11,AL838="بله"),1,0)</f>
        <v>0</v>
      </c>
      <c r="BH838" s="21" t="n">
        <f aca="false">MIN(100,AR838*تنظیمات!$B$21+AS838*تنظیمات!$B$22+AT838*تنظیمات!$B$23+AU838*تنظیمات!$B$24+AV838*تنظیمات!$B$25+AW838*تنظیمات!$B$26+AX838*تنظیمات!$B$27+AY838*تنظیمات!$B$28+AZ838*تنظیمات!$B$29+BA838*تنظیمات!$B$30+BB838*تنظیمات!$B$31+BC838*تنظیمات!$B$32+BD838*تنظیمات!$B$33+BE838*تنظیمات!$B$34+BF838*تنظیمات!$B$35+BG838*تنظیمات!$B$36)</f>
        <v>0</v>
      </c>
      <c r="BI838" s="16" t="str">
        <f aca="false">IF(BH838&gt;=60,"بحرانی",IF(BH838&gt;=30,"مشکوک",IF(BH838&gt;0,"هشدار","عادی")))</f>
        <v>عادی</v>
      </c>
      <c r="BJ838" s="16" t="s">
        <v>338</v>
      </c>
    </row>
    <row r="839" customFormat="false" ht="15" hidden="false" customHeight="false" outlineLevel="0" collapsed="false">
      <c r="A839" s="16" t="s">
        <v>2870</v>
      </c>
      <c r="B839" s="16" t="s">
        <v>915</v>
      </c>
      <c r="C839" s="16"/>
      <c r="D839" s="16" t="s">
        <v>374</v>
      </c>
      <c r="E839" s="16" t="s">
        <v>332</v>
      </c>
      <c r="F839" s="16" t="s">
        <v>359</v>
      </c>
      <c r="G839" s="17" t="n">
        <v>46292.5609837963</v>
      </c>
      <c r="H839" s="17" t="n">
        <v>46292.6318171296</v>
      </c>
      <c r="I839" s="18" t="n">
        <f aca="false">IF(H839="",ROUND((تنظیمات!$B$7-G839)*1440,0),ROUND((H839-G839)*1440,0))</f>
        <v>102</v>
      </c>
      <c r="J839" s="16" t="s">
        <v>334</v>
      </c>
      <c r="K839" s="16" t="s">
        <v>400</v>
      </c>
      <c r="L839" s="19" t="n">
        <v>0.962</v>
      </c>
      <c r="M839" s="19" t="n">
        <v>0.949</v>
      </c>
      <c r="N839" s="16" t="s">
        <v>335</v>
      </c>
      <c r="O839" s="16" t="s">
        <v>411</v>
      </c>
      <c r="P839" s="16" t="s">
        <v>420</v>
      </c>
      <c r="Q839" s="20" t="n">
        <v>46292</v>
      </c>
      <c r="R839" s="16" t="s">
        <v>2871</v>
      </c>
      <c r="S839" s="16" t="s">
        <v>404</v>
      </c>
      <c r="T839" s="17"/>
      <c r="U839" s="21" t="n">
        <v>1</v>
      </c>
      <c r="V839" s="21" t="n">
        <v>1</v>
      </c>
      <c r="W839" s="22" t="n">
        <v>6.1</v>
      </c>
      <c r="X839" s="16" t="s">
        <v>335</v>
      </c>
      <c r="Y839" s="16" t="s">
        <v>338</v>
      </c>
      <c r="Z839" s="16" t="s">
        <v>413</v>
      </c>
      <c r="AA839" s="16" t="s">
        <v>427</v>
      </c>
      <c r="AB839" s="23" t="s">
        <v>2872</v>
      </c>
      <c r="AC839" s="17" t="n">
        <v>46292.6315162037</v>
      </c>
      <c r="AD839" s="16" t="s">
        <v>338</v>
      </c>
      <c r="AE839" s="16"/>
      <c r="AF839" s="16" t="str">
        <f aca="false">IF(COUNTIF(لیست_سفید!$A$2:$A$21,B839)&gt;0,"بله","خیر")</f>
        <v>خیر</v>
      </c>
      <c r="AG839" s="24" t="n">
        <f aca="false">IF(H839="","",IF(AD839="فیش مفقودی",تنظیمات!$B$6,(INT(I839/1440)*تنظیمات!$B$5+IF(MOD(I839,1440)&lt;=تنظیمات!$B$2,0,MIN(تنظیمات!$B$5,تنظیمات!$B$3+MAX(0,ROUNDUP((MOD(I839,1440)-60)/60,0))*تنظیمات!$B$4)))*INDEX(تعرفه!$B$2:$B$7,MATCH(AD839,تعرفه!$A$2:$A$7,0))))</f>
        <v>34000</v>
      </c>
      <c r="AH839" s="24" t="n">
        <v>34000</v>
      </c>
      <c r="AI839" s="24" t="n">
        <f aca="false">IF(AG839="","",AH839-AG839)</f>
        <v>0</v>
      </c>
      <c r="AJ839" s="21" t="n">
        <v>0</v>
      </c>
      <c r="AK839" s="21" t="n">
        <v>0</v>
      </c>
      <c r="AL839" s="16" t="s">
        <v>335</v>
      </c>
      <c r="AM839" s="16"/>
      <c r="AN839" s="16" t="s">
        <v>340</v>
      </c>
      <c r="AO839" s="16" t="s">
        <v>340</v>
      </c>
      <c r="AP839" s="16" t="s">
        <v>335</v>
      </c>
      <c r="AQ839" s="16"/>
      <c r="AR839" s="21" t="n">
        <f aca="false">IF(AND(T839&lt;&gt;"",H839&lt;&gt;""),IF(AND((T839-H839)*86400&gt;=0,(T839-H839)*86400&lt;تنظیمات!$B$13),1,0),0)</f>
        <v>0</v>
      </c>
      <c r="AS839" s="21" t="n">
        <f aca="false">IF(Z839="پوز",IF(OR(AB839="",COUNTIF(پوزها!$A$2:$A$5,AA839)=0),1,0),0)</f>
        <v>0</v>
      </c>
      <c r="AT839" s="21" t="n">
        <f aca="false">IF(AI839="",0,IF(AI839&gt;0,1,0))</f>
        <v>0</v>
      </c>
      <c r="AU839" s="21" t="n">
        <f aca="false">IF(AI839="",0,IF(AI839&lt;0,1,0))</f>
        <v>0</v>
      </c>
      <c r="AV839" s="21" t="n">
        <f aca="false">IF(U839&gt;V839,1,0)</f>
        <v>0</v>
      </c>
      <c r="AW839" s="21" t="n">
        <f aca="false">IF(OR(W839&gt;تنظیمات!$B$8,X839="بله"),1,0)</f>
        <v>0</v>
      </c>
      <c r="AX839" s="21" t="n">
        <f aca="false">IF(AND(N839="بله",L839&gt;تنظیمات!$B$9),1,0)</f>
        <v>0</v>
      </c>
      <c r="AY839" s="21" t="n">
        <f aca="false">IF(Y839="معکوس",1,0)</f>
        <v>0</v>
      </c>
      <c r="AZ839" s="21" t="n">
        <f aca="false">IF(ABS(AJ839)&gt;تنظیمات!$B$10,1,0)</f>
        <v>0</v>
      </c>
      <c r="BA839" s="21" t="n">
        <f aca="false">IF(AND(OR(AD839="رایگان/VIP",AD839="جانباز"),AF839="خیر"),1,0)</f>
        <v>0</v>
      </c>
      <c r="BB839" s="21" t="n">
        <f aca="false">IF(AE839="",0,IF(COUNTIF($AE$2:$AE$1001,AE839)&gt;1,1,0))</f>
        <v>0</v>
      </c>
      <c r="BC839" s="21" t="n">
        <f aca="false">IF(AND(H839="",I839&gt;تنظیمات!$B$12*60,AM839="خالی"),1,0)</f>
        <v>0</v>
      </c>
      <c r="BD839" s="21" t="n">
        <f aca="false">IF(AND(AP839="بله",I839&lt;تنظیمات!$B$14,AO839="خیر"),1,0)</f>
        <v>0</v>
      </c>
      <c r="BE839" s="21" t="n">
        <f aca="false">IF(AN839="خیر",1,0)</f>
        <v>0</v>
      </c>
      <c r="BF839" s="21" t="n">
        <f aca="false">IF(AND(AD839="فیش مفقودی",AQ839="بله",I839&gt;تنظیمات!$B$12*60),1,0)</f>
        <v>0</v>
      </c>
      <c r="BG839" s="21" t="n">
        <f aca="false">IF(AND(AK839&gt;تنظیمات!$B$11,AL839="بله"),1,0)</f>
        <v>0</v>
      </c>
      <c r="BH839" s="21" t="n">
        <f aca="false">MIN(100,AR839*تنظیمات!$B$21+AS839*تنظیمات!$B$22+AT839*تنظیمات!$B$23+AU839*تنظیمات!$B$24+AV839*تنظیمات!$B$25+AW839*تنظیمات!$B$26+AX839*تنظیمات!$B$27+AY839*تنظیمات!$B$28+AZ839*تنظیمات!$B$29+BA839*تنظیمات!$B$30+BB839*تنظیمات!$B$31+BC839*تنظیمات!$B$32+BD839*تنظیمات!$B$33+BE839*تنظیمات!$B$34+BF839*تنظیمات!$B$35+BG839*تنظیمات!$B$36)</f>
        <v>0</v>
      </c>
      <c r="BI839" s="16" t="str">
        <f aca="false">IF(BH839&gt;=60,"بحرانی",IF(BH839&gt;=30,"مشکوک",IF(BH839&gt;0,"هشدار","عادی")))</f>
        <v>عادی</v>
      </c>
      <c r="BJ839" s="16" t="s">
        <v>338</v>
      </c>
    </row>
    <row r="840" customFormat="false" ht="15" hidden="false" customHeight="false" outlineLevel="0" collapsed="false">
      <c r="A840" s="16" t="s">
        <v>2873</v>
      </c>
      <c r="B840" s="16" t="s">
        <v>1972</v>
      </c>
      <c r="C840" s="16"/>
      <c r="D840" s="16" t="s">
        <v>350</v>
      </c>
      <c r="E840" s="16" t="s">
        <v>363</v>
      </c>
      <c r="F840" s="16" t="s">
        <v>333</v>
      </c>
      <c r="G840" s="17" t="n">
        <v>46292.5669212963</v>
      </c>
      <c r="H840" s="17" t="n">
        <v>46292.6946990741</v>
      </c>
      <c r="I840" s="18" t="n">
        <f aca="false">IF(H840="",ROUND((تنظیمات!$B$7-G840)*1440,0),ROUND((H840-G840)*1440,0))</f>
        <v>184</v>
      </c>
      <c r="J840" s="16" t="s">
        <v>334</v>
      </c>
      <c r="K840" s="16" t="s">
        <v>410</v>
      </c>
      <c r="L840" s="19" t="n">
        <v>0.961</v>
      </c>
      <c r="M840" s="19" t="n">
        <v>0.995</v>
      </c>
      <c r="N840" s="16" t="s">
        <v>335</v>
      </c>
      <c r="O840" s="16" t="s">
        <v>401</v>
      </c>
      <c r="P840" s="16" t="s">
        <v>420</v>
      </c>
      <c r="Q840" s="20" t="n">
        <v>46292</v>
      </c>
      <c r="R840" s="16" t="s">
        <v>2874</v>
      </c>
      <c r="S840" s="16" t="s">
        <v>404</v>
      </c>
      <c r="T840" s="17"/>
      <c r="U840" s="21" t="n">
        <v>1</v>
      </c>
      <c r="V840" s="21" t="n">
        <v>1</v>
      </c>
      <c r="W840" s="22" t="n">
        <v>5.1</v>
      </c>
      <c r="X840" s="16" t="s">
        <v>335</v>
      </c>
      <c r="Y840" s="16" t="s">
        <v>338</v>
      </c>
      <c r="Z840" s="16" t="s">
        <v>413</v>
      </c>
      <c r="AA840" s="16" t="s">
        <v>414</v>
      </c>
      <c r="AB840" s="23"/>
      <c r="AC840" s="17" t="n">
        <v>46292.6936805556</v>
      </c>
      <c r="AD840" s="16" t="s">
        <v>338</v>
      </c>
      <c r="AE840" s="16"/>
      <c r="AF840" s="16" t="str">
        <f aca="false">IF(COUNTIF(لیست_سفید!$A$2:$A$21,B840)&gt;0,"بله","خیر")</f>
        <v>خیر</v>
      </c>
      <c r="AG840" s="24" t="n">
        <f aca="false">IF(H840="","",IF(AD840="فیش مفقودی",تنظیمات!$B$6,(INT(I840/1440)*تنظیمات!$B$5+IF(MOD(I840,1440)&lt;=تنظیمات!$B$2,0,MIN(تنظیمات!$B$5,تنظیمات!$B$3+MAX(0,ROUNDUP((MOD(I840,1440)-60)/60,0))*تنظیمات!$B$4)))*INDEX(تعرفه!$B$2:$B$7,MATCH(AD840,تعرفه!$A$2:$A$7,0))))</f>
        <v>62000</v>
      </c>
      <c r="AH840" s="24" t="n">
        <v>62000</v>
      </c>
      <c r="AI840" s="24" t="n">
        <f aca="false">IF(AG840="","",AH840-AG840)</f>
        <v>0</v>
      </c>
      <c r="AJ840" s="21" t="n">
        <v>-5</v>
      </c>
      <c r="AK840" s="21" t="n">
        <v>0</v>
      </c>
      <c r="AL840" s="16" t="s">
        <v>335</v>
      </c>
      <c r="AM840" s="16"/>
      <c r="AN840" s="16" t="s">
        <v>340</v>
      </c>
      <c r="AO840" s="16" t="s">
        <v>340</v>
      </c>
      <c r="AP840" s="16" t="s">
        <v>335</v>
      </c>
      <c r="AQ840" s="16"/>
      <c r="AR840" s="21" t="n">
        <f aca="false">IF(AND(T840&lt;&gt;"",H840&lt;&gt;""),IF(AND((T840-H840)*86400&gt;=0,(T840-H840)*86400&lt;تنظیمات!$B$13),1,0),0)</f>
        <v>0</v>
      </c>
      <c r="AS840" s="21" t="n">
        <f aca="false">IF(Z840="پوز",IF(OR(AB840="",COUNTIF(پوزها!$A$2:$A$5,AA840)=0),1,0),0)</f>
        <v>1</v>
      </c>
      <c r="AT840" s="21" t="n">
        <f aca="false">IF(AI840="",0,IF(AI840&gt;0,1,0))</f>
        <v>0</v>
      </c>
      <c r="AU840" s="21" t="n">
        <f aca="false">IF(AI840="",0,IF(AI840&lt;0,1,0))</f>
        <v>0</v>
      </c>
      <c r="AV840" s="21" t="n">
        <f aca="false">IF(U840&gt;V840,1,0)</f>
        <v>0</v>
      </c>
      <c r="AW840" s="21" t="n">
        <f aca="false">IF(OR(W840&gt;تنظیمات!$B$8,X840="بله"),1,0)</f>
        <v>0</v>
      </c>
      <c r="AX840" s="21" t="n">
        <f aca="false">IF(AND(N840="بله",L840&gt;تنظیمات!$B$9),1,0)</f>
        <v>0</v>
      </c>
      <c r="AY840" s="21" t="n">
        <f aca="false">IF(Y840="معکوس",1,0)</f>
        <v>0</v>
      </c>
      <c r="AZ840" s="21" t="n">
        <f aca="false">IF(ABS(AJ840)&gt;تنظیمات!$B$10,1,0)</f>
        <v>0</v>
      </c>
      <c r="BA840" s="21" t="n">
        <f aca="false">IF(AND(OR(AD840="رایگان/VIP",AD840="جانباز"),AF840="خیر"),1,0)</f>
        <v>0</v>
      </c>
      <c r="BB840" s="21" t="n">
        <f aca="false">IF(AE840="",0,IF(COUNTIF($AE$2:$AE$1001,AE840)&gt;1,1,0))</f>
        <v>0</v>
      </c>
      <c r="BC840" s="21" t="n">
        <f aca="false">IF(AND(H840="",I840&gt;تنظیمات!$B$12*60,AM840="خالی"),1,0)</f>
        <v>0</v>
      </c>
      <c r="BD840" s="21" t="n">
        <f aca="false">IF(AND(AP840="بله",I840&lt;تنظیمات!$B$14,AO840="خیر"),1,0)</f>
        <v>0</v>
      </c>
      <c r="BE840" s="21" t="n">
        <f aca="false">IF(AN840="خیر",1,0)</f>
        <v>0</v>
      </c>
      <c r="BF840" s="21" t="n">
        <f aca="false">IF(AND(AD840="فیش مفقودی",AQ840="بله",I840&gt;تنظیمات!$B$12*60),1,0)</f>
        <v>0</v>
      </c>
      <c r="BG840" s="21" t="n">
        <f aca="false">IF(AND(AK840&gt;تنظیمات!$B$11,AL840="بله"),1,0)</f>
        <v>0</v>
      </c>
      <c r="BH840" s="21" t="n">
        <f aca="false">MIN(100,AR840*تنظیمات!$B$21+AS840*تنظیمات!$B$22+AT840*تنظیمات!$B$23+AU840*تنظیمات!$B$24+AV840*تنظیمات!$B$25+AW840*تنظیمات!$B$26+AX840*تنظیمات!$B$27+AY840*تنظیمات!$B$28+AZ840*تنظیمات!$B$29+BA840*تنظیمات!$B$30+BB840*تنظیمات!$B$31+BC840*تنظیمات!$B$32+BD840*تنظیمات!$B$33+BE840*تنظیمات!$B$34+BF840*تنظیمات!$B$35+BG840*تنظیمات!$B$36)</f>
        <v>35</v>
      </c>
      <c r="BI840" s="16" t="str">
        <f aca="false">IF(BH840&gt;=60,"بحرانی",IF(BH840&gt;=30,"مشکوک",IF(BH840&gt;0,"هشدار","عادی")))</f>
        <v>مشکوک</v>
      </c>
      <c r="BJ840" s="16" t="s">
        <v>722</v>
      </c>
    </row>
    <row r="841" customFormat="false" ht="15" hidden="false" customHeight="false" outlineLevel="0" collapsed="false">
      <c r="A841" s="16" t="s">
        <v>2875</v>
      </c>
      <c r="B841" s="16" t="s">
        <v>373</v>
      </c>
      <c r="C841" s="16"/>
      <c r="D841" s="16" t="s">
        <v>374</v>
      </c>
      <c r="E841" s="16" t="s">
        <v>375</v>
      </c>
      <c r="F841" s="16" t="s">
        <v>359</v>
      </c>
      <c r="G841" s="17" t="n">
        <v>46292.5746296296</v>
      </c>
      <c r="H841" s="17" t="n">
        <v>46292.6121296296</v>
      </c>
      <c r="I841" s="18" t="n">
        <f aca="false">IF(H841="",ROUND((تنظیمات!$B$7-G841)*1440,0),ROUND((H841-G841)*1440,0))</f>
        <v>54</v>
      </c>
      <c r="J841" s="16" t="s">
        <v>334</v>
      </c>
      <c r="K841" s="16" t="s">
        <v>400</v>
      </c>
      <c r="L841" s="19" t="n">
        <v>0.992</v>
      </c>
      <c r="M841" s="19" t="n">
        <v>0.981</v>
      </c>
      <c r="N841" s="16" t="s">
        <v>335</v>
      </c>
      <c r="O841" s="16" t="s">
        <v>411</v>
      </c>
      <c r="P841" s="16" t="s">
        <v>420</v>
      </c>
      <c r="Q841" s="20" t="n">
        <v>46292</v>
      </c>
      <c r="R841" s="16" t="s">
        <v>2876</v>
      </c>
      <c r="S841" s="16" t="s">
        <v>404</v>
      </c>
      <c r="T841" s="17"/>
      <c r="U841" s="21" t="n">
        <v>1</v>
      </c>
      <c r="V841" s="21" t="n">
        <v>1</v>
      </c>
      <c r="W841" s="22" t="n">
        <v>6.4</v>
      </c>
      <c r="X841" s="16" t="s">
        <v>335</v>
      </c>
      <c r="Y841" s="16" t="s">
        <v>338</v>
      </c>
      <c r="Z841" s="16" t="s">
        <v>413</v>
      </c>
      <c r="AA841" s="16" t="s">
        <v>427</v>
      </c>
      <c r="AB841" s="23" t="s">
        <v>2877</v>
      </c>
      <c r="AC841" s="17" t="n">
        <v>46292.6115625</v>
      </c>
      <c r="AD841" s="16" t="s">
        <v>338</v>
      </c>
      <c r="AE841" s="16"/>
      <c r="AF841" s="16" t="str">
        <f aca="false">IF(COUNTIF(لیست_سفید!$A$2:$A$21,B841)&gt;0,"بله","خیر")</f>
        <v>خیر</v>
      </c>
      <c r="AG841" s="24" t="n">
        <f aca="false">IF(H841="","",IF(AD841="فیش مفقودی",تنظیمات!$B$6,(INT(I841/1440)*تنظیمات!$B$5+IF(MOD(I841,1440)&lt;=تنظیمات!$B$2,0,MIN(تنظیمات!$B$5,تنظیمات!$B$3+MAX(0,ROUNDUP((MOD(I841,1440)-60)/60,0))*تنظیمات!$B$4)))*INDEX(تعرفه!$B$2:$B$7,MATCH(AD841,تعرفه!$A$2:$A$7,0))))</f>
        <v>20000</v>
      </c>
      <c r="AH841" s="24" t="n">
        <v>20000</v>
      </c>
      <c r="AI841" s="24" t="n">
        <f aca="false">IF(AG841="","",AH841-AG841)</f>
        <v>0</v>
      </c>
      <c r="AJ841" s="21" t="n">
        <v>-1</v>
      </c>
      <c r="AK841" s="21" t="n">
        <v>0</v>
      </c>
      <c r="AL841" s="16" t="s">
        <v>335</v>
      </c>
      <c r="AM841" s="16"/>
      <c r="AN841" s="16" t="s">
        <v>340</v>
      </c>
      <c r="AO841" s="16" t="s">
        <v>340</v>
      </c>
      <c r="AP841" s="16" t="s">
        <v>335</v>
      </c>
      <c r="AQ841" s="16"/>
      <c r="AR841" s="21" t="n">
        <f aca="false">IF(AND(T841&lt;&gt;"",H841&lt;&gt;""),IF(AND((T841-H841)*86400&gt;=0,(T841-H841)*86400&lt;تنظیمات!$B$13),1,0),0)</f>
        <v>0</v>
      </c>
      <c r="AS841" s="21" t="n">
        <f aca="false">IF(Z841="پوز",IF(OR(AB841="",COUNTIF(پوزها!$A$2:$A$5,AA841)=0),1,0),0)</f>
        <v>0</v>
      </c>
      <c r="AT841" s="21" t="n">
        <f aca="false">IF(AI841="",0,IF(AI841&gt;0,1,0))</f>
        <v>0</v>
      </c>
      <c r="AU841" s="21" t="n">
        <f aca="false">IF(AI841="",0,IF(AI841&lt;0,1,0))</f>
        <v>0</v>
      </c>
      <c r="AV841" s="21" t="n">
        <f aca="false">IF(U841&gt;V841,1,0)</f>
        <v>0</v>
      </c>
      <c r="AW841" s="21" t="n">
        <f aca="false">IF(OR(W841&gt;تنظیمات!$B$8,X841="بله"),1,0)</f>
        <v>0</v>
      </c>
      <c r="AX841" s="21" t="n">
        <f aca="false">IF(AND(N841="بله",L841&gt;تنظیمات!$B$9),1,0)</f>
        <v>0</v>
      </c>
      <c r="AY841" s="21" t="n">
        <f aca="false">IF(Y841="معکوس",1,0)</f>
        <v>0</v>
      </c>
      <c r="AZ841" s="21" t="n">
        <f aca="false">IF(ABS(AJ841)&gt;تنظیمات!$B$10,1,0)</f>
        <v>0</v>
      </c>
      <c r="BA841" s="21" t="n">
        <f aca="false">IF(AND(OR(AD841="رایگان/VIP",AD841="جانباز"),AF841="خیر"),1,0)</f>
        <v>0</v>
      </c>
      <c r="BB841" s="21" t="n">
        <f aca="false">IF(AE841="",0,IF(COUNTIF($AE$2:$AE$1001,AE841)&gt;1,1,0))</f>
        <v>0</v>
      </c>
      <c r="BC841" s="21" t="n">
        <f aca="false">IF(AND(H841="",I841&gt;تنظیمات!$B$12*60,AM841="خالی"),1,0)</f>
        <v>0</v>
      </c>
      <c r="BD841" s="21" t="n">
        <f aca="false">IF(AND(AP841="بله",I841&lt;تنظیمات!$B$14,AO841="خیر"),1,0)</f>
        <v>0</v>
      </c>
      <c r="BE841" s="21" t="n">
        <f aca="false">IF(AN841="خیر",1,0)</f>
        <v>0</v>
      </c>
      <c r="BF841" s="21" t="n">
        <f aca="false">IF(AND(AD841="فیش مفقودی",AQ841="بله",I841&gt;تنظیمات!$B$12*60),1,0)</f>
        <v>0</v>
      </c>
      <c r="BG841" s="21" t="n">
        <f aca="false">IF(AND(AK841&gt;تنظیمات!$B$11,AL841="بله"),1,0)</f>
        <v>0</v>
      </c>
      <c r="BH841" s="21" t="n">
        <f aca="false">MIN(100,AR841*تنظیمات!$B$21+AS841*تنظیمات!$B$22+AT841*تنظیمات!$B$23+AU841*تنظیمات!$B$24+AV841*تنظیمات!$B$25+AW841*تنظیمات!$B$26+AX841*تنظیمات!$B$27+AY841*تنظیمات!$B$28+AZ841*تنظیمات!$B$29+BA841*تنظیمات!$B$30+BB841*تنظیمات!$B$31+BC841*تنظیمات!$B$32+BD841*تنظیمات!$B$33+BE841*تنظیمات!$B$34+BF841*تنظیمات!$B$35+BG841*تنظیمات!$B$36)</f>
        <v>0</v>
      </c>
      <c r="BI841" s="16" t="str">
        <f aca="false">IF(BH841&gt;=60,"بحرانی",IF(BH841&gt;=30,"مشکوک",IF(BH841&gt;0,"هشدار","عادی")))</f>
        <v>عادی</v>
      </c>
      <c r="BJ841" s="16" t="s">
        <v>338</v>
      </c>
    </row>
    <row r="842" customFormat="false" ht="15" hidden="false" customHeight="false" outlineLevel="0" collapsed="false">
      <c r="A842" s="16" t="s">
        <v>2878</v>
      </c>
      <c r="B842" s="16" t="s">
        <v>1094</v>
      </c>
      <c r="C842" s="16"/>
      <c r="D842" s="16" t="s">
        <v>531</v>
      </c>
      <c r="E842" s="16" t="s">
        <v>375</v>
      </c>
      <c r="F842" s="16" t="s">
        <v>333</v>
      </c>
      <c r="G842" s="17" t="n">
        <v>46292.5767824074</v>
      </c>
      <c r="H842" s="17" t="n">
        <v>46292.6656712963</v>
      </c>
      <c r="I842" s="18" t="n">
        <f aca="false">IF(H842="",ROUND((تنظیمات!$B$7-G842)*1440,0),ROUND((H842-G842)*1440,0))</f>
        <v>128</v>
      </c>
      <c r="J842" s="16" t="s">
        <v>346</v>
      </c>
      <c r="K842" s="16" t="s">
        <v>400</v>
      </c>
      <c r="L842" s="19" t="n">
        <v>0.99</v>
      </c>
      <c r="M842" s="19" t="n">
        <v>0.941</v>
      </c>
      <c r="N842" s="16" t="s">
        <v>335</v>
      </c>
      <c r="O842" s="16" t="s">
        <v>411</v>
      </c>
      <c r="P842" s="16" t="s">
        <v>420</v>
      </c>
      <c r="Q842" s="20" t="n">
        <v>46292</v>
      </c>
      <c r="R842" s="16" t="s">
        <v>2879</v>
      </c>
      <c r="S842" s="16" t="s">
        <v>404</v>
      </c>
      <c r="T842" s="17"/>
      <c r="U842" s="21" t="n">
        <v>1</v>
      </c>
      <c r="V842" s="21" t="n">
        <v>1</v>
      </c>
      <c r="W842" s="22" t="n">
        <v>6.2</v>
      </c>
      <c r="X842" s="16" t="s">
        <v>335</v>
      </c>
      <c r="Y842" s="16" t="s">
        <v>338</v>
      </c>
      <c r="Z842" s="16" t="s">
        <v>413</v>
      </c>
      <c r="AA842" s="16" t="s">
        <v>427</v>
      </c>
      <c r="AB842" s="23" t="s">
        <v>2880</v>
      </c>
      <c r="AC842" s="17" t="n">
        <v>46292.6647569445</v>
      </c>
      <c r="AD842" s="16" t="s">
        <v>338</v>
      </c>
      <c r="AE842" s="16"/>
      <c r="AF842" s="16" t="str">
        <f aca="false">IF(COUNTIF(لیست_سفید!$A$2:$A$21,B842)&gt;0,"بله","خیر")</f>
        <v>خیر</v>
      </c>
      <c r="AG842" s="24" t="n">
        <f aca="false">IF(H842="","",IF(AD842="فیش مفقودی",تنظیمات!$B$6,(INT(I842/1440)*تنظیمات!$B$5+IF(MOD(I842,1440)&lt;=تنظیمات!$B$2,0,MIN(تنظیمات!$B$5,تنظیمات!$B$3+MAX(0,ROUNDUP((MOD(I842,1440)-60)/60,0))*تنظیمات!$B$4)))*INDEX(تعرفه!$B$2:$B$7,MATCH(AD842,تعرفه!$A$2:$A$7,0))))</f>
        <v>48000</v>
      </c>
      <c r="AH842" s="24" t="n">
        <v>48000</v>
      </c>
      <c r="AI842" s="24" t="n">
        <f aca="false">IF(AG842="","",AH842-AG842)</f>
        <v>0</v>
      </c>
      <c r="AJ842" s="21" t="n">
        <v>-3</v>
      </c>
      <c r="AK842" s="21" t="n">
        <v>0</v>
      </c>
      <c r="AL842" s="16" t="s">
        <v>335</v>
      </c>
      <c r="AM842" s="16"/>
      <c r="AN842" s="16" t="s">
        <v>340</v>
      </c>
      <c r="AO842" s="16" t="s">
        <v>340</v>
      </c>
      <c r="AP842" s="16" t="s">
        <v>335</v>
      </c>
      <c r="AQ842" s="16"/>
      <c r="AR842" s="21" t="n">
        <f aca="false">IF(AND(T842&lt;&gt;"",H842&lt;&gt;""),IF(AND((T842-H842)*86400&gt;=0,(T842-H842)*86400&lt;تنظیمات!$B$13),1,0),0)</f>
        <v>0</v>
      </c>
      <c r="AS842" s="21" t="n">
        <f aca="false">IF(Z842="پوز",IF(OR(AB842="",COUNTIF(پوزها!$A$2:$A$5,AA842)=0),1,0),0)</f>
        <v>0</v>
      </c>
      <c r="AT842" s="21" t="n">
        <f aca="false">IF(AI842="",0,IF(AI842&gt;0,1,0))</f>
        <v>0</v>
      </c>
      <c r="AU842" s="21" t="n">
        <f aca="false">IF(AI842="",0,IF(AI842&lt;0,1,0))</f>
        <v>0</v>
      </c>
      <c r="AV842" s="21" t="n">
        <f aca="false">IF(U842&gt;V842,1,0)</f>
        <v>0</v>
      </c>
      <c r="AW842" s="21" t="n">
        <f aca="false">IF(OR(W842&gt;تنظیمات!$B$8,X842="بله"),1,0)</f>
        <v>0</v>
      </c>
      <c r="AX842" s="21" t="n">
        <f aca="false">IF(AND(N842="بله",L842&gt;تنظیمات!$B$9),1,0)</f>
        <v>0</v>
      </c>
      <c r="AY842" s="21" t="n">
        <f aca="false">IF(Y842="معکوس",1,0)</f>
        <v>0</v>
      </c>
      <c r="AZ842" s="21" t="n">
        <f aca="false">IF(ABS(AJ842)&gt;تنظیمات!$B$10,1,0)</f>
        <v>0</v>
      </c>
      <c r="BA842" s="21" t="n">
        <f aca="false">IF(AND(OR(AD842="رایگان/VIP",AD842="جانباز"),AF842="خیر"),1,0)</f>
        <v>0</v>
      </c>
      <c r="BB842" s="21" t="n">
        <f aca="false">IF(AE842="",0,IF(COUNTIF($AE$2:$AE$1001,AE842)&gt;1,1,0))</f>
        <v>0</v>
      </c>
      <c r="BC842" s="21" t="n">
        <f aca="false">IF(AND(H842="",I842&gt;تنظیمات!$B$12*60,AM842="خالی"),1,0)</f>
        <v>0</v>
      </c>
      <c r="BD842" s="21" t="n">
        <f aca="false">IF(AND(AP842="بله",I842&lt;تنظیمات!$B$14,AO842="خیر"),1,0)</f>
        <v>0</v>
      </c>
      <c r="BE842" s="21" t="n">
        <f aca="false">IF(AN842="خیر",1,0)</f>
        <v>0</v>
      </c>
      <c r="BF842" s="21" t="n">
        <f aca="false">IF(AND(AD842="فیش مفقودی",AQ842="بله",I842&gt;تنظیمات!$B$12*60),1,0)</f>
        <v>0</v>
      </c>
      <c r="BG842" s="21" t="n">
        <f aca="false">IF(AND(AK842&gt;تنظیمات!$B$11,AL842="بله"),1,0)</f>
        <v>0</v>
      </c>
      <c r="BH842" s="21" t="n">
        <f aca="false">MIN(100,AR842*تنظیمات!$B$21+AS842*تنظیمات!$B$22+AT842*تنظیمات!$B$23+AU842*تنظیمات!$B$24+AV842*تنظیمات!$B$25+AW842*تنظیمات!$B$26+AX842*تنظیمات!$B$27+AY842*تنظیمات!$B$28+AZ842*تنظیمات!$B$29+BA842*تنظیمات!$B$30+BB842*تنظیمات!$B$31+BC842*تنظیمات!$B$32+BD842*تنظیمات!$B$33+BE842*تنظیمات!$B$34+BF842*تنظیمات!$B$35+BG842*تنظیمات!$B$36)</f>
        <v>0</v>
      </c>
      <c r="BI842" s="16" t="str">
        <f aca="false">IF(BH842&gt;=60,"بحرانی",IF(BH842&gt;=30,"مشکوک",IF(BH842&gt;0,"هشدار","عادی")))</f>
        <v>عادی</v>
      </c>
      <c r="BJ842" s="16" t="s">
        <v>338</v>
      </c>
    </row>
    <row r="843" customFormat="false" ht="15" hidden="false" customHeight="false" outlineLevel="0" collapsed="false">
      <c r="A843" s="16" t="s">
        <v>2881</v>
      </c>
      <c r="B843" s="16" t="s">
        <v>543</v>
      </c>
      <c r="C843" s="16"/>
      <c r="D843" s="16" t="s">
        <v>431</v>
      </c>
      <c r="E843" s="16" t="s">
        <v>332</v>
      </c>
      <c r="F843" s="16" t="s">
        <v>333</v>
      </c>
      <c r="G843" s="17" t="n">
        <v>46292.5886805556</v>
      </c>
      <c r="H843" s="17" t="n">
        <v>46292.5928472222</v>
      </c>
      <c r="I843" s="18" t="n">
        <f aca="false">IF(H843="",ROUND((تنظیمات!$B$7-G843)*1440,0),ROUND((H843-G843)*1440,0))</f>
        <v>6</v>
      </c>
      <c r="J843" s="16" t="s">
        <v>346</v>
      </c>
      <c r="K843" s="16" t="s">
        <v>410</v>
      </c>
      <c r="L843" s="19" t="n">
        <v>0.93</v>
      </c>
      <c r="M843" s="19" t="n">
        <v>0.986</v>
      </c>
      <c r="N843" s="16" t="s">
        <v>335</v>
      </c>
      <c r="O843" s="16" t="s">
        <v>401</v>
      </c>
      <c r="P843" s="16" t="s">
        <v>420</v>
      </c>
      <c r="Q843" s="20" t="n">
        <v>46292</v>
      </c>
      <c r="R843" s="16" t="s">
        <v>2882</v>
      </c>
      <c r="S843" s="16" t="s">
        <v>404</v>
      </c>
      <c r="T843" s="17"/>
      <c r="U843" s="21" t="n">
        <v>1</v>
      </c>
      <c r="V843" s="21" t="n">
        <v>1</v>
      </c>
      <c r="W843" s="22" t="n">
        <v>7.8</v>
      </c>
      <c r="X843" s="16" t="s">
        <v>335</v>
      </c>
      <c r="Y843" s="16" t="s">
        <v>338</v>
      </c>
      <c r="Z843" s="16" t="s">
        <v>628</v>
      </c>
      <c r="AA843" s="16"/>
      <c r="AB843" s="23"/>
      <c r="AC843" s="17"/>
      <c r="AD843" s="16" t="s">
        <v>338</v>
      </c>
      <c r="AE843" s="16"/>
      <c r="AF843" s="16" t="str">
        <f aca="false">IF(COUNTIF(لیست_سفید!$A$2:$A$21,B843)&gt;0,"بله","خیر")</f>
        <v>خیر</v>
      </c>
      <c r="AG843" s="24" t="n">
        <f aca="false">IF(H843="","",IF(AD843="فیش مفقودی",تنظیمات!$B$6,(INT(I843/1440)*تنظیمات!$B$5+IF(MOD(I843,1440)&lt;=تنظیمات!$B$2,0,MIN(تنظیمات!$B$5,تنظیمات!$B$3+MAX(0,ROUNDUP((MOD(I843,1440)-60)/60,0))*تنظیمات!$B$4)))*INDEX(تعرفه!$B$2:$B$7,MATCH(AD843,تعرفه!$A$2:$A$7,0))))</f>
        <v>0</v>
      </c>
      <c r="AH843" s="24" t="n">
        <v>0</v>
      </c>
      <c r="AI843" s="24" t="n">
        <f aca="false">IF(AG843="","",AH843-AG843)</f>
        <v>0</v>
      </c>
      <c r="AJ843" s="21" t="n">
        <v>3</v>
      </c>
      <c r="AK843" s="21" t="n">
        <v>0</v>
      </c>
      <c r="AL843" s="16" t="s">
        <v>335</v>
      </c>
      <c r="AM843" s="16"/>
      <c r="AN843" s="16" t="s">
        <v>340</v>
      </c>
      <c r="AO843" s="16" t="s">
        <v>340</v>
      </c>
      <c r="AP843" s="16" t="s">
        <v>335</v>
      </c>
      <c r="AQ843" s="16"/>
      <c r="AR843" s="21" t="n">
        <f aca="false">IF(AND(T843&lt;&gt;"",H843&lt;&gt;""),IF(AND((T843-H843)*86400&gt;=0,(T843-H843)*86400&lt;تنظیمات!$B$13),1,0),0)</f>
        <v>0</v>
      </c>
      <c r="AS843" s="21" t="n">
        <f aca="false">IF(Z843="پوز",IF(OR(AB843="",COUNTIF(پوزها!$A$2:$A$5,AA843)=0),1,0),0)</f>
        <v>0</v>
      </c>
      <c r="AT843" s="21" t="n">
        <f aca="false">IF(AI843="",0,IF(AI843&gt;0,1,0))</f>
        <v>0</v>
      </c>
      <c r="AU843" s="21" t="n">
        <f aca="false">IF(AI843="",0,IF(AI843&lt;0,1,0))</f>
        <v>0</v>
      </c>
      <c r="AV843" s="21" t="n">
        <f aca="false">IF(U843&gt;V843,1,0)</f>
        <v>0</v>
      </c>
      <c r="AW843" s="21" t="n">
        <f aca="false">IF(OR(W843&gt;تنظیمات!$B$8,X843="بله"),1,0)</f>
        <v>0</v>
      </c>
      <c r="AX843" s="21" t="n">
        <f aca="false">IF(AND(N843="بله",L843&gt;تنظیمات!$B$9),1,0)</f>
        <v>0</v>
      </c>
      <c r="AY843" s="21" t="n">
        <f aca="false">IF(Y843="معکوس",1,0)</f>
        <v>0</v>
      </c>
      <c r="AZ843" s="21" t="n">
        <f aca="false">IF(ABS(AJ843)&gt;تنظیمات!$B$10,1,0)</f>
        <v>0</v>
      </c>
      <c r="BA843" s="21" t="n">
        <f aca="false">IF(AND(OR(AD843="رایگان/VIP",AD843="جانباز"),AF843="خیر"),1,0)</f>
        <v>0</v>
      </c>
      <c r="BB843" s="21" t="n">
        <f aca="false">IF(AE843="",0,IF(COUNTIF($AE$2:$AE$1001,AE843)&gt;1,1,0))</f>
        <v>0</v>
      </c>
      <c r="BC843" s="21" t="n">
        <f aca="false">IF(AND(H843="",I843&gt;تنظیمات!$B$12*60,AM843="خالی"),1,0)</f>
        <v>0</v>
      </c>
      <c r="BD843" s="21" t="n">
        <f aca="false">IF(AND(AP843="بله",I843&lt;تنظیمات!$B$14,AO843="خیر"),1,0)</f>
        <v>0</v>
      </c>
      <c r="BE843" s="21" t="n">
        <f aca="false">IF(AN843="خیر",1,0)</f>
        <v>0</v>
      </c>
      <c r="BF843" s="21" t="n">
        <f aca="false">IF(AND(AD843="فیش مفقودی",AQ843="بله",I843&gt;تنظیمات!$B$12*60),1,0)</f>
        <v>0</v>
      </c>
      <c r="BG843" s="21" t="n">
        <f aca="false">IF(AND(AK843&gt;تنظیمات!$B$11,AL843="بله"),1,0)</f>
        <v>0</v>
      </c>
      <c r="BH843" s="21" t="n">
        <f aca="false">MIN(100,AR843*تنظیمات!$B$21+AS843*تنظیمات!$B$22+AT843*تنظیمات!$B$23+AU843*تنظیمات!$B$24+AV843*تنظیمات!$B$25+AW843*تنظیمات!$B$26+AX843*تنظیمات!$B$27+AY843*تنظیمات!$B$28+AZ843*تنظیمات!$B$29+BA843*تنظیمات!$B$30+BB843*تنظیمات!$B$31+BC843*تنظیمات!$B$32+BD843*تنظیمات!$B$33+BE843*تنظیمات!$B$34+BF843*تنظیمات!$B$35+BG843*تنظیمات!$B$36)</f>
        <v>0</v>
      </c>
      <c r="BI843" s="16" t="str">
        <f aca="false">IF(BH843&gt;=60,"بحرانی",IF(BH843&gt;=30,"مشکوک",IF(BH843&gt;0,"هشدار","عادی")))</f>
        <v>عادی</v>
      </c>
      <c r="BJ843" s="16" t="s">
        <v>629</v>
      </c>
    </row>
    <row r="844" customFormat="false" ht="15" hidden="false" customHeight="false" outlineLevel="0" collapsed="false">
      <c r="A844" s="16" t="s">
        <v>2883</v>
      </c>
      <c r="B844" s="16" t="s">
        <v>740</v>
      </c>
      <c r="C844" s="16"/>
      <c r="D844" s="16" t="s">
        <v>431</v>
      </c>
      <c r="E844" s="16" t="s">
        <v>351</v>
      </c>
      <c r="F844" s="16" t="s">
        <v>333</v>
      </c>
      <c r="G844" s="17" t="n">
        <v>46292.5948263889</v>
      </c>
      <c r="H844" s="17" t="n">
        <v>46292.6920486111</v>
      </c>
      <c r="I844" s="18" t="n">
        <f aca="false">IF(H844="",ROUND((تنظیمات!$B$7-G844)*1440,0),ROUND((H844-G844)*1440,0))</f>
        <v>140</v>
      </c>
      <c r="J844" s="16" t="s">
        <v>334</v>
      </c>
      <c r="K844" s="16" t="s">
        <v>410</v>
      </c>
      <c r="L844" s="19" t="n">
        <v>0.92</v>
      </c>
      <c r="M844" s="19" t="n">
        <v>0.938</v>
      </c>
      <c r="N844" s="16" t="s">
        <v>335</v>
      </c>
      <c r="O844" s="16" t="s">
        <v>401</v>
      </c>
      <c r="P844" s="16" t="s">
        <v>420</v>
      </c>
      <c r="Q844" s="20" t="n">
        <v>46292</v>
      </c>
      <c r="R844" s="16" t="s">
        <v>2884</v>
      </c>
      <c r="S844" s="16" t="s">
        <v>404</v>
      </c>
      <c r="T844" s="17"/>
      <c r="U844" s="21" t="n">
        <v>1</v>
      </c>
      <c r="V844" s="21" t="n">
        <v>1</v>
      </c>
      <c r="W844" s="22" t="n">
        <v>4.7</v>
      </c>
      <c r="X844" s="16" t="s">
        <v>335</v>
      </c>
      <c r="Y844" s="16" t="s">
        <v>338</v>
      </c>
      <c r="Z844" s="16" t="s">
        <v>405</v>
      </c>
      <c r="AA844" s="16"/>
      <c r="AB844" s="23"/>
      <c r="AC844" s="17"/>
      <c r="AD844" s="16" t="s">
        <v>338</v>
      </c>
      <c r="AE844" s="16"/>
      <c r="AF844" s="16" t="str">
        <f aca="false">IF(COUNTIF(لیست_سفید!$A$2:$A$21,B844)&gt;0,"بله","خیر")</f>
        <v>خیر</v>
      </c>
      <c r="AG844" s="24" t="n">
        <f aca="false">IF(H844="","",IF(AD844="فیش مفقودی",تنظیمات!$B$6,(INT(I844/1440)*تنظیمات!$B$5+IF(MOD(I844,1440)&lt;=تنظیمات!$B$2,0,MIN(تنظیمات!$B$5,تنظیمات!$B$3+MAX(0,ROUNDUP((MOD(I844,1440)-60)/60,0))*تنظیمات!$B$4)))*INDEX(تعرفه!$B$2:$B$7,MATCH(AD844,تعرفه!$A$2:$A$7,0))))</f>
        <v>48000</v>
      </c>
      <c r="AH844" s="24" t="n">
        <v>48000</v>
      </c>
      <c r="AI844" s="24" t="n">
        <f aca="false">IF(AG844="","",AH844-AG844)</f>
        <v>0</v>
      </c>
      <c r="AJ844" s="21" t="n">
        <v>4</v>
      </c>
      <c r="AK844" s="21" t="n">
        <v>0</v>
      </c>
      <c r="AL844" s="16" t="s">
        <v>335</v>
      </c>
      <c r="AM844" s="16"/>
      <c r="AN844" s="16" t="s">
        <v>340</v>
      </c>
      <c r="AO844" s="16" t="s">
        <v>340</v>
      </c>
      <c r="AP844" s="16" t="s">
        <v>335</v>
      </c>
      <c r="AQ844" s="16"/>
      <c r="AR844" s="21" t="n">
        <f aca="false">IF(AND(T844&lt;&gt;"",H844&lt;&gt;""),IF(AND((T844-H844)*86400&gt;=0,(T844-H844)*86400&lt;تنظیمات!$B$13),1,0),0)</f>
        <v>0</v>
      </c>
      <c r="AS844" s="21" t="n">
        <f aca="false">IF(Z844="پوز",IF(OR(AB844="",COUNTIF(پوزها!$A$2:$A$5,AA844)=0),1,0),0)</f>
        <v>0</v>
      </c>
      <c r="AT844" s="21" t="n">
        <f aca="false">IF(AI844="",0,IF(AI844&gt;0,1,0))</f>
        <v>0</v>
      </c>
      <c r="AU844" s="21" t="n">
        <f aca="false">IF(AI844="",0,IF(AI844&lt;0,1,0))</f>
        <v>0</v>
      </c>
      <c r="AV844" s="21" t="n">
        <f aca="false">IF(U844&gt;V844,1,0)</f>
        <v>0</v>
      </c>
      <c r="AW844" s="21" t="n">
        <f aca="false">IF(OR(W844&gt;تنظیمات!$B$8,X844="بله"),1,0)</f>
        <v>0</v>
      </c>
      <c r="AX844" s="21" t="n">
        <f aca="false">IF(AND(N844="بله",L844&gt;تنظیمات!$B$9),1,0)</f>
        <v>0</v>
      </c>
      <c r="AY844" s="21" t="n">
        <f aca="false">IF(Y844="معکوس",1,0)</f>
        <v>0</v>
      </c>
      <c r="AZ844" s="21" t="n">
        <f aca="false">IF(ABS(AJ844)&gt;تنظیمات!$B$10,1,0)</f>
        <v>0</v>
      </c>
      <c r="BA844" s="21" t="n">
        <f aca="false">IF(AND(OR(AD844="رایگان/VIP",AD844="جانباز"),AF844="خیر"),1,0)</f>
        <v>0</v>
      </c>
      <c r="BB844" s="21" t="n">
        <f aca="false">IF(AE844="",0,IF(COUNTIF($AE$2:$AE$1001,AE844)&gt;1,1,0))</f>
        <v>0</v>
      </c>
      <c r="BC844" s="21" t="n">
        <f aca="false">IF(AND(H844="",I844&gt;تنظیمات!$B$12*60,AM844="خالی"),1,0)</f>
        <v>0</v>
      </c>
      <c r="BD844" s="21" t="n">
        <f aca="false">IF(AND(AP844="بله",I844&lt;تنظیمات!$B$14,AO844="خیر"),1,0)</f>
        <v>0</v>
      </c>
      <c r="BE844" s="21" t="n">
        <f aca="false">IF(AN844="خیر",1,0)</f>
        <v>0</v>
      </c>
      <c r="BF844" s="21" t="n">
        <f aca="false">IF(AND(AD844="فیش مفقودی",AQ844="بله",I844&gt;تنظیمات!$B$12*60),1,0)</f>
        <v>0</v>
      </c>
      <c r="BG844" s="21" t="n">
        <f aca="false">IF(AND(AK844&gt;تنظیمات!$B$11,AL844="بله"),1,0)</f>
        <v>0</v>
      </c>
      <c r="BH844" s="21" t="n">
        <f aca="false">MIN(100,AR844*تنظیمات!$B$21+AS844*تنظیمات!$B$22+AT844*تنظیمات!$B$23+AU844*تنظیمات!$B$24+AV844*تنظیمات!$B$25+AW844*تنظیمات!$B$26+AX844*تنظیمات!$B$27+AY844*تنظیمات!$B$28+AZ844*تنظیمات!$B$29+BA844*تنظیمات!$B$30+BB844*تنظیمات!$B$31+BC844*تنظیمات!$B$32+BD844*تنظیمات!$B$33+BE844*تنظیمات!$B$34+BF844*تنظیمات!$B$35+BG844*تنظیمات!$B$36)</f>
        <v>0</v>
      </c>
      <c r="BI844" s="16" t="str">
        <f aca="false">IF(BH844&gt;=60,"بحرانی",IF(BH844&gt;=30,"مشکوک",IF(BH844&gt;0,"هشدار","عادی")))</f>
        <v>عادی</v>
      </c>
      <c r="BJ844" s="16" t="s">
        <v>338</v>
      </c>
    </row>
    <row r="845" customFormat="false" ht="15" hidden="false" customHeight="false" outlineLevel="0" collapsed="false">
      <c r="A845" s="16" t="s">
        <v>2885</v>
      </c>
      <c r="B845" s="16" t="s">
        <v>1083</v>
      </c>
      <c r="C845" s="16" t="s">
        <v>2886</v>
      </c>
      <c r="D845" s="16" t="s">
        <v>331</v>
      </c>
      <c r="E845" s="16" t="s">
        <v>390</v>
      </c>
      <c r="F845" s="16" t="s">
        <v>333</v>
      </c>
      <c r="G845" s="17" t="n">
        <v>46292.6052546296</v>
      </c>
      <c r="H845" s="17" t="n">
        <v>46292.6142824074</v>
      </c>
      <c r="I845" s="18" t="n">
        <f aca="false">IF(H845="",ROUND((تنظیمات!$B$7-G845)*1440,0),ROUND((H845-G845)*1440,0))</f>
        <v>13</v>
      </c>
      <c r="J845" s="16" t="s">
        <v>346</v>
      </c>
      <c r="K845" s="16" t="s">
        <v>410</v>
      </c>
      <c r="L845" s="19" t="n">
        <v>0.887</v>
      </c>
      <c r="M845" s="19" t="n">
        <v>0.964</v>
      </c>
      <c r="N845" s="16" t="s">
        <v>340</v>
      </c>
      <c r="O845" s="16" t="s">
        <v>401</v>
      </c>
      <c r="P845" s="16" t="s">
        <v>420</v>
      </c>
      <c r="Q845" s="20" t="n">
        <v>46292</v>
      </c>
      <c r="R845" s="16" t="s">
        <v>2887</v>
      </c>
      <c r="S845" s="16" t="s">
        <v>404</v>
      </c>
      <c r="T845" s="17"/>
      <c r="U845" s="21" t="n">
        <v>1</v>
      </c>
      <c r="V845" s="21" t="n">
        <v>1</v>
      </c>
      <c r="W845" s="22" t="n">
        <v>6</v>
      </c>
      <c r="X845" s="16" t="s">
        <v>335</v>
      </c>
      <c r="Y845" s="16" t="s">
        <v>338</v>
      </c>
      <c r="Z845" s="16" t="s">
        <v>413</v>
      </c>
      <c r="AA845" s="16" t="s">
        <v>414</v>
      </c>
      <c r="AB845" s="23" t="s">
        <v>2888</v>
      </c>
      <c r="AC845" s="17" t="n">
        <v>46292.6136689815</v>
      </c>
      <c r="AD845" s="16" t="s">
        <v>338</v>
      </c>
      <c r="AE845" s="16"/>
      <c r="AF845" s="16" t="str">
        <f aca="false">IF(COUNTIF(لیست_سفید!$A$2:$A$21,B845)&gt;0,"بله","خیر")</f>
        <v>خیر</v>
      </c>
      <c r="AG845" s="24" t="n">
        <f aca="false">IF(H845="","",IF(AD845="فیش مفقودی",تنظیمات!$B$6,(INT(I845/1440)*تنظیمات!$B$5+IF(MOD(I845,1440)&lt;=تنظیمات!$B$2,0,MIN(تنظیمات!$B$5,تنظیمات!$B$3+MAX(0,ROUNDUP((MOD(I845,1440)-60)/60,0))*تنظیمات!$B$4)))*INDEX(تعرفه!$B$2:$B$7,MATCH(AD845,تعرفه!$A$2:$A$7,0))))</f>
        <v>20000</v>
      </c>
      <c r="AH845" s="24" t="n">
        <v>20000</v>
      </c>
      <c r="AI845" s="24" t="n">
        <f aca="false">IF(AG845="","",AH845-AG845)</f>
        <v>0</v>
      </c>
      <c r="AJ845" s="21" t="n">
        <v>0</v>
      </c>
      <c r="AK845" s="21" t="n">
        <v>0</v>
      </c>
      <c r="AL845" s="16" t="s">
        <v>335</v>
      </c>
      <c r="AM845" s="16"/>
      <c r="AN845" s="16" t="s">
        <v>340</v>
      </c>
      <c r="AO845" s="16" t="s">
        <v>340</v>
      </c>
      <c r="AP845" s="16" t="s">
        <v>335</v>
      </c>
      <c r="AQ845" s="16"/>
      <c r="AR845" s="21" t="n">
        <f aca="false">IF(AND(T845&lt;&gt;"",H845&lt;&gt;""),IF(AND((T845-H845)*86400&gt;=0,(T845-H845)*86400&lt;تنظیمات!$B$13),1,0),0)</f>
        <v>0</v>
      </c>
      <c r="AS845" s="21" t="n">
        <f aca="false">IF(Z845="پوز",IF(OR(AB845="",COUNTIF(پوزها!$A$2:$A$5,AA845)=0),1,0),0)</f>
        <v>0</v>
      </c>
      <c r="AT845" s="21" t="n">
        <f aca="false">IF(AI845="",0,IF(AI845&gt;0,1,0))</f>
        <v>0</v>
      </c>
      <c r="AU845" s="21" t="n">
        <f aca="false">IF(AI845="",0,IF(AI845&lt;0,1,0))</f>
        <v>0</v>
      </c>
      <c r="AV845" s="21" t="n">
        <f aca="false">IF(U845&gt;V845,1,0)</f>
        <v>0</v>
      </c>
      <c r="AW845" s="21" t="n">
        <f aca="false">IF(OR(W845&gt;تنظیمات!$B$8,X845="بله"),1,0)</f>
        <v>0</v>
      </c>
      <c r="AX845" s="21" t="n">
        <f aca="false">IF(AND(N845="بله",L845&gt;تنظیمات!$B$9),1,0)</f>
        <v>1</v>
      </c>
      <c r="AY845" s="21" t="n">
        <f aca="false">IF(Y845="معکوس",1,0)</f>
        <v>0</v>
      </c>
      <c r="AZ845" s="21" t="n">
        <f aca="false">IF(ABS(AJ845)&gt;تنظیمات!$B$10,1,0)</f>
        <v>0</v>
      </c>
      <c r="BA845" s="21" t="n">
        <f aca="false">IF(AND(OR(AD845="رایگان/VIP",AD845="جانباز"),AF845="خیر"),1,0)</f>
        <v>0</v>
      </c>
      <c r="BB845" s="21" t="n">
        <f aca="false">IF(AE845="",0,IF(COUNTIF($AE$2:$AE$1001,AE845)&gt;1,1,0))</f>
        <v>0</v>
      </c>
      <c r="BC845" s="21" t="n">
        <f aca="false">IF(AND(H845="",I845&gt;تنظیمات!$B$12*60,AM845="خالی"),1,0)</f>
        <v>0</v>
      </c>
      <c r="BD845" s="21" t="n">
        <f aca="false">IF(AND(AP845="بله",I845&lt;تنظیمات!$B$14,AO845="خیر"),1,0)</f>
        <v>0</v>
      </c>
      <c r="BE845" s="21" t="n">
        <f aca="false">IF(AN845="خیر",1,0)</f>
        <v>0</v>
      </c>
      <c r="BF845" s="21" t="n">
        <f aca="false">IF(AND(AD845="فیش مفقودی",AQ845="بله",I845&gt;تنظیمات!$B$12*60),1,0)</f>
        <v>0</v>
      </c>
      <c r="BG845" s="21" t="n">
        <f aca="false">IF(AND(AK845&gt;تنظیمات!$B$11,AL845="بله"),1,0)</f>
        <v>0</v>
      </c>
      <c r="BH845" s="21" t="n">
        <f aca="false">MIN(100,AR845*تنظیمات!$B$21+AS845*تنظیمات!$B$22+AT845*تنظیمات!$B$23+AU845*تنظیمات!$B$24+AV845*تنظیمات!$B$25+AW845*تنظیمات!$B$26+AX845*تنظیمات!$B$27+AY845*تنظیمات!$B$28+AZ845*تنظیمات!$B$29+BA845*تنظیمات!$B$30+BB845*تنظیمات!$B$31+BC845*تنظیمات!$B$32+BD845*تنظیمات!$B$33+BE845*تنظیمات!$B$34+BF845*تنظیمات!$B$35+BG845*تنظیمات!$B$36)</f>
        <v>30</v>
      </c>
      <c r="BI845" s="16" t="str">
        <f aca="false">IF(BH845&gt;=60,"بحرانی",IF(BH845&gt;=30,"مشکوک",IF(BH845&gt;0,"هشدار","عادی")))</f>
        <v>مشکوک</v>
      </c>
      <c r="BJ845" s="16" t="s">
        <v>622</v>
      </c>
    </row>
    <row r="846" customFormat="false" ht="15" hidden="false" customHeight="false" outlineLevel="0" collapsed="false">
      <c r="A846" s="16" t="s">
        <v>2889</v>
      </c>
      <c r="B846" s="16" t="s">
        <v>484</v>
      </c>
      <c r="C846" s="16"/>
      <c r="D846" s="16" t="s">
        <v>431</v>
      </c>
      <c r="E846" s="16" t="s">
        <v>332</v>
      </c>
      <c r="F846" s="16" t="s">
        <v>333</v>
      </c>
      <c r="G846" s="17" t="n">
        <v>46292.6194097222</v>
      </c>
      <c r="H846" s="17" t="n">
        <v>46292.7152430556</v>
      </c>
      <c r="I846" s="18" t="n">
        <f aca="false">IF(H846="",ROUND((تنظیمات!$B$7-G846)*1440,0),ROUND((H846-G846)*1440,0))</f>
        <v>138</v>
      </c>
      <c r="J846" s="16" t="s">
        <v>346</v>
      </c>
      <c r="K846" s="16" t="s">
        <v>410</v>
      </c>
      <c r="L846" s="19" t="n">
        <v>0.995</v>
      </c>
      <c r="M846" s="19" t="n">
        <v>0.974</v>
      </c>
      <c r="N846" s="16" t="s">
        <v>335</v>
      </c>
      <c r="O846" s="16" t="s">
        <v>401</v>
      </c>
      <c r="P846" s="16" t="s">
        <v>420</v>
      </c>
      <c r="Q846" s="20" t="n">
        <v>46292</v>
      </c>
      <c r="R846" s="16" t="s">
        <v>2890</v>
      </c>
      <c r="S846" s="16" t="s">
        <v>404</v>
      </c>
      <c r="T846" s="17"/>
      <c r="U846" s="21" t="n">
        <v>1</v>
      </c>
      <c r="V846" s="21" t="n">
        <v>1</v>
      </c>
      <c r="W846" s="22" t="n">
        <v>4.6</v>
      </c>
      <c r="X846" s="16" t="s">
        <v>335</v>
      </c>
      <c r="Y846" s="16" t="s">
        <v>338</v>
      </c>
      <c r="Z846" s="16" t="s">
        <v>405</v>
      </c>
      <c r="AA846" s="16"/>
      <c r="AB846" s="23"/>
      <c r="AC846" s="17"/>
      <c r="AD846" s="16" t="s">
        <v>338</v>
      </c>
      <c r="AE846" s="16"/>
      <c r="AF846" s="16" t="str">
        <f aca="false">IF(COUNTIF(لیست_سفید!$A$2:$A$21,B846)&gt;0,"بله","خیر")</f>
        <v>خیر</v>
      </c>
      <c r="AG846" s="24" t="n">
        <f aca="false">IF(H846="","",IF(AD846="فیش مفقودی",تنظیمات!$B$6,(INT(I846/1440)*تنظیمات!$B$5+IF(MOD(I846,1440)&lt;=تنظیمات!$B$2,0,MIN(تنظیمات!$B$5,تنظیمات!$B$3+MAX(0,ROUNDUP((MOD(I846,1440)-60)/60,0))*تنظیمات!$B$4)))*INDEX(تعرفه!$B$2:$B$7,MATCH(AD846,تعرفه!$A$2:$A$7,0))))</f>
        <v>48000</v>
      </c>
      <c r="AH846" s="24" t="n">
        <v>48000</v>
      </c>
      <c r="AI846" s="24" t="n">
        <f aca="false">IF(AG846="","",AH846-AG846)</f>
        <v>0</v>
      </c>
      <c r="AJ846" s="21" t="n">
        <v>0</v>
      </c>
      <c r="AK846" s="21" t="n">
        <v>0</v>
      </c>
      <c r="AL846" s="16" t="s">
        <v>335</v>
      </c>
      <c r="AM846" s="16"/>
      <c r="AN846" s="16" t="s">
        <v>340</v>
      </c>
      <c r="AO846" s="16" t="s">
        <v>340</v>
      </c>
      <c r="AP846" s="16" t="s">
        <v>335</v>
      </c>
      <c r="AQ846" s="16"/>
      <c r="AR846" s="21" t="n">
        <f aca="false">IF(AND(T846&lt;&gt;"",H846&lt;&gt;""),IF(AND((T846-H846)*86400&gt;=0,(T846-H846)*86400&lt;تنظیمات!$B$13),1,0),0)</f>
        <v>0</v>
      </c>
      <c r="AS846" s="21" t="n">
        <f aca="false">IF(Z846="پوز",IF(OR(AB846="",COUNTIF(پوزها!$A$2:$A$5,AA846)=0),1,0),0)</f>
        <v>0</v>
      </c>
      <c r="AT846" s="21" t="n">
        <f aca="false">IF(AI846="",0,IF(AI846&gt;0,1,0))</f>
        <v>0</v>
      </c>
      <c r="AU846" s="21" t="n">
        <f aca="false">IF(AI846="",0,IF(AI846&lt;0,1,0))</f>
        <v>0</v>
      </c>
      <c r="AV846" s="21" t="n">
        <f aca="false">IF(U846&gt;V846,1,0)</f>
        <v>0</v>
      </c>
      <c r="AW846" s="21" t="n">
        <f aca="false">IF(OR(W846&gt;تنظیمات!$B$8,X846="بله"),1,0)</f>
        <v>0</v>
      </c>
      <c r="AX846" s="21" t="n">
        <f aca="false">IF(AND(N846="بله",L846&gt;تنظیمات!$B$9),1,0)</f>
        <v>0</v>
      </c>
      <c r="AY846" s="21" t="n">
        <f aca="false">IF(Y846="معکوس",1,0)</f>
        <v>0</v>
      </c>
      <c r="AZ846" s="21" t="n">
        <f aca="false">IF(ABS(AJ846)&gt;تنظیمات!$B$10,1,0)</f>
        <v>0</v>
      </c>
      <c r="BA846" s="21" t="n">
        <f aca="false">IF(AND(OR(AD846="رایگان/VIP",AD846="جانباز"),AF846="خیر"),1,0)</f>
        <v>0</v>
      </c>
      <c r="BB846" s="21" t="n">
        <f aca="false">IF(AE846="",0,IF(COUNTIF($AE$2:$AE$1001,AE846)&gt;1,1,0))</f>
        <v>0</v>
      </c>
      <c r="BC846" s="21" t="n">
        <f aca="false">IF(AND(H846="",I846&gt;تنظیمات!$B$12*60,AM846="خالی"),1,0)</f>
        <v>0</v>
      </c>
      <c r="BD846" s="21" t="n">
        <f aca="false">IF(AND(AP846="بله",I846&lt;تنظیمات!$B$14,AO846="خیر"),1,0)</f>
        <v>0</v>
      </c>
      <c r="BE846" s="21" t="n">
        <f aca="false">IF(AN846="خیر",1,0)</f>
        <v>0</v>
      </c>
      <c r="BF846" s="21" t="n">
        <f aca="false">IF(AND(AD846="فیش مفقودی",AQ846="بله",I846&gt;تنظیمات!$B$12*60),1,0)</f>
        <v>0</v>
      </c>
      <c r="BG846" s="21" t="n">
        <f aca="false">IF(AND(AK846&gt;تنظیمات!$B$11,AL846="بله"),1,0)</f>
        <v>0</v>
      </c>
      <c r="BH846" s="21" t="n">
        <f aca="false">MIN(100,AR846*تنظیمات!$B$21+AS846*تنظیمات!$B$22+AT846*تنظیمات!$B$23+AU846*تنظیمات!$B$24+AV846*تنظیمات!$B$25+AW846*تنظیمات!$B$26+AX846*تنظیمات!$B$27+AY846*تنظیمات!$B$28+AZ846*تنظیمات!$B$29+BA846*تنظیمات!$B$30+BB846*تنظیمات!$B$31+BC846*تنظیمات!$B$32+BD846*تنظیمات!$B$33+BE846*تنظیمات!$B$34+BF846*تنظیمات!$B$35+BG846*تنظیمات!$B$36)</f>
        <v>0</v>
      </c>
      <c r="BI846" s="16" t="str">
        <f aca="false">IF(BH846&gt;=60,"بحرانی",IF(BH846&gt;=30,"مشکوک",IF(BH846&gt;0,"هشدار","عادی")))</f>
        <v>عادی</v>
      </c>
      <c r="BJ846" s="16" t="s">
        <v>338</v>
      </c>
    </row>
    <row r="847" customFormat="false" ht="15" hidden="false" customHeight="false" outlineLevel="0" collapsed="false">
      <c r="A847" s="16" t="s">
        <v>2891</v>
      </c>
      <c r="B847" s="16" t="s">
        <v>579</v>
      </c>
      <c r="C847" s="16"/>
      <c r="D847" s="16" t="s">
        <v>350</v>
      </c>
      <c r="E847" s="16" t="s">
        <v>375</v>
      </c>
      <c r="F847" s="16" t="s">
        <v>333</v>
      </c>
      <c r="G847" s="17" t="n">
        <v>46292.6279976852</v>
      </c>
      <c r="H847" s="17" t="n">
        <v>46292.7398032407</v>
      </c>
      <c r="I847" s="18" t="n">
        <f aca="false">IF(H847="",ROUND((تنظیمات!$B$7-G847)*1440,0),ROUND((H847-G847)*1440,0))</f>
        <v>161</v>
      </c>
      <c r="J847" s="16" t="s">
        <v>346</v>
      </c>
      <c r="K847" s="16" t="s">
        <v>400</v>
      </c>
      <c r="L847" s="19" t="n">
        <v>0.911</v>
      </c>
      <c r="M847" s="19" t="n">
        <v>0.97</v>
      </c>
      <c r="N847" s="16" t="s">
        <v>335</v>
      </c>
      <c r="O847" s="16" t="s">
        <v>411</v>
      </c>
      <c r="P847" s="16" t="s">
        <v>420</v>
      </c>
      <c r="Q847" s="20" t="n">
        <v>46292</v>
      </c>
      <c r="R847" s="16" t="s">
        <v>2892</v>
      </c>
      <c r="S847" s="16" t="s">
        <v>452</v>
      </c>
      <c r="T847" s="17" t="n">
        <v>46292.7337847222</v>
      </c>
      <c r="U847" s="21" t="n">
        <v>1</v>
      </c>
      <c r="V847" s="21" t="n">
        <v>1</v>
      </c>
      <c r="W847" s="22" t="n">
        <v>6.4</v>
      </c>
      <c r="X847" s="16" t="s">
        <v>335</v>
      </c>
      <c r="Y847" s="16" t="s">
        <v>338</v>
      </c>
      <c r="Z847" s="16" t="s">
        <v>413</v>
      </c>
      <c r="AA847" s="16" t="s">
        <v>427</v>
      </c>
      <c r="AB847" s="23" t="s">
        <v>2893</v>
      </c>
      <c r="AC847" s="17" t="n">
        <v>46292.7394560185</v>
      </c>
      <c r="AD847" s="16" t="s">
        <v>338</v>
      </c>
      <c r="AE847" s="16"/>
      <c r="AF847" s="16" t="str">
        <f aca="false">IF(COUNTIF(لیست_سفید!$A$2:$A$21,B847)&gt;0,"بله","خیر")</f>
        <v>خیر</v>
      </c>
      <c r="AG847" s="24" t="n">
        <f aca="false">IF(H847="","",IF(AD847="فیش مفقودی",تنظیمات!$B$6,(INT(I847/1440)*تنظیمات!$B$5+IF(MOD(I847,1440)&lt;=تنظیمات!$B$2,0,MIN(تنظیمات!$B$5,تنظیمات!$B$3+MAX(0,ROUNDUP((MOD(I847,1440)-60)/60,0))*تنظیمات!$B$4)))*INDEX(تعرفه!$B$2:$B$7,MATCH(AD847,تعرفه!$A$2:$A$7,0))))</f>
        <v>48000</v>
      </c>
      <c r="AH847" s="24" t="n">
        <v>48000</v>
      </c>
      <c r="AI847" s="24" t="n">
        <f aca="false">IF(AG847="","",AH847-AG847)</f>
        <v>0</v>
      </c>
      <c r="AJ847" s="21" t="n">
        <v>0</v>
      </c>
      <c r="AK847" s="21" t="n">
        <v>0</v>
      </c>
      <c r="AL847" s="16" t="s">
        <v>335</v>
      </c>
      <c r="AM847" s="16"/>
      <c r="AN847" s="16" t="s">
        <v>340</v>
      </c>
      <c r="AO847" s="16" t="s">
        <v>340</v>
      </c>
      <c r="AP847" s="16" t="s">
        <v>335</v>
      </c>
      <c r="AQ847" s="16"/>
      <c r="AR847" s="21" t="n">
        <f aca="false">IF(AND(T847&lt;&gt;"",H847&lt;&gt;""),IF(AND((T847-H847)*86400&gt;=0,(T847-H847)*86400&lt;تنظیمات!$B$13),1,0),0)</f>
        <v>0</v>
      </c>
      <c r="AS847" s="21" t="n">
        <f aca="false">IF(Z847="پوز",IF(OR(AB847="",COUNTIF(پوزها!$A$2:$A$5,AA847)=0),1,0),0)</f>
        <v>0</v>
      </c>
      <c r="AT847" s="21" t="n">
        <f aca="false">IF(AI847="",0,IF(AI847&gt;0,1,0))</f>
        <v>0</v>
      </c>
      <c r="AU847" s="21" t="n">
        <f aca="false">IF(AI847="",0,IF(AI847&lt;0,1,0))</f>
        <v>0</v>
      </c>
      <c r="AV847" s="21" t="n">
        <f aca="false">IF(U847&gt;V847,1,0)</f>
        <v>0</v>
      </c>
      <c r="AW847" s="21" t="n">
        <f aca="false">IF(OR(W847&gt;تنظیمات!$B$8,X847="بله"),1,0)</f>
        <v>0</v>
      </c>
      <c r="AX847" s="21" t="n">
        <f aca="false">IF(AND(N847="بله",L847&gt;تنظیمات!$B$9),1,0)</f>
        <v>0</v>
      </c>
      <c r="AY847" s="21" t="n">
        <f aca="false">IF(Y847="معکوس",1,0)</f>
        <v>0</v>
      </c>
      <c r="AZ847" s="21" t="n">
        <f aca="false">IF(ABS(AJ847)&gt;تنظیمات!$B$10,1,0)</f>
        <v>0</v>
      </c>
      <c r="BA847" s="21" t="n">
        <f aca="false">IF(AND(OR(AD847="رایگان/VIP",AD847="جانباز"),AF847="خیر"),1,0)</f>
        <v>0</v>
      </c>
      <c r="BB847" s="21" t="n">
        <f aca="false">IF(AE847="",0,IF(COUNTIF($AE$2:$AE$1001,AE847)&gt;1,1,0))</f>
        <v>0</v>
      </c>
      <c r="BC847" s="21" t="n">
        <f aca="false">IF(AND(H847="",I847&gt;تنظیمات!$B$12*60,AM847="خالی"),1,0)</f>
        <v>0</v>
      </c>
      <c r="BD847" s="21" t="n">
        <f aca="false">IF(AND(AP847="بله",I847&lt;تنظیمات!$B$14,AO847="خیر"),1,0)</f>
        <v>0</v>
      </c>
      <c r="BE847" s="21" t="n">
        <f aca="false">IF(AN847="خیر",1,0)</f>
        <v>0</v>
      </c>
      <c r="BF847" s="21" t="n">
        <f aca="false">IF(AND(AD847="فیش مفقودی",AQ847="بله",I847&gt;تنظیمات!$B$12*60),1,0)</f>
        <v>0</v>
      </c>
      <c r="BG847" s="21" t="n">
        <f aca="false">IF(AND(AK847&gt;تنظیمات!$B$11,AL847="بله"),1,0)</f>
        <v>0</v>
      </c>
      <c r="BH847" s="21" t="n">
        <f aca="false">MIN(100,AR847*تنظیمات!$B$21+AS847*تنظیمات!$B$22+AT847*تنظیمات!$B$23+AU847*تنظیمات!$B$24+AV847*تنظیمات!$B$25+AW847*تنظیمات!$B$26+AX847*تنظیمات!$B$27+AY847*تنظیمات!$B$28+AZ847*تنظیمات!$B$29+BA847*تنظیمات!$B$30+BB847*تنظیمات!$B$31+BC847*تنظیمات!$B$32+BD847*تنظیمات!$B$33+BE847*تنظیمات!$B$34+BF847*تنظیمات!$B$35+BG847*تنظیمات!$B$36)</f>
        <v>0</v>
      </c>
      <c r="BI847" s="16" t="str">
        <f aca="false">IF(BH847&gt;=60,"بحرانی",IF(BH847&gt;=30,"مشکوک",IF(BH847&gt;0,"هشدار","عادی")))</f>
        <v>عادی</v>
      </c>
      <c r="BJ847" s="16" t="s">
        <v>338</v>
      </c>
    </row>
    <row r="848" customFormat="false" ht="15" hidden="false" customHeight="false" outlineLevel="0" collapsed="false">
      <c r="A848" s="16" t="s">
        <v>2894</v>
      </c>
      <c r="B848" s="16" t="s">
        <v>709</v>
      </c>
      <c r="C848" s="16"/>
      <c r="D848" s="16" t="s">
        <v>440</v>
      </c>
      <c r="E848" s="16" t="s">
        <v>363</v>
      </c>
      <c r="F848" s="16" t="s">
        <v>359</v>
      </c>
      <c r="G848" s="17" t="n">
        <v>46292.629525463</v>
      </c>
      <c r="H848" s="17" t="n">
        <v>46292.6350810185</v>
      </c>
      <c r="I848" s="18" t="n">
        <f aca="false">IF(H848="",ROUND((تنظیمات!$B$7-G848)*1440,0),ROUND((H848-G848)*1440,0))</f>
        <v>8</v>
      </c>
      <c r="J848" s="16" t="s">
        <v>346</v>
      </c>
      <c r="K848" s="16" t="s">
        <v>410</v>
      </c>
      <c r="L848" s="19" t="n">
        <v>0.966</v>
      </c>
      <c r="M848" s="19" t="n">
        <v>0.981</v>
      </c>
      <c r="N848" s="16" t="s">
        <v>335</v>
      </c>
      <c r="O848" s="16" t="s">
        <v>401</v>
      </c>
      <c r="P848" s="16" t="s">
        <v>420</v>
      </c>
      <c r="Q848" s="20" t="n">
        <v>46292</v>
      </c>
      <c r="R848" s="16" t="s">
        <v>2895</v>
      </c>
      <c r="S848" s="16" t="s">
        <v>404</v>
      </c>
      <c r="T848" s="17"/>
      <c r="U848" s="21" t="n">
        <v>1</v>
      </c>
      <c r="V848" s="21" t="n">
        <v>1</v>
      </c>
      <c r="W848" s="22" t="n">
        <v>4.6</v>
      </c>
      <c r="X848" s="16" t="s">
        <v>335</v>
      </c>
      <c r="Y848" s="16" t="s">
        <v>338</v>
      </c>
      <c r="Z848" s="16" t="s">
        <v>628</v>
      </c>
      <c r="AA848" s="16"/>
      <c r="AB848" s="23"/>
      <c r="AC848" s="17"/>
      <c r="AD848" s="16" t="s">
        <v>338</v>
      </c>
      <c r="AE848" s="16"/>
      <c r="AF848" s="16" t="str">
        <f aca="false">IF(COUNTIF(لیست_سفید!$A$2:$A$21,B848)&gt;0,"بله","خیر")</f>
        <v>خیر</v>
      </c>
      <c r="AG848" s="24" t="n">
        <f aca="false">IF(H848="","",IF(AD848="فیش مفقودی",تنظیمات!$B$6,(INT(I848/1440)*تنظیمات!$B$5+IF(MOD(I848,1440)&lt;=تنظیمات!$B$2,0,MIN(تنظیمات!$B$5,تنظیمات!$B$3+MAX(0,ROUNDUP((MOD(I848,1440)-60)/60,0))*تنظیمات!$B$4)))*INDEX(تعرفه!$B$2:$B$7,MATCH(AD848,تعرفه!$A$2:$A$7,0))))</f>
        <v>0</v>
      </c>
      <c r="AH848" s="24" t="n">
        <v>0</v>
      </c>
      <c r="AI848" s="24" t="n">
        <f aca="false">IF(AG848="","",AH848-AG848)</f>
        <v>0</v>
      </c>
      <c r="AJ848" s="21" t="n">
        <v>4</v>
      </c>
      <c r="AK848" s="21" t="n">
        <v>0</v>
      </c>
      <c r="AL848" s="16" t="s">
        <v>335</v>
      </c>
      <c r="AM848" s="16"/>
      <c r="AN848" s="16" t="s">
        <v>340</v>
      </c>
      <c r="AO848" s="16" t="s">
        <v>340</v>
      </c>
      <c r="AP848" s="16" t="s">
        <v>335</v>
      </c>
      <c r="AQ848" s="16"/>
      <c r="AR848" s="21" t="n">
        <f aca="false">IF(AND(T848&lt;&gt;"",H848&lt;&gt;""),IF(AND((T848-H848)*86400&gt;=0,(T848-H848)*86400&lt;تنظیمات!$B$13),1,0),0)</f>
        <v>0</v>
      </c>
      <c r="AS848" s="21" t="n">
        <f aca="false">IF(Z848="پوز",IF(OR(AB848="",COUNTIF(پوزها!$A$2:$A$5,AA848)=0),1,0),0)</f>
        <v>0</v>
      </c>
      <c r="AT848" s="21" t="n">
        <f aca="false">IF(AI848="",0,IF(AI848&gt;0,1,0))</f>
        <v>0</v>
      </c>
      <c r="AU848" s="21" t="n">
        <f aca="false">IF(AI848="",0,IF(AI848&lt;0,1,0))</f>
        <v>0</v>
      </c>
      <c r="AV848" s="21" t="n">
        <f aca="false">IF(U848&gt;V848,1,0)</f>
        <v>0</v>
      </c>
      <c r="AW848" s="21" t="n">
        <f aca="false">IF(OR(W848&gt;تنظیمات!$B$8,X848="بله"),1,0)</f>
        <v>0</v>
      </c>
      <c r="AX848" s="21" t="n">
        <f aca="false">IF(AND(N848="بله",L848&gt;تنظیمات!$B$9),1,0)</f>
        <v>0</v>
      </c>
      <c r="AY848" s="21" t="n">
        <f aca="false">IF(Y848="معکوس",1,0)</f>
        <v>0</v>
      </c>
      <c r="AZ848" s="21" t="n">
        <f aca="false">IF(ABS(AJ848)&gt;تنظیمات!$B$10,1,0)</f>
        <v>0</v>
      </c>
      <c r="BA848" s="21" t="n">
        <f aca="false">IF(AND(OR(AD848="رایگان/VIP",AD848="جانباز"),AF848="خیر"),1,0)</f>
        <v>0</v>
      </c>
      <c r="BB848" s="21" t="n">
        <f aca="false">IF(AE848="",0,IF(COUNTIF($AE$2:$AE$1001,AE848)&gt;1,1,0))</f>
        <v>0</v>
      </c>
      <c r="BC848" s="21" t="n">
        <f aca="false">IF(AND(H848="",I848&gt;تنظیمات!$B$12*60,AM848="خالی"),1,0)</f>
        <v>0</v>
      </c>
      <c r="BD848" s="21" t="n">
        <f aca="false">IF(AND(AP848="بله",I848&lt;تنظیمات!$B$14,AO848="خیر"),1,0)</f>
        <v>0</v>
      </c>
      <c r="BE848" s="21" t="n">
        <f aca="false">IF(AN848="خیر",1,0)</f>
        <v>0</v>
      </c>
      <c r="BF848" s="21" t="n">
        <f aca="false">IF(AND(AD848="فیش مفقودی",AQ848="بله",I848&gt;تنظیمات!$B$12*60),1,0)</f>
        <v>0</v>
      </c>
      <c r="BG848" s="21" t="n">
        <f aca="false">IF(AND(AK848&gt;تنظیمات!$B$11,AL848="بله"),1,0)</f>
        <v>0</v>
      </c>
      <c r="BH848" s="21" t="n">
        <f aca="false">MIN(100,AR848*تنظیمات!$B$21+AS848*تنظیمات!$B$22+AT848*تنظیمات!$B$23+AU848*تنظیمات!$B$24+AV848*تنظیمات!$B$25+AW848*تنظیمات!$B$26+AX848*تنظیمات!$B$27+AY848*تنظیمات!$B$28+AZ848*تنظیمات!$B$29+BA848*تنظیمات!$B$30+BB848*تنظیمات!$B$31+BC848*تنظیمات!$B$32+BD848*تنظیمات!$B$33+BE848*تنظیمات!$B$34+BF848*تنظیمات!$B$35+BG848*تنظیمات!$B$36)</f>
        <v>0</v>
      </c>
      <c r="BI848" s="16" t="str">
        <f aca="false">IF(BH848&gt;=60,"بحرانی",IF(BH848&gt;=30,"مشکوک",IF(BH848&gt;0,"هشدار","عادی")))</f>
        <v>عادی</v>
      </c>
      <c r="BJ848" s="16" t="s">
        <v>629</v>
      </c>
    </row>
    <row r="849" customFormat="false" ht="15" hidden="false" customHeight="false" outlineLevel="0" collapsed="false">
      <c r="A849" s="16" t="s">
        <v>2896</v>
      </c>
      <c r="B849" s="16" t="s">
        <v>1333</v>
      </c>
      <c r="C849" s="16"/>
      <c r="D849" s="16" t="s">
        <v>382</v>
      </c>
      <c r="E849" s="16" t="s">
        <v>390</v>
      </c>
      <c r="F849" s="16" t="s">
        <v>333</v>
      </c>
      <c r="G849" s="17" t="n">
        <v>46292.6303703704</v>
      </c>
      <c r="H849" s="17" t="n">
        <v>46292.6727314815</v>
      </c>
      <c r="I849" s="18" t="n">
        <f aca="false">IF(H849="",ROUND((تنظیمات!$B$7-G849)*1440,0),ROUND((H849-G849)*1440,0))</f>
        <v>61</v>
      </c>
      <c r="J849" s="16" t="s">
        <v>334</v>
      </c>
      <c r="K849" s="16" t="s">
        <v>410</v>
      </c>
      <c r="L849" s="19" t="n">
        <v>0.928</v>
      </c>
      <c r="M849" s="19" t="n">
        <v>0.97</v>
      </c>
      <c r="N849" s="16" t="s">
        <v>335</v>
      </c>
      <c r="O849" s="16" t="s">
        <v>401</v>
      </c>
      <c r="P849" s="16" t="s">
        <v>420</v>
      </c>
      <c r="Q849" s="20" t="n">
        <v>46292</v>
      </c>
      <c r="R849" s="16" t="s">
        <v>2897</v>
      </c>
      <c r="S849" s="16" t="s">
        <v>404</v>
      </c>
      <c r="T849" s="17"/>
      <c r="U849" s="21" t="n">
        <v>1</v>
      </c>
      <c r="V849" s="21" t="n">
        <v>1</v>
      </c>
      <c r="W849" s="22" t="n">
        <v>4.5</v>
      </c>
      <c r="X849" s="16" t="s">
        <v>335</v>
      </c>
      <c r="Y849" s="16" t="s">
        <v>338</v>
      </c>
      <c r="Z849" s="16" t="s">
        <v>405</v>
      </c>
      <c r="AA849" s="16"/>
      <c r="AB849" s="23"/>
      <c r="AC849" s="17"/>
      <c r="AD849" s="16" t="s">
        <v>338</v>
      </c>
      <c r="AE849" s="16"/>
      <c r="AF849" s="16" t="str">
        <f aca="false">IF(COUNTIF(لیست_سفید!$A$2:$A$21,B849)&gt;0,"بله","خیر")</f>
        <v>خیر</v>
      </c>
      <c r="AG849" s="24" t="n">
        <f aca="false">IF(H849="","",IF(AD849="فیش مفقودی",تنظیمات!$B$6,(INT(I849/1440)*تنظیمات!$B$5+IF(MOD(I849,1440)&lt;=تنظیمات!$B$2,0,MIN(تنظیمات!$B$5,تنظیمات!$B$3+MAX(0,ROUNDUP((MOD(I849,1440)-60)/60,0))*تنظیمات!$B$4)))*INDEX(تعرفه!$B$2:$B$7,MATCH(AD849,تعرفه!$A$2:$A$7,0))))</f>
        <v>34000</v>
      </c>
      <c r="AH849" s="24" t="n">
        <v>34000</v>
      </c>
      <c r="AI849" s="24" t="n">
        <f aca="false">IF(AG849="","",AH849-AG849)</f>
        <v>0</v>
      </c>
      <c r="AJ849" s="21" t="n">
        <v>0</v>
      </c>
      <c r="AK849" s="21" t="n">
        <v>0</v>
      </c>
      <c r="AL849" s="16" t="s">
        <v>335</v>
      </c>
      <c r="AM849" s="16"/>
      <c r="AN849" s="16" t="s">
        <v>340</v>
      </c>
      <c r="AO849" s="16" t="s">
        <v>340</v>
      </c>
      <c r="AP849" s="16" t="s">
        <v>335</v>
      </c>
      <c r="AQ849" s="16"/>
      <c r="AR849" s="21" t="n">
        <f aca="false">IF(AND(T849&lt;&gt;"",H849&lt;&gt;""),IF(AND((T849-H849)*86400&gt;=0,(T849-H849)*86400&lt;تنظیمات!$B$13),1,0),0)</f>
        <v>0</v>
      </c>
      <c r="AS849" s="21" t="n">
        <f aca="false">IF(Z849="پوز",IF(OR(AB849="",COUNTIF(پوزها!$A$2:$A$5,AA849)=0),1,0),0)</f>
        <v>0</v>
      </c>
      <c r="AT849" s="21" t="n">
        <f aca="false">IF(AI849="",0,IF(AI849&gt;0,1,0))</f>
        <v>0</v>
      </c>
      <c r="AU849" s="21" t="n">
        <f aca="false">IF(AI849="",0,IF(AI849&lt;0,1,0))</f>
        <v>0</v>
      </c>
      <c r="AV849" s="21" t="n">
        <f aca="false">IF(U849&gt;V849,1,0)</f>
        <v>0</v>
      </c>
      <c r="AW849" s="21" t="n">
        <f aca="false">IF(OR(W849&gt;تنظیمات!$B$8,X849="بله"),1,0)</f>
        <v>0</v>
      </c>
      <c r="AX849" s="21" t="n">
        <f aca="false">IF(AND(N849="بله",L849&gt;تنظیمات!$B$9),1,0)</f>
        <v>0</v>
      </c>
      <c r="AY849" s="21" t="n">
        <f aca="false">IF(Y849="معکوس",1,0)</f>
        <v>0</v>
      </c>
      <c r="AZ849" s="21" t="n">
        <f aca="false">IF(ABS(AJ849)&gt;تنظیمات!$B$10,1,0)</f>
        <v>0</v>
      </c>
      <c r="BA849" s="21" t="n">
        <f aca="false">IF(AND(OR(AD849="رایگان/VIP",AD849="جانباز"),AF849="خیر"),1,0)</f>
        <v>0</v>
      </c>
      <c r="BB849" s="21" t="n">
        <f aca="false">IF(AE849="",0,IF(COUNTIF($AE$2:$AE$1001,AE849)&gt;1,1,0))</f>
        <v>0</v>
      </c>
      <c r="BC849" s="21" t="n">
        <f aca="false">IF(AND(H849="",I849&gt;تنظیمات!$B$12*60,AM849="خالی"),1,0)</f>
        <v>0</v>
      </c>
      <c r="BD849" s="21" t="n">
        <f aca="false">IF(AND(AP849="بله",I849&lt;تنظیمات!$B$14,AO849="خیر"),1,0)</f>
        <v>0</v>
      </c>
      <c r="BE849" s="21" t="n">
        <f aca="false">IF(AN849="خیر",1,0)</f>
        <v>0</v>
      </c>
      <c r="BF849" s="21" t="n">
        <f aca="false">IF(AND(AD849="فیش مفقودی",AQ849="بله",I849&gt;تنظیمات!$B$12*60),1,0)</f>
        <v>0</v>
      </c>
      <c r="BG849" s="21" t="n">
        <f aca="false">IF(AND(AK849&gt;تنظیمات!$B$11,AL849="بله"),1,0)</f>
        <v>0</v>
      </c>
      <c r="BH849" s="21" t="n">
        <f aca="false">MIN(100,AR849*تنظیمات!$B$21+AS849*تنظیمات!$B$22+AT849*تنظیمات!$B$23+AU849*تنظیمات!$B$24+AV849*تنظیمات!$B$25+AW849*تنظیمات!$B$26+AX849*تنظیمات!$B$27+AY849*تنظیمات!$B$28+AZ849*تنظیمات!$B$29+BA849*تنظیمات!$B$30+BB849*تنظیمات!$B$31+BC849*تنظیمات!$B$32+BD849*تنظیمات!$B$33+BE849*تنظیمات!$B$34+BF849*تنظیمات!$B$35+BG849*تنظیمات!$B$36)</f>
        <v>0</v>
      </c>
      <c r="BI849" s="16" t="str">
        <f aca="false">IF(BH849&gt;=60,"بحرانی",IF(BH849&gt;=30,"مشکوک",IF(BH849&gt;0,"هشدار","عادی")))</f>
        <v>عادی</v>
      </c>
      <c r="BJ849" s="16" t="s">
        <v>338</v>
      </c>
    </row>
    <row r="850" customFormat="false" ht="15" hidden="false" customHeight="false" outlineLevel="0" collapsed="false">
      <c r="A850" s="16" t="s">
        <v>2898</v>
      </c>
      <c r="B850" s="16" t="s">
        <v>1465</v>
      </c>
      <c r="C850" s="16"/>
      <c r="D850" s="16" t="s">
        <v>523</v>
      </c>
      <c r="E850" s="16" t="s">
        <v>363</v>
      </c>
      <c r="F850" s="16" t="s">
        <v>333</v>
      </c>
      <c r="G850" s="17" t="n">
        <v>46292.6318981482</v>
      </c>
      <c r="H850" s="17" t="n">
        <v>46292.7562037037</v>
      </c>
      <c r="I850" s="18" t="n">
        <f aca="false">IF(H850="",ROUND((تنظیمات!$B$7-G850)*1440,0),ROUND((H850-G850)*1440,0))</f>
        <v>179</v>
      </c>
      <c r="J850" s="16" t="s">
        <v>334</v>
      </c>
      <c r="K850" s="16" t="s">
        <v>400</v>
      </c>
      <c r="L850" s="19" t="n">
        <v>0.973</v>
      </c>
      <c r="M850" s="19" t="n">
        <v>0.926</v>
      </c>
      <c r="N850" s="16" t="s">
        <v>335</v>
      </c>
      <c r="O850" s="16" t="s">
        <v>411</v>
      </c>
      <c r="P850" s="16" t="s">
        <v>420</v>
      </c>
      <c r="Q850" s="20" t="n">
        <v>46292</v>
      </c>
      <c r="R850" s="16" t="s">
        <v>2899</v>
      </c>
      <c r="S850" s="16" t="s">
        <v>404</v>
      </c>
      <c r="T850" s="17"/>
      <c r="U850" s="21" t="n">
        <v>1</v>
      </c>
      <c r="V850" s="21" t="n">
        <v>1</v>
      </c>
      <c r="W850" s="22" t="n">
        <v>6.6</v>
      </c>
      <c r="X850" s="16" t="s">
        <v>335</v>
      </c>
      <c r="Y850" s="16" t="s">
        <v>338</v>
      </c>
      <c r="Z850" s="16" t="s">
        <v>413</v>
      </c>
      <c r="AA850" s="16" t="s">
        <v>427</v>
      </c>
      <c r="AB850" s="23" t="s">
        <v>2900</v>
      </c>
      <c r="AC850" s="17" t="n">
        <v>46292.7553703704</v>
      </c>
      <c r="AD850" s="16" t="s">
        <v>338</v>
      </c>
      <c r="AE850" s="16"/>
      <c r="AF850" s="16" t="str">
        <f aca="false">IF(COUNTIF(لیست_سفید!$A$2:$A$21,B850)&gt;0,"بله","خیر")</f>
        <v>خیر</v>
      </c>
      <c r="AG850" s="24" t="n">
        <f aca="false">IF(H850="","",IF(AD850="فیش مفقودی",تنظیمات!$B$6,(INT(I850/1440)*تنظیمات!$B$5+IF(MOD(I850,1440)&lt;=تنظیمات!$B$2,0,MIN(تنظیمات!$B$5,تنظیمات!$B$3+MAX(0,ROUNDUP((MOD(I850,1440)-60)/60,0))*تنظیمات!$B$4)))*INDEX(تعرفه!$B$2:$B$7,MATCH(AD850,تعرفه!$A$2:$A$7,0))))</f>
        <v>48000</v>
      </c>
      <c r="AH850" s="24" t="n">
        <v>48000</v>
      </c>
      <c r="AI850" s="24" t="n">
        <f aca="false">IF(AG850="","",AH850-AG850)</f>
        <v>0</v>
      </c>
      <c r="AJ850" s="21" t="n">
        <v>0</v>
      </c>
      <c r="AK850" s="21" t="n">
        <v>0</v>
      </c>
      <c r="AL850" s="16" t="s">
        <v>335</v>
      </c>
      <c r="AM850" s="16"/>
      <c r="AN850" s="16" t="s">
        <v>340</v>
      </c>
      <c r="AO850" s="16" t="s">
        <v>340</v>
      </c>
      <c r="AP850" s="16" t="s">
        <v>335</v>
      </c>
      <c r="AQ850" s="16"/>
      <c r="AR850" s="21" t="n">
        <f aca="false">IF(AND(T850&lt;&gt;"",H850&lt;&gt;""),IF(AND((T850-H850)*86400&gt;=0,(T850-H850)*86400&lt;تنظیمات!$B$13),1,0),0)</f>
        <v>0</v>
      </c>
      <c r="AS850" s="21" t="n">
        <f aca="false">IF(Z850="پوز",IF(OR(AB850="",COUNTIF(پوزها!$A$2:$A$5,AA850)=0),1,0),0)</f>
        <v>0</v>
      </c>
      <c r="AT850" s="21" t="n">
        <f aca="false">IF(AI850="",0,IF(AI850&gt;0,1,0))</f>
        <v>0</v>
      </c>
      <c r="AU850" s="21" t="n">
        <f aca="false">IF(AI850="",0,IF(AI850&lt;0,1,0))</f>
        <v>0</v>
      </c>
      <c r="AV850" s="21" t="n">
        <f aca="false">IF(U850&gt;V850,1,0)</f>
        <v>0</v>
      </c>
      <c r="AW850" s="21" t="n">
        <f aca="false">IF(OR(W850&gt;تنظیمات!$B$8,X850="بله"),1,0)</f>
        <v>0</v>
      </c>
      <c r="AX850" s="21" t="n">
        <f aca="false">IF(AND(N850="بله",L850&gt;تنظیمات!$B$9),1,0)</f>
        <v>0</v>
      </c>
      <c r="AY850" s="21" t="n">
        <f aca="false">IF(Y850="معکوس",1,0)</f>
        <v>0</v>
      </c>
      <c r="AZ850" s="21" t="n">
        <f aca="false">IF(ABS(AJ850)&gt;تنظیمات!$B$10,1,0)</f>
        <v>0</v>
      </c>
      <c r="BA850" s="21" t="n">
        <f aca="false">IF(AND(OR(AD850="رایگان/VIP",AD850="جانباز"),AF850="خیر"),1,0)</f>
        <v>0</v>
      </c>
      <c r="BB850" s="21" t="n">
        <f aca="false">IF(AE850="",0,IF(COUNTIF($AE$2:$AE$1001,AE850)&gt;1,1,0))</f>
        <v>0</v>
      </c>
      <c r="BC850" s="21" t="n">
        <f aca="false">IF(AND(H850="",I850&gt;تنظیمات!$B$12*60,AM850="خالی"),1,0)</f>
        <v>0</v>
      </c>
      <c r="BD850" s="21" t="n">
        <f aca="false">IF(AND(AP850="بله",I850&lt;تنظیمات!$B$14,AO850="خیر"),1,0)</f>
        <v>0</v>
      </c>
      <c r="BE850" s="21" t="n">
        <f aca="false">IF(AN850="خیر",1,0)</f>
        <v>0</v>
      </c>
      <c r="BF850" s="21" t="n">
        <f aca="false">IF(AND(AD850="فیش مفقودی",AQ850="بله",I850&gt;تنظیمات!$B$12*60),1,0)</f>
        <v>0</v>
      </c>
      <c r="BG850" s="21" t="n">
        <f aca="false">IF(AND(AK850&gt;تنظیمات!$B$11,AL850="بله"),1,0)</f>
        <v>0</v>
      </c>
      <c r="BH850" s="21" t="n">
        <f aca="false">MIN(100,AR850*تنظیمات!$B$21+AS850*تنظیمات!$B$22+AT850*تنظیمات!$B$23+AU850*تنظیمات!$B$24+AV850*تنظیمات!$B$25+AW850*تنظیمات!$B$26+AX850*تنظیمات!$B$27+AY850*تنظیمات!$B$28+AZ850*تنظیمات!$B$29+BA850*تنظیمات!$B$30+BB850*تنظیمات!$B$31+BC850*تنظیمات!$B$32+BD850*تنظیمات!$B$33+BE850*تنظیمات!$B$34+BF850*تنظیمات!$B$35+BG850*تنظیمات!$B$36)</f>
        <v>0</v>
      </c>
      <c r="BI850" s="16" t="str">
        <f aca="false">IF(BH850&gt;=60,"بحرانی",IF(BH850&gt;=30,"مشکوک",IF(BH850&gt;0,"هشدار","عادی")))</f>
        <v>عادی</v>
      </c>
      <c r="BJ850" s="16" t="s">
        <v>338</v>
      </c>
    </row>
    <row r="851" customFormat="false" ht="15" hidden="false" customHeight="false" outlineLevel="0" collapsed="false">
      <c r="A851" s="16" t="s">
        <v>2901</v>
      </c>
      <c r="B851" s="16" t="s">
        <v>1393</v>
      </c>
      <c r="C851" s="16"/>
      <c r="D851" s="16" t="s">
        <v>531</v>
      </c>
      <c r="E851" s="16" t="s">
        <v>332</v>
      </c>
      <c r="F851" s="16" t="s">
        <v>333</v>
      </c>
      <c r="G851" s="17" t="n">
        <v>46292.6565393519</v>
      </c>
      <c r="H851" s="17" t="n">
        <v>46292.8995949074</v>
      </c>
      <c r="I851" s="18" t="n">
        <f aca="false">IF(H851="",ROUND((تنظیمات!$B$7-G851)*1440,0),ROUND((H851-G851)*1440,0))</f>
        <v>350</v>
      </c>
      <c r="J851" s="16" t="s">
        <v>346</v>
      </c>
      <c r="K851" s="16" t="s">
        <v>400</v>
      </c>
      <c r="L851" s="19" t="n">
        <v>0.914</v>
      </c>
      <c r="M851" s="19" t="n">
        <v>0.978</v>
      </c>
      <c r="N851" s="16" t="s">
        <v>335</v>
      </c>
      <c r="O851" s="16" t="s">
        <v>411</v>
      </c>
      <c r="P851" s="16" t="s">
        <v>420</v>
      </c>
      <c r="Q851" s="20" t="n">
        <v>46292</v>
      </c>
      <c r="R851" s="16" t="s">
        <v>2902</v>
      </c>
      <c r="S851" s="16" t="s">
        <v>404</v>
      </c>
      <c r="T851" s="17"/>
      <c r="U851" s="21" t="n">
        <v>1</v>
      </c>
      <c r="V851" s="21" t="n">
        <v>1</v>
      </c>
      <c r="W851" s="22" t="n">
        <v>5.4</v>
      </c>
      <c r="X851" s="16" t="s">
        <v>335</v>
      </c>
      <c r="Y851" s="16" t="s">
        <v>338</v>
      </c>
      <c r="Z851" s="16" t="s">
        <v>413</v>
      </c>
      <c r="AA851" s="16" t="s">
        <v>427</v>
      </c>
      <c r="AB851" s="23" t="s">
        <v>2903</v>
      </c>
      <c r="AC851" s="17" t="n">
        <v>46292.8989467593</v>
      </c>
      <c r="AD851" s="16" t="s">
        <v>338</v>
      </c>
      <c r="AE851" s="16"/>
      <c r="AF851" s="16" t="str">
        <f aca="false">IF(COUNTIF(لیست_سفید!$A$2:$A$21,B851)&gt;0,"بله","خیر")</f>
        <v>خیر</v>
      </c>
      <c r="AG851" s="24" t="n">
        <f aca="false">IF(H851="","",IF(AD851="فیش مفقودی",تنظیمات!$B$6,(INT(I851/1440)*تنظیمات!$B$5+IF(MOD(I851,1440)&lt;=تنظیمات!$B$2,0,MIN(تنظیمات!$B$5,تنظیمات!$B$3+MAX(0,ROUNDUP((MOD(I851,1440)-60)/60,0))*تنظیمات!$B$4)))*INDEX(تعرفه!$B$2:$B$7,MATCH(AD851,تعرفه!$A$2:$A$7,0))))</f>
        <v>90000</v>
      </c>
      <c r="AH851" s="24" t="n">
        <v>90000</v>
      </c>
      <c r="AI851" s="24" t="n">
        <f aca="false">IF(AG851="","",AH851-AG851)</f>
        <v>0</v>
      </c>
      <c r="AJ851" s="21" t="n">
        <v>4</v>
      </c>
      <c r="AK851" s="21" t="n">
        <v>0</v>
      </c>
      <c r="AL851" s="16" t="s">
        <v>335</v>
      </c>
      <c r="AM851" s="16"/>
      <c r="AN851" s="16" t="s">
        <v>340</v>
      </c>
      <c r="AO851" s="16" t="s">
        <v>340</v>
      </c>
      <c r="AP851" s="16" t="s">
        <v>335</v>
      </c>
      <c r="AQ851" s="16"/>
      <c r="AR851" s="21" t="n">
        <f aca="false">IF(AND(T851&lt;&gt;"",H851&lt;&gt;""),IF(AND((T851-H851)*86400&gt;=0,(T851-H851)*86400&lt;تنظیمات!$B$13),1,0),0)</f>
        <v>0</v>
      </c>
      <c r="AS851" s="21" t="n">
        <f aca="false">IF(Z851="پوز",IF(OR(AB851="",COUNTIF(پوزها!$A$2:$A$5,AA851)=0),1,0),0)</f>
        <v>0</v>
      </c>
      <c r="AT851" s="21" t="n">
        <f aca="false">IF(AI851="",0,IF(AI851&gt;0,1,0))</f>
        <v>0</v>
      </c>
      <c r="AU851" s="21" t="n">
        <f aca="false">IF(AI851="",0,IF(AI851&lt;0,1,0))</f>
        <v>0</v>
      </c>
      <c r="AV851" s="21" t="n">
        <f aca="false">IF(U851&gt;V851,1,0)</f>
        <v>0</v>
      </c>
      <c r="AW851" s="21" t="n">
        <f aca="false">IF(OR(W851&gt;تنظیمات!$B$8,X851="بله"),1,0)</f>
        <v>0</v>
      </c>
      <c r="AX851" s="21" t="n">
        <f aca="false">IF(AND(N851="بله",L851&gt;تنظیمات!$B$9),1,0)</f>
        <v>0</v>
      </c>
      <c r="AY851" s="21" t="n">
        <f aca="false">IF(Y851="معکوس",1,0)</f>
        <v>0</v>
      </c>
      <c r="AZ851" s="21" t="n">
        <f aca="false">IF(ABS(AJ851)&gt;تنظیمات!$B$10,1,0)</f>
        <v>0</v>
      </c>
      <c r="BA851" s="21" t="n">
        <f aca="false">IF(AND(OR(AD851="رایگان/VIP",AD851="جانباز"),AF851="خیر"),1,0)</f>
        <v>0</v>
      </c>
      <c r="BB851" s="21" t="n">
        <f aca="false">IF(AE851="",0,IF(COUNTIF($AE$2:$AE$1001,AE851)&gt;1,1,0))</f>
        <v>0</v>
      </c>
      <c r="BC851" s="21" t="n">
        <f aca="false">IF(AND(H851="",I851&gt;تنظیمات!$B$12*60,AM851="خالی"),1,0)</f>
        <v>0</v>
      </c>
      <c r="BD851" s="21" t="n">
        <f aca="false">IF(AND(AP851="بله",I851&lt;تنظیمات!$B$14,AO851="خیر"),1,0)</f>
        <v>0</v>
      </c>
      <c r="BE851" s="21" t="n">
        <f aca="false">IF(AN851="خیر",1,0)</f>
        <v>0</v>
      </c>
      <c r="BF851" s="21" t="n">
        <f aca="false">IF(AND(AD851="فیش مفقودی",AQ851="بله",I851&gt;تنظیمات!$B$12*60),1,0)</f>
        <v>0</v>
      </c>
      <c r="BG851" s="21" t="n">
        <f aca="false">IF(AND(AK851&gt;تنظیمات!$B$11,AL851="بله"),1,0)</f>
        <v>0</v>
      </c>
      <c r="BH851" s="21" t="n">
        <f aca="false">MIN(100,AR851*تنظیمات!$B$21+AS851*تنظیمات!$B$22+AT851*تنظیمات!$B$23+AU851*تنظیمات!$B$24+AV851*تنظیمات!$B$25+AW851*تنظیمات!$B$26+AX851*تنظیمات!$B$27+AY851*تنظیمات!$B$28+AZ851*تنظیمات!$B$29+BA851*تنظیمات!$B$30+BB851*تنظیمات!$B$31+BC851*تنظیمات!$B$32+BD851*تنظیمات!$B$33+BE851*تنظیمات!$B$34+BF851*تنظیمات!$B$35+BG851*تنظیمات!$B$36)</f>
        <v>0</v>
      </c>
      <c r="BI851" s="16" t="str">
        <f aca="false">IF(BH851&gt;=60,"بحرانی",IF(BH851&gt;=30,"مشکوک",IF(BH851&gt;0,"هشدار","عادی")))</f>
        <v>عادی</v>
      </c>
      <c r="BJ851" s="16" t="s">
        <v>338</v>
      </c>
    </row>
    <row r="852" customFormat="false" ht="15" hidden="false" customHeight="false" outlineLevel="0" collapsed="false">
      <c r="A852" s="16" t="s">
        <v>2904</v>
      </c>
      <c r="B852" s="16" t="s">
        <v>1263</v>
      </c>
      <c r="C852" s="16"/>
      <c r="D852" s="16" t="s">
        <v>382</v>
      </c>
      <c r="E852" s="16" t="s">
        <v>351</v>
      </c>
      <c r="F852" s="16" t="s">
        <v>333</v>
      </c>
      <c r="G852" s="17" t="n">
        <v>46292.6833912037</v>
      </c>
      <c r="H852" s="17" t="n">
        <v>46292.7132523148</v>
      </c>
      <c r="I852" s="18" t="n">
        <f aca="false">IF(H852="",ROUND((تنظیمات!$B$7-G852)*1440,0),ROUND((H852-G852)*1440,0))</f>
        <v>43</v>
      </c>
      <c r="J852" s="16" t="s">
        <v>346</v>
      </c>
      <c r="K852" s="16" t="s">
        <v>400</v>
      </c>
      <c r="L852" s="19" t="n">
        <v>0.982</v>
      </c>
      <c r="M852" s="19" t="n">
        <v>0.948</v>
      </c>
      <c r="N852" s="16" t="s">
        <v>335</v>
      </c>
      <c r="O852" s="16" t="s">
        <v>411</v>
      </c>
      <c r="P852" s="16" t="s">
        <v>420</v>
      </c>
      <c r="Q852" s="20" t="n">
        <v>46292</v>
      </c>
      <c r="R852" s="16" t="s">
        <v>2905</v>
      </c>
      <c r="S852" s="16" t="s">
        <v>404</v>
      </c>
      <c r="T852" s="17"/>
      <c r="U852" s="21" t="n">
        <v>1</v>
      </c>
      <c r="V852" s="21" t="n">
        <v>1</v>
      </c>
      <c r="W852" s="22" t="n">
        <v>5.5</v>
      </c>
      <c r="X852" s="16" t="s">
        <v>335</v>
      </c>
      <c r="Y852" s="16" t="s">
        <v>338</v>
      </c>
      <c r="Z852" s="16" t="s">
        <v>405</v>
      </c>
      <c r="AA852" s="16"/>
      <c r="AB852" s="23"/>
      <c r="AC852" s="17"/>
      <c r="AD852" s="16" t="s">
        <v>481</v>
      </c>
      <c r="AE852" s="16" t="s">
        <v>2906</v>
      </c>
      <c r="AF852" s="16" t="str">
        <f aca="false">IF(COUNTIF(لیست_سفید!$A$2:$A$21,B852)&gt;0,"بله","خیر")</f>
        <v>خیر</v>
      </c>
      <c r="AG852" s="24" t="n">
        <f aca="false">IF(H852="","",IF(AD852="فیش مفقودی",تنظیمات!$B$6,(INT(I852/1440)*تنظیمات!$B$5+IF(MOD(I852,1440)&lt;=تنظیمات!$B$2,0,MIN(تنظیمات!$B$5,تنظیمات!$B$3+MAX(0,ROUNDUP((MOD(I852,1440)-60)/60,0))*تنظیمات!$B$4)))*INDEX(تعرفه!$B$2:$B$7,MATCH(AD852,تعرفه!$A$2:$A$7,0))))</f>
        <v>10000</v>
      </c>
      <c r="AH852" s="24" t="n">
        <v>10000</v>
      </c>
      <c r="AI852" s="24" t="n">
        <f aca="false">IF(AG852="","",AH852-AG852)</f>
        <v>0</v>
      </c>
      <c r="AJ852" s="21" t="n">
        <v>3</v>
      </c>
      <c r="AK852" s="21" t="n">
        <v>0</v>
      </c>
      <c r="AL852" s="16" t="s">
        <v>335</v>
      </c>
      <c r="AM852" s="16"/>
      <c r="AN852" s="16" t="s">
        <v>340</v>
      </c>
      <c r="AO852" s="16" t="s">
        <v>340</v>
      </c>
      <c r="AP852" s="16" t="s">
        <v>335</v>
      </c>
      <c r="AQ852" s="16"/>
      <c r="AR852" s="21" t="n">
        <f aca="false">IF(AND(T852&lt;&gt;"",H852&lt;&gt;""),IF(AND((T852-H852)*86400&gt;=0,(T852-H852)*86400&lt;تنظیمات!$B$13),1,0),0)</f>
        <v>0</v>
      </c>
      <c r="AS852" s="21" t="n">
        <f aca="false">IF(Z852="پوز",IF(OR(AB852="",COUNTIF(پوزها!$A$2:$A$5,AA852)=0),1,0),0)</f>
        <v>0</v>
      </c>
      <c r="AT852" s="21" t="n">
        <f aca="false">IF(AI852="",0,IF(AI852&gt;0,1,0))</f>
        <v>0</v>
      </c>
      <c r="AU852" s="21" t="n">
        <f aca="false">IF(AI852="",0,IF(AI852&lt;0,1,0))</f>
        <v>0</v>
      </c>
      <c r="AV852" s="21" t="n">
        <f aca="false">IF(U852&gt;V852,1,0)</f>
        <v>0</v>
      </c>
      <c r="AW852" s="21" t="n">
        <f aca="false">IF(OR(W852&gt;تنظیمات!$B$8,X852="بله"),1,0)</f>
        <v>0</v>
      </c>
      <c r="AX852" s="21" t="n">
        <f aca="false">IF(AND(N852="بله",L852&gt;تنظیمات!$B$9),1,0)</f>
        <v>0</v>
      </c>
      <c r="AY852" s="21" t="n">
        <f aca="false">IF(Y852="معکوس",1,0)</f>
        <v>0</v>
      </c>
      <c r="AZ852" s="21" t="n">
        <f aca="false">IF(ABS(AJ852)&gt;تنظیمات!$B$10,1,0)</f>
        <v>0</v>
      </c>
      <c r="BA852" s="21" t="n">
        <f aca="false">IF(AND(OR(AD852="رایگان/VIP",AD852="جانباز"),AF852="خیر"),1,0)</f>
        <v>0</v>
      </c>
      <c r="BB852" s="21" t="n">
        <f aca="false">IF(AE852="",0,IF(COUNTIF($AE$2:$AE$1001,AE852)&gt;1,1,0))</f>
        <v>0</v>
      </c>
      <c r="BC852" s="21" t="n">
        <f aca="false">IF(AND(H852="",I852&gt;تنظیمات!$B$12*60,AM852="خالی"),1,0)</f>
        <v>0</v>
      </c>
      <c r="BD852" s="21" t="n">
        <f aca="false">IF(AND(AP852="بله",I852&lt;تنظیمات!$B$14,AO852="خیر"),1,0)</f>
        <v>0</v>
      </c>
      <c r="BE852" s="21" t="n">
        <f aca="false">IF(AN852="خیر",1,0)</f>
        <v>0</v>
      </c>
      <c r="BF852" s="21" t="n">
        <f aca="false">IF(AND(AD852="فیش مفقودی",AQ852="بله",I852&gt;تنظیمات!$B$12*60),1,0)</f>
        <v>0</v>
      </c>
      <c r="BG852" s="21" t="n">
        <f aca="false">IF(AND(AK852&gt;تنظیمات!$B$11,AL852="بله"),1,0)</f>
        <v>0</v>
      </c>
      <c r="BH852" s="21" t="n">
        <f aca="false">MIN(100,AR852*تنظیمات!$B$21+AS852*تنظیمات!$B$22+AT852*تنظیمات!$B$23+AU852*تنظیمات!$B$24+AV852*تنظیمات!$B$25+AW852*تنظیمات!$B$26+AX852*تنظیمات!$B$27+AY852*تنظیمات!$B$28+AZ852*تنظیمات!$B$29+BA852*تنظیمات!$B$30+BB852*تنظیمات!$B$31+BC852*تنظیمات!$B$32+BD852*تنظیمات!$B$33+BE852*تنظیمات!$B$34+BF852*تنظیمات!$B$35+BG852*تنظیمات!$B$36)</f>
        <v>0</v>
      </c>
      <c r="BI852" s="16" t="str">
        <f aca="false">IF(BH852&gt;=60,"بحرانی",IF(BH852&gt;=30,"مشکوک",IF(BH852&gt;0,"هشدار","عادی")))</f>
        <v>عادی</v>
      </c>
      <c r="BJ852" s="16" t="s">
        <v>338</v>
      </c>
    </row>
    <row r="853" customFormat="false" ht="15" hidden="false" customHeight="false" outlineLevel="0" collapsed="false">
      <c r="A853" s="16" t="s">
        <v>2907</v>
      </c>
      <c r="B853" s="16" t="s">
        <v>1430</v>
      </c>
      <c r="C853" s="16"/>
      <c r="D853" s="16" t="s">
        <v>440</v>
      </c>
      <c r="E853" s="16" t="s">
        <v>351</v>
      </c>
      <c r="F853" s="16" t="s">
        <v>359</v>
      </c>
      <c r="G853" s="17" t="n">
        <v>46292.6864699074</v>
      </c>
      <c r="H853" s="17" t="n">
        <v>46292.7309143519</v>
      </c>
      <c r="I853" s="18" t="n">
        <f aca="false">IF(H853="",ROUND((تنظیمات!$B$7-G853)*1440,0),ROUND((H853-G853)*1440,0))</f>
        <v>64</v>
      </c>
      <c r="J853" s="16" t="s">
        <v>346</v>
      </c>
      <c r="K853" s="16" t="s">
        <v>410</v>
      </c>
      <c r="L853" s="19" t="n">
        <v>0.976</v>
      </c>
      <c r="M853" s="19" t="n">
        <v>0.903</v>
      </c>
      <c r="N853" s="16" t="s">
        <v>335</v>
      </c>
      <c r="O853" s="16" t="s">
        <v>401</v>
      </c>
      <c r="P853" s="16" t="s">
        <v>420</v>
      </c>
      <c r="Q853" s="20" t="n">
        <v>46292</v>
      </c>
      <c r="R853" s="16" t="s">
        <v>2908</v>
      </c>
      <c r="S853" s="16" t="s">
        <v>606</v>
      </c>
      <c r="T853" s="17" t="n">
        <v>46292.7325462963</v>
      </c>
      <c r="U853" s="21" t="n">
        <v>1</v>
      </c>
      <c r="V853" s="21" t="n">
        <v>1</v>
      </c>
      <c r="W853" s="22" t="n">
        <v>5.1</v>
      </c>
      <c r="X853" s="16" t="s">
        <v>335</v>
      </c>
      <c r="Y853" s="16" t="s">
        <v>338</v>
      </c>
      <c r="Z853" s="16" t="s">
        <v>405</v>
      </c>
      <c r="AA853" s="16"/>
      <c r="AB853" s="23"/>
      <c r="AC853" s="17"/>
      <c r="AD853" s="16" t="s">
        <v>338</v>
      </c>
      <c r="AE853" s="16"/>
      <c r="AF853" s="16" t="str">
        <f aca="false">IF(COUNTIF(لیست_سفید!$A$2:$A$21,B853)&gt;0,"بله","خیر")</f>
        <v>خیر</v>
      </c>
      <c r="AG853" s="24" t="n">
        <f aca="false">IF(H853="","",IF(AD853="فیش مفقودی",تنظیمات!$B$6,(INT(I853/1440)*تنظیمات!$B$5+IF(MOD(I853,1440)&lt;=تنظیمات!$B$2,0,MIN(تنظیمات!$B$5,تنظیمات!$B$3+MAX(0,ROUNDUP((MOD(I853,1440)-60)/60,0))*تنظیمات!$B$4)))*INDEX(تعرفه!$B$2:$B$7,MATCH(AD853,تعرفه!$A$2:$A$7,0))))</f>
        <v>34000</v>
      </c>
      <c r="AH853" s="24" t="n">
        <v>0</v>
      </c>
      <c r="AI853" s="24" t="n">
        <f aca="false">IF(AG853="","",AH853-AG853)</f>
        <v>-34000</v>
      </c>
      <c r="AJ853" s="21" t="n">
        <v>-5</v>
      </c>
      <c r="AK853" s="21" t="n">
        <v>0</v>
      </c>
      <c r="AL853" s="16" t="s">
        <v>335</v>
      </c>
      <c r="AM853" s="16"/>
      <c r="AN853" s="16" t="s">
        <v>340</v>
      </c>
      <c r="AO853" s="16" t="s">
        <v>340</v>
      </c>
      <c r="AP853" s="16" t="s">
        <v>335</v>
      </c>
      <c r="AQ853" s="16"/>
      <c r="AR853" s="21" t="n">
        <f aca="false">IF(AND(T853&lt;&gt;"",H853&lt;&gt;""),IF(AND((T853-H853)*86400&gt;=0,(T853-H853)*86400&lt;تنظیمات!$B$13),1,0),0)</f>
        <v>1</v>
      </c>
      <c r="AS853" s="21" t="n">
        <f aca="false">IF(Z853="پوز",IF(OR(AB853="",COUNTIF(پوزها!$A$2:$A$5,AA853)=0),1,0),0)</f>
        <v>0</v>
      </c>
      <c r="AT853" s="21" t="n">
        <f aca="false">IF(AI853="",0,IF(AI853&gt;0,1,0))</f>
        <v>0</v>
      </c>
      <c r="AU853" s="21" t="n">
        <f aca="false">IF(AI853="",0,IF(AI853&lt;0,1,0))</f>
        <v>1</v>
      </c>
      <c r="AV853" s="21" t="n">
        <f aca="false">IF(U853&gt;V853,1,0)</f>
        <v>0</v>
      </c>
      <c r="AW853" s="21" t="n">
        <f aca="false">IF(OR(W853&gt;تنظیمات!$B$8,X853="بله"),1,0)</f>
        <v>0</v>
      </c>
      <c r="AX853" s="21" t="n">
        <f aca="false">IF(AND(N853="بله",L853&gt;تنظیمات!$B$9),1,0)</f>
        <v>0</v>
      </c>
      <c r="AY853" s="21" t="n">
        <f aca="false">IF(Y853="معکوس",1,0)</f>
        <v>0</v>
      </c>
      <c r="AZ853" s="21" t="n">
        <f aca="false">IF(ABS(AJ853)&gt;تنظیمات!$B$10,1,0)</f>
        <v>0</v>
      </c>
      <c r="BA853" s="21" t="n">
        <f aca="false">IF(AND(OR(AD853="رایگان/VIP",AD853="جانباز"),AF853="خیر"),1,0)</f>
        <v>0</v>
      </c>
      <c r="BB853" s="21" t="n">
        <f aca="false">IF(AE853="",0,IF(COUNTIF($AE$2:$AE$1001,AE853)&gt;1,1,0))</f>
        <v>0</v>
      </c>
      <c r="BC853" s="21" t="n">
        <f aca="false">IF(AND(H853="",I853&gt;تنظیمات!$B$12*60,AM853="خالی"),1,0)</f>
        <v>0</v>
      </c>
      <c r="BD853" s="21" t="n">
        <f aca="false">IF(AND(AP853="بله",I853&lt;تنظیمات!$B$14,AO853="خیر"),1,0)</f>
        <v>0</v>
      </c>
      <c r="BE853" s="21" t="n">
        <f aca="false">IF(AN853="خیر",1,0)</f>
        <v>0</v>
      </c>
      <c r="BF853" s="21" t="n">
        <f aca="false">IF(AND(AD853="فیش مفقودی",AQ853="بله",I853&gt;تنظیمات!$B$12*60),1,0)</f>
        <v>0</v>
      </c>
      <c r="BG853" s="21" t="n">
        <f aca="false">IF(AND(AK853&gt;تنظیمات!$B$11,AL853="بله"),1,0)</f>
        <v>0</v>
      </c>
      <c r="BH853" s="21" t="n">
        <f aca="false">MIN(100,AR853*تنظیمات!$B$21+AS853*تنظیمات!$B$22+AT853*تنظیمات!$B$23+AU853*تنظیمات!$B$24+AV853*تنظیمات!$B$25+AW853*تنظیمات!$B$26+AX853*تنظیمات!$B$27+AY853*تنظیمات!$B$28+AZ853*تنظیمات!$B$29+BA853*تنظیمات!$B$30+BB853*تنظیمات!$B$31+BC853*تنظیمات!$B$32+BD853*تنظیمات!$B$33+BE853*تنظیمات!$B$34+BF853*تنظیمات!$B$35+BG853*تنظیمات!$B$36)</f>
        <v>65</v>
      </c>
      <c r="BI853" s="16" t="str">
        <f aca="false">IF(BH853&gt;=60,"بحرانی",IF(BH853&gt;=30,"مشکوک",IF(BH853&gt;0,"هشدار","عادی")))</f>
        <v>بحرانی</v>
      </c>
      <c r="BJ853" s="16" t="s">
        <v>607</v>
      </c>
    </row>
    <row r="854" customFormat="false" ht="15" hidden="false" customHeight="false" outlineLevel="0" collapsed="false">
      <c r="A854" s="16" t="s">
        <v>2909</v>
      </c>
      <c r="B854" s="16" t="s">
        <v>970</v>
      </c>
      <c r="C854" s="16"/>
      <c r="D854" s="16" t="s">
        <v>344</v>
      </c>
      <c r="E854" s="16" t="s">
        <v>375</v>
      </c>
      <c r="F854" s="16" t="s">
        <v>333</v>
      </c>
      <c r="G854" s="17" t="n">
        <v>46292.6922800926</v>
      </c>
      <c r="H854" s="17" t="n">
        <v>46292.7450578704</v>
      </c>
      <c r="I854" s="18" t="n">
        <f aca="false">IF(H854="",ROUND((تنظیمات!$B$7-G854)*1440,0),ROUND((H854-G854)*1440,0))</f>
        <v>76</v>
      </c>
      <c r="J854" s="16" t="s">
        <v>346</v>
      </c>
      <c r="K854" s="16" t="s">
        <v>400</v>
      </c>
      <c r="L854" s="19" t="n">
        <v>0.957</v>
      </c>
      <c r="M854" s="19" t="n">
        <v>0.941</v>
      </c>
      <c r="N854" s="16" t="s">
        <v>335</v>
      </c>
      <c r="O854" s="16" t="s">
        <v>411</v>
      </c>
      <c r="P854" s="16" t="s">
        <v>420</v>
      </c>
      <c r="Q854" s="20" t="n">
        <v>46292</v>
      </c>
      <c r="R854" s="16" t="s">
        <v>2910</v>
      </c>
      <c r="S854" s="16" t="s">
        <v>404</v>
      </c>
      <c r="T854" s="17"/>
      <c r="U854" s="21" t="n">
        <v>1</v>
      </c>
      <c r="V854" s="21" t="n">
        <v>1</v>
      </c>
      <c r="W854" s="22" t="n">
        <v>3.5</v>
      </c>
      <c r="X854" s="16" t="s">
        <v>335</v>
      </c>
      <c r="Y854" s="16" t="s">
        <v>338</v>
      </c>
      <c r="Z854" s="16" t="s">
        <v>413</v>
      </c>
      <c r="AA854" s="16" t="s">
        <v>427</v>
      </c>
      <c r="AB854" s="23" t="s">
        <v>2911</v>
      </c>
      <c r="AC854" s="17" t="n">
        <v>46292.7442361111</v>
      </c>
      <c r="AD854" s="16" t="s">
        <v>338</v>
      </c>
      <c r="AE854" s="16"/>
      <c r="AF854" s="16" t="str">
        <f aca="false">IF(COUNTIF(لیست_سفید!$A$2:$A$21,B854)&gt;0,"بله","خیر")</f>
        <v>خیر</v>
      </c>
      <c r="AG854" s="24" t="n">
        <f aca="false">IF(H854="","",IF(AD854="فیش مفقودی",تنظیمات!$B$6,(INT(I854/1440)*تنظیمات!$B$5+IF(MOD(I854,1440)&lt;=تنظیمات!$B$2,0,MIN(تنظیمات!$B$5,تنظیمات!$B$3+MAX(0,ROUNDUP((MOD(I854,1440)-60)/60,0))*تنظیمات!$B$4)))*INDEX(تعرفه!$B$2:$B$7,MATCH(AD854,تعرفه!$A$2:$A$7,0))))</f>
        <v>34000</v>
      </c>
      <c r="AH854" s="24" t="n">
        <v>34000</v>
      </c>
      <c r="AI854" s="24" t="n">
        <f aca="false">IF(AG854="","",AH854-AG854)</f>
        <v>0</v>
      </c>
      <c r="AJ854" s="21" t="n">
        <v>2</v>
      </c>
      <c r="AK854" s="21" t="n">
        <v>0</v>
      </c>
      <c r="AL854" s="16" t="s">
        <v>335</v>
      </c>
      <c r="AM854" s="16"/>
      <c r="AN854" s="16" t="s">
        <v>340</v>
      </c>
      <c r="AO854" s="16" t="s">
        <v>340</v>
      </c>
      <c r="AP854" s="16" t="s">
        <v>335</v>
      </c>
      <c r="AQ854" s="16"/>
      <c r="AR854" s="21" t="n">
        <f aca="false">IF(AND(T854&lt;&gt;"",H854&lt;&gt;""),IF(AND((T854-H854)*86400&gt;=0,(T854-H854)*86400&lt;تنظیمات!$B$13),1,0),0)</f>
        <v>0</v>
      </c>
      <c r="AS854" s="21" t="n">
        <f aca="false">IF(Z854="پوز",IF(OR(AB854="",COUNTIF(پوزها!$A$2:$A$5,AA854)=0),1,0),0)</f>
        <v>0</v>
      </c>
      <c r="AT854" s="21" t="n">
        <f aca="false">IF(AI854="",0,IF(AI854&gt;0,1,0))</f>
        <v>0</v>
      </c>
      <c r="AU854" s="21" t="n">
        <f aca="false">IF(AI854="",0,IF(AI854&lt;0,1,0))</f>
        <v>0</v>
      </c>
      <c r="AV854" s="21" t="n">
        <f aca="false">IF(U854&gt;V854,1,0)</f>
        <v>0</v>
      </c>
      <c r="AW854" s="21" t="n">
        <f aca="false">IF(OR(W854&gt;تنظیمات!$B$8,X854="بله"),1,0)</f>
        <v>0</v>
      </c>
      <c r="AX854" s="21" t="n">
        <f aca="false">IF(AND(N854="بله",L854&gt;تنظیمات!$B$9),1,0)</f>
        <v>0</v>
      </c>
      <c r="AY854" s="21" t="n">
        <f aca="false">IF(Y854="معکوس",1,0)</f>
        <v>0</v>
      </c>
      <c r="AZ854" s="21" t="n">
        <f aca="false">IF(ABS(AJ854)&gt;تنظیمات!$B$10,1,0)</f>
        <v>0</v>
      </c>
      <c r="BA854" s="21" t="n">
        <f aca="false">IF(AND(OR(AD854="رایگان/VIP",AD854="جانباز"),AF854="خیر"),1,0)</f>
        <v>0</v>
      </c>
      <c r="BB854" s="21" t="n">
        <f aca="false">IF(AE854="",0,IF(COUNTIF($AE$2:$AE$1001,AE854)&gt;1,1,0))</f>
        <v>0</v>
      </c>
      <c r="BC854" s="21" t="n">
        <f aca="false">IF(AND(H854="",I854&gt;تنظیمات!$B$12*60,AM854="خالی"),1,0)</f>
        <v>0</v>
      </c>
      <c r="BD854" s="21" t="n">
        <f aca="false">IF(AND(AP854="بله",I854&lt;تنظیمات!$B$14,AO854="خیر"),1,0)</f>
        <v>0</v>
      </c>
      <c r="BE854" s="21" t="n">
        <f aca="false">IF(AN854="خیر",1,0)</f>
        <v>0</v>
      </c>
      <c r="BF854" s="21" t="n">
        <f aca="false">IF(AND(AD854="فیش مفقودی",AQ854="بله",I854&gt;تنظیمات!$B$12*60),1,0)</f>
        <v>0</v>
      </c>
      <c r="BG854" s="21" t="n">
        <f aca="false">IF(AND(AK854&gt;تنظیمات!$B$11,AL854="بله"),1,0)</f>
        <v>0</v>
      </c>
      <c r="BH854" s="21" t="n">
        <f aca="false">MIN(100,AR854*تنظیمات!$B$21+AS854*تنظیمات!$B$22+AT854*تنظیمات!$B$23+AU854*تنظیمات!$B$24+AV854*تنظیمات!$B$25+AW854*تنظیمات!$B$26+AX854*تنظیمات!$B$27+AY854*تنظیمات!$B$28+AZ854*تنظیمات!$B$29+BA854*تنظیمات!$B$30+BB854*تنظیمات!$B$31+BC854*تنظیمات!$B$32+BD854*تنظیمات!$B$33+BE854*تنظیمات!$B$34+BF854*تنظیمات!$B$35+BG854*تنظیمات!$B$36)</f>
        <v>0</v>
      </c>
      <c r="BI854" s="16" t="str">
        <f aca="false">IF(BH854&gt;=60,"بحرانی",IF(BH854&gt;=30,"مشکوک",IF(BH854&gt;0,"هشدار","عادی")))</f>
        <v>عادی</v>
      </c>
      <c r="BJ854" s="16" t="s">
        <v>338</v>
      </c>
    </row>
    <row r="855" customFormat="false" ht="15" hidden="false" customHeight="false" outlineLevel="0" collapsed="false">
      <c r="A855" s="16" t="s">
        <v>2912</v>
      </c>
      <c r="B855" s="16" t="s">
        <v>590</v>
      </c>
      <c r="C855" s="16"/>
      <c r="D855" s="16" t="s">
        <v>450</v>
      </c>
      <c r="E855" s="16" t="s">
        <v>390</v>
      </c>
      <c r="F855" s="16" t="s">
        <v>333</v>
      </c>
      <c r="G855" s="17" t="n">
        <v>46292.7149305556</v>
      </c>
      <c r="H855" s="17" t="n">
        <v>46292.8045138889</v>
      </c>
      <c r="I855" s="18" t="n">
        <f aca="false">IF(H855="",ROUND((تنظیمات!$B$7-G855)*1440,0),ROUND((H855-G855)*1440,0))</f>
        <v>129</v>
      </c>
      <c r="J855" s="16" t="s">
        <v>334</v>
      </c>
      <c r="K855" s="16" t="s">
        <v>346</v>
      </c>
      <c r="L855" s="19" t="n">
        <v>0.912</v>
      </c>
      <c r="M855" s="19" t="n">
        <v>0.975</v>
      </c>
      <c r="N855" s="16" t="s">
        <v>335</v>
      </c>
      <c r="O855" s="16" t="s">
        <v>411</v>
      </c>
      <c r="P855" s="16" t="s">
        <v>420</v>
      </c>
      <c r="Q855" s="20" t="n">
        <v>46292</v>
      </c>
      <c r="R855" s="16" t="s">
        <v>2913</v>
      </c>
      <c r="S855" s="16" t="s">
        <v>404</v>
      </c>
      <c r="T855" s="17"/>
      <c r="U855" s="21" t="n">
        <v>1</v>
      </c>
      <c r="V855" s="21" t="n">
        <v>1</v>
      </c>
      <c r="W855" s="22" t="n">
        <v>4</v>
      </c>
      <c r="X855" s="16" t="s">
        <v>335</v>
      </c>
      <c r="Y855" s="16" t="s">
        <v>1438</v>
      </c>
      <c r="Z855" s="16" t="s">
        <v>1439</v>
      </c>
      <c r="AA855" s="16"/>
      <c r="AB855" s="23"/>
      <c r="AC855" s="17"/>
      <c r="AD855" s="16" t="s">
        <v>338</v>
      </c>
      <c r="AE855" s="16"/>
      <c r="AF855" s="16" t="str">
        <f aca="false">IF(COUNTIF(لیست_سفید!$A$2:$A$21,B855)&gt;0,"بله","خیر")</f>
        <v>خیر</v>
      </c>
      <c r="AG855" s="24" t="n">
        <f aca="false">IF(H855="","",IF(AD855="فیش مفقودی",تنظیمات!$B$6,(INT(I855/1440)*تنظیمات!$B$5+IF(MOD(I855,1440)&lt;=تنظیمات!$B$2,0,MIN(تنظیمات!$B$5,تنظیمات!$B$3+MAX(0,ROUNDUP((MOD(I855,1440)-60)/60,0))*تنظیمات!$B$4)))*INDEX(تعرفه!$B$2:$B$7,MATCH(AD855,تعرفه!$A$2:$A$7,0))))</f>
        <v>48000</v>
      </c>
      <c r="AH855" s="24" t="n">
        <v>0</v>
      </c>
      <c r="AI855" s="24" t="n">
        <f aca="false">IF(AG855="","",AH855-AG855)</f>
        <v>-48000</v>
      </c>
      <c r="AJ855" s="21" t="n">
        <v>0</v>
      </c>
      <c r="AK855" s="21" t="n">
        <v>0</v>
      </c>
      <c r="AL855" s="16" t="s">
        <v>335</v>
      </c>
      <c r="AM855" s="16"/>
      <c r="AN855" s="16" t="s">
        <v>340</v>
      </c>
      <c r="AO855" s="16" t="s">
        <v>340</v>
      </c>
      <c r="AP855" s="16" t="s">
        <v>335</v>
      </c>
      <c r="AQ855" s="16"/>
      <c r="AR855" s="21" t="n">
        <f aca="false">IF(AND(T855&lt;&gt;"",H855&lt;&gt;""),IF(AND((T855-H855)*86400&gt;=0,(T855-H855)*86400&lt;تنظیمات!$B$13),1,0),0)</f>
        <v>0</v>
      </c>
      <c r="AS855" s="21" t="n">
        <f aca="false">IF(Z855="پوز",IF(OR(AB855="",COUNTIF(پوزها!$A$2:$A$5,AA855)=0),1,0),0)</f>
        <v>0</v>
      </c>
      <c r="AT855" s="21" t="n">
        <f aca="false">IF(AI855="",0,IF(AI855&gt;0,1,0))</f>
        <v>0</v>
      </c>
      <c r="AU855" s="21" t="n">
        <f aca="false">IF(AI855="",0,IF(AI855&lt;0,1,0))</f>
        <v>1</v>
      </c>
      <c r="AV855" s="21" t="n">
        <f aca="false">IF(U855&gt;V855,1,0)</f>
        <v>0</v>
      </c>
      <c r="AW855" s="21" t="n">
        <f aca="false">IF(OR(W855&gt;تنظیمات!$B$8,X855="بله"),1,0)</f>
        <v>0</v>
      </c>
      <c r="AX855" s="21" t="n">
        <f aca="false">IF(AND(N855="بله",L855&gt;تنظیمات!$B$9),1,0)</f>
        <v>0</v>
      </c>
      <c r="AY855" s="21" t="n">
        <f aca="false">IF(Y855="معکوس",1,0)</f>
        <v>1</v>
      </c>
      <c r="AZ855" s="21" t="n">
        <f aca="false">IF(ABS(AJ855)&gt;تنظیمات!$B$10,1,0)</f>
        <v>0</v>
      </c>
      <c r="BA855" s="21" t="n">
        <f aca="false">IF(AND(OR(AD855="رایگان/VIP",AD855="جانباز"),AF855="خیر"),1,0)</f>
        <v>0</v>
      </c>
      <c r="BB855" s="21" t="n">
        <f aca="false">IF(AE855="",0,IF(COUNTIF($AE$2:$AE$1001,AE855)&gt;1,1,0))</f>
        <v>0</v>
      </c>
      <c r="BC855" s="21" t="n">
        <f aca="false">IF(AND(H855="",I855&gt;تنظیمات!$B$12*60,AM855="خالی"),1,0)</f>
        <v>0</v>
      </c>
      <c r="BD855" s="21" t="n">
        <f aca="false">IF(AND(AP855="بله",I855&lt;تنظیمات!$B$14,AO855="خیر"),1,0)</f>
        <v>0</v>
      </c>
      <c r="BE855" s="21" t="n">
        <f aca="false">IF(AN855="خیر",1,0)</f>
        <v>0</v>
      </c>
      <c r="BF855" s="21" t="n">
        <f aca="false">IF(AND(AD855="فیش مفقودی",AQ855="بله",I855&gt;تنظیمات!$B$12*60),1,0)</f>
        <v>0</v>
      </c>
      <c r="BG855" s="21" t="n">
        <f aca="false">IF(AND(AK855&gt;تنظیمات!$B$11,AL855="بله"),1,0)</f>
        <v>0</v>
      </c>
      <c r="BH855" s="21" t="n">
        <f aca="false">MIN(100,AR855*تنظیمات!$B$21+AS855*تنظیمات!$B$22+AT855*تنظیمات!$B$23+AU855*تنظیمات!$B$24+AV855*تنظیمات!$B$25+AW855*تنظیمات!$B$26+AX855*تنظیمات!$B$27+AY855*تنظیمات!$B$28+AZ855*تنظیمات!$B$29+BA855*تنظیمات!$B$30+BB855*تنظیمات!$B$31+BC855*تنظیمات!$B$32+BD855*تنظیمات!$B$33+BE855*تنظیمات!$B$34+BF855*تنظیمات!$B$35+BG855*تنظیمات!$B$36)</f>
        <v>55</v>
      </c>
      <c r="BI855" s="16" t="str">
        <f aca="false">IF(BH855&gt;=60,"بحرانی",IF(BH855&gt;=30,"مشکوک",IF(BH855&gt;0,"هشدار","عادی")))</f>
        <v>مشکوک</v>
      </c>
      <c r="BJ855" s="16" t="s">
        <v>1440</v>
      </c>
    </row>
    <row r="856" customFormat="false" ht="15" hidden="false" customHeight="false" outlineLevel="0" collapsed="false">
      <c r="A856" s="16" t="s">
        <v>2914</v>
      </c>
      <c r="B856" s="16" t="s">
        <v>970</v>
      </c>
      <c r="C856" s="16"/>
      <c r="D856" s="16" t="s">
        <v>344</v>
      </c>
      <c r="E856" s="16" t="s">
        <v>375</v>
      </c>
      <c r="F856" s="16" t="s">
        <v>333</v>
      </c>
      <c r="G856" s="17" t="n">
        <v>46292.7217939815</v>
      </c>
      <c r="H856" s="17" t="n">
        <v>46292.7697106482</v>
      </c>
      <c r="I856" s="18" t="n">
        <f aca="false">IF(H856="",ROUND((تنظیمات!$B$7-G856)*1440,0),ROUND((H856-G856)*1440,0))</f>
        <v>69</v>
      </c>
      <c r="J856" s="16" t="s">
        <v>346</v>
      </c>
      <c r="K856" s="16" t="s">
        <v>400</v>
      </c>
      <c r="L856" s="19" t="n">
        <v>0.945</v>
      </c>
      <c r="M856" s="19" t="n">
        <v>0.937</v>
      </c>
      <c r="N856" s="16" t="s">
        <v>335</v>
      </c>
      <c r="O856" s="16" t="s">
        <v>411</v>
      </c>
      <c r="P856" s="16" t="s">
        <v>420</v>
      </c>
      <c r="Q856" s="20" t="n">
        <v>46292</v>
      </c>
      <c r="R856" s="16" t="s">
        <v>2915</v>
      </c>
      <c r="S856" s="16" t="s">
        <v>404</v>
      </c>
      <c r="T856" s="17"/>
      <c r="U856" s="21" t="n">
        <v>1</v>
      </c>
      <c r="V856" s="21" t="n">
        <v>1</v>
      </c>
      <c r="W856" s="22" t="n">
        <v>34.1</v>
      </c>
      <c r="X856" s="16" t="s">
        <v>340</v>
      </c>
      <c r="Y856" s="16" t="s">
        <v>338</v>
      </c>
      <c r="Z856" s="16" t="s">
        <v>413</v>
      </c>
      <c r="AA856" s="16" t="s">
        <v>427</v>
      </c>
      <c r="AB856" s="23" t="s">
        <v>2916</v>
      </c>
      <c r="AC856" s="17" t="n">
        <v>46292.7688773148</v>
      </c>
      <c r="AD856" s="16" t="s">
        <v>338</v>
      </c>
      <c r="AE856" s="16"/>
      <c r="AF856" s="16" t="str">
        <f aca="false">IF(COUNTIF(لیست_سفید!$A$2:$A$21,B856)&gt;0,"بله","خیر")</f>
        <v>خیر</v>
      </c>
      <c r="AG856" s="24" t="n">
        <f aca="false">IF(H856="","",IF(AD856="فیش مفقودی",تنظیمات!$B$6,(INT(I856/1440)*تنظیمات!$B$5+IF(MOD(I856,1440)&lt;=تنظیمات!$B$2,0,MIN(تنظیمات!$B$5,تنظیمات!$B$3+MAX(0,ROUNDUP((MOD(I856,1440)-60)/60,0))*تنظیمات!$B$4)))*INDEX(تعرفه!$B$2:$B$7,MATCH(AD856,تعرفه!$A$2:$A$7,0))))</f>
        <v>34000</v>
      </c>
      <c r="AH856" s="24" t="n">
        <v>34000</v>
      </c>
      <c r="AI856" s="24" t="n">
        <f aca="false">IF(AG856="","",AH856-AG856)</f>
        <v>0</v>
      </c>
      <c r="AJ856" s="21" t="n">
        <v>0</v>
      </c>
      <c r="AK856" s="21" t="n">
        <v>0</v>
      </c>
      <c r="AL856" s="16" t="s">
        <v>335</v>
      </c>
      <c r="AM856" s="16"/>
      <c r="AN856" s="16" t="s">
        <v>340</v>
      </c>
      <c r="AO856" s="16" t="s">
        <v>340</v>
      </c>
      <c r="AP856" s="16" t="s">
        <v>335</v>
      </c>
      <c r="AQ856" s="16"/>
      <c r="AR856" s="21" t="n">
        <f aca="false">IF(AND(T856&lt;&gt;"",H856&lt;&gt;""),IF(AND((T856-H856)*86400&gt;=0,(T856-H856)*86400&lt;تنظیمات!$B$13),1,0),0)</f>
        <v>0</v>
      </c>
      <c r="AS856" s="21" t="n">
        <f aca="false">IF(Z856="پوز",IF(OR(AB856="",COUNTIF(پوزها!$A$2:$A$5,AA856)=0),1,0),0)</f>
        <v>0</v>
      </c>
      <c r="AT856" s="21" t="n">
        <f aca="false">IF(AI856="",0,IF(AI856&gt;0,1,0))</f>
        <v>0</v>
      </c>
      <c r="AU856" s="21" t="n">
        <f aca="false">IF(AI856="",0,IF(AI856&lt;0,1,0))</f>
        <v>0</v>
      </c>
      <c r="AV856" s="21" t="n">
        <f aca="false">IF(U856&gt;V856,1,0)</f>
        <v>0</v>
      </c>
      <c r="AW856" s="21" t="n">
        <f aca="false">IF(OR(W856&gt;تنظیمات!$B$8,X856="بله"),1,0)</f>
        <v>1</v>
      </c>
      <c r="AX856" s="21" t="n">
        <f aca="false">IF(AND(N856="بله",L856&gt;تنظیمات!$B$9),1,0)</f>
        <v>0</v>
      </c>
      <c r="AY856" s="21" t="n">
        <f aca="false">IF(Y856="معکوس",1,0)</f>
        <v>0</v>
      </c>
      <c r="AZ856" s="21" t="n">
        <f aca="false">IF(ABS(AJ856)&gt;تنظیمات!$B$10,1,0)</f>
        <v>0</v>
      </c>
      <c r="BA856" s="21" t="n">
        <f aca="false">IF(AND(OR(AD856="رایگان/VIP",AD856="جانباز"),AF856="خیر"),1,0)</f>
        <v>0</v>
      </c>
      <c r="BB856" s="21" t="n">
        <f aca="false">IF(AE856="",0,IF(COUNTIF($AE$2:$AE$1001,AE856)&gt;1,1,0))</f>
        <v>0</v>
      </c>
      <c r="BC856" s="21" t="n">
        <f aca="false">IF(AND(H856="",I856&gt;تنظیمات!$B$12*60,AM856="خالی"),1,0)</f>
        <v>0</v>
      </c>
      <c r="BD856" s="21" t="n">
        <f aca="false">IF(AND(AP856="بله",I856&lt;تنظیمات!$B$14,AO856="خیر"),1,0)</f>
        <v>0</v>
      </c>
      <c r="BE856" s="21" t="n">
        <f aca="false">IF(AN856="خیر",1,0)</f>
        <v>0</v>
      </c>
      <c r="BF856" s="21" t="n">
        <f aca="false">IF(AND(AD856="فیش مفقودی",AQ856="بله",I856&gt;تنظیمات!$B$12*60),1,0)</f>
        <v>0</v>
      </c>
      <c r="BG856" s="21" t="n">
        <f aca="false">IF(AND(AK856&gt;تنظیمات!$B$11,AL856="بله"),1,0)</f>
        <v>0</v>
      </c>
      <c r="BH856" s="21" t="n">
        <f aca="false">MIN(100,AR856*تنظیمات!$B$21+AS856*تنظیمات!$B$22+AT856*تنظیمات!$B$23+AU856*تنظیمات!$B$24+AV856*تنظیمات!$B$25+AW856*تنظیمات!$B$26+AX856*تنظیمات!$B$27+AY856*تنظیمات!$B$28+AZ856*تنظیمات!$B$29+BA856*تنظیمات!$B$30+BB856*تنظیمات!$B$31+BC856*تنظیمات!$B$32+BD856*تنظیمات!$B$33+BE856*تنظیمات!$B$34+BF856*تنظیمات!$B$35+BG856*تنظیمات!$B$36)</f>
        <v>25</v>
      </c>
      <c r="BI856" s="16" t="str">
        <f aca="false">IF(BH856&gt;=60,"بحرانی",IF(BH856&gt;=30,"مشکوک",IF(BH856&gt;0,"هشدار","عادی")))</f>
        <v>هشدار</v>
      </c>
      <c r="BJ856" s="16" t="s">
        <v>211</v>
      </c>
    </row>
    <row r="857" customFormat="false" ht="15" hidden="false" customHeight="false" outlineLevel="0" collapsed="false">
      <c r="A857" s="16" t="s">
        <v>2917</v>
      </c>
      <c r="B857" s="16" t="s">
        <v>1972</v>
      </c>
      <c r="C857" s="16"/>
      <c r="D857" s="16" t="s">
        <v>350</v>
      </c>
      <c r="E857" s="16" t="s">
        <v>363</v>
      </c>
      <c r="F857" s="16" t="s">
        <v>333</v>
      </c>
      <c r="G857" s="17" t="n">
        <v>46292.7309722222</v>
      </c>
      <c r="H857" s="17" t="n">
        <v>46292.8566666667</v>
      </c>
      <c r="I857" s="18" t="n">
        <f aca="false">IF(H857="",ROUND((تنظیمات!$B$7-G857)*1440,0),ROUND((H857-G857)*1440,0))</f>
        <v>181</v>
      </c>
      <c r="J857" s="16" t="s">
        <v>346</v>
      </c>
      <c r="K857" s="16" t="s">
        <v>400</v>
      </c>
      <c r="L857" s="19" t="n">
        <v>0.959</v>
      </c>
      <c r="M857" s="19" t="n">
        <v>0.901</v>
      </c>
      <c r="N857" s="16" t="s">
        <v>335</v>
      </c>
      <c r="O857" s="16" t="s">
        <v>411</v>
      </c>
      <c r="P857" s="16" t="s">
        <v>420</v>
      </c>
      <c r="Q857" s="20" t="n">
        <v>46292</v>
      </c>
      <c r="R857" s="16" t="s">
        <v>2918</v>
      </c>
      <c r="S857" s="16" t="s">
        <v>404</v>
      </c>
      <c r="T857" s="17"/>
      <c r="U857" s="21" t="n">
        <v>1</v>
      </c>
      <c r="V857" s="21" t="n">
        <v>1</v>
      </c>
      <c r="W857" s="22" t="n">
        <v>5</v>
      </c>
      <c r="X857" s="16" t="s">
        <v>335</v>
      </c>
      <c r="Y857" s="16" t="s">
        <v>338</v>
      </c>
      <c r="Z857" s="16" t="s">
        <v>413</v>
      </c>
      <c r="AA857" s="16" t="s">
        <v>427</v>
      </c>
      <c r="AB857" s="23" t="s">
        <v>2919</v>
      </c>
      <c r="AC857" s="17" t="n">
        <v>46292.8560763889</v>
      </c>
      <c r="AD857" s="16" t="s">
        <v>338</v>
      </c>
      <c r="AE857" s="16"/>
      <c r="AF857" s="16" t="str">
        <f aca="false">IF(COUNTIF(لیست_سفید!$A$2:$A$21,B857)&gt;0,"بله","خیر")</f>
        <v>خیر</v>
      </c>
      <c r="AG857" s="24" t="n">
        <f aca="false">IF(H857="","",IF(AD857="فیش مفقودی",تنظیمات!$B$6,(INT(I857/1440)*تنظیمات!$B$5+IF(MOD(I857,1440)&lt;=تنظیمات!$B$2,0,MIN(تنظیمات!$B$5,تنظیمات!$B$3+MAX(0,ROUNDUP((MOD(I857,1440)-60)/60,0))*تنظیمات!$B$4)))*INDEX(تعرفه!$B$2:$B$7,MATCH(AD857,تعرفه!$A$2:$A$7,0))))</f>
        <v>62000</v>
      </c>
      <c r="AH857" s="24" t="n">
        <v>62000</v>
      </c>
      <c r="AI857" s="24" t="n">
        <f aca="false">IF(AG857="","",AH857-AG857)</f>
        <v>0</v>
      </c>
      <c r="AJ857" s="21" t="n">
        <v>0</v>
      </c>
      <c r="AK857" s="21" t="n">
        <v>0</v>
      </c>
      <c r="AL857" s="16" t="s">
        <v>335</v>
      </c>
      <c r="AM857" s="16"/>
      <c r="AN857" s="16" t="s">
        <v>340</v>
      </c>
      <c r="AO857" s="16" t="s">
        <v>340</v>
      </c>
      <c r="AP857" s="16" t="s">
        <v>335</v>
      </c>
      <c r="AQ857" s="16"/>
      <c r="AR857" s="21" t="n">
        <f aca="false">IF(AND(T857&lt;&gt;"",H857&lt;&gt;""),IF(AND((T857-H857)*86400&gt;=0,(T857-H857)*86400&lt;تنظیمات!$B$13),1,0),0)</f>
        <v>0</v>
      </c>
      <c r="AS857" s="21" t="n">
        <f aca="false">IF(Z857="پوز",IF(OR(AB857="",COUNTIF(پوزها!$A$2:$A$5,AA857)=0),1,0),0)</f>
        <v>0</v>
      </c>
      <c r="AT857" s="21" t="n">
        <f aca="false">IF(AI857="",0,IF(AI857&gt;0,1,0))</f>
        <v>0</v>
      </c>
      <c r="AU857" s="21" t="n">
        <f aca="false">IF(AI857="",0,IF(AI857&lt;0,1,0))</f>
        <v>0</v>
      </c>
      <c r="AV857" s="21" t="n">
        <f aca="false">IF(U857&gt;V857,1,0)</f>
        <v>0</v>
      </c>
      <c r="AW857" s="21" t="n">
        <f aca="false">IF(OR(W857&gt;تنظیمات!$B$8,X857="بله"),1,0)</f>
        <v>0</v>
      </c>
      <c r="AX857" s="21" t="n">
        <f aca="false">IF(AND(N857="بله",L857&gt;تنظیمات!$B$9),1,0)</f>
        <v>0</v>
      </c>
      <c r="AY857" s="21" t="n">
        <f aca="false">IF(Y857="معکوس",1,0)</f>
        <v>0</v>
      </c>
      <c r="AZ857" s="21" t="n">
        <f aca="false">IF(ABS(AJ857)&gt;تنظیمات!$B$10,1,0)</f>
        <v>0</v>
      </c>
      <c r="BA857" s="21" t="n">
        <f aca="false">IF(AND(OR(AD857="رایگان/VIP",AD857="جانباز"),AF857="خیر"),1,0)</f>
        <v>0</v>
      </c>
      <c r="BB857" s="21" t="n">
        <f aca="false">IF(AE857="",0,IF(COUNTIF($AE$2:$AE$1001,AE857)&gt;1,1,0))</f>
        <v>0</v>
      </c>
      <c r="BC857" s="21" t="n">
        <f aca="false">IF(AND(H857="",I857&gt;تنظیمات!$B$12*60,AM857="خالی"),1,0)</f>
        <v>0</v>
      </c>
      <c r="BD857" s="21" t="n">
        <f aca="false">IF(AND(AP857="بله",I857&lt;تنظیمات!$B$14,AO857="خیر"),1,0)</f>
        <v>0</v>
      </c>
      <c r="BE857" s="21" t="n">
        <f aca="false">IF(AN857="خیر",1,0)</f>
        <v>0</v>
      </c>
      <c r="BF857" s="21" t="n">
        <f aca="false">IF(AND(AD857="فیش مفقودی",AQ857="بله",I857&gt;تنظیمات!$B$12*60),1,0)</f>
        <v>0</v>
      </c>
      <c r="BG857" s="21" t="n">
        <f aca="false">IF(AND(AK857&gt;تنظیمات!$B$11,AL857="بله"),1,0)</f>
        <v>0</v>
      </c>
      <c r="BH857" s="21" t="n">
        <f aca="false">MIN(100,AR857*تنظیمات!$B$21+AS857*تنظیمات!$B$22+AT857*تنظیمات!$B$23+AU857*تنظیمات!$B$24+AV857*تنظیمات!$B$25+AW857*تنظیمات!$B$26+AX857*تنظیمات!$B$27+AY857*تنظیمات!$B$28+AZ857*تنظیمات!$B$29+BA857*تنظیمات!$B$30+BB857*تنظیمات!$B$31+BC857*تنظیمات!$B$32+BD857*تنظیمات!$B$33+BE857*تنظیمات!$B$34+BF857*تنظیمات!$B$35+BG857*تنظیمات!$B$36)</f>
        <v>0</v>
      </c>
      <c r="BI857" s="16" t="str">
        <f aca="false">IF(BH857&gt;=60,"بحرانی",IF(BH857&gt;=30,"مشکوک",IF(BH857&gt;0,"هشدار","عادی")))</f>
        <v>عادی</v>
      </c>
      <c r="BJ857" s="16" t="s">
        <v>338</v>
      </c>
    </row>
    <row r="858" customFormat="false" ht="15" hidden="false" customHeight="false" outlineLevel="0" collapsed="false">
      <c r="A858" s="16" t="s">
        <v>2920</v>
      </c>
      <c r="B858" s="16" t="s">
        <v>389</v>
      </c>
      <c r="C858" s="16"/>
      <c r="D858" s="16" t="s">
        <v>382</v>
      </c>
      <c r="E858" s="16" t="s">
        <v>390</v>
      </c>
      <c r="F858" s="16" t="s">
        <v>333</v>
      </c>
      <c r="G858" s="17" t="n">
        <v>46292.7428009259</v>
      </c>
      <c r="H858" s="17" t="n">
        <v>46292.8448842593</v>
      </c>
      <c r="I858" s="18" t="n">
        <f aca="false">IF(H858="",ROUND((تنظیمات!$B$7-G858)*1440,0),ROUND((H858-G858)*1440,0))</f>
        <v>147</v>
      </c>
      <c r="J858" s="16" t="s">
        <v>334</v>
      </c>
      <c r="K858" s="16" t="s">
        <v>400</v>
      </c>
      <c r="L858" s="19" t="n">
        <v>0.911</v>
      </c>
      <c r="M858" s="19" t="n">
        <v>0.954</v>
      </c>
      <c r="N858" s="16" t="s">
        <v>335</v>
      </c>
      <c r="O858" s="16" t="s">
        <v>411</v>
      </c>
      <c r="P858" s="16" t="s">
        <v>420</v>
      </c>
      <c r="Q858" s="20" t="n">
        <v>46292</v>
      </c>
      <c r="R858" s="16" t="s">
        <v>2921</v>
      </c>
      <c r="S858" s="16" t="s">
        <v>404</v>
      </c>
      <c r="T858" s="17"/>
      <c r="U858" s="21" t="n">
        <v>1</v>
      </c>
      <c r="V858" s="21" t="n">
        <v>1</v>
      </c>
      <c r="W858" s="22" t="n">
        <v>5.8</v>
      </c>
      <c r="X858" s="16" t="s">
        <v>335</v>
      </c>
      <c r="Y858" s="16" t="s">
        <v>338</v>
      </c>
      <c r="Z858" s="16" t="s">
        <v>413</v>
      </c>
      <c r="AA858" s="16" t="s">
        <v>427</v>
      </c>
      <c r="AB858" s="23" t="s">
        <v>2922</v>
      </c>
      <c r="AC858" s="17" t="n">
        <v>46292.8445717593</v>
      </c>
      <c r="AD858" s="16" t="s">
        <v>338</v>
      </c>
      <c r="AE858" s="16"/>
      <c r="AF858" s="16" t="str">
        <f aca="false">IF(COUNTIF(لیست_سفید!$A$2:$A$21,B858)&gt;0,"بله","خیر")</f>
        <v>خیر</v>
      </c>
      <c r="AG858" s="24" t="n">
        <f aca="false">IF(H858="","",IF(AD858="فیش مفقودی",تنظیمات!$B$6,(INT(I858/1440)*تنظیمات!$B$5+IF(MOD(I858,1440)&lt;=تنظیمات!$B$2,0,MIN(تنظیمات!$B$5,تنظیمات!$B$3+MAX(0,ROUNDUP((MOD(I858,1440)-60)/60,0))*تنظیمات!$B$4)))*INDEX(تعرفه!$B$2:$B$7,MATCH(AD858,تعرفه!$A$2:$A$7,0))))</f>
        <v>48000</v>
      </c>
      <c r="AH858" s="24" t="n">
        <v>48000</v>
      </c>
      <c r="AI858" s="24" t="n">
        <f aca="false">IF(AG858="","",AH858-AG858)</f>
        <v>0</v>
      </c>
      <c r="AJ858" s="21" t="n">
        <v>-1</v>
      </c>
      <c r="AK858" s="21" t="n">
        <v>0</v>
      </c>
      <c r="AL858" s="16" t="s">
        <v>335</v>
      </c>
      <c r="AM858" s="16"/>
      <c r="AN858" s="16" t="s">
        <v>340</v>
      </c>
      <c r="AO858" s="16" t="s">
        <v>340</v>
      </c>
      <c r="AP858" s="16" t="s">
        <v>335</v>
      </c>
      <c r="AQ858" s="16"/>
      <c r="AR858" s="21" t="n">
        <f aca="false">IF(AND(T858&lt;&gt;"",H858&lt;&gt;""),IF(AND((T858-H858)*86400&gt;=0,(T858-H858)*86400&lt;تنظیمات!$B$13),1,0),0)</f>
        <v>0</v>
      </c>
      <c r="AS858" s="21" t="n">
        <f aca="false">IF(Z858="پوز",IF(OR(AB858="",COUNTIF(پوزها!$A$2:$A$5,AA858)=0),1,0),0)</f>
        <v>0</v>
      </c>
      <c r="AT858" s="21" t="n">
        <f aca="false">IF(AI858="",0,IF(AI858&gt;0,1,0))</f>
        <v>0</v>
      </c>
      <c r="AU858" s="21" t="n">
        <f aca="false">IF(AI858="",0,IF(AI858&lt;0,1,0))</f>
        <v>0</v>
      </c>
      <c r="AV858" s="21" t="n">
        <f aca="false">IF(U858&gt;V858,1,0)</f>
        <v>0</v>
      </c>
      <c r="AW858" s="21" t="n">
        <f aca="false">IF(OR(W858&gt;تنظیمات!$B$8,X858="بله"),1,0)</f>
        <v>0</v>
      </c>
      <c r="AX858" s="21" t="n">
        <f aca="false">IF(AND(N858="بله",L858&gt;تنظیمات!$B$9),1,0)</f>
        <v>0</v>
      </c>
      <c r="AY858" s="21" t="n">
        <f aca="false">IF(Y858="معکوس",1,0)</f>
        <v>0</v>
      </c>
      <c r="AZ858" s="21" t="n">
        <f aca="false">IF(ABS(AJ858)&gt;تنظیمات!$B$10,1,0)</f>
        <v>0</v>
      </c>
      <c r="BA858" s="21" t="n">
        <f aca="false">IF(AND(OR(AD858="رایگان/VIP",AD858="جانباز"),AF858="خیر"),1,0)</f>
        <v>0</v>
      </c>
      <c r="BB858" s="21" t="n">
        <f aca="false">IF(AE858="",0,IF(COUNTIF($AE$2:$AE$1001,AE858)&gt;1,1,0))</f>
        <v>0</v>
      </c>
      <c r="BC858" s="21" t="n">
        <f aca="false">IF(AND(H858="",I858&gt;تنظیمات!$B$12*60,AM858="خالی"),1,0)</f>
        <v>0</v>
      </c>
      <c r="BD858" s="21" t="n">
        <f aca="false">IF(AND(AP858="بله",I858&lt;تنظیمات!$B$14,AO858="خیر"),1,0)</f>
        <v>0</v>
      </c>
      <c r="BE858" s="21" t="n">
        <f aca="false">IF(AN858="خیر",1,0)</f>
        <v>0</v>
      </c>
      <c r="BF858" s="21" t="n">
        <f aca="false">IF(AND(AD858="فیش مفقودی",AQ858="بله",I858&gt;تنظیمات!$B$12*60),1,0)</f>
        <v>0</v>
      </c>
      <c r="BG858" s="21" t="n">
        <f aca="false">IF(AND(AK858&gt;تنظیمات!$B$11,AL858="بله"),1,0)</f>
        <v>0</v>
      </c>
      <c r="BH858" s="21" t="n">
        <f aca="false">MIN(100,AR858*تنظیمات!$B$21+AS858*تنظیمات!$B$22+AT858*تنظیمات!$B$23+AU858*تنظیمات!$B$24+AV858*تنظیمات!$B$25+AW858*تنظیمات!$B$26+AX858*تنظیمات!$B$27+AY858*تنظیمات!$B$28+AZ858*تنظیمات!$B$29+BA858*تنظیمات!$B$30+BB858*تنظیمات!$B$31+BC858*تنظیمات!$B$32+BD858*تنظیمات!$B$33+BE858*تنظیمات!$B$34+BF858*تنظیمات!$B$35+BG858*تنظیمات!$B$36)</f>
        <v>0</v>
      </c>
      <c r="BI858" s="16" t="str">
        <f aca="false">IF(BH858&gt;=60,"بحرانی",IF(BH858&gt;=30,"مشکوک",IF(BH858&gt;0,"هشدار","عادی")))</f>
        <v>عادی</v>
      </c>
      <c r="BJ858" s="16" t="s">
        <v>338</v>
      </c>
    </row>
    <row r="859" customFormat="false" ht="15" hidden="false" customHeight="false" outlineLevel="0" collapsed="false">
      <c r="A859" s="16" t="s">
        <v>2923</v>
      </c>
      <c r="B859" s="16" t="s">
        <v>2924</v>
      </c>
      <c r="C859" s="16"/>
      <c r="D859" s="16" t="s">
        <v>418</v>
      </c>
      <c r="E859" s="16" t="s">
        <v>345</v>
      </c>
      <c r="F859" s="16" t="s">
        <v>333</v>
      </c>
      <c r="G859" s="17" t="n">
        <v>46292.7439351852</v>
      </c>
      <c r="H859" s="17" t="n">
        <v>46292.8078240741</v>
      </c>
      <c r="I859" s="18" t="n">
        <f aca="false">IF(H859="",ROUND((تنظیمات!$B$7-G859)*1440,0),ROUND((H859-G859)*1440,0))</f>
        <v>92</v>
      </c>
      <c r="J859" s="16" t="s">
        <v>334</v>
      </c>
      <c r="K859" s="16" t="s">
        <v>410</v>
      </c>
      <c r="L859" s="19" t="n">
        <v>0.922</v>
      </c>
      <c r="M859" s="19" t="n">
        <v>0.941</v>
      </c>
      <c r="N859" s="16" t="s">
        <v>335</v>
      </c>
      <c r="O859" s="16" t="s">
        <v>401</v>
      </c>
      <c r="P859" s="16" t="s">
        <v>420</v>
      </c>
      <c r="Q859" s="20" t="n">
        <v>46292</v>
      </c>
      <c r="R859" s="16" t="s">
        <v>2925</v>
      </c>
      <c r="S859" s="16" t="s">
        <v>404</v>
      </c>
      <c r="T859" s="17"/>
      <c r="U859" s="21" t="n">
        <v>1</v>
      </c>
      <c r="V859" s="21" t="n">
        <v>1</v>
      </c>
      <c r="W859" s="22" t="n">
        <v>6.5</v>
      </c>
      <c r="X859" s="16" t="s">
        <v>335</v>
      </c>
      <c r="Y859" s="16" t="s">
        <v>338</v>
      </c>
      <c r="Z859" s="16" t="s">
        <v>465</v>
      </c>
      <c r="AA859" s="16"/>
      <c r="AB859" s="23"/>
      <c r="AC859" s="17"/>
      <c r="AD859" s="16" t="s">
        <v>466</v>
      </c>
      <c r="AE859" s="16"/>
      <c r="AF859" s="16" t="str">
        <f aca="false">IF(COUNTIF(لیست_سفید!$A$2:$A$21,B859)&gt;0,"بله","خیر")</f>
        <v>بله</v>
      </c>
      <c r="AG859" s="24" t="n">
        <f aca="false">IF(H859="","",IF(AD859="فیش مفقودی",تنظیمات!$B$6,(INT(I859/1440)*تنظیمات!$B$5+IF(MOD(I859,1440)&lt;=تنظیمات!$B$2,0,MIN(تنظیمات!$B$5,تنظیمات!$B$3+MAX(0,ROUNDUP((MOD(I859,1440)-60)/60,0))*تنظیمات!$B$4)))*INDEX(تعرفه!$B$2:$B$7,MATCH(AD859,تعرفه!$A$2:$A$7,0))))</f>
        <v>0</v>
      </c>
      <c r="AH859" s="24" t="n">
        <v>0</v>
      </c>
      <c r="AI859" s="24" t="n">
        <f aca="false">IF(AG859="","",AH859-AG859)</f>
        <v>0</v>
      </c>
      <c r="AJ859" s="21" t="n">
        <v>2</v>
      </c>
      <c r="AK859" s="21" t="n">
        <v>0</v>
      </c>
      <c r="AL859" s="16" t="s">
        <v>335</v>
      </c>
      <c r="AM859" s="16"/>
      <c r="AN859" s="16" t="s">
        <v>340</v>
      </c>
      <c r="AO859" s="16" t="s">
        <v>340</v>
      </c>
      <c r="AP859" s="16" t="s">
        <v>335</v>
      </c>
      <c r="AQ859" s="16"/>
      <c r="AR859" s="21" t="n">
        <f aca="false">IF(AND(T859&lt;&gt;"",H859&lt;&gt;""),IF(AND((T859-H859)*86400&gt;=0,(T859-H859)*86400&lt;تنظیمات!$B$13),1,0),0)</f>
        <v>0</v>
      </c>
      <c r="AS859" s="21" t="n">
        <f aca="false">IF(Z859="پوز",IF(OR(AB859="",COUNTIF(پوزها!$A$2:$A$5,AA859)=0),1,0),0)</f>
        <v>0</v>
      </c>
      <c r="AT859" s="21" t="n">
        <f aca="false">IF(AI859="",0,IF(AI859&gt;0,1,0))</f>
        <v>0</v>
      </c>
      <c r="AU859" s="21" t="n">
        <f aca="false">IF(AI859="",0,IF(AI859&lt;0,1,0))</f>
        <v>0</v>
      </c>
      <c r="AV859" s="21" t="n">
        <f aca="false">IF(U859&gt;V859,1,0)</f>
        <v>0</v>
      </c>
      <c r="AW859" s="21" t="n">
        <f aca="false">IF(OR(W859&gt;تنظیمات!$B$8,X859="بله"),1,0)</f>
        <v>0</v>
      </c>
      <c r="AX859" s="21" t="n">
        <f aca="false">IF(AND(N859="بله",L859&gt;تنظیمات!$B$9),1,0)</f>
        <v>0</v>
      </c>
      <c r="AY859" s="21" t="n">
        <f aca="false">IF(Y859="معکوس",1,0)</f>
        <v>0</v>
      </c>
      <c r="AZ859" s="21" t="n">
        <f aca="false">IF(ABS(AJ859)&gt;تنظیمات!$B$10,1,0)</f>
        <v>0</v>
      </c>
      <c r="BA859" s="21" t="n">
        <f aca="false">IF(AND(OR(AD859="رایگان/VIP",AD859="جانباز"),AF859="خیر"),1,0)</f>
        <v>0</v>
      </c>
      <c r="BB859" s="21" t="n">
        <f aca="false">IF(AE859="",0,IF(COUNTIF($AE$2:$AE$1001,AE859)&gt;1,1,0))</f>
        <v>0</v>
      </c>
      <c r="BC859" s="21" t="n">
        <f aca="false">IF(AND(H859="",I859&gt;تنظیمات!$B$12*60,AM859="خالی"),1,0)</f>
        <v>0</v>
      </c>
      <c r="BD859" s="21" t="n">
        <f aca="false">IF(AND(AP859="بله",I859&lt;تنظیمات!$B$14,AO859="خیر"),1,0)</f>
        <v>0</v>
      </c>
      <c r="BE859" s="21" t="n">
        <f aca="false">IF(AN859="خیر",1,0)</f>
        <v>0</v>
      </c>
      <c r="BF859" s="21" t="n">
        <f aca="false">IF(AND(AD859="فیش مفقودی",AQ859="بله",I859&gt;تنظیمات!$B$12*60),1,0)</f>
        <v>0</v>
      </c>
      <c r="BG859" s="21" t="n">
        <f aca="false">IF(AND(AK859&gt;تنظیمات!$B$11,AL859="بله"),1,0)</f>
        <v>0</v>
      </c>
      <c r="BH859" s="21" t="n">
        <f aca="false">MIN(100,AR859*تنظیمات!$B$21+AS859*تنظیمات!$B$22+AT859*تنظیمات!$B$23+AU859*تنظیمات!$B$24+AV859*تنظیمات!$B$25+AW859*تنظیمات!$B$26+AX859*تنظیمات!$B$27+AY859*تنظیمات!$B$28+AZ859*تنظیمات!$B$29+BA859*تنظیمات!$B$30+BB859*تنظیمات!$B$31+BC859*تنظیمات!$B$32+BD859*تنظیمات!$B$33+BE859*تنظیمات!$B$34+BF859*تنظیمات!$B$35+BG859*تنظیمات!$B$36)</f>
        <v>0</v>
      </c>
      <c r="BI859" s="16" t="str">
        <f aca="false">IF(BH859&gt;=60,"بحرانی",IF(BH859&gt;=30,"مشکوک",IF(BH859&gt;0,"هشدار","عادی")))</f>
        <v>عادی</v>
      </c>
      <c r="BJ859" s="16" t="s">
        <v>338</v>
      </c>
    </row>
    <row r="860" customFormat="false" ht="15" hidden="false" customHeight="false" outlineLevel="0" collapsed="false">
      <c r="A860" s="16" t="s">
        <v>2926</v>
      </c>
      <c r="B860" s="16" t="s">
        <v>1944</v>
      </c>
      <c r="C860" s="16"/>
      <c r="D860" s="16" t="s">
        <v>358</v>
      </c>
      <c r="E860" s="16" t="s">
        <v>375</v>
      </c>
      <c r="F860" s="16" t="s">
        <v>359</v>
      </c>
      <c r="G860" s="17" t="n">
        <v>46292.7455092593</v>
      </c>
      <c r="H860" s="17" t="n">
        <v>46292.8406481482</v>
      </c>
      <c r="I860" s="18" t="n">
        <f aca="false">IF(H860="",ROUND((تنظیمات!$B$7-G860)*1440,0),ROUND((H860-G860)*1440,0))</f>
        <v>137</v>
      </c>
      <c r="J860" s="16" t="s">
        <v>346</v>
      </c>
      <c r="K860" s="16" t="s">
        <v>400</v>
      </c>
      <c r="L860" s="19" t="n">
        <v>0.962</v>
      </c>
      <c r="M860" s="19" t="n">
        <v>0.932</v>
      </c>
      <c r="N860" s="16" t="s">
        <v>335</v>
      </c>
      <c r="O860" s="16" t="s">
        <v>411</v>
      </c>
      <c r="P860" s="16" t="s">
        <v>420</v>
      </c>
      <c r="Q860" s="20" t="n">
        <v>46292</v>
      </c>
      <c r="R860" s="16" t="s">
        <v>2927</v>
      </c>
      <c r="S860" s="16" t="s">
        <v>404</v>
      </c>
      <c r="T860" s="17"/>
      <c r="U860" s="21" t="n">
        <v>1</v>
      </c>
      <c r="V860" s="21" t="n">
        <v>1</v>
      </c>
      <c r="W860" s="22" t="n">
        <v>7.3</v>
      </c>
      <c r="X860" s="16" t="s">
        <v>335</v>
      </c>
      <c r="Y860" s="16" t="s">
        <v>338</v>
      </c>
      <c r="Z860" s="16" t="s">
        <v>413</v>
      </c>
      <c r="AA860" s="16" t="s">
        <v>427</v>
      </c>
      <c r="AB860" s="23" t="s">
        <v>2928</v>
      </c>
      <c r="AC860" s="17" t="n">
        <v>46292.84</v>
      </c>
      <c r="AD860" s="16" t="s">
        <v>338</v>
      </c>
      <c r="AE860" s="16"/>
      <c r="AF860" s="16" t="str">
        <f aca="false">IF(COUNTIF(لیست_سفید!$A$2:$A$21,B860)&gt;0,"بله","خیر")</f>
        <v>خیر</v>
      </c>
      <c r="AG860" s="24" t="n">
        <f aca="false">IF(H860="","",IF(AD860="فیش مفقودی",تنظیمات!$B$6,(INT(I860/1440)*تنظیمات!$B$5+IF(MOD(I860,1440)&lt;=تنظیمات!$B$2,0,MIN(تنظیمات!$B$5,تنظیمات!$B$3+MAX(0,ROUNDUP((MOD(I860,1440)-60)/60,0))*تنظیمات!$B$4)))*INDEX(تعرفه!$B$2:$B$7,MATCH(AD860,تعرفه!$A$2:$A$7,0))))</f>
        <v>48000</v>
      </c>
      <c r="AH860" s="24" t="n">
        <v>48000</v>
      </c>
      <c r="AI860" s="24" t="n">
        <f aca="false">IF(AG860="","",AH860-AG860)</f>
        <v>0</v>
      </c>
      <c r="AJ860" s="21" t="n">
        <v>0</v>
      </c>
      <c r="AK860" s="21" t="n">
        <v>0</v>
      </c>
      <c r="AL860" s="16" t="s">
        <v>335</v>
      </c>
      <c r="AM860" s="16"/>
      <c r="AN860" s="16" t="s">
        <v>340</v>
      </c>
      <c r="AO860" s="16" t="s">
        <v>340</v>
      </c>
      <c r="AP860" s="16" t="s">
        <v>335</v>
      </c>
      <c r="AQ860" s="16"/>
      <c r="AR860" s="21" t="n">
        <f aca="false">IF(AND(T860&lt;&gt;"",H860&lt;&gt;""),IF(AND((T860-H860)*86400&gt;=0,(T860-H860)*86400&lt;تنظیمات!$B$13),1,0),0)</f>
        <v>0</v>
      </c>
      <c r="AS860" s="21" t="n">
        <f aca="false">IF(Z860="پوز",IF(OR(AB860="",COUNTIF(پوزها!$A$2:$A$5,AA860)=0),1,0),0)</f>
        <v>0</v>
      </c>
      <c r="AT860" s="21" t="n">
        <f aca="false">IF(AI860="",0,IF(AI860&gt;0,1,0))</f>
        <v>0</v>
      </c>
      <c r="AU860" s="21" t="n">
        <f aca="false">IF(AI860="",0,IF(AI860&lt;0,1,0))</f>
        <v>0</v>
      </c>
      <c r="AV860" s="21" t="n">
        <f aca="false">IF(U860&gt;V860,1,0)</f>
        <v>0</v>
      </c>
      <c r="AW860" s="21" t="n">
        <f aca="false">IF(OR(W860&gt;تنظیمات!$B$8,X860="بله"),1,0)</f>
        <v>0</v>
      </c>
      <c r="AX860" s="21" t="n">
        <f aca="false">IF(AND(N860="بله",L860&gt;تنظیمات!$B$9),1,0)</f>
        <v>0</v>
      </c>
      <c r="AY860" s="21" t="n">
        <f aca="false">IF(Y860="معکوس",1,0)</f>
        <v>0</v>
      </c>
      <c r="AZ860" s="21" t="n">
        <f aca="false">IF(ABS(AJ860)&gt;تنظیمات!$B$10,1,0)</f>
        <v>0</v>
      </c>
      <c r="BA860" s="21" t="n">
        <f aca="false">IF(AND(OR(AD860="رایگان/VIP",AD860="جانباز"),AF860="خیر"),1,0)</f>
        <v>0</v>
      </c>
      <c r="BB860" s="21" t="n">
        <f aca="false">IF(AE860="",0,IF(COUNTIF($AE$2:$AE$1001,AE860)&gt;1,1,0))</f>
        <v>0</v>
      </c>
      <c r="BC860" s="21" t="n">
        <f aca="false">IF(AND(H860="",I860&gt;تنظیمات!$B$12*60,AM860="خالی"),1,0)</f>
        <v>0</v>
      </c>
      <c r="BD860" s="21" t="n">
        <f aca="false">IF(AND(AP860="بله",I860&lt;تنظیمات!$B$14,AO860="خیر"),1,0)</f>
        <v>0</v>
      </c>
      <c r="BE860" s="21" t="n">
        <f aca="false">IF(AN860="خیر",1,0)</f>
        <v>0</v>
      </c>
      <c r="BF860" s="21" t="n">
        <f aca="false">IF(AND(AD860="فیش مفقودی",AQ860="بله",I860&gt;تنظیمات!$B$12*60),1,0)</f>
        <v>0</v>
      </c>
      <c r="BG860" s="21" t="n">
        <f aca="false">IF(AND(AK860&gt;تنظیمات!$B$11,AL860="بله"),1,0)</f>
        <v>0</v>
      </c>
      <c r="BH860" s="21" t="n">
        <f aca="false">MIN(100,AR860*تنظیمات!$B$21+AS860*تنظیمات!$B$22+AT860*تنظیمات!$B$23+AU860*تنظیمات!$B$24+AV860*تنظیمات!$B$25+AW860*تنظیمات!$B$26+AX860*تنظیمات!$B$27+AY860*تنظیمات!$B$28+AZ860*تنظیمات!$B$29+BA860*تنظیمات!$B$30+BB860*تنظیمات!$B$31+BC860*تنظیمات!$B$32+BD860*تنظیمات!$B$33+BE860*تنظیمات!$B$34+BF860*تنظیمات!$B$35+BG860*تنظیمات!$B$36)</f>
        <v>0</v>
      </c>
      <c r="BI860" s="16" t="str">
        <f aca="false">IF(BH860&gt;=60,"بحرانی",IF(BH860&gt;=30,"مشکوک",IF(BH860&gt;0,"هشدار","عادی")))</f>
        <v>عادی</v>
      </c>
      <c r="BJ860" s="16" t="s">
        <v>338</v>
      </c>
    </row>
    <row r="861" customFormat="false" ht="15" hidden="false" customHeight="false" outlineLevel="0" collapsed="false">
      <c r="A861" s="16" t="s">
        <v>2929</v>
      </c>
      <c r="B861" s="16" t="s">
        <v>867</v>
      </c>
      <c r="C861" s="16"/>
      <c r="D861" s="16" t="s">
        <v>331</v>
      </c>
      <c r="E861" s="16" t="s">
        <v>375</v>
      </c>
      <c r="F861" s="16" t="s">
        <v>333</v>
      </c>
      <c r="G861" s="17" t="n">
        <v>46292.7462615741</v>
      </c>
      <c r="H861" s="17" t="n">
        <v>46292.7927893519</v>
      </c>
      <c r="I861" s="18" t="n">
        <f aca="false">IF(H861="",ROUND((تنظیمات!$B$7-G861)*1440,0),ROUND((H861-G861)*1440,0))</f>
        <v>67</v>
      </c>
      <c r="J861" s="16" t="s">
        <v>334</v>
      </c>
      <c r="K861" s="16" t="s">
        <v>400</v>
      </c>
      <c r="L861" s="19" t="n">
        <v>0.959</v>
      </c>
      <c r="M861" s="19" t="n">
        <v>0.982</v>
      </c>
      <c r="N861" s="16" t="s">
        <v>335</v>
      </c>
      <c r="O861" s="16" t="s">
        <v>411</v>
      </c>
      <c r="P861" s="16" t="s">
        <v>420</v>
      </c>
      <c r="Q861" s="20" t="n">
        <v>46292</v>
      </c>
      <c r="R861" s="16" t="s">
        <v>2930</v>
      </c>
      <c r="S861" s="16" t="s">
        <v>404</v>
      </c>
      <c r="T861" s="17"/>
      <c r="U861" s="21" t="n">
        <v>1</v>
      </c>
      <c r="V861" s="21" t="n">
        <v>1</v>
      </c>
      <c r="W861" s="22" t="n">
        <v>5.5</v>
      </c>
      <c r="X861" s="16" t="s">
        <v>335</v>
      </c>
      <c r="Y861" s="16" t="s">
        <v>338</v>
      </c>
      <c r="Z861" s="16" t="s">
        <v>405</v>
      </c>
      <c r="AA861" s="16"/>
      <c r="AB861" s="23"/>
      <c r="AC861" s="17"/>
      <c r="AD861" s="16" t="s">
        <v>338</v>
      </c>
      <c r="AE861" s="16"/>
      <c r="AF861" s="16" t="str">
        <f aca="false">IF(COUNTIF(لیست_سفید!$A$2:$A$21,B861)&gt;0,"بله","خیر")</f>
        <v>خیر</v>
      </c>
      <c r="AG861" s="24" t="n">
        <f aca="false">IF(H861="","",IF(AD861="فیش مفقودی",تنظیمات!$B$6,(INT(I861/1440)*تنظیمات!$B$5+IF(MOD(I861,1440)&lt;=تنظیمات!$B$2,0,MIN(تنظیمات!$B$5,تنظیمات!$B$3+MAX(0,ROUNDUP((MOD(I861,1440)-60)/60,0))*تنظیمات!$B$4)))*INDEX(تعرفه!$B$2:$B$7,MATCH(AD861,تعرفه!$A$2:$A$7,0))))</f>
        <v>34000</v>
      </c>
      <c r="AH861" s="24" t="n">
        <v>34000</v>
      </c>
      <c r="AI861" s="24" t="n">
        <f aca="false">IF(AG861="","",AH861-AG861)</f>
        <v>0</v>
      </c>
      <c r="AJ861" s="21" t="n">
        <v>-3</v>
      </c>
      <c r="AK861" s="21" t="n">
        <v>0</v>
      </c>
      <c r="AL861" s="16" t="s">
        <v>335</v>
      </c>
      <c r="AM861" s="16"/>
      <c r="AN861" s="16" t="s">
        <v>340</v>
      </c>
      <c r="AO861" s="16" t="s">
        <v>340</v>
      </c>
      <c r="AP861" s="16" t="s">
        <v>335</v>
      </c>
      <c r="AQ861" s="16"/>
      <c r="AR861" s="21" t="n">
        <f aca="false">IF(AND(T861&lt;&gt;"",H861&lt;&gt;""),IF(AND((T861-H861)*86400&gt;=0,(T861-H861)*86400&lt;تنظیمات!$B$13),1,0),0)</f>
        <v>0</v>
      </c>
      <c r="AS861" s="21" t="n">
        <f aca="false">IF(Z861="پوز",IF(OR(AB861="",COUNTIF(پوزها!$A$2:$A$5,AA861)=0),1,0),0)</f>
        <v>0</v>
      </c>
      <c r="AT861" s="21" t="n">
        <f aca="false">IF(AI861="",0,IF(AI861&gt;0,1,0))</f>
        <v>0</v>
      </c>
      <c r="AU861" s="21" t="n">
        <f aca="false">IF(AI861="",0,IF(AI861&lt;0,1,0))</f>
        <v>0</v>
      </c>
      <c r="AV861" s="21" t="n">
        <f aca="false">IF(U861&gt;V861,1,0)</f>
        <v>0</v>
      </c>
      <c r="AW861" s="21" t="n">
        <f aca="false">IF(OR(W861&gt;تنظیمات!$B$8,X861="بله"),1,0)</f>
        <v>0</v>
      </c>
      <c r="AX861" s="21" t="n">
        <f aca="false">IF(AND(N861="بله",L861&gt;تنظیمات!$B$9),1,0)</f>
        <v>0</v>
      </c>
      <c r="AY861" s="21" t="n">
        <f aca="false">IF(Y861="معکوس",1,0)</f>
        <v>0</v>
      </c>
      <c r="AZ861" s="21" t="n">
        <f aca="false">IF(ABS(AJ861)&gt;تنظیمات!$B$10,1,0)</f>
        <v>0</v>
      </c>
      <c r="BA861" s="21" t="n">
        <f aca="false">IF(AND(OR(AD861="رایگان/VIP",AD861="جانباز"),AF861="خیر"),1,0)</f>
        <v>0</v>
      </c>
      <c r="BB861" s="21" t="n">
        <f aca="false">IF(AE861="",0,IF(COUNTIF($AE$2:$AE$1001,AE861)&gt;1,1,0))</f>
        <v>0</v>
      </c>
      <c r="BC861" s="21" t="n">
        <f aca="false">IF(AND(H861="",I861&gt;تنظیمات!$B$12*60,AM861="خالی"),1,0)</f>
        <v>0</v>
      </c>
      <c r="BD861" s="21" t="n">
        <f aca="false">IF(AND(AP861="بله",I861&lt;تنظیمات!$B$14,AO861="خیر"),1,0)</f>
        <v>0</v>
      </c>
      <c r="BE861" s="21" t="n">
        <f aca="false">IF(AN861="خیر",1,0)</f>
        <v>0</v>
      </c>
      <c r="BF861" s="21" t="n">
        <f aca="false">IF(AND(AD861="فیش مفقودی",AQ861="بله",I861&gt;تنظیمات!$B$12*60),1,0)</f>
        <v>0</v>
      </c>
      <c r="BG861" s="21" t="n">
        <f aca="false">IF(AND(AK861&gt;تنظیمات!$B$11,AL861="بله"),1,0)</f>
        <v>0</v>
      </c>
      <c r="BH861" s="21" t="n">
        <f aca="false">MIN(100,AR861*تنظیمات!$B$21+AS861*تنظیمات!$B$22+AT861*تنظیمات!$B$23+AU861*تنظیمات!$B$24+AV861*تنظیمات!$B$25+AW861*تنظیمات!$B$26+AX861*تنظیمات!$B$27+AY861*تنظیمات!$B$28+AZ861*تنظیمات!$B$29+BA861*تنظیمات!$B$30+BB861*تنظیمات!$B$31+BC861*تنظیمات!$B$32+BD861*تنظیمات!$B$33+BE861*تنظیمات!$B$34+BF861*تنظیمات!$B$35+BG861*تنظیمات!$B$36)</f>
        <v>0</v>
      </c>
      <c r="BI861" s="16" t="str">
        <f aca="false">IF(BH861&gt;=60,"بحرانی",IF(BH861&gt;=30,"مشکوک",IF(BH861&gt;0,"هشدار","عادی")))</f>
        <v>عادی</v>
      </c>
      <c r="BJ861" s="16" t="s">
        <v>338</v>
      </c>
    </row>
    <row r="862" customFormat="false" ht="15" hidden="false" customHeight="false" outlineLevel="0" collapsed="false">
      <c r="A862" s="16" t="s">
        <v>2931</v>
      </c>
      <c r="B862" s="16" t="s">
        <v>2932</v>
      </c>
      <c r="C862" s="16"/>
      <c r="D862" s="16" t="s">
        <v>331</v>
      </c>
      <c r="E862" s="16" t="s">
        <v>345</v>
      </c>
      <c r="F862" s="16" t="s">
        <v>333</v>
      </c>
      <c r="G862" s="17" t="n">
        <v>46292.7593055556</v>
      </c>
      <c r="H862" s="17" t="n">
        <v>46292.94125</v>
      </c>
      <c r="I862" s="18" t="n">
        <f aca="false">IF(H862="",ROUND((تنظیمات!$B$7-G862)*1440,0),ROUND((H862-G862)*1440,0))</f>
        <v>262</v>
      </c>
      <c r="J862" s="16" t="s">
        <v>346</v>
      </c>
      <c r="K862" s="16" t="s">
        <v>400</v>
      </c>
      <c r="L862" s="19" t="n">
        <v>0.995</v>
      </c>
      <c r="M862" s="19" t="n">
        <v>0.994</v>
      </c>
      <c r="N862" s="16" t="s">
        <v>335</v>
      </c>
      <c r="O862" s="16" t="s">
        <v>419</v>
      </c>
      <c r="P862" s="16" t="s">
        <v>651</v>
      </c>
      <c r="Q862" s="20" t="n">
        <v>46292</v>
      </c>
      <c r="R862" s="16" t="s">
        <v>2933</v>
      </c>
      <c r="S862" s="16" t="s">
        <v>404</v>
      </c>
      <c r="T862" s="17"/>
      <c r="U862" s="21" t="n">
        <v>1</v>
      </c>
      <c r="V862" s="21" t="n">
        <v>1</v>
      </c>
      <c r="W862" s="22" t="n">
        <v>5.5</v>
      </c>
      <c r="X862" s="16" t="s">
        <v>335</v>
      </c>
      <c r="Y862" s="16" t="s">
        <v>338</v>
      </c>
      <c r="Z862" s="16" t="s">
        <v>413</v>
      </c>
      <c r="AA862" s="16" t="s">
        <v>427</v>
      </c>
      <c r="AB862" s="23" t="s">
        <v>2934</v>
      </c>
      <c r="AC862" s="17" t="n">
        <v>46292.9409259259</v>
      </c>
      <c r="AD862" s="16" t="s">
        <v>338</v>
      </c>
      <c r="AE862" s="16"/>
      <c r="AF862" s="16" t="str">
        <f aca="false">IF(COUNTIF(لیست_سفید!$A$2:$A$21,B862)&gt;0,"بله","خیر")</f>
        <v>خیر</v>
      </c>
      <c r="AG862" s="24" t="n">
        <f aca="false">IF(H862="","",IF(AD862="فیش مفقودی",تنظیمات!$B$6,(INT(I862/1440)*تنظیمات!$B$5+IF(MOD(I862,1440)&lt;=تنظیمات!$B$2,0,MIN(تنظیمات!$B$5,تنظیمات!$B$3+MAX(0,ROUNDUP((MOD(I862,1440)-60)/60,0))*تنظیمات!$B$4)))*INDEX(تعرفه!$B$2:$B$7,MATCH(AD862,تعرفه!$A$2:$A$7,0))))</f>
        <v>76000</v>
      </c>
      <c r="AH862" s="24" t="n">
        <v>76000</v>
      </c>
      <c r="AI862" s="24" t="n">
        <f aca="false">IF(AG862="","",AH862-AG862)</f>
        <v>0</v>
      </c>
      <c r="AJ862" s="21" t="n">
        <v>0</v>
      </c>
      <c r="AK862" s="21" t="n">
        <v>0</v>
      </c>
      <c r="AL862" s="16" t="s">
        <v>335</v>
      </c>
      <c r="AM862" s="16"/>
      <c r="AN862" s="16" t="s">
        <v>340</v>
      </c>
      <c r="AO862" s="16" t="s">
        <v>340</v>
      </c>
      <c r="AP862" s="16" t="s">
        <v>335</v>
      </c>
      <c r="AQ862" s="16"/>
      <c r="AR862" s="21" t="n">
        <f aca="false">IF(AND(T862&lt;&gt;"",H862&lt;&gt;""),IF(AND((T862-H862)*86400&gt;=0,(T862-H862)*86400&lt;تنظیمات!$B$13),1,0),0)</f>
        <v>0</v>
      </c>
      <c r="AS862" s="21" t="n">
        <f aca="false">IF(Z862="پوز",IF(OR(AB862="",COUNTIF(پوزها!$A$2:$A$5,AA862)=0),1,0),0)</f>
        <v>0</v>
      </c>
      <c r="AT862" s="21" t="n">
        <f aca="false">IF(AI862="",0,IF(AI862&gt;0,1,0))</f>
        <v>0</v>
      </c>
      <c r="AU862" s="21" t="n">
        <f aca="false">IF(AI862="",0,IF(AI862&lt;0,1,0))</f>
        <v>0</v>
      </c>
      <c r="AV862" s="21" t="n">
        <f aca="false">IF(U862&gt;V862,1,0)</f>
        <v>0</v>
      </c>
      <c r="AW862" s="21" t="n">
        <f aca="false">IF(OR(W862&gt;تنظیمات!$B$8,X862="بله"),1,0)</f>
        <v>0</v>
      </c>
      <c r="AX862" s="21" t="n">
        <f aca="false">IF(AND(N862="بله",L862&gt;تنظیمات!$B$9),1,0)</f>
        <v>0</v>
      </c>
      <c r="AY862" s="21" t="n">
        <f aca="false">IF(Y862="معکوس",1,0)</f>
        <v>0</v>
      </c>
      <c r="AZ862" s="21" t="n">
        <f aca="false">IF(ABS(AJ862)&gt;تنظیمات!$B$10,1,0)</f>
        <v>0</v>
      </c>
      <c r="BA862" s="21" t="n">
        <f aca="false">IF(AND(OR(AD862="رایگان/VIP",AD862="جانباز"),AF862="خیر"),1,0)</f>
        <v>0</v>
      </c>
      <c r="BB862" s="21" t="n">
        <f aca="false">IF(AE862="",0,IF(COUNTIF($AE$2:$AE$1001,AE862)&gt;1,1,0))</f>
        <v>0</v>
      </c>
      <c r="BC862" s="21" t="n">
        <f aca="false">IF(AND(H862="",I862&gt;تنظیمات!$B$12*60,AM862="خالی"),1,0)</f>
        <v>0</v>
      </c>
      <c r="BD862" s="21" t="n">
        <f aca="false">IF(AND(AP862="بله",I862&lt;تنظیمات!$B$14,AO862="خیر"),1,0)</f>
        <v>0</v>
      </c>
      <c r="BE862" s="21" t="n">
        <f aca="false">IF(AN862="خیر",1,0)</f>
        <v>0</v>
      </c>
      <c r="BF862" s="21" t="n">
        <f aca="false">IF(AND(AD862="فیش مفقودی",AQ862="بله",I862&gt;تنظیمات!$B$12*60),1,0)</f>
        <v>0</v>
      </c>
      <c r="BG862" s="21" t="n">
        <f aca="false">IF(AND(AK862&gt;تنظیمات!$B$11,AL862="بله"),1,0)</f>
        <v>0</v>
      </c>
      <c r="BH862" s="21" t="n">
        <f aca="false">MIN(100,AR862*تنظیمات!$B$21+AS862*تنظیمات!$B$22+AT862*تنظیمات!$B$23+AU862*تنظیمات!$B$24+AV862*تنظیمات!$B$25+AW862*تنظیمات!$B$26+AX862*تنظیمات!$B$27+AY862*تنظیمات!$B$28+AZ862*تنظیمات!$B$29+BA862*تنظیمات!$B$30+BB862*تنظیمات!$B$31+BC862*تنظیمات!$B$32+BD862*تنظیمات!$B$33+BE862*تنظیمات!$B$34+BF862*تنظیمات!$B$35+BG862*تنظیمات!$B$36)</f>
        <v>0</v>
      </c>
      <c r="BI862" s="16" t="str">
        <f aca="false">IF(BH862&gt;=60,"بحرانی",IF(BH862&gt;=30,"مشکوک",IF(BH862&gt;0,"هشدار","عادی")))</f>
        <v>عادی</v>
      </c>
      <c r="BJ862" s="16" t="s">
        <v>338</v>
      </c>
    </row>
    <row r="863" customFormat="false" ht="15" hidden="false" customHeight="false" outlineLevel="0" collapsed="false">
      <c r="A863" s="16" t="s">
        <v>2935</v>
      </c>
      <c r="B863" s="16" t="s">
        <v>655</v>
      </c>
      <c r="C863" s="16"/>
      <c r="D863" s="16" t="s">
        <v>370</v>
      </c>
      <c r="E863" s="16" t="s">
        <v>363</v>
      </c>
      <c r="F863" s="16" t="s">
        <v>333</v>
      </c>
      <c r="G863" s="17" t="n">
        <v>46292.7632175926</v>
      </c>
      <c r="H863" s="17" t="n">
        <v>46292.7875231481</v>
      </c>
      <c r="I863" s="18" t="n">
        <f aca="false">IF(H863="",ROUND((تنظیمات!$B$7-G863)*1440,0),ROUND((H863-G863)*1440,0))</f>
        <v>35</v>
      </c>
      <c r="J863" s="16" t="s">
        <v>346</v>
      </c>
      <c r="K863" s="16" t="s">
        <v>400</v>
      </c>
      <c r="L863" s="19" t="n">
        <v>0.965</v>
      </c>
      <c r="M863" s="19" t="n">
        <v>0.972</v>
      </c>
      <c r="N863" s="16" t="s">
        <v>335</v>
      </c>
      <c r="O863" s="16" t="s">
        <v>411</v>
      </c>
      <c r="P863" s="16" t="s">
        <v>420</v>
      </c>
      <c r="Q863" s="20" t="n">
        <v>46292</v>
      </c>
      <c r="R863" s="16" t="s">
        <v>2936</v>
      </c>
      <c r="S863" s="16" t="s">
        <v>404</v>
      </c>
      <c r="T863" s="17"/>
      <c r="U863" s="21" t="n">
        <v>1</v>
      </c>
      <c r="V863" s="21" t="n">
        <v>1</v>
      </c>
      <c r="W863" s="22" t="n">
        <v>6</v>
      </c>
      <c r="X863" s="16" t="s">
        <v>335</v>
      </c>
      <c r="Y863" s="16" t="s">
        <v>338</v>
      </c>
      <c r="Z863" s="16" t="s">
        <v>413</v>
      </c>
      <c r="AA863" s="16" t="s">
        <v>427</v>
      </c>
      <c r="AB863" s="23" t="s">
        <v>2937</v>
      </c>
      <c r="AC863" s="17" t="n">
        <v>46292.7868287037</v>
      </c>
      <c r="AD863" s="16" t="s">
        <v>338</v>
      </c>
      <c r="AE863" s="16"/>
      <c r="AF863" s="16" t="str">
        <f aca="false">IF(COUNTIF(لیست_سفید!$A$2:$A$21,B863)&gt;0,"بله","خیر")</f>
        <v>خیر</v>
      </c>
      <c r="AG863" s="24" t="n">
        <f aca="false">IF(H863="","",IF(AD863="فیش مفقودی",تنظیمات!$B$6,(INT(I863/1440)*تنظیمات!$B$5+IF(MOD(I863,1440)&lt;=تنظیمات!$B$2,0,MIN(تنظیمات!$B$5,تنظیمات!$B$3+MAX(0,ROUNDUP((MOD(I863,1440)-60)/60,0))*تنظیمات!$B$4)))*INDEX(تعرفه!$B$2:$B$7,MATCH(AD863,تعرفه!$A$2:$A$7,0))))</f>
        <v>20000</v>
      </c>
      <c r="AH863" s="24" t="n">
        <v>20000</v>
      </c>
      <c r="AI863" s="24" t="n">
        <f aca="false">IF(AG863="","",AH863-AG863)</f>
        <v>0</v>
      </c>
      <c r="AJ863" s="21" t="n">
        <v>-1</v>
      </c>
      <c r="AK863" s="21" t="n">
        <v>0</v>
      </c>
      <c r="AL863" s="16" t="s">
        <v>335</v>
      </c>
      <c r="AM863" s="16"/>
      <c r="AN863" s="16" t="s">
        <v>340</v>
      </c>
      <c r="AO863" s="16" t="s">
        <v>340</v>
      </c>
      <c r="AP863" s="16" t="s">
        <v>335</v>
      </c>
      <c r="AQ863" s="16"/>
      <c r="AR863" s="21" t="n">
        <f aca="false">IF(AND(T863&lt;&gt;"",H863&lt;&gt;""),IF(AND((T863-H863)*86400&gt;=0,(T863-H863)*86400&lt;تنظیمات!$B$13),1,0),0)</f>
        <v>0</v>
      </c>
      <c r="AS863" s="21" t="n">
        <f aca="false">IF(Z863="پوز",IF(OR(AB863="",COUNTIF(پوزها!$A$2:$A$5,AA863)=0),1,0),0)</f>
        <v>0</v>
      </c>
      <c r="AT863" s="21" t="n">
        <f aca="false">IF(AI863="",0,IF(AI863&gt;0,1,0))</f>
        <v>0</v>
      </c>
      <c r="AU863" s="21" t="n">
        <f aca="false">IF(AI863="",0,IF(AI863&lt;0,1,0))</f>
        <v>0</v>
      </c>
      <c r="AV863" s="21" t="n">
        <f aca="false">IF(U863&gt;V863,1,0)</f>
        <v>0</v>
      </c>
      <c r="AW863" s="21" t="n">
        <f aca="false">IF(OR(W863&gt;تنظیمات!$B$8,X863="بله"),1,0)</f>
        <v>0</v>
      </c>
      <c r="AX863" s="21" t="n">
        <f aca="false">IF(AND(N863="بله",L863&gt;تنظیمات!$B$9),1,0)</f>
        <v>0</v>
      </c>
      <c r="AY863" s="21" t="n">
        <f aca="false">IF(Y863="معکوس",1,0)</f>
        <v>0</v>
      </c>
      <c r="AZ863" s="21" t="n">
        <f aca="false">IF(ABS(AJ863)&gt;تنظیمات!$B$10,1,0)</f>
        <v>0</v>
      </c>
      <c r="BA863" s="21" t="n">
        <f aca="false">IF(AND(OR(AD863="رایگان/VIP",AD863="جانباز"),AF863="خیر"),1,0)</f>
        <v>0</v>
      </c>
      <c r="BB863" s="21" t="n">
        <f aca="false">IF(AE863="",0,IF(COUNTIF($AE$2:$AE$1001,AE863)&gt;1,1,0))</f>
        <v>0</v>
      </c>
      <c r="BC863" s="21" t="n">
        <f aca="false">IF(AND(H863="",I863&gt;تنظیمات!$B$12*60,AM863="خالی"),1,0)</f>
        <v>0</v>
      </c>
      <c r="BD863" s="21" t="n">
        <f aca="false">IF(AND(AP863="بله",I863&lt;تنظیمات!$B$14,AO863="خیر"),1,0)</f>
        <v>0</v>
      </c>
      <c r="BE863" s="21" t="n">
        <f aca="false">IF(AN863="خیر",1,0)</f>
        <v>0</v>
      </c>
      <c r="BF863" s="21" t="n">
        <f aca="false">IF(AND(AD863="فیش مفقودی",AQ863="بله",I863&gt;تنظیمات!$B$12*60),1,0)</f>
        <v>0</v>
      </c>
      <c r="BG863" s="21" t="n">
        <f aca="false">IF(AND(AK863&gt;تنظیمات!$B$11,AL863="بله"),1,0)</f>
        <v>0</v>
      </c>
      <c r="BH863" s="21" t="n">
        <f aca="false">MIN(100,AR863*تنظیمات!$B$21+AS863*تنظیمات!$B$22+AT863*تنظیمات!$B$23+AU863*تنظیمات!$B$24+AV863*تنظیمات!$B$25+AW863*تنظیمات!$B$26+AX863*تنظیمات!$B$27+AY863*تنظیمات!$B$28+AZ863*تنظیمات!$B$29+BA863*تنظیمات!$B$30+BB863*تنظیمات!$B$31+BC863*تنظیمات!$B$32+BD863*تنظیمات!$B$33+BE863*تنظیمات!$B$34+BF863*تنظیمات!$B$35+BG863*تنظیمات!$B$36)</f>
        <v>0</v>
      </c>
      <c r="BI863" s="16" t="str">
        <f aca="false">IF(BH863&gt;=60,"بحرانی",IF(BH863&gt;=30,"مشکوک",IF(BH863&gt;0,"هشدار","عادی")))</f>
        <v>عادی</v>
      </c>
      <c r="BJ863" s="16" t="s">
        <v>338</v>
      </c>
    </row>
    <row r="864" customFormat="false" ht="15" hidden="false" customHeight="false" outlineLevel="0" collapsed="false">
      <c r="A864" s="16" t="s">
        <v>2938</v>
      </c>
      <c r="B864" s="16" t="s">
        <v>734</v>
      </c>
      <c r="C864" s="16"/>
      <c r="D864" s="16" t="s">
        <v>374</v>
      </c>
      <c r="E864" s="16" t="s">
        <v>345</v>
      </c>
      <c r="F864" s="16" t="s">
        <v>359</v>
      </c>
      <c r="G864" s="17" t="n">
        <v>46292.7633912037</v>
      </c>
      <c r="H864" s="17" t="n">
        <v>46292.7974189815</v>
      </c>
      <c r="I864" s="18" t="n">
        <f aca="false">IF(H864="",ROUND((تنظیمات!$B$7-G864)*1440,0),ROUND((H864-G864)*1440,0))</f>
        <v>49</v>
      </c>
      <c r="J864" s="16" t="s">
        <v>346</v>
      </c>
      <c r="K864" s="16" t="s">
        <v>410</v>
      </c>
      <c r="L864" s="19" t="n">
        <v>0.945</v>
      </c>
      <c r="M864" s="19" t="n">
        <v>0.919</v>
      </c>
      <c r="N864" s="16" t="s">
        <v>335</v>
      </c>
      <c r="O864" s="16" t="s">
        <v>401</v>
      </c>
      <c r="P864" s="16" t="s">
        <v>420</v>
      </c>
      <c r="Q864" s="20" t="n">
        <v>46292</v>
      </c>
      <c r="R864" s="16" t="s">
        <v>2939</v>
      </c>
      <c r="S864" s="16" t="s">
        <v>404</v>
      </c>
      <c r="T864" s="17"/>
      <c r="U864" s="21" t="n">
        <v>1</v>
      </c>
      <c r="V864" s="21" t="n">
        <v>1</v>
      </c>
      <c r="W864" s="22" t="n">
        <v>5.4</v>
      </c>
      <c r="X864" s="16" t="s">
        <v>335</v>
      </c>
      <c r="Y864" s="16" t="s">
        <v>338</v>
      </c>
      <c r="Z864" s="16" t="s">
        <v>413</v>
      </c>
      <c r="AA864" s="16" t="s">
        <v>414</v>
      </c>
      <c r="AB864" s="23" t="s">
        <v>2940</v>
      </c>
      <c r="AC864" s="17" t="n">
        <v>46292.7970717593</v>
      </c>
      <c r="AD864" s="16" t="s">
        <v>338</v>
      </c>
      <c r="AE864" s="16"/>
      <c r="AF864" s="16" t="str">
        <f aca="false">IF(COUNTIF(لیست_سفید!$A$2:$A$21,B864)&gt;0,"بله","خیر")</f>
        <v>خیر</v>
      </c>
      <c r="AG864" s="24" t="n">
        <f aca="false">IF(H864="","",IF(AD864="فیش مفقودی",تنظیمات!$B$6,(INT(I864/1440)*تنظیمات!$B$5+IF(MOD(I864,1440)&lt;=تنظیمات!$B$2,0,MIN(تنظیمات!$B$5,تنظیمات!$B$3+MAX(0,ROUNDUP((MOD(I864,1440)-60)/60,0))*تنظیمات!$B$4)))*INDEX(تعرفه!$B$2:$B$7,MATCH(AD864,تعرفه!$A$2:$A$7,0))))</f>
        <v>20000</v>
      </c>
      <c r="AH864" s="24" t="n">
        <v>32000</v>
      </c>
      <c r="AI864" s="24" t="n">
        <f aca="false">IF(AG864="","",AH864-AG864)</f>
        <v>12000</v>
      </c>
      <c r="AJ864" s="21" t="n">
        <v>0</v>
      </c>
      <c r="AK864" s="21" t="n">
        <v>0</v>
      </c>
      <c r="AL864" s="16" t="s">
        <v>335</v>
      </c>
      <c r="AM864" s="16"/>
      <c r="AN864" s="16" t="s">
        <v>340</v>
      </c>
      <c r="AO864" s="16" t="s">
        <v>340</v>
      </c>
      <c r="AP864" s="16" t="s">
        <v>335</v>
      </c>
      <c r="AQ864" s="16"/>
      <c r="AR864" s="21" t="n">
        <f aca="false">IF(AND(T864&lt;&gt;"",H864&lt;&gt;""),IF(AND((T864-H864)*86400&gt;=0,(T864-H864)*86400&lt;تنظیمات!$B$13),1,0),0)</f>
        <v>0</v>
      </c>
      <c r="AS864" s="21" t="n">
        <f aca="false">IF(Z864="پوز",IF(OR(AB864="",COUNTIF(پوزها!$A$2:$A$5,AA864)=0),1,0),0)</f>
        <v>0</v>
      </c>
      <c r="AT864" s="21" t="n">
        <f aca="false">IF(AI864="",0,IF(AI864&gt;0,1,0))</f>
        <v>1</v>
      </c>
      <c r="AU864" s="21" t="n">
        <f aca="false">IF(AI864="",0,IF(AI864&lt;0,1,0))</f>
        <v>0</v>
      </c>
      <c r="AV864" s="21" t="n">
        <f aca="false">IF(U864&gt;V864,1,0)</f>
        <v>0</v>
      </c>
      <c r="AW864" s="21" t="n">
        <f aca="false">IF(OR(W864&gt;تنظیمات!$B$8,X864="بله"),1,0)</f>
        <v>0</v>
      </c>
      <c r="AX864" s="21" t="n">
        <f aca="false">IF(AND(N864="بله",L864&gt;تنظیمات!$B$9),1,0)</f>
        <v>0</v>
      </c>
      <c r="AY864" s="21" t="n">
        <f aca="false">IF(Y864="معکوس",1,0)</f>
        <v>0</v>
      </c>
      <c r="AZ864" s="21" t="n">
        <f aca="false">IF(ABS(AJ864)&gt;تنظیمات!$B$10,1,0)</f>
        <v>0</v>
      </c>
      <c r="BA864" s="21" t="n">
        <f aca="false">IF(AND(OR(AD864="رایگان/VIP",AD864="جانباز"),AF864="خیر"),1,0)</f>
        <v>0</v>
      </c>
      <c r="BB864" s="21" t="n">
        <f aca="false">IF(AE864="",0,IF(COUNTIF($AE$2:$AE$1001,AE864)&gt;1,1,0))</f>
        <v>0</v>
      </c>
      <c r="BC864" s="21" t="n">
        <f aca="false">IF(AND(H864="",I864&gt;تنظیمات!$B$12*60,AM864="خالی"),1,0)</f>
        <v>0</v>
      </c>
      <c r="BD864" s="21" t="n">
        <f aca="false">IF(AND(AP864="بله",I864&lt;تنظیمات!$B$14,AO864="خیر"),1,0)</f>
        <v>0</v>
      </c>
      <c r="BE864" s="21" t="n">
        <f aca="false">IF(AN864="خیر",1,0)</f>
        <v>0</v>
      </c>
      <c r="BF864" s="21" t="n">
        <f aca="false">IF(AND(AD864="فیش مفقودی",AQ864="بله",I864&gt;تنظیمات!$B$12*60),1,0)</f>
        <v>0</v>
      </c>
      <c r="BG864" s="21" t="n">
        <f aca="false">IF(AND(AK864&gt;تنظیمات!$B$11,AL864="بله"),1,0)</f>
        <v>0</v>
      </c>
      <c r="BH864" s="21" t="n">
        <f aca="false">MIN(100,AR864*تنظیمات!$B$21+AS864*تنظیمات!$B$22+AT864*تنظیمات!$B$23+AU864*تنظیمات!$B$24+AV864*تنظیمات!$B$25+AW864*تنظیمات!$B$26+AX864*تنظیمات!$B$27+AY864*تنظیمات!$B$28+AZ864*تنظیمات!$B$29+BA864*تنظیمات!$B$30+BB864*تنظیمات!$B$31+BC864*تنظیمات!$B$32+BD864*تنظیمات!$B$33+BE864*تنظیمات!$B$34+BF864*تنظیمات!$B$35+BG864*تنظیمات!$B$36)</f>
        <v>25</v>
      </c>
      <c r="BI864" s="16" t="str">
        <f aca="false">IF(BH864&gt;=60,"بحرانی",IF(BH864&gt;=30,"مشکوک",IF(BH864&gt;0,"هشدار","عادی")))</f>
        <v>هشدار</v>
      </c>
      <c r="BJ864" s="16" t="s">
        <v>922</v>
      </c>
    </row>
    <row r="865" customFormat="false" ht="15" hidden="false" customHeight="false" outlineLevel="0" collapsed="false">
      <c r="A865" s="16" t="s">
        <v>2941</v>
      </c>
      <c r="B865" s="16" t="s">
        <v>1206</v>
      </c>
      <c r="C865" s="16"/>
      <c r="D865" s="16" t="s">
        <v>450</v>
      </c>
      <c r="E865" s="16" t="s">
        <v>351</v>
      </c>
      <c r="F865" s="16" t="s">
        <v>333</v>
      </c>
      <c r="G865" s="17" t="n">
        <v>46292.7948726852</v>
      </c>
      <c r="H865" s="17" t="n">
        <v>46292.8920949074</v>
      </c>
      <c r="I865" s="18" t="n">
        <f aca="false">IF(H865="",ROUND((تنظیمات!$B$7-G865)*1440,0),ROUND((H865-G865)*1440,0))</f>
        <v>140</v>
      </c>
      <c r="J865" s="16" t="s">
        <v>334</v>
      </c>
      <c r="K865" s="16" t="s">
        <v>410</v>
      </c>
      <c r="L865" s="19" t="n">
        <v>0.955</v>
      </c>
      <c r="M865" s="19" t="n">
        <v>0.995</v>
      </c>
      <c r="N865" s="16" t="s">
        <v>335</v>
      </c>
      <c r="O865" s="16" t="s">
        <v>401</v>
      </c>
      <c r="P865" s="16" t="s">
        <v>420</v>
      </c>
      <c r="Q865" s="20" t="n">
        <v>46292</v>
      </c>
      <c r="R865" s="16" t="s">
        <v>2942</v>
      </c>
      <c r="S865" s="16" t="s">
        <v>404</v>
      </c>
      <c r="T865" s="17"/>
      <c r="U865" s="21" t="n">
        <v>1</v>
      </c>
      <c r="V865" s="21" t="n">
        <v>1</v>
      </c>
      <c r="W865" s="22" t="n">
        <v>5.5</v>
      </c>
      <c r="X865" s="16" t="s">
        <v>335</v>
      </c>
      <c r="Y865" s="16" t="s">
        <v>338</v>
      </c>
      <c r="Z865" s="16" t="s">
        <v>405</v>
      </c>
      <c r="AA865" s="16"/>
      <c r="AB865" s="23"/>
      <c r="AC865" s="17"/>
      <c r="AD865" s="16" t="s">
        <v>338</v>
      </c>
      <c r="AE865" s="16"/>
      <c r="AF865" s="16" t="str">
        <f aca="false">IF(COUNTIF(لیست_سفید!$A$2:$A$21,B865)&gt;0,"بله","خیر")</f>
        <v>خیر</v>
      </c>
      <c r="AG865" s="24" t="n">
        <f aca="false">IF(H865="","",IF(AD865="فیش مفقودی",تنظیمات!$B$6,(INT(I865/1440)*تنظیمات!$B$5+IF(MOD(I865,1440)&lt;=تنظیمات!$B$2,0,MIN(تنظیمات!$B$5,تنظیمات!$B$3+MAX(0,ROUNDUP((MOD(I865,1440)-60)/60,0))*تنظیمات!$B$4)))*INDEX(تعرفه!$B$2:$B$7,MATCH(AD865,تعرفه!$A$2:$A$7,0))))</f>
        <v>48000</v>
      </c>
      <c r="AH865" s="24" t="n">
        <v>48000</v>
      </c>
      <c r="AI865" s="24" t="n">
        <f aca="false">IF(AG865="","",AH865-AG865)</f>
        <v>0</v>
      </c>
      <c r="AJ865" s="21" t="n">
        <v>0</v>
      </c>
      <c r="AK865" s="21" t="n">
        <v>0</v>
      </c>
      <c r="AL865" s="16" t="s">
        <v>335</v>
      </c>
      <c r="AM865" s="16"/>
      <c r="AN865" s="16" t="s">
        <v>340</v>
      </c>
      <c r="AO865" s="16" t="s">
        <v>340</v>
      </c>
      <c r="AP865" s="16" t="s">
        <v>335</v>
      </c>
      <c r="AQ865" s="16"/>
      <c r="AR865" s="21" t="n">
        <f aca="false">IF(AND(T865&lt;&gt;"",H865&lt;&gt;""),IF(AND((T865-H865)*86400&gt;=0,(T865-H865)*86400&lt;تنظیمات!$B$13),1,0),0)</f>
        <v>0</v>
      </c>
      <c r="AS865" s="21" t="n">
        <f aca="false">IF(Z865="پوز",IF(OR(AB865="",COUNTIF(پوزها!$A$2:$A$5,AA865)=0),1,0),0)</f>
        <v>0</v>
      </c>
      <c r="AT865" s="21" t="n">
        <f aca="false">IF(AI865="",0,IF(AI865&gt;0,1,0))</f>
        <v>0</v>
      </c>
      <c r="AU865" s="21" t="n">
        <f aca="false">IF(AI865="",0,IF(AI865&lt;0,1,0))</f>
        <v>0</v>
      </c>
      <c r="AV865" s="21" t="n">
        <f aca="false">IF(U865&gt;V865,1,0)</f>
        <v>0</v>
      </c>
      <c r="AW865" s="21" t="n">
        <f aca="false">IF(OR(W865&gt;تنظیمات!$B$8,X865="بله"),1,0)</f>
        <v>0</v>
      </c>
      <c r="AX865" s="21" t="n">
        <f aca="false">IF(AND(N865="بله",L865&gt;تنظیمات!$B$9),1,0)</f>
        <v>0</v>
      </c>
      <c r="AY865" s="21" t="n">
        <f aca="false">IF(Y865="معکوس",1,0)</f>
        <v>0</v>
      </c>
      <c r="AZ865" s="21" t="n">
        <f aca="false">IF(ABS(AJ865)&gt;تنظیمات!$B$10,1,0)</f>
        <v>0</v>
      </c>
      <c r="BA865" s="21" t="n">
        <f aca="false">IF(AND(OR(AD865="رایگان/VIP",AD865="جانباز"),AF865="خیر"),1,0)</f>
        <v>0</v>
      </c>
      <c r="BB865" s="21" t="n">
        <f aca="false">IF(AE865="",0,IF(COUNTIF($AE$2:$AE$1001,AE865)&gt;1,1,0))</f>
        <v>0</v>
      </c>
      <c r="BC865" s="21" t="n">
        <f aca="false">IF(AND(H865="",I865&gt;تنظیمات!$B$12*60,AM865="خالی"),1,0)</f>
        <v>0</v>
      </c>
      <c r="BD865" s="21" t="n">
        <f aca="false">IF(AND(AP865="بله",I865&lt;تنظیمات!$B$14,AO865="خیر"),1,0)</f>
        <v>0</v>
      </c>
      <c r="BE865" s="21" t="n">
        <f aca="false">IF(AN865="خیر",1,0)</f>
        <v>0</v>
      </c>
      <c r="BF865" s="21" t="n">
        <f aca="false">IF(AND(AD865="فیش مفقودی",AQ865="بله",I865&gt;تنظیمات!$B$12*60),1,0)</f>
        <v>0</v>
      </c>
      <c r="BG865" s="21" t="n">
        <f aca="false">IF(AND(AK865&gt;تنظیمات!$B$11,AL865="بله"),1,0)</f>
        <v>0</v>
      </c>
      <c r="BH865" s="21" t="n">
        <f aca="false">MIN(100,AR865*تنظیمات!$B$21+AS865*تنظیمات!$B$22+AT865*تنظیمات!$B$23+AU865*تنظیمات!$B$24+AV865*تنظیمات!$B$25+AW865*تنظیمات!$B$26+AX865*تنظیمات!$B$27+AY865*تنظیمات!$B$28+AZ865*تنظیمات!$B$29+BA865*تنظیمات!$B$30+BB865*تنظیمات!$B$31+BC865*تنظیمات!$B$32+BD865*تنظیمات!$B$33+BE865*تنظیمات!$B$34+BF865*تنظیمات!$B$35+BG865*تنظیمات!$B$36)</f>
        <v>0</v>
      </c>
      <c r="BI865" s="16" t="str">
        <f aca="false">IF(BH865&gt;=60,"بحرانی",IF(BH865&gt;=30,"مشکوک",IF(BH865&gt;0,"هشدار","عادی")))</f>
        <v>عادی</v>
      </c>
      <c r="BJ865" s="16" t="s">
        <v>338</v>
      </c>
    </row>
    <row r="866" customFormat="false" ht="15" hidden="false" customHeight="false" outlineLevel="0" collapsed="false">
      <c r="A866" s="16" t="s">
        <v>2943</v>
      </c>
      <c r="B866" s="16" t="s">
        <v>1056</v>
      </c>
      <c r="C866" s="16"/>
      <c r="D866" s="16" t="s">
        <v>531</v>
      </c>
      <c r="E866" s="16" t="s">
        <v>390</v>
      </c>
      <c r="F866" s="16" t="s">
        <v>333</v>
      </c>
      <c r="G866" s="17" t="n">
        <v>46292.7969328704</v>
      </c>
      <c r="H866" s="17" t="n">
        <v>46292.888599537</v>
      </c>
      <c r="I866" s="18" t="n">
        <f aca="false">IF(H866="",ROUND((تنظیمات!$B$7-G866)*1440,0),ROUND((H866-G866)*1440,0))</f>
        <v>132</v>
      </c>
      <c r="J866" s="16" t="s">
        <v>346</v>
      </c>
      <c r="K866" s="16" t="s">
        <v>334</v>
      </c>
      <c r="L866" s="19" t="n">
        <v>0.942</v>
      </c>
      <c r="M866" s="19" t="n">
        <v>0.939</v>
      </c>
      <c r="N866" s="16" t="s">
        <v>335</v>
      </c>
      <c r="O866" s="16" t="s">
        <v>411</v>
      </c>
      <c r="P866" s="16" t="s">
        <v>420</v>
      </c>
      <c r="Q866" s="20" t="n">
        <v>46292</v>
      </c>
      <c r="R866" s="16" t="s">
        <v>2944</v>
      </c>
      <c r="S866" s="16" t="s">
        <v>404</v>
      </c>
      <c r="T866" s="17"/>
      <c r="U866" s="21" t="n">
        <v>1</v>
      </c>
      <c r="V866" s="21" t="n">
        <v>1</v>
      </c>
      <c r="W866" s="22" t="n">
        <v>4.1</v>
      </c>
      <c r="X866" s="16" t="s">
        <v>335</v>
      </c>
      <c r="Y866" s="16" t="s">
        <v>1438</v>
      </c>
      <c r="Z866" s="16" t="s">
        <v>1439</v>
      </c>
      <c r="AA866" s="16"/>
      <c r="AB866" s="23"/>
      <c r="AC866" s="17"/>
      <c r="AD866" s="16" t="s">
        <v>338</v>
      </c>
      <c r="AE866" s="16"/>
      <c r="AF866" s="16" t="str">
        <f aca="false">IF(COUNTIF(لیست_سفید!$A$2:$A$21,B866)&gt;0,"بله","خیر")</f>
        <v>خیر</v>
      </c>
      <c r="AG866" s="24" t="n">
        <f aca="false">IF(H866="","",IF(AD866="فیش مفقودی",تنظیمات!$B$6,(INT(I866/1440)*تنظیمات!$B$5+IF(MOD(I866,1440)&lt;=تنظیمات!$B$2,0,MIN(تنظیمات!$B$5,تنظیمات!$B$3+MAX(0,ROUNDUP((MOD(I866,1440)-60)/60,0))*تنظیمات!$B$4)))*INDEX(تعرفه!$B$2:$B$7,MATCH(AD866,تعرفه!$A$2:$A$7,0))))</f>
        <v>48000</v>
      </c>
      <c r="AH866" s="24" t="n">
        <v>0</v>
      </c>
      <c r="AI866" s="24" t="n">
        <f aca="false">IF(AG866="","",AH866-AG866)</f>
        <v>-48000</v>
      </c>
      <c r="AJ866" s="21" t="n">
        <v>0</v>
      </c>
      <c r="AK866" s="21" t="n">
        <v>0</v>
      </c>
      <c r="AL866" s="16" t="s">
        <v>335</v>
      </c>
      <c r="AM866" s="16"/>
      <c r="AN866" s="16" t="s">
        <v>340</v>
      </c>
      <c r="AO866" s="16" t="s">
        <v>340</v>
      </c>
      <c r="AP866" s="16" t="s">
        <v>335</v>
      </c>
      <c r="AQ866" s="16"/>
      <c r="AR866" s="21" t="n">
        <f aca="false">IF(AND(T866&lt;&gt;"",H866&lt;&gt;""),IF(AND((T866-H866)*86400&gt;=0,(T866-H866)*86400&lt;تنظیمات!$B$13),1,0),0)</f>
        <v>0</v>
      </c>
      <c r="AS866" s="21" t="n">
        <f aca="false">IF(Z866="پوز",IF(OR(AB866="",COUNTIF(پوزها!$A$2:$A$5,AA866)=0),1,0),0)</f>
        <v>0</v>
      </c>
      <c r="AT866" s="21" t="n">
        <f aca="false">IF(AI866="",0,IF(AI866&gt;0,1,0))</f>
        <v>0</v>
      </c>
      <c r="AU866" s="21" t="n">
        <f aca="false">IF(AI866="",0,IF(AI866&lt;0,1,0))</f>
        <v>1</v>
      </c>
      <c r="AV866" s="21" t="n">
        <f aca="false">IF(U866&gt;V866,1,0)</f>
        <v>0</v>
      </c>
      <c r="AW866" s="21" t="n">
        <f aca="false">IF(OR(W866&gt;تنظیمات!$B$8,X866="بله"),1,0)</f>
        <v>0</v>
      </c>
      <c r="AX866" s="21" t="n">
        <f aca="false">IF(AND(N866="بله",L866&gt;تنظیمات!$B$9),1,0)</f>
        <v>0</v>
      </c>
      <c r="AY866" s="21" t="n">
        <f aca="false">IF(Y866="معکوس",1,0)</f>
        <v>1</v>
      </c>
      <c r="AZ866" s="21" t="n">
        <f aca="false">IF(ABS(AJ866)&gt;تنظیمات!$B$10,1,0)</f>
        <v>0</v>
      </c>
      <c r="BA866" s="21" t="n">
        <f aca="false">IF(AND(OR(AD866="رایگان/VIP",AD866="جانباز"),AF866="خیر"),1,0)</f>
        <v>0</v>
      </c>
      <c r="BB866" s="21" t="n">
        <f aca="false">IF(AE866="",0,IF(COUNTIF($AE$2:$AE$1001,AE866)&gt;1,1,0))</f>
        <v>0</v>
      </c>
      <c r="BC866" s="21" t="n">
        <f aca="false">IF(AND(H866="",I866&gt;تنظیمات!$B$12*60,AM866="خالی"),1,0)</f>
        <v>0</v>
      </c>
      <c r="BD866" s="21" t="n">
        <f aca="false">IF(AND(AP866="بله",I866&lt;تنظیمات!$B$14,AO866="خیر"),1,0)</f>
        <v>0</v>
      </c>
      <c r="BE866" s="21" t="n">
        <f aca="false">IF(AN866="خیر",1,0)</f>
        <v>0</v>
      </c>
      <c r="BF866" s="21" t="n">
        <f aca="false">IF(AND(AD866="فیش مفقودی",AQ866="بله",I866&gt;تنظیمات!$B$12*60),1,0)</f>
        <v>0</v>
      </c>
      <c r="BG866" s="21" t="n">
        <f aca="false">IF(AND(AK866&gt;تنظیمات!$B$11,AL866="بله"),1,0)</f>
        <v>0</v>
      </c>
      <c r="BH866" s="21" t="n">
        <f aca="false">MIN(100,AR866*تنظیمات!$B$21+AS866*تنظیمات!$B$22+AT866*تنظیمات!$B$23+AU866*تنظیمات!$B$24+AV866*تنظیمات!$B$25+AW866*تنظیمات!$B$26+AX866*تنظیمات!$B$27+AY866*تنظیمات!$B$28+AZ866*تنظیمات!$B$29+BA866*تنظیمات!$B$30+BB866*تنظیمات!$B$31+BC866*تنظیمات!$B$32+BD866*تنظیمات!$B$33+BE866*تنظیمات!$B$34+BF866*تنظیمات!$B$35+BG866*تنظیمات!$B$36)</f>
        <v>55</v>
      </c>
      <c r="BI866" s="16" t="str">
        <f aca="false">IF(BH866&gt;=60,"بحرانی",IF(BH866&gt;=30,"مشکوک",IF(BH866&gt;0,"هشدار","عادی")))</f>
        <v>مشکوک</v>
      </c>
      <c r="BJ866" s="16" t="s">
        <v>1440</v>
      </c>
    </row>
    <row r="867" customFormat="false" ht="15" hidden="false" customHeight="false" outlineLevel="0" collapsed="false">
      <c r="A867" s="16" t="s">
        <v>2945</v>
      </c>
      <c r="B867" s="16" t="s">
        <v>1000</v>
      </c>
      <c r="C867" s="16"/>
      <c r="D867" s="16" t="s">
        <v>440</v>
      </c>
      <c r="E867" s="16" t="s">
        <v>390</v>
      </c>
      <c r="F867" s="16" t="s">
        <v>359</v>
      </c>
      <c r="G867" s="17" t="n">
        <v>46292.8367013889</v>
      </c>
      <c r="H867" s="17" t="n">
        <v>46292.8860069444</v>
      </c>
      <c r="I867" s="18" t="n">
        <f aca="false">IF(H867="",ROUND((تنظیمات!$B$7-G867)*1440,0),ROUND((H867-G867)*1440,0))</f>
        <v>71</v>
      </c>
      <c r="J867" s="16" t="s">
        <v>346</v>
      </c>
      <c r="K867" s="16" t="s">
        <v>410</v>
      </c>
      <c r="L867" s="19" t="n">
        <v>0.978</v>
      </c>
      <c r="M867" s="19" t="n">
        <v>0.922</v>
      </c>
      <c r="N867" s="16" t="s">
        <v>335</v>
      </c>
      <c r="O867" s="16" t="s">
        <v>401</v>
      </c>
      <c r="P867" s="16" t="s">
        <v>420</v>
      </c>
      <c r="Q867" s="20" t="n">
        <v>46292</v>
      </c>
      <c r="R867" s="16" t="s">
        <v>2946</v>
      </c>
      <c r="S867" s="16" t="s">
        <v>404</v>
      </c>
      <c r="T867" s="17"/>
      <c r="U867" s="21" t="n">
        <v>1</v>
      </c>
      <c r="V867" s="21" t="n">
        <v>1</v>
      </c>
      <c r="W867" s="22" t="n">
        <v>3.3</v>
      </c>
      <c r="X867" s="16" t="s">
        <v>335</v>
      </c>
      <c r="Y867" s="16" t="s">
        <v>338</v>
      </c>
      <c r="Z867" s="16" t="s">
        <v>413</v>
      </c>
      <c r="AA867" s="16" t="s">
        <v>414</v>
      </c>
      <c r="AB867" s="23"/>
      <c r="AC867" s="17" t="n">
        <v>46292.8851851852</v>
      </c>
      <c r="AD867" s="16" t="s">
        <v>338</v>
      </c>
      <c r="AE867" s="16"/>
      <c r="AF867" s="16" t="str">
        <f aca="false">IF(COUNTIF(لیست_سفید!$A$2:$A$21,B867)&gt;0,"بله","خیر")</f>
        <v>خیر</v>
      </c>
      <c r="AG867" s="24" t="n">
        <f aca="false">IF(H867="","",IF(AD867="فیش مفقودی",تنظیمات!$B$6,(INT(I867/1440)*تنظیمات!$B$5+IF(MOD(I867,1440)&lt;=تنظیمات!$B$2,0,MIN(تنظیمات!$B$5,تنظیمات!$B$3+MAX(0,ROUNDUP((MOD(I867,1440)-60)/60,0))*تنظیمات!$B$4)))*INDEX(تعرفه!$B$2:$B$7,MATCH(AD867,تعرفه!$A$2:$A$7,0))))</f>
        <v>34000</v>
      </c>
      <c r="AH867" s="24" t="n">
        <v>34000</v>
      </c>
      <c r="AI867" s="24" t="n">
        <f aca="false">IF(AG867="","",AH867-AG867)</f>
        <v>0</v>
      </c>
      <c r="AJ867" s="21" t="n">
        <v>-1</v>
      </c>
      <c r="AK867" s="21" t="n">
        <v>0</v>
      </c>
      <c r="AL867" s="16" t="s">
        <v>335</v>
      </c>
      <c r="AM867" s="16"/>
      <c r="AN867" s="16" t="s">
        <v>340</v>
      </c>
      <c r="AO867" s="16" t="s">
        <v>340</v>
      </c>
      <c r="AP867" s="16" t="s">
        <v>335</v>
      </c>
      <c r="AQ867" s="16"/>
      <c r="AR867" s="21" t="n">
        <f aca="false">IF(AND(T867&lt;&gt;"",H867&lt;&gt;""),IF(AND((T867-H867)*86400&gt;=0,(T867-H867)*86400&lt;تنظیمات!$B$13),1,0),0)</f>
        <v>0</v>
      </c>
      <c r="AS867" s="21" t="n">
        <f aca="false">IF(Z867="پوز",IF(OR(AB867="",COUNTIF(پوزها!$A$2:$A$5,AA867)=0),1,0),0)</f>
        <v>1</v>
      </c>
      <c r="AT867" s="21" t="n">
        <f aca="false">IF(AI867="",0,IF(AI867&gt;0,1,0))</f>
        <v>0</v>
      </c>
      <c r="AU867" s="21" t="n">
        <f aca="false">IF(AI867="",0,IF(AI867&lt;0,1,0))</f>
        <v>0</v>
      </c>
      <c r="AV867" s="21" t="n">
        <f aca="false">IF(U867&gt;V867,1,0)</f>
        <v>0</v>
      </c>
      <c r="AW867" s="21" t="n">
        <f aca="false">IF(OR(W867&gt;تنظیمات!$B$8,X867="بله"),1,0)</f>
        <v>0</v>
      </c>
      <c r="AX867" s="21" t="n">
        <f aca="false">IF(AND(N867="بله",L867&gt;تنظیمات!$B$9),1,0)</f>
        <v>0</v>
      </c>
      <c r="AY867" s="21" t="n">
        <f aca="false">IF(Y867="معکوس",1,0)</f>
        <v>0</v>
      </c>
      <c r="AZ867" s="21" t="n">
        <f aca="false">IF(ABS(AJ867)&gt;تنظیمات!$B$10,1,0)</f>
        <v>0</v>
      </c>
      <c r="BA867" s="21" t="n">
        <f aca="false">IF(AND(OR(AD867="رایگان/VIP",AD867="جانباز"),AF867="خیر"),1,0)</f>
        <v>0</v>
      </c>
      <c r="BB867" s="21" t="n">
        <f aca="false">IF(AE867="",0,IF(COUNTIF($AE$2:$AE$1001,AE867)&gt;1,1,0))</f>
        <v>0</v>
      </c>
      <c r="BC867" s="21" t="n">
        <f aca="false">IF(AND(H867="",I867&gt;تنظیمات!$B$12*60,AM867="خالی"),1,0)</f>
        <v>0</v>
      </c>
      <c r="BD867" s="21" t="n">
        <f aca="false">IF(AND(AP867="بله",I867&lt;تنظیمات!$B$14,AO867="خیر"),1,0)</f>
        <v>0</v>
      </c>
      <c r="BE867" s="21" t="n">
        <f aca="false">IF(AN867="خیر",1,0)</f>
        <v>0</v>
      </c>
      <c r="BF867" s="21" t="n">
        <f aca="false">IF(AND(AD867="فیش مفقودی",AQ867="بله",I867&gt;تنظیمات!$B$12*60),1,0)</f>
        <v>0</v>
      </c>
      <c r="BG867" s="21" t="n">
        <f aca="false">IF(AND(AK867&gt;تنظیمات!$B$11,AL867="بله"),1,0)</f>
        <v>0</v>
      </c>
      <c r="BH867" s="21" t="n">
        <f aca="false">MIN(100,AR867*تنظیمات!$B$21+AS867*تنظیمات!$B$22+AT867*تنظیمات!$B$23+AU867*تنظیمات!$B$24+AV867*تنظیمات!$B$25+AW867*تنظیمات!$B$26+AX867*تنظیمات!$B$27+AY867*تنظیمات!$B$28+AZ867*تنظیمات!$B$29+BA867*تنظیمات!$B$30+BB867*تنظیمات!$B$31+BC867*تنظیمات!$B$32+BD867*تنظیمات!$B$33+BE867*تنظیمات!$B$34+BF867*تنظیمات!$B$35+BG867*تنظیمات!$B$36)</f>
        <v>35</v>
      </c>
      <c r="BI867" s="16" t="str">
        <f aca="false">IF(BH867&gt;=60,"بحرانی",IF(BH867&gt;=30,"مشکوک",IF(BH867&gt;0,"هشدار","عادی")))</f>
        <v>مشکوک</v>
      </c>
      <c r="BJ867" s="16" t="s">
        <v>722</v>
      </c>
    </row>
    <row r="868" customFormat="false" ht="15" hidden="false" customHeight="false" outlineLevel="0" collapsed="false">
      <c r="A868" s="16" t="s">
        <v>2947</v>
      </c>
      <c r="B868" s="16" t="s">
        <v>543</v>
      </c>
      <c r="C868" s="16"/>
      <c r="D868" s="16" t="s">
        <v>431</v>
      </c>
      <c r="E868" s="16" t="s">
        <v>332</v>
      </c>
      <c r="F868" s="16" t="s">
        <v>333</v>
      </c>
      <c r="G868" s="17" t="n">
        <v>46292.8490740741</v>
      </c>
      <c r="H868" s="17" t="n">
        <v>46292.8789351852</v>
      </c>
      <c r="I868" s="18" t="n">
        <f aca="false">IF(H868="",ROUND((تنظیمات!$B$7-G868)*1440,0),ROUND((H868-G868)*1440,0))</f>
        <v>43</v>
      </c>
      <c r="J868" s="16" t="s">
        <v>334</v>
      </c>
      <c r="K868" s="16" t="s">
        <v>410</v>
      </c>
      <c r="L868" s="19" t="n">
        <v>0.922</v>
      </c>
      <c r="M868" s="19" t="n">
        <v>0.946</v>
      </c>
      <c r="N868" s="16" t="s">
        <v>335</v>
      </c>
      <c r="O868" s="16" t="s">
        <v>401</v>
      </c>
      <c r="P868" s="16" t="s">
        <v>420</v>
      </c>
      <c r="Q868" s="20" t="n">
        <v>46292</v>
      </c>
      <c r="R868" s="16" t="s">
        <v>2948</v>
      </c>
      <c r="S868" s="16" t="s">
        <v>404</v>
      </c>
      <c r="T868" s="17"/>
      <c r="U868" s="21" t="n">
        <v>1</v>
      </c>
      <c r="V868" s="21" t="n">
        <v>1</v>
      </c>
      <c r="W868" s="22" t="n">
        <v>6.9</v>
      </c>
      <c r="X868" s="16" t="s">
        <v>335</v>
      </c>
      <c r="Y868" s="16" t="s">
        <v>338</v>
      </c>
      <c r="Z868" s="16" t="s">
        <v>405</v>
      </c>
      <c r="AA868" s="16"/>
      <c r="AB868" s="23"/>
      <c r="AC868" s="17"/>
      <c r="AD868" s="16" t="s">
        <v>338</v>
      </c>
      <c r="AE868" s="16"/>
      <c r="AF868" s="16" t="str">
        <f aca="false">IF(COUNTIF(لیست_سفید!$A$2:$A$21,B868)&gt;0,"بله","خیر")</f>
        <v>خیر</v>
      </c>
      <c r="AG868" s="24" t="n">
        <f aca="false">IF(H868="","",IF(AD868="فیش مفقودی",تنظیمات!$B$6,(INT(I868/1440)*تنظیمات!$B$5+IF(MOD(I868,1440)&lt;=تنظیمات!$B$2,0,MIN(تنظیمات!$B$5,تنظیمات!$B$3+MAX(0,ROUNDUP((MOD(I868,1440)-60)/60,0))*تنظیمات!$B$4)))*INDEX(تعرفه!$B$2:$B$7,MATCH(AD868,تعرفه!$A$2:$A$7,0))))</f>
        <v>20000</v>
      </c>
      <c r="AH868" s="24" t="n">
        <v>20000</v>
      </c>
      <c r="AI868" s="24" t="n">
        <f aca="false">IF(AG868="","",AH868-AG868)</f>
        <v>0</v>
      </c>
      <c r="AJ868" s="21" t="n">
        <v>1</v>
      </c>
      <c r="AK868" s="21" t="n">
        <v>0</v>
      </c>
      <c r="AL868" s="16" t="s">
        <v>335</v>
      </c>
      <c r="AM868" s="16"/>
      <c r="AN868" s="16" t="s">
        <v>340</v>
      </c>
      <c r="AO868" s="16" t="s">
        <v>340</v>
      </c>
      <c r="AP868" s="16" t="s">
        <v>335</v>
      </c>
      <c r="AQ868" s="16"/>
      <c r="AR868" s="21" t="n">
        <f aca="false">IF(AND(T868&lt;&gt;"",H868&lt;&gt;""),IF(AND((T868-H868)*86400&gt;=0,(T868-H868)*86400&lt;تنظیمات!$B$13),1,0),0)</f>
        <v>0</v>
      </c>
      <c r="AS868" s="21" t="n">
        <f aca="false">IF(Z868="پوز",IF(OR(AB868="",COUNTIF(پوزها!$A$2:$A$5,AA868)=0),1,0),0)</f>
        <v>0</v>
      </c>
      <c r="AT868" s="21" t="n">
        <f aca="false">IF(AI868="",0,IF(AI868&gt;0,1,0))</f>
        <v>0</v>
      </c>
      <c r="AU868" s="21" t="n">
        <f aca="false">IF(AI868="",0,IF(AI868&lt;0,1,0))</f>
        <v>0</v>
      </c>
      <c r="AV868" s="21" t="n">
        <f aca="false">IF(U868&gt;V868,1,0)</f>
        <v>0</v>
      </c>
      <c r="AW868" s="21" t="n">
        <f aca="false">IF(OR(W868&gt;تنظیمات!$B$8,X868="بله"),1,0)</f>
        <v>0</v>
      </c>
      <c r="AX868" s="21" t="n">
        <f aca="false">IF(AND(N868="بله",L868&gt;تنظیمات!$B$9),1,0)</f>
        <v>0</v>
      </c>
      <c r="AY868" s="21" t="n">
        <f aca="false">IF(Y868="معکوس",1,0)</f>
        <v>0</v>
      </c>
      <c r="AZ868" s="21" t="n">
        <f aca="false">IF(ABS(AJ868)&gt;تنظیمات!$B$10,1,0)</f>
        <v>0</v>
      </c>
      <c r="BA868" s="21" t="n">
        <f aca="false">IF(AND(OR(AD868="رایگان/VIP",AD868="جانباز"),AF868="خیر"),1,0)</f>
        <v>0</v>
      </c>
      <c r="BB868" s="21" t="n">
        <f aca="false">IF(AE868="",0,IF(COUNTIF($AE$2:$AE$1001,AE868)&gt;1,1,0))</f>
        <v>0</v>
      </c>
      <c r="BC868" s="21" t="n">
        <f aca="false">IF(AND(H868="",I868&gt;تنظیمات!$B$12*60,AM868="خالی"),1,0)</f>
        <v>0</v>
      </c>
      <c r="BD868" s="21" t="n">
        <f aca="false">IF(AND(AP868="بله",I868&lt;تنظیمات!$B$14,AO868="خیر"),1,0)</f>
        <v>0</v>
      </c>
      <c r="BE868" s="21" t="n">
        <f aca="false">IF(AN868="خیر",1,0)</f>
        <v>0</v>
      </c>
      <c r="BF868" s="21" t="n">
        <f aca="false">IF(AND(AD868="فیش مفقودی",AQ868="بله",I868&gt;تنظیمات!$B$12*60),1,0)</f>
        <v>0</v>
      </c>
      <c r="BG868" s="21" t="n">
        <f aca="false">IF(AND(AK868&gt;تنظیمات!$B$11,AL868="بله"),1,0)</f>
        <v>0</v>
      </c>
      <c r="BH868" s="21" t="n">
        <f aca="false">MIN(100,AR868*تنظیمات!$B$21+AS868*تنظیمات!$B$22+AT868*تنظیمات!$B$23+AU868*تنظیمات!$B$24+AV868*تنظیمات!$B$25+AW868*تنظیمات!$B$26+AX868*تنظیمات!$B$27+AY868*تنظیمات!$B$28+AZ868*تنظیمات!$B$29+BA868*تنظیمات!$B$30+BB868*تنظیمات!$B$31+BC868*تنظیمات!$B$32+BD868*تنظیمات!$B$33+BE868*تنظیمات!$B$34+BF868*تنظیمات!$B$35+BG868*تنظیمات!$B$36)</f>
        <v>0</v>
      </c>
      <c r="BI868" s="16" t="str">
        <f aca="false">IF(BH868&gt;=60,"بحرانی",IF(BH868&gt;=30,"مشکوک",IF(BH868&gt;0,"هشدار","عادی")))</f>
        <v>عادی</v>
      </c>
      <c r="BJ868" s="16" t="s">
        <v>338</v>
      </c>
    </row>
    <row r="869" customFormat="false" ht="15" hidden="false" customHeight="false" outlineLevel="0" collapsed="false">
      <c r="A869" s="16" t="s">
        <v>2949</v>
      </c>
      <c r="B869" s="16" t="s">
        <v>2950</v>
      </c>
      <c r="C869" s="16"/>
      <c r="D869" s="16" t="s">
        <v>386</v>
      </c>
      <c r="E869" s="16" t="s">
        <v>363</v>
      </c>
      <c r="F869" s="16" t="s">
        <v>333</v>
      </c>
      <c r="G869" s="17" t="n">
        <v>46292.8604282407</v>
      </c>
      <c r="H869" s="17" t="n">
        <v>46294.4847337963</v>
      </c>
      <c r="I869" s="18" t="n">
        <f aca="false">IF(H869="",ROUND((تنظیمات!$B$7-G869)*1440,0),ROUND((H869-G869)*1440,0))</f>
        <v>2339</v>
      </c>
      <c r="J869" s="16" t="s">
        <v>334</v>
      </c>
      <c r="K869" s="16" t="s">
        <v>410</v>
      </c>
      <c r="L869" s="19" t="n">
        <v>0.934</v>
      </c>
      <c r="M869" s="19" t="n">
        <v>0.913</v>
      </c>
      <c r="N869" s="16" t="s">
        <v>335</v>
      </c>
      <c r="O869" s="16" t="s">
        <v>401</v>
      </c>
      <c r="P869" s="16" t="s">
        <v>402</v>
      </c>
      <c r="Q869" s="20" t="n">
        <v>46294</v>
      </c>
      <c r="R869" s="16" t="s">
        <v>2951</v>
      </c>
      <c r="S869" s="16" t="s">
        <v>404</v>
      </c>
      <c r="T869" s="17"/>
      <c r="U869" s="21" t="n">
        <v>1</v>
      </c>
      <c r="V869" s="21" t="n">
        <v>1</v>
      </c>
      <c r="W869" s="22" t="n">
        <v>6.9</v>
      </c>
      <c r="X869" s="16" t="s">
        <v>335</v>
      </c>
      <c r="Y869" s="16" t="s">
        <v>338</v>
      </c>
      <c r="Z869" s="16" t="s">
        <v>405</v>
      </c>
      <c r="AA869" s="16"/>
      <c r="AB869" s="23"/>
      <c r="AC869" s="17"/>
      <c r="AD869" s="16" t="s">
        <v>481</v>
      </c>
      <c r="AE869" s="16" t="s">
        <v>994</v>
      </c>
      <c r="AF869" s="16" t="str">
        <f aca="false">IF(COUNTIF(لیست_سفید!$A$2:$A$21,B869)&gt;0,"بله","خیر")</f>
        <v>خیر</v>
      </c>
      <c r="AG869" s="24" t="n">
        <f aca="false">IF(H869="","",IF(AD869="فیش مفقودی",تنظیمات!$B$6,(INT(I869/1440)*تنظیمات!$B$5+IF(MOD(I869,1440)&lt;=تنظیمات!$B$2,0,MIN(تنظیمات!$B$5,تنظیمات!$B$3+MAX(0,ROUNDUP((MOD(I869,1440)-60)/60,0))*تنظیمات!$B$4)))*INDEX(تعرفه!$B$2:$B$7,MATCH(AD869,تعرفه!$A$2:$A$7,0))))</f>
        <v>180000</v>
      </c>
      <c r="AH869" s="24" t="n">
        <v>180000</v>
      </c>
      <c r="AI869" s="24" t="n">
        <f aca="false">IF(AG869="","",AH869-AG869)</f>
        <v>0</v>
      </c>
      <c r="AJ869" s="21" t="n">
        <v>0</v>
      </c>
      <c r="AK869" s="21" t="n">
        <v>0</v>
      </c>
      <c r="AL869" s="16" t="s">
        <v>335</v>
      </c>
      <c r="AM869" s="16"/>
      <c r="AN869" s="16" t="s">
        <v>340</v>
      </c>
      <c r="AO869" s="16" t="s">
        <v>340</v>
      </c>
      <c r="AP869" s="16" t="s">
        <v>335</v>
      </c>
      <c r="AQ869" s="16"/>
      <c r="AR869" s="21" t="n">
        <f aca="false">IF(AND(T869&lt;&gt;"",H869&lt;&gt;""),IF(AND((T869-H869)*86400&gt;=0,(T869-H869)*86400&lt;تنظیمات!$B$13),1,0),0)</f>
        <v>0</v>
      </c>
      <c r="AS869" s="21" t="n">
        <f aca="false">IF(Z869="پوز",IF(OR(AB869="",COUNTIF(پوزها!$A$2:$A$5,AA869)=0),1,0),0)</f>
        <v>0</v>
      </c>
      <c r="AT869" s="21" t="n">
        <f aca="false">IF(AI869="",0,IF(AI869&gt;0,1,0))</f>
        <v>0</v>
      </c>
      <c r="AU869" s="21" t="n">
        <f aca="false">IF(AI869="",0,IF(AI869&lt;0,1,0))</f>
        <v>0</v>
      </c>
      <c r="AV869" s="21" t="n">
        <f aca="false">IF(U869&gt;V869,1,0)</f>
        <v>0</v>
      </c>
      <c r="AW869" s="21" t="n">
        <f aca="false">IF(OR(W869&gt;تنظیمات!$B$8,X869="بله"),1,0)</f>
        <v>0</v>
      </c>
      <c r="AX869" s="21" t="n">
        <f aca="false">IF(AND(N869="بله",L869&gt;تنظیمات!$B$9),1,0)</f>
        <v>0</v>
      </c>
      <c r="AY869" s="21" t="n">
        <f aca="false">IF(Y869="معکوس",1,0)</f>
        <v>0</v>
      </c>
      <c r="AZ869" s="21" t="n">
        <f aca="false">IF(ABS(AJ869)&gt;تنظیمات!$B$10,1,0)</f>
        <v>0</v>
      </c>
      <c r="BA869" s="21" t="n">
        <f aca="false">IF(AND(OR(AD869="رایگان/VIP",AD869="جانباز"),AF869="خیر"),1,0)</f>
        <v>0</v>
      </c>
      <c r="BB869" s="21" t="n">
        <f aca="false">IF(AE869="",0,IF(COUNTIF($AE$2:$AE$1001,AE869)&gt;1,1,0))</f>
        <v>1</v>
      </c>
      <c r="BC869" s="21" t="n">
        <f aca="false">IF(AND(H869="",I869&gt;تنظیمات!$B$12*60,AM869="خالی"),1,0)</f>
        <v>0</v>
      </c>
      <c r="BD869" s="21" t="n">
        <f aca="false">IF(AND(AP869="بله",I869&lt;تنظیمات!$B$14,AO869="خیر"),1,0)</f>
        <v>0</v>
      </c>
      <c r="BE869" s="21" t="n">
        <f aca="false">IF(AN869="خیر",1,0)</f>
        <v>0</v>
      </c>
      <c r="BF869" s="21" t="n">
        <f aca="false">IF(AND(AD869="فیش مفقودی",AQ869="بله",I869&gt;تنظیمات!$B$12*60),1,0)</f>
        <v>0</v>
      </c>
      <c r="BG869" s="21" t="n">
        <f aca="false">IF(AND(AK869&gt;تنظیمات!$B$11,AL869="بله"),1,0)</f>
        <v>0</v>
      </c>
      <c r="BH869" s="21" t="n">
        <f aca="false">MIN(100,AR869*تنظیمات!$B$21+AS869*تنظیمات!$B$22+AT869*تنظیمات!$B$23+AU869*تنظیمات!$B$24+AV869*تنظیمات!$B$25+AW869*تنظیمات!$B$26+AX869*تنظیمات!$B$27+AY869*تنظیمات!$B$28+AZ869*تنظیمات!$B$29+BA869*تنظیمات!$B$30+BB869*تنظیمات!$B$31+BC869*تنظیمات!$B$32+BD869*تنظیمات!$B$33+BE869*تنظیمات!$B$34+BF869*تنظیمات!$B$35+BG869*تنظیمات!$B$36)</f>
        <v>25</v>
      </c>
      <c r="BI869" s="16" t="str">
        <f aca="false">IF(BH869&gt;=60,"بحرانی",IF(BH869&gt;=30,"مشکوک",IF(BH869&gt;0,"هشدار","عادی")))</f>
        <v>هشدار</v>
      </c>
      <c r="BJ869" s="16" t="s">
        <v>950</v>
      </c>
    </row>
    <row r="870" customFormat="false" ht="15" hidden="false" customHeight="false" outlineLevel="0" collapsed="false">
      <c r="A870" s="16" t="s">
        <v>2952</v>
      </c>
      <c r="B870" s="16" t="s">
        <v>740</v>
      </c>
      <c r="C870" s="16"/>
      <c r="D870" s="16" t="s">
        <v>431</v>
      </c>
      <c r="E870" s="16" t="s">
        <v>351</v>
      </c>
      <c r="F870" s="16" t="s">
        <v>333</v>
      </c>
      <c r="G870" s="17" t="n">
        <v>46292.9024652778</v>
      </c>
      <c r="H870" s="17" t="n">
        <v>46292.9559375</v>
      </c>
      <c r="I870" s="18" t="n">
        <f aca="false">IF(H870="",ROUND((تنظیمات!$B$7-G870)*1440,0),ROUND((H870-G870)*1440,0))</f>
        <v>77</v>
      </c>
      <c r="J870" s="16" t="s">
        <v>346</v>
      </c>
      <c r="K870" s="16" t="s">
        <v>400</v>
      </c>
      <c r="L870" s="19" t="n">
        <v>0.934</v>
      </c>
      <c r="M870" s="19" t="n">
        <v>0.911</v>
      </c>
      <c r="N870" s="16" t="s">
        <v>335</v>
      </c>
      <c r="O870" s="16" t="s">
        <v>419</v>
      </c>
      <c r="P870" s="16" t="s">
        <v>651</v>
      </c>
      <c r="Q870" s="20" t="n">
        <v>46292</v>
      </c>
      <c r="R870" s="16" t="s">
        <v>2953</v>
      </c>
      <c r="S870" s="16" t="s">
        <v>404</v>
      </c>
      <c r="T870" s="17"/>
      <c r="U870" s="21" t="n">
        <v>1</v>
      </c>
      <c r="V870" s="21" t="n">
        <v>1</v>
      </c>
      <c r="W870" s="22" t="n">
        <v>6</v>
      </c>
      <c r="X870" s="16" t="s">
        <v>335</v>
      </c>
      <c r="Y870" s="16" t="s">
        <v>338</v>
      </c>
      <c r="Z870" s="16" t="s">
        <v>405</v>
      </c>
      <c r="AA870" s="16"/>
      <c r="AB870" s="23"/>
      <c r="AC870" s="17"/>
      <c r="AD870" s="16" t="s">
        <v>338</v>
      </c>
      <c r="AE870" s="16"/>
      <c r="AF870" s="16" t="str">
        <f aca="false">IF(COUNTIF(لیست_سفید!$A$2:$A$21,B870)&gt;0,"بله","خیر")</f>
        <v>خیر</v>
      </c>
      <c r="AG870" s="24" t="n">
        <f aca="false">IF(H870="","",IF(AD870="فیش مفقودی",تنظیمات!$B$6,(INT(I870/1440)*تنظیمات!$B$5+IF(MOD(I870,1440)&lt;=تنظیمات!$B$2,0,MIN(تنظیمات!$B$5,تنظیمات!$B$3+MAX(0,ROUNDUP((MOD(I870,1440)-60)/60,0))*تنظیمات!$B$4)))*INDEX(تعرفه!$B$2:$B$7,MATCH(AD870,تعرفه!$A$2:$A$7,0))))</f>
        <v>34000</v>
      </c>
      <c r="AH870" s="24" t="n">
        <v>34000</v>
      </c>
      <c r="AI870" s="24" t="n">
        <f aca="false">IF(AG870="","",AH870-AG870)</f>
        <v>0</v>
      </c>
      <c r="AJ870" s="21" t="n">
        <v>1</v>
      </c>
      <c r="AK870" s="21" t="n">
        <v>0</v>
      </c>
      <c r="AL870" s="16" t="s">
        <v>335</v>
      </c>
      <c r="AM870" s="16"/>
      <c r="AN870" s="16" t="s">
        <v>340</v>
      </c>
      <c r="AO870" s="16" t="s">
        <v>340</v>
      </c>
      <c r="AP870" s="16" t="s">
        <v>335</v>
      </c>
      <c r="AQ870" s="16"/>
      <c r="AR870" s="21" t="n">
        <f aca="false">IF(AND(T870&lt;&gt;"",H870&lt;&gt;""),IF(AND((T870-H870)*86400&gt;=0,(T870-H870)*86400&lt;تنظیمات!$B$13),1,0),0)</f>
        <v>0</v>
      </c>
      <c r="AS870" s="21" t="n">
        <f aca="false">IF(Z870="پوز",IF(OR(AB870="",COUNTIF(پوزها!$A$2:$A$5,AA870)=0),1,0),0)</f>
        <v>0</v>
      </c>
      <c r="AT870" s="21" t="n">
        <f aca="false">IF(AI870="",0,IF(AI870&gt;0,1,0))</f>
        <v>0</v>
      </c>
      <c r="AU870" s="21" t="n">
        <f aca="false">IF(AI870="",0,IF(AI870&lt;0,1,0))</f>
        <v>0</v>
      </c>
      <c r="AV870" s="21" t="n">
        <f aca="false">IF(U870&gt;V870,1,0)</f>
        <v>0</v>
      </c>
      <c r="AW870" s="21" t="n">
        <f aca="false">IF(OR(W870&gt;تنظیمات!$B$8,X870="بله"),1,0)</f>
        <v>0</v>
      </c>
      <c r="AX870" s="21" t="n">
        <f aca="false">IF(AND(N870="بله",L870&gt;تنظیمات!$B$9),1,0)</f>
        <v>0</v>
      </c>
      <c r="AY870" s="21" t="n">
        <f aca="false">IF(Y870="معکوس",1,0)</f>
        <v>0</v>
      </c>
      <c r="AZ870" s="21" t="n">
        <f aca="false">IF(ABS(AJ870)&gt;تنظیمات!$B$10,1,0)</f>
        <v>0</v>
      </c>
      <c r="BA870" s="21" t="n">
        <f aca="false">IF(AND(OR(AD870="رایگان/VIP",AD870="جانباز"),AF870="خیر"),1,0)</f>
        <v>0</v>
      </c>
      <c r="BB870" s="21" t="n">
        <f aca="false">IF(AE870="",0,IF(COUNTIF($AE$2:$AE$1001,AE870)&gt;1,1,0))</f>
        <v>0</v>
      </c>
      <c r="BC870" s="21" t="n">
        <f aca="false">IF(AND(H870="",I870&gt;تنظیمات!$B$12*60,AM870="خالی"),1,0)</f>
        <v>0</v>
      </c>
      <c r="BD870" s="21" t="n">
        <f aca="false">IF(AND(AP870="بله",I870&lt;تنظیمات!$B$14,AO870="خیر"),1,0)</f>
        <v>0</v>
      </c>
      <c r="BE870" s="21" t="n">
        <f aca="false">IF(AN870="خیر",1,0)</f>
        <v>0</v>
      </c>
      <c r="BF870" s="21" t="n">
        <f aca="false">IF(AND(AD870="فیش مفقودی",AQ870="بله",I870&gt;تنظیمات!$B$12*60),1,0)</f>
        <v>0</v>
      </c>
      <c r="BG870" s="21" t="n">
        <f aca="false">IF(AND(AK870&gt;تنظیمات!$B$11,AL870="بله"),1,0)</f>
        <v>0</v>
      </c>
      <c r="BH870" s="21" t="n">
        <f aca="false">MIN(100,AR870*تنظیمات!$B$21+AS870*تنظیمات!$B$22+AT870*تنظیمات!$B$23+AU870*تنظیمات!$B$24+AV870*تنظیمات!$B$25+AW870*تنظیمات!$B$26+AX870*تنظیمات!$B$27+AY870*تنظیمات!$B$28+AZ870*تنظیمات!$B$29+BA870*تنظیمات!$B$30+BB870*تنظیمات!$B$31+BC870*تنظیمات!$B$32+BD870*تنظیمات!$B$33+BE870*تنظیمات!$B$34+BF870*تنظیمات!$B$35+BG870*تنظیمات!$B$36)</f>
        <v>0</v>
      </c>
      <c r="BI870" s="16" t="str">
        <f aca="false">IF(BH870&gt;=60,"بحرانی",IF(BH870&gt;=30,"مشکوک",IF(BH870&gt;0,"هشدار","عادی")))</f>
        <v>عادی</v>
      </c>
      <c r="BJ870" s="16" t="s">
        <v>338</v>
      </c>
    </row>
    <row r="871" customFormat="false" ht="15" hidden="false" customHeight="false" outlineLevel="0" collapsed="false">
      <c r="A871" s="16" t="s">
        <v>2954</v>
      </c>
      <c r="B871" s="16" t="s">
        <v>1481</v>
      </c>
      <c r="C871" s="16"/>
      <c r="D871" s="16" t="s">
        <v>386</v>
      </c>
      <c r="E871" s="16" t="s">
        <v>332</v>
      </c>
      <c r="F871" s="16" t="s">
        <v>333</v>
      </c>
      <c r="G871" s="17" t="n">
        <v>46293.0278240741</v>
      </c>
      <c r="H871" s="17" t="n">
        <v>46293.3694907407</v>
      </c>
      <c r="I871" s="18" t="n">
        <f aca="false">IF(H871="",ROUND((تنظیمات!$B$7-G871)*1440,0),ROUND((H871-G871)*1440,0))</f>
        <v>492</v>
      </c>
      <c r="J871" s="16" t="s">
        <v>346</v>
      </c>
      <c r="K871" s="16" t="s">
        <v>410</v>
      </c>
      <c r="L871" s="19" t="n">
        <v>0.944</v>
      </c>
      <c r="M871" s="19" t="n">
        <v>0.898</v>
      </c>
      <c r="N871" s="16" t="s">
        <v>335</v>
      </c>
      <c r="O871" s="16" t="s">
        <v>666</v>
      </c>
      <c r="P871" s="16" t="s">
        <v>402</v>
      </c>
      <c r="Q871" s="20" t="n">
        <v>46293</v>
      </c>
      <c r="R871" s="16" t="s">
        <v>2955</v>
      </c>
      <c r="S871" s="16" t="s">
        <v>404</v>
      </c>
      <c r="T871" s="17"/>
      <c r="U871" s="21" t="n">
        <v>1</v>
      </c>
      <c r="V871" s="21" t="n">
        <v>1</v>
      </c>
      <c r="W871" s="22" t="n">
        <v>6.6</v>
      </c>
      <c r="X871" s="16" t="s">
        <v>335</v>
      </c>
      <c r="Y871" s="16" t="s">
        <v>338</v>
      </c>
      <c r="Z871" s="16" t="s">
        <v>443</v>
      </c>
      <c r="AA871" s="16"/>
      <c r="AB871" s="23"/>
      <c r="AC871" s="17"/>
      <c r="AD871" s="16" t="s">
        <v>444</v>
      </c>
      <c r="AE871" s="16"/>
      <c r="AF871" s="16" t="str">
        <f aca="false">IF(COUNTIF(لیست_سفید!$A$2:$A$21,B871)&gt;0,"بله","خیر")</f>
        <v>خیر</v>
      </c>
      <c r="AG871" s="24" t="n">
        <f aca="false">IF(H871="","",IF(AD871="فیش مفقودی",تنظیمات!$B$6,(INT(I871/1440)*تنظیمات!$B$5+IF(MOD(I871,1440)&lt;=تنظیمات!$B$2,0,MIN(تنظیمات!$B$5,تنظیمات!$B$3+MAX(0,ROUNDUP((MOD(I871,1440)-60)/60,0))*تنظیمات!$B$4)))*INDEX(تعرفه!$B$2:$B$7,MATCH(AD871,تعرفه!$A$2:$A$7,0))))</f>
        <v>0</v>
      </c>
      <c r="AH871" s="24" t="n">
        <v>0</v>
      </c>
      <c r="AI871" s="24" t="n">
        <f aca="false">IF(AG871="","",AH871-AG871)</f>
        <v>0</v>
      </c>
      <c r="AJ871" s="21" t="n">
        <v>-1</v>
      </c>
      <c r="AK871" s="21" t="n">
        <v>0</v>
      </c>
      <c r="AL871" s="16" t="s">
        <v>335</v>
      </c>
      <c r="AM871" s="16"/>
      <c r="AN871" s="16" t="s">
        <v>340</v>
      </c>
      <c r="AO871" s="16" t="s">
        <v>340</v>
      </c>
      <c r="AP871" s="16" t="s">
        <v>335</v>
      </c>
      <c r="AQ871" s="16"/>
      <c r="AR871" s="21" t="n">
        <f aca="false">IF(AND(T871&lt;&gt;"",H871&lt;&gt;""),IF(AND((T871-H871)*86400&gt;=0,(T871-H871)*86400&lt;تنظیمات!$B$13),1,0),0)</f>
        <v>0</v>
      </c>
      <c r="AS871" s="21" t="n">
        <f aca="false">IF(Z871="پوز",IF(OR(AB871="",COUNTIF(پوزها!$A$2:$A$5,AA871)=0),1,0),0)</f>
        <v>0</v>
      </c>
      <c r="AT871" s="21" t="n">
        <f aca="false">IF(AI871="",0,IF(AI871&gt;0,1,0))</f>
        <v>0</v>
      </c>
      <c r="AU871" s="21" t="n">
        <f aca="false">IF(AI871="",0,IF(AI871&lt;0,1,0))</f>
        <v>0</v>
      </c>
      <c r="AV871" s="21" t="n">
        <f aca="false">IF(U871&gt;V871,1,0)</f>
        <v>0</v>
      </c>
      <c r="AW871" s="21" t="n">
        <f aca="false">IF(OR(W871&gt;تنظیمات!$B$8,X871="بله"),1,0)</f>
        <v>0</v>
      </c>
      <c r="AX871" s="21" t="n">
        <f aca="false">IF(AND(N871="بله",L871&gt;تنظیمات!$B$9),1,0)</f>
        <v>0</v>
      </c>
      <c r="AY871" s="21" t="n">
        <f aca="false">IF(Y871="معکوس",1,0)</f>
        <v>0</v>
      </c>
      <c r="AZ871" s="21" t="n">
        <f aca="false">IF(ABS(AJ871)&gt;تنظیمات!$B$10,1,0)</f>
        <v>0</v>
      </c>
      <c r="BA871" s="21" t="n">
        <f aca="false">IF(AND(OR(AD871="رایگان/VIP",AD871="جانباز"),AF871="خیر"),1,0)</f>
        <v>0</v>
      </c>
      <c r="BB871" s="21" t="n">
        <f aca="false">IF(AE871="",0,IF(COUNTIF($AE$2:$AE$1001,AE871)&gt;1,1,0))</f>
        <v>0</v>
      </c>
      <c r="BC871" s="21" t="n">
        <f aca="false">IF(AND(H871="",I871&gt;تنظیمات!$B$12*60,AM871="خالی"),1,0)</f>
        <v>0</v>
      </c>
      <c r="BD871" s="21" t="n">
        <f aca="false">IF(AND(AP871="بله",I871&lt;تنظیمات!$B$14,AO871="خیر"),1,0)</f>
        <v>0</v>
      </c>
      <c r="BE871" s="21" t="n">
        <f aca="false">IF(AN871="خیر",1,0)</f>
        <v>0</v>
      </c>
      <c r="BF871" s="21" t="n">
        <f aca="false">IF(AND(AD871="فیش مفقودی",AQ871="بله",I871&gt;تنظیمات!$B$12*60),1,0)</f>
        <v>0</v>
      </c>
      <c r="BG871" s="21" t="n">
        <f aca="false">IF(AND(AK871&gt;تنظیمات!$B$11,AL871="بله"),1,0)</f>
        <v>0</v>
      </c>
      <c r="BH871" s="21" t="n">
        <f aca="false">MIN(100,AR871*تنظیمات!$B$21+AS871*تنظیمات!$B$22+AT871*تنظیمات!$B$23+AU871*تنظیمات!$B$24+AV871*تنظیمات!$B$25+AW871*تنظیمات!$B$26+AX871*تنظیمات!$B$27+AY871*تنظیمات!$B$28+AZ871*تنظیمات!$B$29+BA871*تنظیمات!$B$30+BB871*تنظیمات!$B$31+BC871*تنظیمات!$B$32+BD871*تنظیمات!$B$33+BE871*تنظیمات!$B$34+BF871*تنظیمات!$B$35+BG871*تنظیمات!$B$36)</f>
        <v>0</v>
      </c>
      <c r="BI871" s="16" t="str">
        <f aca="false">IF(BH871&gt;=60,"بحرانی",IF(BH871&gt;=30,"مشکوک",IF(BH871&gt;0,"هشدار","عادی")))</f>
        <v>عادی</v>
      </c>
      <c r="BJ871" s="16" t="s">
        <v>338</v>
      </c>
    </row>
    <row r="872" customFormat="false" ht="15" hidden="false" customHeight="false" outlineLevel="0" collapsed="false">
      <c r="A872" s="16" t="s">
        <v>2956</v>
      </c>
      <c r="B872" s="16" t="s">
        <v>2066</v>
      </c>
      <c r="C872" s="16"/>
      <c r="D872" s="16" t="s">
        <v>523</v>
      </c>
      <c r="E872" s="16" t="s">
        <v>345</v>
      </c>
      <c r="F872" s="16" t="s">
        <v>333</v>
      </c>
      <c r="G872" s="17" t="n">
        <v>46293.1556018519</v>
      </c>
      <c r="H872" s="17" t="n">
        <v>46293.4701851852</v>
      </c>
      <c r="I872" s="18" t="n">
        <f aca="false">IF(H872="",ROUND((تنظیمات!$B$7-G872)*1440,0),ROUND((H872-G872)*1440,0))</f>
        <v>453</v>
      </c>
      <c r="J872" s="16" t="s">
        <v>334</v>
      </c>
      <c r="K872" s="16" t="s">
        <v>410</v>
      </c>
      <c r="L872" s="19" t="n">
        <v>0.923</v>
      </c>
      <c r="M872" s="19" t="n">
        <v>0.977</v>
      </c>
      <c r="N872" s="16" t="s">
        <v>335</v>
      </c>
      <c r="O872" s="16" t="s">
        <v>666</v>
      </c>
      <c r="P872" s="16" t="s">
        <v>402</v>
      </c>
      <c r="Q872" s="20" t="n">
        <v>46293</v>
      </c>
      <c r="R872" s="16" t="s">
        <v>2957</v>
      </c>
      <c r="S872" s="16" t="s">
        <v>404</v>
      </c>
      <c r="T872" s="17"/>
      <c r="U872" s="21" t="n">
        <v>1</v>
      </c>
      <c r="V872" s="21" t="n">
        <v>1</v>
      </c>
      <c r="W872" s="22" t="n">
        <v>2.7</v>
      </c>
      <c r="X872" s="16" t="s">
        <v>335</v>
      </c>
      <c r="Y872" s="16" t="s">
        <v>338</v>
      </c>
      <c r="Z872" s="16" t="s">
        <v>465</v>
      </c>
      <c r="AA872" s="16"/>
      <c r="AB872" s="23"/>
      <c r="AC872" s="17"/>
      <c r="AD872" s="16" t="s">
        <v>466</v>
      </c>
      <c r="AE872" s="16"/>
      <c r="AF872" s="16" t="str">
        <f aca="false">IF(COUNTIF(لیست_سفید!$A$2:$A$21,B872)&gt;0,"بله","خیر")</f>
        <v>بله</v>
      </c>
      <c r="AG872" s="24" t="n">
        <f aca="false">IF(H872="","",IF(AD872="فیش مفقودی",تنظیمات!$B$6,(INT(I872/1440)*تنظیمات!$B$5+IF(MOD(I872,1440)&lt;=تنظیمات!$B$2,0,MIN(تنظیمات!$B$5,تنظیمات!$B$3+MAX(0,ROUNDUP((MOD(I872,1440)-60)/60,0))*تنظیمات!$B$4)))*INDEX(تعرفه!$B$2:$B$7,MATCH(AD872,تعرفه!$A$2:$A$7,0))))</f>
        <v>0</v>
      </c>
      <c r="AH872" s="24" t="n">
        <v>0</v>
      </c>
      <c r="AI872" s="24" t="n">
        <f aca="false">IF(AG872="","",AH872-AG872)</f>
        <v>0</v>
      </c>
      <c r="AJ872" s="21" t="n">
        <v>0</v>
      </c>
      <c r="AK872" s="21" t="n">
        <v>0</v>
      </c>
      <c r="AL872" s="16" t="s">
        <v>335</v>
      </c>
      <c r="AM872" s="16"/>
      <c r="AN872" s="16" t="s">
        <v>340</v>
      </c>
      <c r="AO872" s="16" t="s">
        <v>340</v>
      </c>
      <c r="AP872" s="16" t="s">
        <v>335</v>
      </c>
      <c r="AQ872" s="16"/>
      <c r="AR872" s="21" t="n">
        <f aca="false">IF(AND(T872&lt;&gt;"",H872&lt;&gt;""),IF(AND((T872-H872)*86400&gt;=0,(T872-H872)*86400&lt;تنظیمات!$B$13),1,0),0)</f>
        <v>0</v>
      </c>
      <c r="AS872" s="21" t="n">
        <f aca="false">IF(Z872="پوز",IF(OR(AB872="",COUNTIF(پوزها!$A$2:$A$5,AA872)=0),1,0),0)</f>
        <v>0</v>
      </c>
      <c r="AT872" s="21" t="n">
        <f aca="false">IF(AI872="",0,IF(AI872&gt;0,1,0))</f>
        <v>0</v>
      </c>
      <c r="AU872" s="21" t="n">
        <f aca="false">IF(AI872="",0,IF(AI872&lt;0,1,0))</f>
        <v>0</v>
      </c>
      <c r="AV872" s="21" t="n">
        <f aca="false">IF(U872&gt;V872,1,0)</f>
        <v>0</v>
      </c>
      <c r="AW872" s="21" t="n">
        <f aca="false">IF(OR(W872&gt;تنظیمات!$B$8,X872="بله"),1,0)</f>
        <v>0</v>
      </c>
      <c r="AX872" s="21" t="n">
        <f aca="false">IF(AND(N872="بله",L872&gt;تنظیمات!$B$9),1,0)</f>
        <v>0</v>
      </c>
      <c r="AY872" s="21" t="n">
        <f aca="false">IF(Y872="معکوس",1,0)</f>
        <v>0</v>
      </c>
      <c r="AZ872" s="21" t="n">
        <f aca="false">IF(ABS(AJ872)&gt;تنظیمات!$B$10,1,0)</f>
        <v>0</v>
      </c>
      <c r="BA872" s="21" t="n">
        <f aca="false">IF(AND(OR(AD872="رایگان/VIP",AD872="جانباز"),AF872="خیر"),1,0)</f>
        <v>0</v>
      </c>
      <c r="BB872" s="21" t="n">
        <f aca="false">IF(AE872="",0,IF(COUNTIF($AE$2:$AE$1001,AE872)&gt;1,1,0))</f>
        <v>0</v>
      </c>
      <c r="BC872" s="21" t="n">
        <f aca="false">IF(AND(H872="",I872&gt;تنظیمات!$B$12*60,AM872="خالی"),1,0)</f>
        <v>0</v>
      </c>
      <c r="BD872" s="21" t="n">
        <f aca="false">IF(AND(AP872="بله",I872&lt;تنظیمات!$B$14,AO872="خیر"),1,0)</f>
        <v>0</v>
      </c>
      <c r="BE872" s="21" t="n">
        <f aca="false">IF(AN872="خیر",1,0)</f>
        <v>0</v>
      </c>
      <c r="BF872" s="21" t="n">
        <f aca="false">IF(AND(AD872="فیش مفقودی",AQ872="بله",I872&gt;تنظیمات!$B$12*60),1,0)</f>
        <v>0</v>
      </c>
      <c r="BG872" s="21" t="n">
        <f aca="false">IF(AND(AK872&gt;تنظیمات!$B$11,AL872="بله"),1,0)</f>
        <v>0</v>
      </c>
      <c r="BH872" s="21" t="n">
        <f aca="false">MIN(100,AR872*تنظیمات!$B$21+AS872*تنظیمات!$B$22+AT872*تنظیمات!$B$23+AU872*تنظیمات!$B$24+AV872*تنظیمات!$B$25+AW872*تنظیمات!$B$26+AX872*تنظیمات!$B$27+AY872*تنظیمات!$B$28+AZ872*تنظیمات!$B$29+BA872*تنظیمات!$B$30+BB872*تنظیمات!$B$31+BC872*تنظیمات!$B$32+BD872*تنظیمات!$B$33+BE872*تنظیمات!$B$34+BF872*تنظیمات!$B$35+BG872*تنظیمات!$B$36)</f>
        <v>0</v>
      </c>
      <c r="BI872" s="16" t="str">
        <f aca="false">IF(BH872&gt;=60,"بحرانی",IF(BH872&gt;=30,"مشکوک",IF(BH872&gt;0,"هشدار","عادی")))</f>
        <v>عادی</v>
      </c>
      <c r="BJ872" s="16" t="s">
        <v>338</v>
      </c>
    </row>
    <row r="873" customFormat="false" ht="15" hidden="false" customHeight="false" outlineLevel="0" collapsed="false">
      <c r="A873" s="16" t="s">
        <v>2958</v>
      </c>
      <c r="B873" s="16" t="s">
        <v>851</v>
      </c>
      <c r="C873" s="16"/>
      <c r="D873" s="16" t="s">
        <v>344</v>
      </c>
      <c r="E873" s="16" t="s">
        <v>363</v>
      </c>
      <c r="F873" s="16" t="s">
        <v>333</v>
      </c>
      <c r="G873" s="17" t="n">
        <v>46293.2216782407</v>
      </c>
      <c r="H873" s="17" t="n">
        <v>46293.3772337963</v>
      </c>
      <c r="I873" s="18" t="n">
        <f aca="false">IF(H873="",ROUND((تنظیمات!$B$7-G873)*1440,0),ROUND((H873-G873)*1440,0))</f>
        <v>224</v>
      </c>
      <c r="J873" s="16" t="s">
        <v>334</v>
      </c>
      <c r="K873" s="16" t="s">
        <v>400</v>
      </c>
      <c r="L873" s="19" t="n">
        <v>0.942</v>
      </c>
      <c r="M873" s="19" t="n">
        <v>0.958</v>
      </c>
      <c r="N873" s="16" t="s">
        <v>335</v>
      </c>
      <c r="O873" s="16" t="s">
        <v>650</v>
      </c>
      <c r="P873" s="16" t="s">
        <v>402</v>
      </c>
      <c r="Q873" s="20" t="n">
        <v>46293</v>
      </c>
      <c r="R873" s="16" t="s">
        <v>2959</v>
      </c>
      <c r="S873" s="16" t="s">
        <v>404</v>
      </c>
      <c r="T873" s="17"/>
      <c r="U873" s="21" t="n">
        <v>1</v>
      </c>
      <c r="V873" s="21" t="n">
        <v>1</v>
      </c>
      <c r="W873" s="22" t="n">
        <v>13.3</v>
      </c>
      <c r="X873" s="16" t="s">
        <v>335</v>
      </c>
      <c r="Y873" s="16" t="s">
        <v>338</v>
      </c>
      <c r="Z873" s="16" t="s">
        <v>405</v>
      </c>
      <c r="AA873" s="16"/>
      <c r="AB873" s="23"/>
      <c r="AC873" s="17"/>
      <c r="AD873" s="16" t="s">
        <v>338</v>
      </c>
      <c r="AE873" s="16"/>
      <c r="AF873" s="16" t="str">
        <f aca="false">IF(COUNTIF(لیست_سفید!$A$2:$A$21,B873)&gt;0,"بله","خیر")</f>
        <v>خیر</v>
      </c>
      <c r="AG873" s="24" t="n">
        <f aca="false">IF(H873="","",IF(AD873="فیش مفقودی",تنظیمات!$B$6,(INT(I873/1440)*تنظیمات!$B$5+IF(MOD(I873,1440)&lt;=تنظیمات!$B$2,0,MIN(تنظیمات!$B$5,تنظیمات!$B$3+MAX(0,ROUNDUP((MOD(I873,1440)-60)/60,0))*تنظیمات!$B$4)))*INDEX(تعرفه!$B$2:$B$7,MATCH(AD873,تعرفه!$A$2:$A$7,0))))</f>
        <v>62000</v>
      </c>
      <c r="AH873" s="24" t="n">
        <v>62000</v>
      </c>
      <c r="AI873" s="24" t="n">
        <f aca="false">IF(AG873="","",AH873-AG873)</f>
        <v>0</v>
      </c>
      <c r="AJ873" s="21" t="n">
        <v>0</v>
      </c>
      <c r="AK873" s="21" t="n">
        <v>0</v>
      </c>
      <c r="AL873" s="16" t="s">
        <v>335</v>
      </c>
      <c r="AM873" s="16"/>
      <c r="AN873" s="16" t="s">
        <v>340</v>
      </c>
      <c r="AO873" s="16" t="s">
        <v>340</v>
      </c>
      <c r="AP873" s="16" t="s">
        <v>335</v>
      </c>
      <c r="AQ873" s="16"/>
      <c r="AR873" s="21" t="n">
        <f aca="false">IF(AND(T873&lt;&gt;"",H873&lt;&gt;""),IF(AND((T873-H873)*86400&gt;=0,(T873-H873)*86400&lt;تنظیمات!$B$13),1,0),0)</f>
        <v>0</v>
      </c>
      <c r="AS873" s="21" t="n">
        <f aca="false">IF(Z873="پوز",IF(OR(AB873="",COUNTIF(پوزها!$A$2:$A$5,AA873)=0),1,0),0)</f>
        <v>0</v>
      </c>
      <c r="AT873" s="21" t="n">
        <f aca="false">IF(AI873="",0,IF(AI873&gt;0,1,0))</f>
        <v>0</v>
      </c>
      <c r="AU873" s="21" t="n">
        <f aca="false">IF(AI873="",0,IF(AI873&lt;0,1,0))</f>
        <v>0</v>
      </c>
      <c r="AV873" s="21" t="n">
        <f aca="false">IF(U873&gt;V873,1,0)</f>
        <v>0</v>
      </c>
      <c r="AW873" s="21" t="n">
        <f aca="false">IF(OR(W873&gt;تنظیمات!$B$8,X873="بله"),1,0)</f>
        <v>1</v>
      </c>
      <c r="AX873" s="21" t="n">
        <f aca="false">IF(AND(N873="بله",L873&gt;تنظیمات!$B$9),1,0)</f>
        <v>0</v>
      </c>
      <c r="AY873" s="21" t="n">
        <f aca="false">IF(Y873="معکوس",1,0)</f>
        <v>0</v>
      </c>
      <c r="AZ873" s="21" t="n">
        <f aca="false">IF(ABS(AJ873)&gt;تنظیمات!$B$10,1,0)</f>
        <v>0</v>
      </c>
      <c r="BA873" s="21" t="n">
        <f aca="false">IF(AND(OR(AD873="رایگان/VIP",AD873="جانباز"),AF873="خیر"),1,0)</f>
        <v>0</v>
      </c>
      <c r="BB873" s="21" t="n">
        <f aca="false">IF(AE873="",0,IF(COUNTIF($AE$2:$AE$1001,AE873)&gt;1,1,0))</f>
        <v>0</v>
      </c>
      <c r="BC873" s="21" t="n">
        <f aca="false">IF(AND(H873="",I873&gt;تنظیمات!$B$12*60,AM873="خالی"),1,0)</f>
        <v>0</v>
      </c>
      <c r="BD873" s="21" t="n">
        <f aca="false">IF(AND(AP873="بله",I873&lt;تنظیمات!$B$14,AO873="خیر"),1,0)</f>
        <v>0</v>
      </c>
      <c r="BE873" s="21" t="n">
        <f aca="false">IF(AN873="خیر",1,0)</f>
        <v>0</v>
      </c>
      <c r="BF873" s="21" t="n">
        <f aca="false">IF(AND(AD873="فیش مفقودی",AQ873="بله",I873&gt;تنظیمات!$B$12*60),1,0)</f>
        <v>0</v>
      </c>
      <c r="BG873" s="21" t="n">
        <f aca="false">IF(AND(AK873&gt;تنظیمات!$B$11,AL873="بله"),1,0)</f>
        <v>0</v>
      </c>
      <c r="BH873" s="21" t="n">
        <f aca="false">MIN(100,AR873*تنظیمات!$B$21+AS873*تنظیمات!$B$22+AT873*تنظیمات!$B$23+AU873*تنظیمات!$B$24+AV873*تنظیمات!$B$25+AW873*تنظیمات!$B$26+AX873*تنظیمات!$B$27+AY873*تنظیمات!$B$28+AZ873*تنظیمات!$B$29+BA873*تنظیمات!$B$30+BB873*تنظیمات!$B$31+BC873*تنظیمات!$B$32+BD873*تنظیمات!$B$33+BE873*تنظیمات!$B$34+BF873*تنظیمات!$B$35+BG873*تنظیمات!$B$36)</f>
        <v>25</v>
      </c>
      <c r="BI873" s="16" t="str">
        <f aca="false">IF(BH873&gt;=60,"بحرانی",IF(BH873&gt;=30,"مشکوک",IF(BH873&gt;0,"هشدار","عادی")))</f>
        <v>هشدار</v>
      </c>
      <c r="BJ873" s="16" t="s">
        <v>211</v>
      </c>
    </row>
    <row r="874" customFormat="false" ht="15" hidden="false" customHeight="false" outlineLevel="0" collapsed="false">
      <c r="A874" s="16" t="s">
        <v>2960</v>
      </c>
      <c r="B874" s="16" t="s">
        <v>1471</v>
      </c>
      <c r="C874" s="16"/>
      <c r="D874" s="16" t="s">
        <v>431</v>
      </c>
      <c r="E874" s="16" t="s">
        <v>363</v>
      </c>
      <c r="F874" s="16" t="s">
        <v>333</v>
      </c>
      <c r="G874" s="17" t="n">
        <v>46293.2393055556</v>
      </c>
      <c r="H874" s="17" t="n">
        <v>46293.83375</v>
      </c>
      <c r="I874" s="18" t="n">
        <f aca="false">IF(H874="",ROUND((تنظیمات!$B$7-G874)*1440,0),ROUND((H874-G874)*1440,0))</f>
        <v>856</v>
      </c>
      <c r="J874" s="16" t="s">
        <v>334</v>
      </c>
      <c r="K874" s="16" t="s">
        <v>410</v>
      </c>
      <c r="L874" s="19" t="n">
        <v>0.974</v>
      </c>
      <c r="M874" s="19" t="n">
        <v>0.995</v>
      </c>
      <c r="N874" s="16" t="s">
        <v>335</v>
      </c>
      <c r="O874" s="16" t="s">
        <v>425</v>
      </c>
      <c r="P874" s="16" t="s">
        <v>420</v>
      </c>
      <c r="Q874" s="20" t="n">
        <v>46293</v>
      </c>
      <c r="R874" s="16" t="s">
        <v>2961</v>
      </c>
      <c r="S874" s="16" t="s">
        <v>404</v>
      </c>
      <c r="T874" s="17"/>
      <c r="U874" s="21" t="n">
        <v>1</v>
      </c>
      <c r="V874" s="21" t="n">
        <v>1</v>
      </c>
      <c r="W874" s="22" t="n">
        <v>4.3</v>
      </c>
      <c r="X874" s="16" t="s">
        <v>335</v>
      </c>
      <c r="Y874" s="16" t="s">
        <v>338</v>
      </c>
      <c r="Z874" s="16" t="s">
        <v>405</v>
      </c>
      <c r="AA874" s="16"/>
      <c r="AB874" s="23"/>
      <c r="AC874" s="17"/>
      <c r="AD874" s="16" t="s">
        <v>338</v>
      </c>
      <c r="AE874" s="16"/>
      <c r="AF874" s="16" t="str">
        <f aca="false">IF(COUNTIF(لیست_سفید!$A$2:$A$21,B874)&gt;0,"بله","خیر")</f>
        <v>خیر</v>
      </c>
      <c r="AG874" s="24" t="n">
        <f aca="false">IF(H874="","",IF(AD874="فیش مفقودی",تنظیمات!$B$6,(INT(I874/1440)*تنظیمات!$B$5+IF(MOD(I874,1440)&lt;=تنظیمات!$B$2,0,MIN(تنظیمات!$B$5,تنظیمات!$B$3+MAX(0,ROUNDUP((MOD(I874,1440)-60)/60,0))*تنظیمات!$B$4)))*INDEX(تعرفه!$B$2:$B$7,MATCH(AD874,تعرفه!$A$2:$A$7,0))))</f>
        <v>180000</v>
      </c>
      <c r="AH874" s="24" t="n">
        <v>180000</v>
      </c>
      <c r="AI874" s="24" t="n">
        <f aca="false">IF(AG874="","",AH874-AG874)</f>
        <v>0</v>
      </c>
      <c r="AJ874" s="21" t="n">
        <v>-2</v>
      </c>
      <c r="AK874" s="21" t="n">
        <v>0</v>
      </c>
      <c r="AL874" s="16" t="s">
        <v>335</v>
      </c>
      <c r="AM874" s="16"/>
      <c r="AN874" s="16" t="s">
        <v>340</v>
      </c>
      <c r="AO874" s="16" t="s">
        <v>340</v>
      </c>
      <c r="AP874" s="16" t="s">
        <v>335</v>
      </c>
      <c r="AQ874" s="16"/>
      <c r="AR874" s="21" t="n">
        <f aca="false">IF(AND(T874&lt;&gt;"",H874&lt;&gt;""),IF(AND((T874-H874)*86400&gt;=0,(T874-H874)*86400&lt;تنظیمات!$B$13),1,0),0)</f>
        <v>0</v>
      </c>
      <c r="AS874" s="21" t="n">
        <f aca="false">IF(Z874="پوز",IF(OR(AB874="",COUNTIF(پوزها!$A$2:$A$5,AA874)=0),1,0),0)</f>
        <v>0</v>
      </c>
      <c r="AT874" s="21" t="n">
        <f aca="false">IF(AI874="",0,IF(AI874&gt;0,1,0))</f>
        <v>0</v>
      </c>
      <c r="AU874" s="21" t="n">
        <f aca="false">IF(AI874="",0,IF(AI874&lt;0,1,0))</f>
        <v>0</v>
      </c>
      <c r="AV874" s="21" t="n">
        <f aca="false">IF(U874&gt;V874,1,0)</f>
        <v>0</v>
      </c>
      <c r="AW874" s="21" t="n">
        <f aca="false">IF(OR(W874&gt;تنظیمات!$B$8,X874="بله"),1,0)</f>
        <v>0</v>
      </c>
      <c r="AX874" s="21" t="n">
        <f aca="false">IF(AND(N874="بله",L874&gt;تنظیمات!$B$9),1,0)</f>
        <v>0</v>
      </c>
      <c r="AY874" s="21" t="n">
        <f aca="false">IF(Y874="معکوس",1,0)</f>
        <v>0</v>
      </c>
      <c r="AZ874" s="21" t="n">
        <f aca="false">IF(ABS(AJ874)&gt;تنظیمات!$B$10,1,0)</f>
        <v>0</v>
      </c>
      <c r="BA874" s="21" t="n">
        <f aca="false">IF(AND(OR(AD874="رایگان/VIP",AD874="جانباز"),AF874="خیر"),1,0)</f>
        <v>0</v>
      </c>
      <c r="BB874" s="21" t="n">
        <f aca="false">IF(AE874="",0,IF(COUNTIF($AE$2:$AE$1001,AE874)&gt;1,1,0))</f>
        <v>0</v>
      </c>
      <c r="BC874" s="21" t="n">
        <f aca="false">IF(AND(H874="",I874&gt;تنظیمات!$B$12*60,AM874="خالی"),1,0)</f>
        <v>0</v>
      </c>
      <c r="BD874" s="21" t="n">
        <f aca="false">IF(AND(AP874="بله",I874&lt;تنظیمات!$B$14,AO874="خیر"),1,0)</f>
        <v>0</v>
      </c>
      <c r="BE874" s="21" t="n">
        <f aca="false">IF(AN874="خیر",1,0)</f>
        <v>0</v>
      </c>
      <c r="BF874" s="21" t="n">
        <f aca="false">IF(AND(AD874="فیش مفقودی",AQ874="بله",I874&gt;تنظیمات!$B$12*60),1,0)</f>
        <v>0</v>
      </c>
      <c r="BG874" s="21" t="n">
        <f aca="false">IF(AND(AK874&gt;تنظیمات!$B$11,AL874="بله"),1,0)</f>
        <v>0</v>
      </c>
      <c r="BH874" s="21" t="n">
        <f aca="false">MIN(100,AR874*تنظیمات!$B$21+AS874*تنظیمات!$B$22+AT874*تنظیمات!$B$23+AU874*تنظیمات!$B$24+AV874*تنظیمات!$B$25+AW874*تنظیمات!$B$26+AX874*تنظیمات!$B$27+AY874*تنظیمات!$B$28+AZ874*تنظیمات!$B$29+BA874*تنظیمات!$B$30+BB874*تنظیمات!$B$31+BC874*تنظیمات!$B$32+BD874*تنظیمات!$B$33+BE874*تنظیمات!$B$34+BF874*تنظیمات!$B$35+BG874*تنظیمات!$B$36)</f>
        <v>0</v>
      </c>
      <c r="BI874" s="16" t="str">
        <f aca="false">IF(BH874&gt;=60,"بحرانی",IF(BH874&gt;=30,"مشکوک",IF(BH874&gt;0,"هشدار","عادی")))</f>
        <v>عادی</v>
      </c>
      <c r="BJ874" s="16" t="s">
        <v>338</v>
      </c>
    </row>
    <row r="875" customFormat="false" ht="15" hidden="false" customHeight="false" outlineLevel="0" collapsed="false">
      <c r="A875" s="16" t="s">
        <v>2962</v>
      </c>
      <c r="B875" s="16" t="s">
        <v>989</v>
      </c>
      <c r="C875" s="16"/>
      <c r="D875" s="16" t="s">
        <v>508</v>
      </c>
      <c r="E875" s="16" t="s">
        <v>375</v>
      </c>
      <c r="F875" s="16" t="s">
        <v>333</v>
      </c>
      <c r="G875" s="17" t="n">
        <v>46293.2519212963</v>
      </c>
      <c r="H875" s="17" t="n">
        <v>46293.5706712963</v>
      </c>
      <c r="I875" s="18" t="n">
        <f aca="false">IF(H875="",ROUND((تنظیمات!$B$7-G875)*1440,0),ROUND((H875-G875)*1440,0))</f>
        <v>459</v>
      </c>
      <c r="J875" s="16" t="s">
        <v>334</v>
      </c>
      <c r="K875" s="16" t="s">
        <v>400</v>
      </c>
      <c r="L875" s="19" t="n">
        <v>0.912</v>
      </c>
      <c r="M875" s="19" t="n">
        <v>0.933</v>
      </c>
      <c r="N875" s="16" t="s">
        <v>335</v>
      </c>
      <c r="O875" s="16" t="s">
        <v>650</v>
      </c>
      <c r="P875" s="16" t="s">
        <v>402</v>
      </c>
      <c r="Q875" s="20" t="n">
        <v>46293</v>
      </c>
      <c r="R875" s="16" t="s">
        <v>2963</v>
      </c>
      <c r="S875" s="16" t="s">
        <v>404</v>
      </c>
      <c r="T875" s="17"/>
      <c r="U875" s="21" t="n">
        <v>1</v>
      </c>
      <c r="V875" s="21" t="n">
        <v>1</v>
      </c>
      <c r="W875" s="22" t="n">
        <v>6</v>
      </c>
      <c r="X875" s="16" t="s">
        <v>335</v>
      </c>
      <c r="Y875" s="16" t="s">
        <v>338</v>
      </c>
      <c r="Z875" s="16" t="s">
        <v>443</v>
      </c>
      <c r="AA875" s="16"/>
      <c r="AB875" s="23"/>
      <c r="AC875" s="17"/>
      <c r="AD875" s="16" t="s">
        <v>444</v>
      </c>
      <c r="AE875" s="16"/>
      <c r="AF875" s="16" t="str">
        <f aca="false">IF(COUNTIF(لیست_سفید!$A$2:$A$21,B875)&gt;0,"بله","خیر")</f>
        <v>خیر</v>
      </c>
      <c r="AG875" s="24" t="n">
        <f aca="false">IF(H875="","",IF(AD875="فیش مفقودی",تنظیمات!$B$6,(INT(I875/1440)*تنظیمات!$B$5+IF(MOD(I875,1440)&lt;=تنظیمات!$B$2,0,MIN(تنظیمات!$B$5,تنظیمات!$B$3+MAX(0,ROUNDUP((MOD(I875,1440)-60)/60,0))*تنظیمات!$B$4)))*INDEX(تعرفه!$B$2:$B$7,MATCH(AD875,تعرفه!$A$2:$A$7,0))))</f>
        <v>0</v>
      </c>
      <c r="AH875" s="24" t="n">
        <v>0</v>
      </c>
      <c r="AI875" s="24" t="n">
        <f aca="false">IF(AG875="","",AH875-AG875)</f>
        <v>0</v>
      </c>
      <c r="AJ875" s="21" t="n">
        <v>0</v>
      </c>
      <c r="AK875" s="21" t="n">
        <v>0</v>
      </c>
      <c r="AL875" s="16" t="s">
        <v>335</v>
      </c>
      <c r="AM875" s="16"/>
      <c r="AN875" s="16" t="s">
        <v>340</v>
      </c>
      <c r="AO875" s="16" t="s">
        <v>340</v>
      </c>
      <c r="AP875" s="16" t="s">
        <v>335</v>
      </c>
      <c r="AQ875" s="16"/>
      <c r="AR875" s="21" t="n">
        <f aca="false">IF(AND(T875&lt;&gt;"",H875&lt;&gt;""),IF(AND((T875-H875)*86400&gt;=0,(T875-H875)*86400&lt;تنظیمات!$B$13),1,0),0)</f>
        <v>0</v>
      </c>
      <c r="AS875" s="21" t="n">
        <f aca="false">IF(Z875="پوز",IF(OR(AB875="",COUNTIF(پوزها!$A$2:$A$5,AA875)=0),1,0),0)</f>
        <v>0</v>
      </c>
      <c r="AT875" s="21" t="n">
        <f aca="false">IF(AI875="",0,IF(AI875&gt;0,1,0))</f>
        <v>0</v>
      </c>
      <c r="AU875" s="21" t="n">
        <f aca="false">IF(AI875="",0,IF(AI875&lt;0,1,0))</f>
        <v>0</v>
      </c>
      <c r="AV875" s="21" t="n">
        <f aca="false">IF(U875&gt;V875,1,0)</f>
        <v>0</v>
      </c>
      <c r="AW875" s="21" t="n">
        <f aca="false">IF(OR(W875&gt;تنظیمات!$B$8,X875="بله"),1,0)</f>
        <v>0</v>
      </c>
      <c r="AX875" s="21" t="n">
        <f aca="false">IF(AND(N875="بله",L875&gt;تنظیمات!$B$9),1,0)</f>
        <v>0</v>
      </c>
      <c r="AY875" s="21" t="n">
        <f aca="false">IF(Y875="معکوس",1,0)</f>
        <v>0</v>
      </c>
      <c r="AZ875" s="21" t="n">
        <f aca="false">IF(ABS(AJ875)&gt;تنظیمات!$B$10,1,0)</f>
        <v>0</v>
      </c>
      <c r="BA875" s="21" t="n">
        <f aca="false">IF(AND(OR(AD875="رایگان/VIP",AD875="جانباز"),AF875="خیر"),1,0)</f>
        <v>0</v>
      </c>
      <c r="BB875" s="21" t="n">
        <f aca="false">IF(AE875="",0,IF(COUNTIF($AE$2:$AE$1001,AE875)&gt;1,1,0))</f>
        <v>0</v>
      </c>
      <c r="BC875" s="21" t="n">
        <f aca="false">IF(AND(H875="",I875&gt;تنظیمات!$B$12*60,AM875="خالی"),1,0)</f>
        <v>0</v>
      </c>
      <c r="BD875" s="21" t="n">
        <f aca="false">IF(AND(AP875="بله",I875&lt;تنظیمات!$B$14,AO875="خیر"),1,0)</f>
        <v>0</v>
      </c>
      <c r="BE875" s="21" t="n">
        <f aca="false">IF(AN875="خیر",1,0)</f>
        <v>0</v>
      </c>
      <c r="BF875" s="21" t="n">
        <f aca="false">IF(AND(AD875="فیش مفقودی",AQ875="بله",I875&gt;تنظیمات!$B$12*60),1,0)</f>
        <v>0</v>
      </c>
      <c r="BG875" s="21" t="n">
        <f aca="false">IF(AND(AK875&gt;تنظیمات!$B$11,AL875="بله"),1,0)</f>
        <v>0</v>
      </c>
      <c r="BH875" s="21" t="n">
        <f aca="false">MIN(100,AR875*تنظیمات!$B$21+AS875*تنظیمات!$B$22+AT875*تنظیمات!$B$23+AU875*تنظیمات!$B$24+AV875*تنظیمات!$B$25+AW875*تنظیمات!$B$26+AX875*تنظیمات!$B$27+AY875*تنظیمات!$B$28+AZ875*تنظیمات!$B$29+BA875*تنظیمات!$B$30+BB875*تنظیمات!$B$31+BC875*تنظیمات!$B$32+BD875*تنظیمات!$B$33+BE875*تنظیمات!$B$34+BF875*تنظیمات!$B$35+BG875*تنظیمات!$B$36)</f>
        <v>0</v>
      </c>
      <c r="BI875" s="16" t="str">
        <f aca="false">IF(BH875&gt;=60,"بحرانی",IF(BH875&gt;=30,"مشکوک",IF(BH875&gt;0,"هشدار","عادی")))</f>
        <v>عادی</v>
      </c>
      <c r="BJ875" s="16" t="s">
        <v>338</v>
      </c>
    </row>
    <row r="876" customFormat="false" ht="15" hidden="false" customHeight="false" outlineLevel="0" collapsed="false">
      <c r="A876" s="16" t="s">
        <v>2964</v>
      </c>
      <c r="B876" s="16" t="s">
        <v>2965</v>
      </c>
      <c r="C876" s="16"/>
      <c r="D876" s="16" t="s">
        <v>431</v>
      </c>
      <c r="E876" s="16" t="s">
        <v>390</v>
      </c>
      <c r="F876" s="16" t="s">
        <v>333</v>
      </c>
      <c r="G876" s="17" t="n">
        <v>46293.2666782407</v>
      </c>
      <c r="H876" s="17" t="n">
        <v>46293.2972337963</v>
      </c>
      <c r="I876" s="18" t="n">
        <f aca="false">IF(H876="",ROUND((تنظیمات!$B$7-G876)*1440,0),ROUND((H876-G876)*1440,0))</f>
        <v>44</v>
      </c>
      <c r="J876" s="16" t="s">
        <v>334</v>
      </c>
      <c r="K876" s="16" t="s">
        <v>400</v>
      </c>
      <c r="L876" s="19" t="n">
        <v>0.982</v>
      </c>
      <c r="M876" s="19" t="n">
        <v>0.936</v>
      </c>
      <c r="N876" s="16" t="s">
        <v>335</v>
      </c>
      <c r="O876" s="16" t="s">
        <v>650</v>
      </c>
      <c r="P876" s="16" t="s">
        <v>402</v>
      </c>
      <c r="Q876" s="20" t="n">
        <v>46293</v>
      </c>
      <c r="R876" s="16" t="s">
        <v>2966</v>
      </c>
      <c r="S876" s="16" t="s">
        <v>404</v>
      </c>
      <c r="T876" s="17"/>
      <c r="U876" s="21" t="n">
        <v>1</v>
      </c>
      <c r="V876" s="21" t="n">
        <v>1</v>
      </c>
      <c r="W876" s="22" t="n">
        <v>4.7</v>
      </c>
      <c r="X876" s="16" t="s">
        <v>335</v>
      </c>
      <c r="Y876" s="16" t="s">
        <v>338</v>
      </c>
      <c r="Z876" s="16" t="s">
        <v>413</v>
      </c>
      <c r="AA876" s="16" t="s">
        <v>427</v>
      </c>
      <c r="AB876" s="23" t="s">
        <v>2967</v>
      </c>
      <c r="AC876" s="17" t="n">
        <v>46293.2965972222</v>
      </c>
      <c r="AD876" s="16" t="s">
        <v>338</v>
      </c>
      <c r="AE876" s="16"/>
      <c r="AF876" s="16" t="str">
        <f aca="false">IF(COUNTIF(لیست_سفید!$A$2:$A$21,B876)&gt;0,"بله","خیر")</f>
        <v>خیر</v>
      </c>
      <c r="AG876" s="24" t="n">
        <f aca="false">IF(H876="","",IF(AD876="فیش مفقودی",تنظیمات!$B$6,(INT(I876/1440)*تنظیمات!$B$5+IF(MOD(I876,1440)&lt;=تنظیمات!$B$2,0,MIN(تنظیمات!$B$5,تنظیمات!$B$3+MAX(0,ROUNDUP((MOD(I876,1440)-60)/60,0))*تنظیمات!$B$4)))*INDEX(تعرفه!$B$2:$B$7,MATCH(AD876,تعرفه!$A$2:$A$7,0))))</f>
        <v>20000</v>
      </c>
      <c r="AH876" s="24" t="n">
        <v>20000</v>
      </c>
      <c r="AI876" s="24" t="n">
        <f aca="false">IF(AG876="","",AH876-AG876)</f>
        <v>0</v>
      </c>
      <c r="AJ876" s="21" t="n">
        <v>0</v>
      </c>
      <c r="AK876" s="21" t="n">
        <v>0</v>
      </c>
      <c r="AL876" s="16" t="s">
        <v>335</v>
      </c>
      <c r="AM876" s="16"/>
      <c r="AN876" s="16" t="s">
        <v>340</v>
      </c>
      <c r="AO876" s="16" t="s">
        <v>340</v>
      </c>
      <c r="AP876" s="16" t="s">
        <v>335</v>
      </c>
      <c r="AQ876" s="16"/>
      <c r="AR876" s="21" t="n">
        <f aca="false">IF(AND(T876&lt;&gt;"",H876&lt;&gt;""),IF(AND((T876-H876)*86400&gt;=0,(T876-H876)*86400&lt;تنظیمات!$B$13),1,0),0)</f>
        <v>0</v>
      </c>
      <c r="AS876" s="21" t="n">
        <f aca="false">IF(Z876="پوز",IF(OR(AB876="",COUNTIF(پوزها!$A$2:$A$5,AA876)=0),1,0),0)</f>
        <v>0</v>
      </c>
      <c r="AT876" s="21" t="n">
        <f aca="false">IF(AI876="",0,IF(AI876&gt;0,1,0))</f>
        <v>0</v>
      </c>
      <c r="AU876" s="21" t="n">
        <f aca="false">IF(AI876="",0,IF(AI876&lt;0,1,0))</f>
        <v>0</v>
      </c>
      <c r="AV876" s="21" t="n">
        <f aca="false">IF(U876&gt;V876,1,0)</f>
        <v>0</v>
      </c>
      <c r="AW876" s="21" t="n">
        <f aca="false">IF(OR(W876&gt;تنظیمات!$B$8,X876="بله"),1,0)</f>
        <v>0</v>
      </c>
      <c r="AX876" s="21" t="n">
        <f aca="false">IF(AND(N876="بله",L876&gt;تنظیمات!$B$9),1,0)</f>
        <v>0</v>
      </c>
      <c r="AY876" s="21" t="n">
        <f aca="false">IF(Y876="معکوس",1,0)</f>
        <v>0</v>
      </c>
      <c r="AZ876" s="21" t="n">
        <f aca="false">IF(ABS(AJ876)&gt;تنظیمات!$B$10,1,0)</f>
        <v>0</v>
      </c>
      <c r="BA876" s="21" t="n">
        <f aca="false">IF(AND(OR(AD876="رایگان/VIP",AD876="جانباز"),AF876="خیر"),1,0)</f>
        <v>0</v>
      </c>
      <c r="BB876" s="21" t="n">
        <f aca="false">IF(AE876="",0,IF(COUNTIF($AE$2:$AE$1001,AE876)&gt;1,1,0))</f>
        <v>0</v>
      </c>
      <c r="BC876" s="21" t="n">
        <f aca="false">IF(AND(H876="",I876&gt;تنظیمات!$B$12*60,AM876="خالی"),1,0)</f>
        <v>0</v>
      </c>
      <c r="BD876" s="21" t="n">
        <f aca="false">IF(AND(AP876="بله",I876&lt;تنظیمات!$B$14,AO876="خیر"),1,0)</f>
        <v>0</v>
      </c>
      <c r="BE876" s="21" t="n">
        <f aca="false">IF(AN876="خیر",1,0)</f>
        <v>0</v>
      </c>
      <c r="BF876" s="21" t="n">
        <f aca="false">IF(AND(AD876="فیش مفقودی",AQ876="بله",I876&gt;تنظیمات!$B$12*60),1,0)</f>
        <v>0</v>
      </c>
      <c r="BG876" s="21" t="n">
        <f aca="false">IF(AND(AK876&gt;تنظیمات!$B$11,AL876="بله"),1,0)</f>
        <v>0</v>
      </c>
      <c r="BH876" s="21" t="n">
        <f aca="false">MIN(100,AR876*تنظیمات!$B$21+AS876*تنظیمات!$B$22+AT876*تنظیمات!$B$23+AU876*تنظیمات!$B$24+AV876*تنظیمات!$B$25+AW876*تنظیمات!$B$26+AX876*تنظیمات!$B$27+AY876*تنظیمات!$B$28+AZ876*تنظیمات!$B$29+BA876*تنظیمات!$B$30+BB876*تنظیمات!$B$31+BC876*تنظیمات!$B$32+BD876*تنظیمات!$B$33+BE876*تنظیمات!$B$34+BF876*تنظیمات!$B$35+BG876*تنظیمات!$B$36)</f>
        <v>0</v>
      </c>
      <c r="BI876" s="16" t="str">
        <f aca="false">IF(BH876&gt;=60,"بحرانی",IF(BH876&gt;=30,"مشکوک",IF(BH876&gt;0,"هشدار","عادی")))</f>
        <v>عادی</v>
      </c>
      <c r="BJ876" s="16" t="s">
        <v>338</v>
      </c>
    </row>
    <row r="877" customFormat="false" ht="15" hidden="false" customHeight="false" outlineLevel="0" collapsed="false">
      <c r="A877" s="16" t="s">
        <v>2968</v>
      </c>
      <c r="B877" s="16" t="s">
        <v>1287</v>
      </c>
      <c r="C877" s="16"/>
      <c r="D877" s="16" t="s">
        <v>370</v>
      </c>
      <c r="E877" s="16" t="s">
        <v>345</v>
      </c>
      <c r="F877" s="16" t="s">
        <v>333</v>
      </c>
      <c r="G877" s="17" t="n">
        <v>46293.2977314815</v>
      </c>
      <c r="H877" s="17" t="n">
        <v>46293.4338425926</v>
      </c>
      <c r="I877" s="18" t="n">
        <f aca="false">IF(H877="",ROUND((تنظیمات!$B$7-G877)*1440,0),ROUND((H877-G877)*1440,0))</f>
        <v>196</v>
      </c>
      <c r="J877" s="16" t="s">
        <v>334</v>
      </c>
      <c r="K877" s="16" t="s">
        <v>410</v>
      </c>
      <c r="L877" s="19" t="n">
        <v>0.904</v>
      </c>
      <c r="M877" s="19" t="n">
        <v>0.955</v>
      </c>
      <c r="N877" s="16" t="s">
        <v>335</v>
      </c>
      <c r="O877" s="16" t="s">
        <v>666</v>
      </c>
      <c r="P877" s="16" t="s">
        <v>402</v>
      </c>
      <c r="Q877" s="20" t="n">
        <v>46293</v>
      </c>
      <c r="R877" s="16" t="s">
        <v>2969</v>
      </c>
      <c r="S877" s="16" t="s">
        <v>404</v>
      </c>
      <c r="T877" s="17"/>
      <c r="U877" s="21" t="n">
        <v>2</v>
      </c>
      <c r="V877" s="21" t="n">
        <v>1</v>
      </c>
      <c r="W877" s="22" t="n">
        <v>9.9</v>
      </c>
      <c r="X877" s="16" t="s">
        <v>335</v>
      </c>
      <c r="Y877" s="16" t="s">
        <v>338</v>
      </c>
      <c r="Z877" s="16" t="s">
        <v>413</v>
      </c>
      <c r="AA877" s="16" t="s">
        <v>414</v>
      </c>
      <c r="AB877" s="23" t="s">
        <v>2970</v>
      </c>
      <c r="AC877" s="17" t="n">
        <v>46293.4330439815</v>
      </c>
      <c r="AD877" s="16" t="s">
        <v>338</v>
      </c>
      <c r="AE877" s="16"/>
      <c r="AF877" s="16" t="str">
        <f aca="false">IF(COUNTIF(لیست_سفید!$A$2:$A$21,B877)&gt;0,"بله","خیر")</f>
        <v>خیر</v>
      </c>
      <c r="AG877" s="24" t="n">
        <f aca="false">IF(H877="","",IF(AD877="فیش مفقودی",تنظیمات!$B$6,(INT(I877/1440)*تنظیمات!$B$5+IF(MOD(I877,1440)&lt;=تنظیمات!$B$2,0,MIN(تنظیمات!$B$5,تنظیمات!$B$3+MAX(0,ROUNDUP((MOD(I877,1440)-60)/60,0))*تنظیمات!$B$4)))*INDEX(تعرفه!$B$2:$B$7,MATCH(AD877,تعرفه!$A$2:$A$7,0))))</f>
        <v>62000</v>
      </c>
      <c r="AH877" s="24" t="n">
        <v>62000</v>
      </c>
      <c r="AI877" s="24" t="n">
        <f aca="false">IF(AG877="","",AH877-AG877)</f>
        <v>0</v>
      </c>
      <c r="AJ877" s="21" t="n">
        <v>0</v>
      </c>
      <c r="AK877" s="21" t="n">
        <v>0</v>
      </c>
      <c r="AL877" s="16" t="s">
        <v>335</v>
      </c>
      <c r="AM877" s="16"/>
      <c r="AN877" s="16" t="s">
        <v>340</v>
      </c>
      <c r="AO877" s="16" t="s">
        <v>340</v>
      </c>
      <c r="AP877" s="16" t="s">
        <v>335</v>
      </c>
      <c r="AQ877" s="16"/>
      <c r="AR877" s="21" t="n">
        <f aca="false">IF(AND(T877&lt;&gt;"",H877&lt;&gt;""),IF(AND((T877-H877)*86400&gt;=0,(T877-H877)*86400&lt;تنظیمات!$B$13),1,0),0)</f>
        <v>0</v>
      </c>
      <c r="AS877" s="21" t="n">
        <f aca="false">IF(Z877="پوز",IF(OR(AB877="",COUNTIF(پوزها!$A$2:$A$5,AA877)=0),1,0),0)</f>
        <v>0</v>
      </c>
      <c r="AT877" s="21" t="n">
        <f aca="false">IF(AI877="",0,IF(AI877&gt;0,1,0))</f>
        <v>0</v>
      </c>
      <c r="AU877" s="21" t="n">
        <f aca="false">IF(AI877="",0,IF(AI877&lt;0,1,0))</f>
        <v>0</v>
      </c>
      <c r="AV877" s="21" t="n">
        <f aca="false">IF(U877&gt;V877,1,0)</f>
        <v>1</v>
      </c>
      <c r="AW877" s="21" t="n">
        <f aca="false">IF(OR(W877&gt;تنظیمات!$B$8,X877="بله"),1,0)</f>
        <v>0</v>
      </c>
      <c r="AX877" s="21" t="n">
        <f aca="false">IF(AND(N877="بله",L877&gt;تنظیمات!$B$9),1,0)</f>
        <v>0</v>
      </c>
      <c r="AY877" s="21" t="n">
        <f aca="false">IF(Y877="معکوس",1,0)</f>
        <v>0</v>
      </c>
      <c r="AZ877" s="21" t="n">
        <f aca="false">IF(ABS(AJ877)&gt;تنظیمات!$B$10,1,0)</f>
        <v>0</v>
      </c>
      <c r="BA877" s="21" t="n">
        <f aca="false">IF(AND(OR(AD877="رایگان/VIP",AD877="جانباز"),AF877="خیر"),1,0)</f>
        <v>0</v>
      </c>
      <c r="BB877" s="21" t="n">
        <f aca="false">IF(AE877="",0,IF(COUNTIF($AE$2:$AE$1001,AE877)&gt;1,1,0))</f>
        <v>0</v>
      </c>
      <c r="BC877" s="21" t="n">
        <f aca="false">IF(AND(H877="",I877&gt;تنظیمات!$B$12*60,AM877="خالی"),1,0)</f>
        <v>0</v>
      </c>
      <c r="BD877" s="21" t="n">
        <f aca="false">IF(AND(AP877="بله",I877&lt;تنظیمات!$B$14,AO877="خیر"),1,0)</f>
        <v>0</v>
      </c>
      <c r="BE877" s="21" t="n">
        <f aca="false">IF(AN877="خیر",1,0)</f>
        <v>0</v>
      </c>
      <c r="BF877" s="21" t="n">
        <f aca="false">IF(AND(AD877="فیش مفقودی",AQ877="بله",I877&gt;تنظیمات!$B$12*60),1,0)</f>
        <v>0</v>
      </c>
      <c r="BG877" s="21" t="n">
        <f aca="false">IF(AND(AK877&gt;تنظیمات!$B$11,AL877="بله"),1,0)</f>
        <v>0</v>
      </c>
      <c r="BH877" s="21" t="n">
        <f aca="false">MIN(100,AR877*تنظیمات!$B$21+AS877*تنظیمات!$B$22+AT877*تنظیمات!$B$23+AU877*تنظیمات!$B$24+AV877*تنظیمات!$B$25+AW877*تنظیمات!$B$26+AX877*تنظیمات!$B$27+AY877*تنظیمات!$B$28+AZ877*تنظیمات!$B$29+BA877*تنظیمات!$B$30+BB877*تنظیمات!$B$31+BC877*تنظیمات!$B$32+BD877*تنظیمات!$B$33+BE877*تنظیمات!$B$34+BF877*تنظیمات!$B$35+BG877*تنظیمات!$B$36)</f>
        <v>30</v>
      </c>
      <c r="BI877" s="16" t="str">
        <f aca="false">IF(BH877&gt;=60,"بحرانی",IF(BH877&gt;=30,"مشکوک",IF(BH877&gt;0,"هشدار","عادی")))</f>
        <v>مشکوک</v>
      </c>
      <c r="BJ877" s="16" t="s">
        <v>516</v>
      </c>
    </row>
    <row r="878" customFormat="false" ht="15" hidden="false" customHeight="false" outlineLevel="0" collapsed="false">
      <c r="A878" s="16" t="s">
        <v>2971</v>
      </c>
      <c r="B878" s="16" t="s">
        <v>2972</v>
      </c>
      <c r="C878" s="16"/>
      <c r="D878" s="16" t="s">
        <v>331</v>
      </c>
      <c r="E878" s="16" t="s">
        <v>345</v>
      </c>
      <c r="F878" s="16" t="s">
        <v>333</v>
      </c>
      <c r="G878" s="17" t="n">
        <v>46293.3154166667</v>
      </c>
      <c r="H878" s="17" t="n">
        <v>46293.6577777778</v>
      </c>
      <c r="I878" s="18" t="n">
        <f aca="false">IF(H878="",ROUND((تنظیمات!$B$7-G878)*1440,0),ROUND((H878-G878)*1440,0))</f>
        <v>493</v>
      </c>
      <c r="J878" s="16" t="s">
        <v>346</v>
      </c>
      <c r="K878" s="16" t="s">
        <v>410</v>
      </c>
      <c r="L878" s="19" t="n">
        <v>0.901</v>
      </c>
      <c r="M878" s="19" t="n">
        <v>0.938</v>
      </c>
      <c r="N878" s="16" t="s">
        <v>335</v>
      </c>
      <c r="O878" s="16" t="s">
        <v>425</v>
      </c>
      <c r="P878" s="16" t="s">
        <v>420</v>
      </c>
      <c r="Q878" s="20" t="n">
        <v>46293</v>
      </c>
      <c r="R878" s="16" t="s">
        <v>2973</v>
      </c>
      <c r="S878" s="16" t="s">
        <v>452</v>
      </c>
      <c r="T878" s="17" t="n">
        <v>46293.6557523148</v>
      </c>
      <c r="U878" s="21" t="n">
        <v>1</v>
      </c>
      <c r="V878" s="21" t="n">
        <v>1</v>
      </c>
      <c r="W878" s="22" t="n">
        <v>6.4</v>
      </c>
      <c r="X878" s="16" t="s">
        <v>335</v>
      </c>
      <c r="Y878" s="16" t="s">
        <v>338</v>
      </c>
      <c r="Z878" s="16" t="s">
        <v>443</v>
      </c>
      <c r="AA878" s="16"/>
      <c r="AB878" s="23"/>
      <c r="AC878" s="17"/>
      <c r="AD878" s="16" t="s">
        <v>444</v>
      </c>
      <c r="AE878" s="16"/>
      <c r="AF878" s="16" t="str">
        <f aca="false">IF(COUNTIF(لیست_سفید!$A$2:$A$21,B878)&gt;0,"بله","خیر")</f>
        <v>خیر</v>
      </c>
      <c r="AG878" s="24" t="n">
        <f aca="false">IF(H878="","",IF(AD878="فیش مفقودی",تنظیمات!$B$6,(INT(I878/1440)*تنظیمات!$B$5+IF(MOD(I878,1440)&lt;=تنظیمات!$B$2,0,MIN(تنظیمات!$B$5,تنظیمات!$B$3+MAX(0,ROUNDUP((MOD(I878,1440)-60)/60,0))*تنظیمات!$B$4)))*INDEX(تعرفه!$B$2:$B$7,MATCH(AD878,تعرفه!$A$2:$A$7,0))))</f>
        <v>0</v>
      </c>
      <c r="AH878" s="24" t="n">
        <v>0</v>
      </c>
      <c r="AI878" s="24" t="n">
        <f aca="false">IF(AG878="","",AH878-AG878)</f>
        <v>0</v>
      </c>
      <c r="AJ878" s="21" t="n">
        <v>-4</v>
      </c>
      <c r="AK878" s="21" t="n">
        <v>0</v>
      </c>
      <c r="AL878" s="16" t="s">
        <v>335</v>
      </c>
      <c r="AM878" s="16"/>
      <c r="AN878" s="16" t="s">
        <v>340</v>
      </c>
      <c r="AO878" s="16" t="s">
        <v>340</v>
      </c>
      <c r="AP878" s="16" t="s">
        <v>335</v>
      </c>
      <c r="AQ878" s="16"/>
      <c r="AR878" s="21" t="n">
        <f aca="false">IF(AND(T878&lt;&gt;"",H878&lt;&gt;""),IF(AND((T878-H878)*86400&gt;=0,(T878-H878)*86400&lt;تنظیمات!$B$13),1,0),0)</f>
        <v>0</v>
      </c>
      <c r="AS878" s="21" t="n">
        <f aca="false">IF(Z878="پوز",IF(OR(AB878="",COUNTIF(پوزها!$A$2:$A$5,AA878)=0),1,0),0)</f>
        <v>0</v>
      </c>
      <c r="AT878" s="21" t="n">
        <f aca="false">IF(AI878="",0,IF(AI878&gt;0,1,0))</f>
        <v>0</v>
      </c>
      <c r="AU878" s="21" t="n">
        <f aca="false">IF(AI878="",0,IF(AI878&lt;0,1,0))</f>
        <v>0</v>
      </c>
      <c r="AV878" s="21" t="n">
        <f aca="false">IF(U878&gt;V878,1,0)</f>
        <v>0</v>
      </c>
      <c r="AW878" s="21" t="n">
        <f aca="false">IF(OR(W878&gt;تنظیمات!$B$8,X878="بله"),1,0)</f>
        <v>0</v>
      </c>
      <c r="AX878" s="21" t="n">
        <f aca="false">IF(AND(N878="بله",L878&gt;تنظیمات!$B$9),1,0)</f>
        <v>0</v>
      </c>
      <c r="AY878" s="21" t="n">
        <f aca="false">IF(Y878="معکوس",1,0)</f>
        <v>0</v>
      </c>
      <c r="AZ878" s="21" t="n">
        <f aca="false">IF(ABS(AJ878)&gt;تنظیمات!$B$10,1,0)</f>
        <v>0</v>
      </c>
      <c r="BA878" s="21" t="n">
        <f aca="false">IF(AND(OR(AD878="رایگان/VIP",AD878="جانباز"),AF878="خیر"),1,0)</f>
        <v>0</v>
      </c>
      <c r="BB878" s="21" t="n">
        <f aca="false">IF(AE878="",0,IF(COUNTIF($AE$2:$AE$1001,AE878)&gt;1,1,0))</f>
        <v>0</v>
      </c>
      <c r="BC878" s="21" t="n">
        <f aca="false">IF(AND(H878="",I878&gt;تنظیمات!$B$12*60,AM878="خالی"),1,0)</f>
        <v>0</v>
      </c>
      <c r="BD878" s="21" t="n">
        <f aca="false">IF(AND(AP878="بله",I878&lt;تنظیمات!$B$14,AO878="خیر"),1,0)</f>
        <v>0</v>
      </c>
      <c r="BE878" s="21" t="n">
        <f aca="false">IF(AN878="خیر",1,0)</f>
        <v>0</v>
      </c>
      <c r="BF878" s="21" t="n">
        <f aca="false">IF(AND(AD878="فیش مفقودی",AQ878="بله",I878&gt;تنظیمات!$B$12*60),1,0)</f>
        <v>0</v>
      </c>
      <c r="BG878" s="21" t="n">
        <f aca="false">IF(AND(AK878&gt;تنظیمات!$B$11,AL878="بله"),1,0)</f>
        <v>0</v>
      </c>
      <c r="BH878" s="21" t="n">
        <f aca="false">MIN(100,AR878*تنظیمات!$B$21+AS878*تنظیمات!$B$22+AT878*تنظیمات!$B$23+AU878*تنظیمات!$B$24+AV878*تنظیمات!$B$25+AW878*تنظیمات!$B$26+AX878*تنظیمات!$B$27+AY878*تنظیمات!$B$28+AZ878*تنظیمات!$B$29+BA878*تنظیمات!$B$30+BB878*تنظیمات!$B$31+BC878*تنظیمات!$B$32+BD878*تنظیمات!$B$33+BE878*تنظیمات!$B$34+BF878*تنظیمات!$B$35+BG878*تنظیمات!$B$36)</f>
        <v>0</v>
      </c>
      <c r="BI878" s="16" t="str">
        <f aca="false">IF(BH878&gt;=60,"بحرانی",IF(BH878&gt;=30,"مشکوک",IF(BH878&gt;0,"هشدار","عادی")))</f>
        <v>عادی</v>
      </c>
      <c r="BJ878" s="16" t="s">
        <v>338</v>
      </c>
    </row>
    <row r="879" customFormat="false" ht="15" hidden="false" customHeight="false" outlineLevel="0" collapsed="false">
      <c r="A879" s="16" t="s">
        <v>2974</v>
      </c>
      <c r="B879" s="16" t="s">
        <v>669</v>
      </c>
      <c r="C879" s="16"/>
      <c r="D879" s="16" t="s">
        <v>508</v>
      </c>
      <c r="E879" s="16" t="s">
        <v>390</v>
      </c>
      <c r="F879" s="16" t="s">
        <v>333</v>
      </c>
      <c r="G879" s="17" t="n">
        <v>46293.3187268519</v>
      </c>
      <c r="H879" s="17" t="n">
        <v>46293.3249768519</v>
      </c>
      <c r="I879" s="18" t="n">
        <f aca="false">IF(H879="",ROUND((تنظیمات!$B$7-G879)*1440,0),ROUND((H879-G879)*1440,0))</f>
        <v>9</v>
      </c>
      <c r="J879" s="16" t="s">
        <v>334</v>
      </c>
      <c r="K879" s="16" t="s">
        <v>400</v>
      </c>
      <c r="L879" s="19" t="n">
        <v>0.913</v>
      </c>
      <c r="M879" s="19" t="n">
        <v>0.944</v>
      </c>
      <c r="N879" s="16" t="s">
        <v>335</v>
      </c>
      <c r="O879" s="16" t="s">
        <v>650</v>
      </c>
      <c r="P879" s="16" t="s">
        <v>402</v>
      </c>
      <c r="Q879" s="20" t="n">
        <v>46293</v>
      </c>
      <c r="R879" s="16" t="s">
        <v>2975</v>
      </c>
      <c r="S879" s="16" t="s">
        <v>404</v>
      </c>
      <c r="T879" s="17"/>
      <c r="U879" s="21" t="n">
        <v>1</v>
      </c>
      <c r="V879" s="21" t="n">
        <v>1</v>
      </c>
      <c r="W879" s="22" t="n">
        <v>4.6</v>
      </c>
      <c r="X879" s="16" t="s">
        <v>335</v>
      </c>
      <c r="Y879" s="16" t="s">
        <v>338</v>
      </c>
      <c r="Z879" s="16" t="s">
        <v>628</v>
      </c>
      <c r="AA879" s="16"/>
      <c r="AB879" s="23"/>
      <c r="AC879" s="17"/>
      <c r="AD879" s="16" t="s">
        <v>338</v>
      </c>
      <c r="AE879" s="16"/>
      <c r="AF879" s="16" t="str">
        <f aca="false">IF(COUNTIF(لیست_سفید!$A$2:$A$21,B879)&gt;0,"بله","خیر")</f>
        <v>خیر</v>
      </c>
      <c r="AG879" s="24" t="n">
        <f aca="false">IF(H879="","",IF(AD879="فیش مفقودی",تنظیمات!$B$6,(INT(I879/1440)*تنظیمات!$B$5+IF(MOD(I879,1440)&lt;=تنظیمات!$B$2,0,MIN(تنظیمات!$B$5,تنظیمات!$B$3+MAX(0,ROUNDUP((MOD(I879,1440)-60)/60,0))*تنظیمات!$B$4)))*INDEX(تعرفه!$B$2:$B$7,MATCH(AD879,تعرفه!$A$2:$A$7,0))))</f>
        <v>0</v>
      </c>
      <c r="AH879" s="24" t="n">
        <v>0</v>
      </c>
      <c r="AI879" s="24" t="n">
        <f aca="false">IF(AG879="","",AH879-AG879)</f>
        <v>0</v>
      </c>
      <c r="AJ879" s="21" t="n">
        <v>-2</v>
      </c>
      <c r="AK879" s="21" t="n">
        <v>0</v>
      </c>
      <c r="AL879" s="16" t="s">
        <v>335</v>
      </c>
      <c r="AM879" s="16"/>
      <c r="AN879" s="16" t="s">
        <v>340</v>
      </c>
      <c r="AO879" s="16" t="s">
        <v>340</v>
      </c>
      <c r="AP879" s="16" t="s">
        <v>335</v>
      </c>
      <c r="AQ879" s="16"/>
      <c r="AR879" s="21" t="n">
        <f aca="false">IF(AND(T879&lt;&gt;"",H879&lt;&gt;""),IF(AND((T879-H879)*86400&gt;=0,(T879-H879)*86400&lt;تنظیمات!$B$13),1,0),0)</f>
        <v>0</v>
      </c>
      <c r="AS879" s="21" t="n">
        <f aca="false">IF(Z879="پوز",IF(OR(AB879="",COUNTIF(پوزها!$A$2:$A$5,AA879)=0),1,0),0)</f>
        <v>0</v>
      </c>
      <c r="AT879" s="21" t="n">
        <f aca="false">IF(AI879="",0,IF(AI879&gt;0,1,0))</f>
        <v>0</v>
      </c>
      <c r="AU879" s="21" t="n">
        <f aca="false">IF(AI879="",0,IF(AI879&lt;0,1,0))</f>
        <v>0</v>
      </c>
      <c r="AV879" s="21" t="n">
        <f aca="false">IF(U879&gt;V879,1,0)</f>
        <v>0</v>
      </c>
      <c r="AW879" s="21" t="n">
        <f aca="false">IF(OR(W879&gt;تنظیمات!$B$8,X879="بله"),1,0)</f>
        <v>0</v>
      </c>
      <c r="AX879" s="21" t="n">
        <f aca="false">IF(AND(N879="بله",L879&gt;تنظیمات!$B$9),1,0)</f>
        <v>0</v>
      </c>
      <c r="AY879" s="21" t="n">
        <f aca="false">IF(Y879="معکوس",1,0)</f>
        <v>0</v>
      </c>
      <c r="AZ879" s="21" t="n">
        <f aca="false">IF(ABS(AJ879)&gt;تنظیمات!$B$10,1,0)</f>
        <v>0</v>
      </c>
      <c r="BA879" s="21" t="n">
        <f aca="false">IF(AND(OR(AD879="رایگان/VIP",AD879="جانباز"),AF879="خیر"),1,0)</f>
        <v>0</v>
      </c>
      <c r="BB879" s="21" t="n">
        <f aca="false">IF(AE879="",0,IF(COUNTIF($AE$2:$AE$1001,AE879)&gt;1,1,0))</f>
        <v>0</v>
      </c>
      <c r="BC879" s="21" t="n">
        <f aca="false">IF(AND(H879="",I879&gt;تنظیمات!$B$12*60,AM879="خالی"),1,0)</f>
        <v>0</v>
      </c>
      <c r="BD879" s="21" t="n">
        <f aca="false">IF(AND(AP879="بله",I879&lt;تنظیمات!$B$14,AO879="خیر"),1,0)</f>
        <v>0</v>
      </c>
      <c r="BE879" s="21" t="n">
        <f aca="false">IF(AN879="خیر",1,0)</f>
        <v>0</v>
      </c>
      <c r="BF879" s="21" t="n">
        <f aca="false">IF(AND(AD879="فیش مفقودی",AQ879="بله",I879&gt;تنظیمات!$B$12*60),1,0)</f>
        <v>0</v>
      </c>
      <c r="BG879" s="21" t="n">
        <f aca="false">IF(AND(AK879&gt;تنظیمات!$B$11,AL879="بله"),1,0)</f>
        <v>0</v>
      </c>
      <c r="BH879" s="21" t="n">
        <f aca="false">MIN(100,AR879*تنظیمات!$B$21+AS879*تنظیمات!$B$22+AT879*تنظیمات!$B$23+AU879*تنظیمات!$B$24+AV879*تنظیمات!$B$25+AW879*تنظیمات!$B$26+AX879*تنظیمات!$B$27+AY879*تنظیمات!$B$28+AZ879*تنظیمات!$B$29+BA879*تنظیمات!$B$30+BB879*تنظیمات!$B$31+BC879*تنظیمات!$B$32+BD879*تنظیمات!$B$33+BE879*تنظیمات!$B$34+BF879*تنظیمات!$B$35+BG879*تنظیمات!$B$36)</f>
        <v>0</v>
      </c>
      <c r="BI879" s="16" t="str">
        <f aca="false">IF(BH879&gt;=60,"بحرانی",IF(BH879&gt;=30,"مشکوک",IF(BH879&gt;0,"هشدار","عادی")))</f>
        <v>عادی</v>
      </c>
      <c r="BJ879" s="16" t="s">
        <v>338</v>
      </c>
    </row>
    <row r="880" customFormat="false" ht="15" hidden="false" customHeight="false" outlineLevel="0" collapsed="false">
      <c r="A880" s="16" t="s">
        <v>2976</v>
      </c>
      <c r="B880" s="16" t="s">
        <v>932</v>
      </c>
      <c r="C880" s="16"/>
      <c r="D880" s="16" t="s">
        <v>418</v>
      </c>
      <c r="E880" s="16" t="s">
        <v>345</v>
      </c>
      <c r="F880" s="16" t="s">
        <v>333</v>
      </c>
      <c r="G880" s="17" t="n">
        <v>46293.3205092593</v>
      </c>
      <c r="H880" s="17" t="n">
        <v>46293.3871759259</v>
      </c>
      <c r="I880" s="18" t="n">
        <f aca="false">IF(H880="",ROUND((تنظیمات!$B$7-G880)*1440,0),ROUND((H880-G880)*1440,0))</f>
        <v>96</v>
      </c>
      <c r="J880" s="16" t="s">
        <v>346</v>
      </c>
      <c r="K880" s="16" t="s">
        <v>410</v>
      </c>
      <c r="L880" s="19" t="n">
        <v>0.926</v>
      </c>
      <c r="M880" s="19" t="n">
        <v>0.995</v>
      </c>
      <c r="N880" s="16" t="s">
        <v>335</v>
      </c>
      <c r="O880" s="16" t="s">
        <v>666</v>
      </c>
      <c r="P880" s="16" t="s">
        <v>402</v>
      </c>
      <c r="Q880" s="20" t="n">
        <v>46293</v>
      </c>
      <c r="R880" s="16" t="s">
        <v>2977</v>
      </c>
      <c r="S880" s="16" t="s">
        <v>404</v>
      </c>
      <c r="T880" s="17"/>
      <c r="U880" s="21" t="n">
        <v>1</v>
      </c>
      <c r="V880" s="21" t="n">
        <v>1</v>
      </c>
      <c r="W880" s="22" t="n">
        <v>5</v>
      </c>
      <c r="X880" s="16" t="s">
        <v>335</v>
      </c>
      <c r="Y880" s="16" t="s">
        <v>338</v>
      </c>
      <c r="Z880" s="16" t="s">
        <v>413</v>
      </c>
      <c r="AA880" s="16" t="s">
        <v>414</v>
      </c>
      <c r="AB880" s="23" t="s">
        <v>2978</v>
      </c>
      <c r="AC880" s="17" t="n">
        <v>46293.3864467593</v>
      </c>
      <c r="AD880" s="16" t="s">
        <v>338</v>
      </c>
      <c r="AE880" s="16"/>
      <c r="AF880" s="16" t="str">
        <f aca="false">IF(COUNTIF(لیست_سفید!$A$2:$A$21,B880)&gt;0,"بله","خیر")</f>
        <v>خیر</v>
      </c>
      <c r="AG880" s="24" t="n">
        <f aca="false">IF(H880="","",IF(AD880="فیش مفقودی",تنظیمات!$B$6,(INT(I880/1440)*تنظیمات!$B$5+IF(MOD(I880,1440)&lt;=تنظیمات!$B$2,0,MIN(تنظیمات!$B$5,تنظیمات!$B$3+MAX(0,ROUNDUP((MOD(I880,1440)-60)/60,0))*تنظیمات!$B$4)))*INDEX(تعرفه!$B$2:$B$7,MATCH(AD880,تعرفه!$A$2:$A$7,0))))</f>
        <v>34000</v>
      </c>
      <c r="AH880" s="24" t="n">
        <v>34000</v>
      </c>
      <c r="AI880" s="24" t="n">
        <f aca="false">IF(AG880="","",AH880-AG880)</f>
        <v>0</v>
      </c>
      <c r="AJ880" s="21" t="n">
        <v>-2880</v>
      </c>
      <c r="AK880" s="21" t="n">
        <v>0</v>
      </c>
      <c r="AL880" s="16" t="s">
        <v>335</v>
      </c>
      <c r="AM880" s="16"/>
      <c r="AN880" s="16" t="s">
        <v>340</v>
      </c>
      <c r="AO880" s="16" t="s">
        <v>340</v>
      </c>
      <c r="AP880" s="16" t="s">
        <v>335</v>
      </c>
      <c r="AQ880" s="16"/>
      <c r="AR880" s="21" t="n">
        <f aca="false">IF(AND(T880&lt;&gt;"",H880&lt;&gt;""),IF(AND((T880-H880)*86400&gt;=0,(T880-H880)*86400&lt;تنظیمات!$B$13),1,0),0)</f>
        <v>0</v>
      </c>
      <c r="AS880" s="21" t="n">
        <f aca="false">IF(Z880="پوز",IF(OR(AB880="",COUNTIF(پوزها!$A$2:$A$5,AA880)=0),1,0),0)</f>
        <v>0</v>
      </c>
      <c r="AT880" s="21" t="n">
        <f aca="false">IF(AI880="",0,IF(AI880&gt;0,1,0))</f>
        <v>0</v>
      </c>
      <c r="AU880" s="21" t="n">
        <f aca="false">IF(AI880="",0,IF(AI880&lt;0,1,0))</f>
        <v>0</v>
      </c>
      <c r="AV880" s="21" t="n">
        <f aca="false">IF(U880&gt;V880,1,0)</f>
        <v>0</v>
      </c>
      <c r="AW880" s="21" t="n">
        <f aca="false">IF(OR(W880&gt;تنظیمات!$B$8,X880="بله"),1,0)</f>
        <v>0</v>
      </c>
      <c r="AX880" s="21" t="n">
        <f aca="false">IF(AND(N880="بله",L880&gt;تنظیمات!$B$9),1,0)</f>
        <v>0</v>
      </c>
      <c r="AY880" s="21" t="n">
        <f aca="false">IF(Y880="معکوس",1,0)</f>
        <v>0</v>
      </c>
      <c r="AZ880" s="21" t="n">
        <f aca="false">IF(ABS(AJ880)&gt;تنظیمات!$B$10,1,0)</f>
        <v>1</v>
      </c>
      <c r="BA880" s="21" t="n">
        <f aca="false">IF(AND(OR(AD880="رایگان/VIP",AD880="جانباز"),AF880="خیر"),1,0)</f>
        <v>0</v>
      </c>
      <c r="BB880" s="21" t="n">
        <f aca="false">IF(AE880="",0,IF(COUNTIF($AE$2:$AE$1001,AE880)&gt;1,1,0))</f>
        <v>0</v>
      </c>
      <c r="BC880" s="21" t="n">
        <f aca="false">IF(AND(H880="",I880&gt;تنظیمات!$B$12*60,AM880="خالی"),1,0)</f>
        <v>0</v>
      </c>
      <c r="BD880" s="21" t="n">
        <f aca="false">IF(AND(AP880="بله",I880&lt;تنظیمات!$B$14,AO880="خیر"),1,0)</f>
        <v>0</v>
      </c>
      <c r="BE880" s="21" t="n">
        <f aca="false">IF(AN880="خیر",1,0)</f>
        <v>0</v>
      </c>
      <c r="BF880" s="21" t="n">
        <f aca="false">IF(AND(AD880="فیش مفقودی",AQ880="بله",I880&gt;تنظیمات!$B$12*60),1,0)</f>
        <v>0</v>
      </c>
      <c r="BG880" s="21" t="n">
        <f aca="false">IF(AND(AK880&gt;تنظیمات!$B$11,AL880="بله"),1,0)</f>
        <v>0</v>
      </c>
      <c r="BH880" s="21" t="n">
        <f aca="false">MIN(100,AR880*تنظیمات!$B$21+AS880*تنظیمات!$B$22+AT880*تنظیمات!$B$23+AU880*تنظیمات!$B$24+AV880*تنظیمات!$B$25+AW880*تنظیمات!$B$26+AX880*تنظیمات!$B$27+AY880*تنظیمات!$B$28+AZ880*تنظیمات!$B$29+BA880*تنظیمات!$B$30+BB880*تنظیمات!$B$31+BC880*تنظیمات!$B$32+BD880*تنظیمات!$B$33+BE880*تنظیمات!$B$34+BF880*تنظیمات!$B$35+BG880*تنظیمات!$B$36)</f>
        <v>30</v>
      </c>
      <c r="BI880" s="16" t="str">
        <f aca="false">IF(BH880&gt;=60,"بحرانی",IF(BH880&gt;=30,"مشکوک",IF(BH880&gt;0,"هشدار","عادی")))</f>
        <v>مشکوک</v>
      </c>
      <c r="BJ880" s="16" t="s">
        <v>939</v>
      </c>
    </row>
    <row r="881" customFormat="false" ht="15" hidden="false" customHeight="false" outlineLevel="0" collapsed="false">
      <c r="A881" s="16" t="s">
        <v>2979</v>
      </c>
      <c r="B881" s="16" t="s">
        <v>1490</v>
      </c>
      <c r="C881" s="16"/>
      <c r="D881" s="16" t="s">
        <v>344</v>
      </c>
      <c r="E881" s="16" t="s">
        <v>345</v>
      </c>
      <c r="F881" s="16" t="s">
        <v>333</v>
      </c>
      <c r="G881" s="17" t="n">
        <v>46293.3217939815</v>
      </c>
      <c r="H881" s="17" t="n">
        <v>46293.6016550926</v>
      </c>
      <c r="I881" s="18" t="n">
        <f aca="false">IF(H881="",ROUND((تنظیمات!$B$7-G881)*1440,0),ROUND((H881-G881)*1440,0))</f>
        <v>403</v>
      </c>
      <c r="J881" s="16" t="s">
        <v>346</v>
      </c>
      <c r="K881" s="16" t="s">
        <v>400</v>
      </c>
      <c r="L881" s="19" t="n">
        <v>0.975</v>
      </c>
      <c r="M881" s="19" t="n">
        <v>0.989</v>
      </c>
      <c r="N881" s="16" t="s">
        <v>335</v>
      </c>
      <c r="O881" s="16" t="s">
        <v>677</v>
      </c>
      <c r="P881" s="16" t="s">
        <v>420</v>
      </c>
      <c r="Q881" s="20" t="n">
        <v>46293</v>
      </c>
      <c r="R881" s="16" t="s">
        <v>2980</v>
      </c>
      <c r="S881" s="16" t="s">
        <v>404</v>
      </c>
      <c r="T881" s="17"/>
      <c r="U881" s="21" t="n">
        <v>1</v>
      </c>
      <c r="V881" s="21" t="n">
        <v>1</v>
      </c>
      <c r="W881" s="22" t="n">
        <v>5.6</v>
      </c>
      <c r="X881" s="16" t="s">
        <v>335</v>
      </c>
      <c r="Y881" s="16" t="s">
        <v>338</v>
      </c>
      <c r="Z881" s="16" t="s">
        <v>413</v>
      </c>
      <c r="AA881" s="16" t="s">
        <v>427</v>
      </c>
      <c r="AB881" s="23" t="s">
        <v>2981</v>
      </c>
      <c r="AC881" s="17" t="n">
        <v>46293.6013657407</v>
      </c>
      <c r="AD881" s="16" t="s">
        <v>338</v>
      </c>
      <c r="AE881" s="16"/>
      <c r="AF881" s="16" t="str">
        <f aca="false">IF(COUNTIF(لیست_سفید!$A$2:$A$21,B881)&gt;0,"بله","خیر")</f>
        <v>خیر</v>
      </c>
      <c r="AG881" s="24" t="n">
        <f aca="false">IF(H881="","",IF(AD881="فیش مفقودی",تنظیمات!$B$6,(INT(I881/1440)*تنظیمات!$B$5+IF(MOD(I881,1440)&lt;=تنظیمات!$B$2,0,MIN(تنظیمات!$B$5,تنظیمات!$B$3+MAX(0,ROUNDUP((MOD(I881,1440)-60)/60,0))*تنظیمات!$B$4)))*INDEX(تعرفه!$B$2:$B$7,MATCH(AD881,تعرفه!$A$2:$A$7,0))))</f>
        <v>104000</v>
      </c>
      <c r="AH881" s="24" t="n">
        <v>104000</v>
      </c>
      <c r="AI881" s="24" t="n">
        <f aca="false">IF(AG881="","",AH881-AG881)</f>
        <v>0</v>
      </c>
      <c r="AJ881" s="21" t="n">
        <v>-1</v>
      </c>
      <c r="AK881" s="21" t="n">
        <v>0</v>
      </c>
      <c r="AL881" s="16" t="s">
        <v>335</v>
      </c>
      <c r="AM881" s="16"/>
      <c r="AN881" s="16" t="s">
        <v>340</v>
      </c>
      <c r="AO881" s="16" t="s">
        <v>340</v>
      </c>
      <c r="AP881" s="16" t="s">
        <v>335</v>
      </c>
      <c r="AQ881" s="16"/>
      <c r="AR881" s="21" t="n">
        <f aca="false">IF(AND(T881&lt;&gt;"",H881&lt;&gt;""),IF(AND((T881-H881)*86400&gt;=0,(T881-H881)*86400&lt;تنظیمات!$B$13),1,0),0)</f>
        <v>0</v>
      </c>
      <c r="AS881" s="21" t="n">
        <f aca="false">IF(Z881="پوز",IF(OR(AB881="",COUNTIF(پوزها!$A$2:$A$5,AA881)=0),1,0),0)</f>
        <v>0</v>
      </c>
      <c r="AT881" s="21" t="n">
        <f aca="false">IF(AI881="",0,IF(AI881&gt;0,1,0))</f>
        <v>0</v>
      </c>
      <c r="AU881" s="21" t="n">
        <f aca="false">IF(AI881="",0,IF(AI881&lt;0,1,0))</f>
        <v>0</v>
      </c>
      <c r="AV881" s="21" t="n">
        <f aca="false">IF(U881&gt;V881,1,0)</f>
        <v>0</v>
      </c>
      <c r="AW881" s="21" t="n">
        <f aca="false">IF(OR(W881&gt;تنظیمات!$B$8,X881="بله"),1,0)</f>
        <v>0</v>
      </c>
      <c r="AX881" s="21" t="n">
        <f aca="false">IF(AND(N881="بله",L881&gt;تنظیمات!$B$9),1,0)</f>
        <v>0</v>
      </c>
      <c r="AY881" s="21" t="n">
        <f aca="false">IF(Y881="معکوس",1,0)</f>
        <v>0</v>
      </c>
      <c r="AZ881" s="21" t="n">
        <f aca="false">IF(ABS(AJ881)&gt;تنظیمات!$B$10,1,0)</f>
        <v>0</v>
      </c>
      <c r="BA881" s="21" t="n">
        <f aca="false">IF(AND(OR(AD881="رایگان/VIP",AD881="جانباز"),AF881="خیر"),1,0)</f>
        <v>0</v>
      </c>
      <c r="BB881" s="21" t="n">
        <f aca="false">IF(AE881="",0,IF(COUNTIF($AE$2:$AE$1001,AE881)&gt;1,1,0))</f>
        <v>0</v>
      </c>
      <c r="BC881" s="21" t="n">
        <f aca="false">IF(AND(H881="",I881&gt;تنظیمات!$B$12*60,AM881="خالی"),1,0)</f>
        <v>0</v>
      </c>
      <c r="BD881" s="21" t="n">
        <f aca="false">IF(AND(AP881="بله",I881&lt;تنظیمات!$B$14,AO881="خیر"),1,0)</f>
        <v>0</v>
      </c>
      <c r="BE881" s="21" t="n">
        <f aca="false">IF(AN881="خیر",1,0)</f>
        <v>0</v>
      </c>
      <c r="BF881" s="21" t="n">
        <f aca="false">IF(AND(AD881="فیش مفقودی",AQ881="بله",I881&gt;تنظیمات!$B$12*60),1,0)</f>
        <v>0</v>
      </c>
      <c r="BG881" s="21" t="n">
        <f aca="false">IF(AND(AK881&gt;تنظیمات!$B$11,AL881="بله"),1,0)</f>
        <v>0</v>
      </c>
      <c r="BH881" s="21" t="n">
        <f aca="false">MIN(100,AR881*تنظیمات!$B$21+AS881*تنظیمات!$B$22+AT881*تنظیمات!$B$23+AU881*تنظیمات!$B$24+AV881*تنظیمات!$B$25+AW881*تنظیمات!$B$26+AX881*تنظیمات!$B$27+AY881*تنظیمات!$B$28+AZ881*تنظیمات!$B$29+BA881*تنظیمات!$B$30+BB881*تنظیمات!$B$31+BC881*تنظیمات!$B$32+BD881*تنظیمات!$B$33+BE881*تنظیمات!$B$34+BF881*تنظیمات!$B$35+BG881*تنظیمات!$B$36)</f>
        <v>0</v>
      </c>
      <c r="BI881" s="16" t="str">
        <f aca="false">IF(BH881&gt;=60,"بحرانی",IF(BH881&gt;=30,"مشکوک",IF(BH881&gt;0,"هشدار","عادی")))</f>
        <v>عادی</v>
      </c>
      <c r="BJ881" s="16" t="s">
        <v>338</v>
      </c>
    </row>
    <row r="882" customFormat="false" ht="15" hidden="false" customHeight="false" outlineLevel="0" collapsed="false">
      <c r="A882" s="16" t="s">
        <v>2982</v>
      </c>
      <c r="B882" s="16" t="s">
        <v>2983</v>
      </c>
      <c r="C882" s="16"/>
      <c r="D882" s="16" t="s">
        <v>431</v>
      </c>
      <c r="E882" s="16" t="s">
        <v>332</v>
      </c>
      <c r="F882" s="16" t="s">
        <v>333</v>
      </c>
      <c r="G882" s="17" t="n">
        <v>46293.329525463</v>
      </c>
      <c r="H882" s="17" t="n">
        <v>46293.792025463</v>
      </c>
      <c r="I882" s="18" t="n">
        <f aca="false">IF(H882="",ROUND((تنظیمات!$B$7-G882)*1440,0),ROUND((H882-G882)*1440,0))</f>
        <v>666</v>
      </c>
      <c r="J882" s="16" t="s">
        <v>346</v>
      </c>
      <c r="K882" s="16" t="s">
        <v>410</v>
      </c>
      <c r="L882" s="19" t="n">
        <v>0.878</v>
      </c>
      <c r="M882" s="19" t="n">
        <v>0.903</v>
      </c>
      <c r="N882" s="16" t="s">
        <v>335</v>
      </c>
      <c r="O882" s="16" t="s">
        <v>425</v>
      </c>
      <c r="P882" s="16" t="s">
        <v>420</v>
      </c>
      <c r="Q882" s="20" t="n">
        <v>46293</v>
      </c>
      <c r="R882" s="16" t="s">
        <v>2984</v>
      </c>
      <c r="S882" s="16" t="s">
        <v>404</v>
      </c>
      <c r="T882" s="17"/>
      <c r="U882" s="21" t="n">
        <v>1</v>
      </c>
      <c r="V882" s="21" t="n">
        <v>1</v>
      </c>
      <c r="W882" s="22" t="n">
        <v>3</v>
      </c>
      <c r="X882" s="16" t="s">
        <v>335</v>
      </c>
      <c r="Y882" s="16" t="s">
        <v>338</v>
      </c>
      <c r="Z882" s="16" t="s">
        <v>405</v>
      </c>
      <c r="AA882" s="16"/>
      <c r="AB882" s="23"/>
      <c r="AC882" s="17"/>
      <c r="AD882" s="16" t="s">
        <v>338</v>
      </c>
      <c r="AE882" s="16"/>
      <c r="AF882" s="16" t="str">
        <f aca="false">IF(COUNTIF(لیست_سفید!$A$2:$A$21,B882)&gt;0,"بله","خیر")</f>
        <v>خیر</v>
      </c>
      <c r="AG882" s="24" t="n">
        <f aca="false">IF(H882="","",IF(AD882="فیش مفقودی",تنظیمات!$B$6,(INT(I882/1440)*تنظیمات!$B$5+IF(MOD(I882,1440)&lt;=تنظیمات!$B$2,0,MIN(تنظیمات!$B$5,تنظیمات!$B$3+MAX(0,ROUNDUP((MOD(I882,1440)-60)/60,0))*تنظیمات!$B$4)))*INDEX(تعرفه!$B$2:$B$7,MATCH(AD882,تعرفه!$A$2:$A$7,0))))</f>
        <v>174000</v>
      </c>
      <c r="AH882" s="24" t="n">
        <v>174000</v>
      </c>
      <c r="AI882" s="24" t="n">
        <f aca="false">IF(AG882="","",AH882-AG882)</f>
        <v>0</v>
      </c>
      <c r="AJ882" s="21" t="n">
        <v>1</v>
      </c>
      <c r="AK882" s="21" t="n">
        <v>0</v>
      </c>
      <c r="AL882" s="16" t="s">
        <v>335</v>
      </c>
      <c r="AM882" s="16"/>
      <c r="AN882" s="16" t="s">
        <v>340</v>
      </c>
      <c r="AO882" s="16" t="s">
        <v>340</v>
      </c>
      <c r="AP882" s="16" t="s">
        <v>335</v>
      </c>
      <c r="AQ882" s="16"/>
      <c r="AR882" s="21" t="n">
        <f aca="false">IF(AND(T882&lt;&gt;"",H882&lt;&gt;""),IF(AND((T882-H882)*86400&gt;=0,(T882-H882)*86400&lt;تنظیمات!$B$13),1,0),0)</f>
        <v>0</v>
      </c>
      <c r="AS882" s="21" t="n">
        <f aca="false">IF(Z882="پوز",IF(OR(AB882="",COUNTIF(پوزها!$A$2:$A$5,AA882)=0),1,0),0)</f>
        <v>0</v>
      </c>
      <c r="AT882" s="21" t="n">
        <f aca="false">IF(AI882="",0,IF(AI882&gt;0,1,0))</f>
        <v>0</v>
      </c>
      <c r="AU882" s="21" t="n">
        <f aca="false">IF(AI882="",0,IF(AI882&lt;0,1,0))</f>
        <v>0</v>
      </c>
      <c r="AV882" s="21" t="n">
        <f aca="false">IF(U882&gt;V882,1,0)</f>
        <v>0</v>
      </c>
      <c r="AW882" s="21" t="n">
        <f aca="false">IF(OR(W882&gt;تنظیمات!$B$8,X882="بله"),1,0)</f>
        <v>0</v>
      </c>
      <c r="AX882" s="21" t="n">
        <f aca="false">IF(AND(N882="بله",L882&gt;تنظیمات!$B$9),1,0)</f>
        <v>0</v>
      </c>
      <c r="AY882" s="21" t="n">
        <f aca="false">IF(Y882="معکوس",1,0)</f>
        <v>0</v>
      </c>
      <c r="AZ882" s="21" t="n">
        <f aca="false">IF(ABS(AJ882)&gt;تنظیمات!$B$10,1,0)</f>
        <v>0</v>
      </c>
      <c r="BA882" s="21" t="n">
        <f aca="false">IF(AND(OR(AD882="رایگان/VIP",AD882="جانباز"),AF882="خیر"),1,0)</f>
        <v>0</v>
      </c>
      <c r="BB882" s="21" t="n">
        <f aca="false">IF(AE882="",0,IF(COUNTIF($AE$2:$AE$1001,AE882)&gt;1,1,0))</f>
        <v>0</v>
      </c>
      <c r="BC882" s="21" t="n">
        <f aca="false">IF(AND(H882="",I882&gt;تنظیمات!$B$12*60,AM882="خالی"),1,0)</f>
        <v>0</v>
      </c>
      <c r="BD882" s="21" t="n">
        <f aca="false">IF(AND(AP882="بله",I882&lt;تنظیمات!$B$14,AO882="خیر"),1,0)</f>
        <v>0</v>
      </c>
      <c r="BE882" s="21" t="n">
        <f aca="false">IF(AN882="خیر",1,0)</f>
        <v>0</v>
      </c>
      <c r="BF882" s="21" t="n">
        <f aca="false">IF(AND(AD882="فیش مفقودی",AQ882="بله",I882&gt;تنظیمات!$B$12*60),1,0)</f>
        <v>0</v>
      </c>
      <c r="BG882" s="21" t="n">
        <f aca="false">IF(AND(AK882&gt;تنظیمات!$B$11,AL882="بله"),1,0)</f>
        <v>0</v>
      </c>
      <c r="BH882" s="21" t="n">
        <f aca="false">MIN(100,AR882*تنظیمات!$B$21+AS882*تنظیمات!$B$22+AT882*تنظیمات!$B$23+AU882*تنظیمات!$B$24+AV882*تنظیمات!$B$25+AW882*تنظیمات!$B$26+AX882*تنظیمات!$B$27+AY882*تنظیمات!$B$28+AZ882*تنظیمات!$B$29+BA882*تنظیمات!$B$30+BB882*تنظیمات!$B$31+BC882*تنظیمات!$B$32+BD882*تنظیمات!$B$33+BE882*تنظیمات!$B$34+BF882*تنظیمات!$B$35+BG882*تنظیمات!$B$36)</f>
        <v>0</v>
      </c>
      <c r="BI882" s="16" t="str">
        <f aca="false">IF(BH882&gt;=60,"بحرانی",IF(BH882&gt;=30,"مشکوک",IF(BH882&gt;0,"هشدار","عادی")))</f>
        <v>عادی</v>
      </c>
      <c r="BJ882" s="16" t="s">
        <v>338</v>
      </c>
    </row>
    <row r="883" customFormat="false" ht="15" hidden="false" customHeight="false" outlineLevel="0" collapsed="false">
      <c r="A883" s="16" t="s">
        <v>2985</v>
      </c>
      <c r="B883" s="16" t="s">
        <v>1245</v>
      </c>
      <c r="C883" s="16"/>
      <c r="D883" s="16" t="s">
        <v>386</v>
      </c>
      <c r="E883" s="16" t="s">
        <v>345</v>
      </c>
      <c r="F883" s="16" t="s">
        <v>333</v>
      </c>
      <c r="G883" s="17" t="n">
        <v>46293.3328009259</v>
      </c>
      <c r="H883" s="17" t="n">
        <v>46293.3800231482</v>
      </c>
      <c r="I883" s="18" t="n">
        <f aca="false">IF(H883="",ROUND((تنظیمات!$B$7-G883)*1440,0),ROUND((H883-G883)*1440,0))</f>
        <v>68</v>
      </c>
      <c r="J883" s="16" t="s">
        <v>334</v>
      </c>
      <c r="K883" s="16" t="s">
        <v>410</v>
      </c>
      <c r="L883" s="19" t="n">
        <v>0.904</v>
      </c>
      <c r="M883" s="19" t="n">
        <v>0.995</v>
      </c>
      <c r="N883" s="16" t="s">
        <v>335</v>
      </c>
      <c r="O883" s="16" t="s">
        <v>666</v>
      </c>
      <c r="P883" s="16" t="s">
        <v>402</v>
      </c>
      <c r="Q883" s="20" t="n">
        <v>46293</v>
      </c>
      <c r="R883" s="16" t="s">
        <v>2986</v>
      </c>
      <c r="S883" s="16" t="s">
        <v>606</v>
      </c>
      <c r="T883" s="17" t="n">
        <v>46293.3809375</v>
      </c>
      <c r="U883" s="21" t="n">
        <v>1</v>
      </c>
      <c r="V883" s="21" t="n">
        <v>1</v>
      </c>
      <c r="W883" s="22" t="n">
        <v>6.5</v>
      </c>
      <c r="X883" s="16" t="s">
        <v>335</v>
      </c>
      <c r="Y883" s="16" t="s">
        <v>338</v>
      </c>
      <c r="Z883" s="16" t="s">
        <v>405</v>
      </c>
      <c r="AA883" s="16"/>
      <c r="AB883" s="23"/>
      <c r="AC883" s="17"/>
      <c r="AD883" s="16" t="s">
        <v>338</v>
      </c>
      <c r="AE883" s="16"/>
      <c r="AF883" s="16" t="str">
        <f aca="false">IF(COUNTIF(لیست_سفید!$A$2:$A$21,B883)&gt;0,"بله","خیر")</f>
        <v>خیر</v>
      </c>
      <c r="AG883" s="24" t="n">
        <f aca="false">IF(H883="","",IF(AD883="فیش مفقودی",تنظیمات!$B$6,(INT(I883/1440)*تنظیمات!$B$5+IF(MOD(I883,1440)&lt;=تنظیمات!$B$2,0,MIN(تنظیمات!$B$5,تنظیمات!$B$3+MAX(0,ROUNDUP((MOD(I883,1440)-60)/60,0))*تنظیمات!$B$4)))*INDEX(تعرفه!$B$2:$B$7,MATCH(AD883,تعرفه!$A$2:$A$7,0))))</f>
        <v>34000</v>
      </c>
      <c r="AH883" s="24" t="n">
        <v>0</v>
      </c>
      <c r="AI883" s="24" t="n">
        <f aca="false">IF(AG883="","",AH883-AG883)</f>
        <v>-34000</v>
      </c>
      <c r="AJ883" s="21" t="n">
        <v>0</v>
      </c>
      <c r="AK883" s="21" t="n">
        <v>0</v>
      </c>
      <c r="AL883" s="16" t="s">
        <v>335</v>
      </c>
      <c r="AM883" s="16"/>
      <c r="AN883" s="16" t="s">
        <v>340</v>
      </c>
      <c r="AO883" s="16" t="s">
        <v>340</v>
      </c>
      <c r="AP883" s="16" t="s">
        <v>335</v>
      </c>
      <c r="AQ883" s="16"/>
      <c r="AR883" s="21" t="n">
        <f aca="false">IF(AND(T883&lt;&gt;"",H883&lt;&gt;""),IF(AND((T883-H883)*86400&gt;=0,(T883-H883)*86400&lt;تنظیمات!$B$13),1,0),0)</f>
        <v>1</v>
      </c>
      <c r="AS883" s="21" t="n">
        <f aca="false">IF(Z883="پوز",IF(OR(AB883="",COUNTIF(پوزها!$A$2:$A$5,AA883)=0),1,0),0)</f>
        <v>0</v>
      </c>
      <c r="AT883" s="21" t="n">
        <f aca="false">IF(AI883="",0,IF(AI883&gt;0,1,0))</f>
        <v>0</v>
      </c>
      <c r="AU883" s="21" t="n">
        <f aca="false">IF(AI883="",0,IF(AI883&lt;0,1,0))</f>
        <v>1</v>
      </c>
      <c r="AV883" s="21" t="n">
        <f aca="false">IF(U883&gt;V883,1,0)</f>
        <v>0</v>
      </c>
      <c r="AW883" s="21" t="n">
        <f aca="false">IF(OR(W883&gt;تنظیمات!$B$8,X883="بله"),1,0)</f>
        <v>0</v>
      </c>
      <c r="AX883" s="21" t="n">
        <f aca="false">IF(AND(N883="بله",L883&gt;تنظیمات!$B$9),1,0)</f>
        <v>0</v>
      </c>
      <c r="AY883" s="21" t="n">
        <f aca="false">IF(Y883="معکوس",1,0)</f>
        <v>0</v>
      </c>
      <c r="AZ883" s="21" t="n">
        <f aca="false">IF(ABS(AJ883)&gt;تنظیمات!$B$10,1,0)</f>
        <v>0</v>
      </c>
      <c r="BA883" s="21" t="n">
        <f aca="false">IF(AND(OR(AD883="رایگان/VIP",AD883="جانباز"),AF883="خیر"),1,0)</f>
        <v>0</v>
      </c>
      <c r="BB883" s="21" t="n">
        <f aca="false">IF(AE883="",0,IF(COUNTIF($AE$2:$AE$1001,AE883)&gt;1,1,0))</f>
        <v>0</v>
      </c>
      <c r="BC883" s="21" t="n">
        <f aca="false">IF(AND(H883="",I883&gt;تنظیمات!$B$12*60,AM883="خالی"),1,0)</f>
        <v>0</v>
      </c>
      <c r="BD883" s="21" t="n">
        <f aca="false">IF(AND(AP883="بله",I883&lt;تنظیمات!$B$14,AO883="خیر"),1,0)</f>
        <v>0</v>
      </c>
      <c r="BE883" s="21" t="n">
        <f aca="false">IF(AN883="خیر",1,0)</f>
        <v>0</v>
      </c>
      <c r="BF883" s="21" t="n">
        <f aca="false">IF(AND(AD883="فیش مفقودی",AQ883="بله",I883&gt;تنظیمات!$B$12*60),1,0)</f>
        <v>0</v>
      </c>
      <c r="BG883" s="21" t="n">
        <f aca="false">IF(AND(AK883&gt;تنظیمات!$B$11,AL883="بله"),1,0)</f>
        <v>0</v>
      </c>
      <c r="BH883" s="21" t="n">
        <f aca="false">MIN(100,AR883*تنظیمات!$B$21+AS883*تنظیمات!$B$22+AT883*تنظیمات!$B$23+AU883*تنظیمات!$B$24+AV883*تنظیمات!$B$25+AW883*تنظیمات!$B$26+AX883*تنظیمات!$B$27+AY883*تنظیمات!$B$28+AZ883*تنظیمات!$B$29+BA883*تنظیمات!$B$30+BB883*تنظیمات!$B$31+BC883*تنظیمات!$B$32+BD883*تنظیمات!$B$33+BE883*تنظیمات!$B$34+BF883*تنظیمات!$B$35+BG883*تنظیمات!$B$36)</f>
        <v>65</v>
      </c>
      <c r="BI883" s="16" t="str">
        <f aca="false">IF(BH883&gt;=60,"بحرانی",IF(BH883&gt;=30,"مشکوک",IF(BH883&gt;0,"هشدار","عادی")))</f>
        <v>بحرانی</v>
      </c>
      <c r="BJ883" s="16" t="s">
        <v>607</v>
      </c>
    </row>
    <row r="884" customFormat="false" ht="15" hidden="false" customHeight="false" outlineLevel="0" collapsed="false">
      <c r="A884" s="16" t="s">
        <v>2987</v>
      </c>
      <c r="B884" s="16" t="s">
        <v>1056</v>
      </c>
      <c r="C884" s="16"/>
      <c r="D884" s="16" t="s">
        <v>531</v>
      </c>
      <c r="E884" s="16" t="s">
        <v>390</v>
      </c>
      <c r="F884" s="16" t="s">
        <v>333</v>
      </c>
      <c r="G884" s="17" t="n">
        <v>46293.3396527778</v>
      </c>
      <c r="H884" s="17" t="n">
        <v>46293.3709027778</v>
      </c>
      <c r="I884" s="18" t="n">
        <f aca="false">IF(H884="",ROUND((تنظیمات!$B$7-G884)*1440,0),ROUND((H884-G884)*1440,0))</f>
        <v>45</v>
      </c>
      <c r="J884" s="16" t="s">
        <v>346</v>
      </c>
      <c r="K884" s="16" t="s">
        <v>410</v>
      </c>
      <c r="L884" s="19" t="n">
        <v>0.972</v>
      </c>
      <c r="M884" s="19" t="n">
        <v>0.903</v>
      </c>
      <c r="N884" s="16" t="s">
        <v>335</v>
      </c>
      <c r="O884" s="16" t="s">
        <v>666</v>
      </c>
      <c r="P884" s="16" t="s">
        <v>402</v>
      </c>
      <c r="Q884" s="20" t="n">
        <v>46293</v>
      </c>
      <c r="R884" s="16" t="s">
        <v>2988</v>
      </c>
      <c r="S884" s="16" t="s">
        <v>404</v>
      </c>
      <c r="T884" s="17"/>
      <c r="U884" s="21" t="n">
        <v>1</v>
      </c>
      <c r="V884" s="21" t="n">
        <v>1</v>
      </c>
      <c r="W884" s="22" t="n">
        <v>7.5</v>
      </c>
      <c r="X884" s="16" t="s">
        <v>335</v>
      </c>
      <c r="Y884" s="16" t="s">
        <v>338</v>
      </c>
      <c r="Z884" s="16" t="s">
        <v>413</v>
      </c>
      <c r="AA884" s="16" t="s">
        <v>414</v>
      </c>
      <c r="AB884" s="23" t="s">
        <v>2989</v>
      </c>
      <c r="AC884" s="17" t="n">
        <v>46293.3701157407</v>
      </c>
      <c r="AD884" s="16" t="s">
        <v>338</v>
      </c>
      <c r="AE884" s="16"/>
      <c r="AF884" s="16" t="str">
        <f aca="false">IF(COUNTIF(لیست_سفید!$A$2:$A$21,B884)&gt;0,"بله","خیر")</f>
        <v>خیر</v>
      </c>
      <c r="AG884" s="24" t="n">
        <f aca="false">IF(H884="","",IF(AD884="فیش مفقودی",تنظیمات!$B$6,(INT(I884/1440)*تنظیمات!$B$5+IF(MOD(I884,1440)&lt;=تنظیمات!$B$2,0,MIN(تنظیمات!$B$5,تنظیمات!$B$3+MAX(0,ROUNDUP((MOD(I884,1440)-60)/60,0))*تنظیمات!$B$4)))*INDEX(تعرفه!$B$2:$B$7,MATCH(AD884,تعرفه!$A$2:$A$7,0))))</f>
        <v>20000</v>
      </c>
      <c r="AH884" s="24" t="n">
        <v>20000</v>
      </c>
      <c r="AI884" s="24" t="n">
        <f aca="false">IF(AG884="","",AH884-AG884)</f>
        <v>0</v>
      </c>
      <c r="AJ884" s="21" t="n">
        <v>1</v>
      </c>
      <c r="AK884" s="21" t="n">
        <v>0</v>
      </c>
      <c r="AL884" s="16" t="s">
        <v>335</v>
      </c>
      <c r="AM884" s="16"/>
      <c r="AN884" s="16" t="s">
        <v>340</v>
      </c>
      <c r="AO884" s="16" t="s">
        <v>340</v>
      </c>
      <c r="AP884" s="16" t="s">
        <v>335</v>
      </c>
      <c r="AQ884" s="16"/>
      <c r="AR884" s="21" t="n">
        <f aca="false">IF(AND(T884&lt;&gt;"",H884&lt;&gt;""),IF(AND((T884-H884)*86400&gt;=0,(T884-H884)*86400&lt;تنظیمات!$B$13),1,0),0)</f>
        <v>0</v>
      </c>
      <c r="AS884" s="21" t="n">
        <f aca="false">IF(Z884="پوز",IF(OR(AB884="",COUNTIF(پوزها!$A$2:$A$5,AA884)=0),1,0),0)</f>
        <v>0</v>
      </c>
      <c r="AT884" s="21" t="n">
        <f aca="false">IF(AI884="",0,IF(AI884&gt;0,1,0))</f>
        <v>0</v>
      </c>
      <c r="AU884" s="21" t="n">
        <f aca="false">IF(AI884="",0,IF(AI884&lt;0,1,0))</f>
        <v>0</v>
      </c>
      <c r="AV884" s="21" t="n">
        <f aca="false">IF(U884&gt;V884,1,0)</f>
        <v>0</v>
      </c>
      <c r="AW884" s="21" t="n">
        <f aca="false">IF(OR(W884&gt;تنظیمات!$B$8,X884="بله"),1,0)</f>
        <v>0</v>
      </c>
      <c r="AX884" s="21" t="n">
        <f aca="false">IF(AND(N884="بله",L884&gt;تنظیمات!$B$9),1,0)</f>
        <v>0</v>
      </c>
      <c r="AY884" s="21" t="n">
        <f aca="false">IF(Y884="معکوس",1,0)</f>
        <v>0</v>
      </c>
      <c r="AZ884" s="21" t="n">
        <f aca="false">IF(ABS(AJ884)&gt;تنظیمات!$B$10,1,0)</f>
        <v>0</v>
      </c>
      <c r="BA884" s="21" t="n">
        <f aca="false">IF(AND(OR(AD884="رایگان/VIP",AD884="جانباز"),AF884="خیر"),1,0)</f>
        <v>0</v>
      </c>
      <c r="BB884" s="21" t="n">
        <f aca="false">IF(AE884="",0,IF(COUNTIF($AE$2:$AE$1001,AE884)&gt;1,1,0))</f>
        <v>0</v>
      </c>
      <c r="BC884" s="21" t="n">
        <f aca="false">IF(AND(H884="",I884&gt;تنظیمات!$B$12*60,AM884="خالی"),1,0)</f>
        <v>0</v>
      </c>
      <c r="BD884" s="21" t="n">
        <f aca="false">IF(AND(AP884="بله",I884&lt;تنظیمات!$B$14,AO884="خیر"),1,0)</f>
        <v>0</v>
      </c>
      <c r="BE884" s="21" t="n">
        <f aca="false">IF(AN884="خیر",1,0)</f>
        <v>0</v>
      </c>
      <c r="BF884" s="21" t="n">
        <f aca="false">IF(AND(AD884="فیش مفقودی",AQ884="بله",I884&gt;تنظیمات!$B$12*60),1,0)</f>
        <v>0</v>
      </c>
      <c r="BG884" s="21" t="n">
        <f aca="false">IF(AND(AK884&gt;تنظیمات!$B$11,AL884="بله"),1,0)</f>
        <v>0</v>
      </c>
      <c r="BH884" s="21" t="n">
        <f aca="false">MIN(100,AR884*تنظیمات!$B$21+AS884*تنظیمات!$B$22+AT884*تنظیمات!$B$23+AU884*تنظیمات!$B$24+AV884*تنظیمات!$B$25+AW884*تنظیمات!$B$26+AX884*تنظیمات!$B$27+AY884*تنظیمات!$B$28+AZ884*تنظیمات!$B$29+BA884*تنظیمات!$B$30+BB884*تنظیمات!$B$31+BC884*تنظیمات!$B$32+BD884*تنظیمات!$B$33+BE884*تنظیمات!$B$34+BF884*تنظیمات!$B$35+BG884*تنظیمات!$B$36)</f>
        <v>0</v>
      </c>
      <c r="BI884" s="16" t="str">
        <f aca="false">IF(BH884&gt;=60,"بحرانی",IF(BH884&gt;=30,"مشکوک",IF(BH884&gt;0,"هشدار","عادی")))</f>
        <v>عادی</v>
      </c>
      <c r="BJ884" s="16" t="s">
        <v>338</v>
      </c>
    </row>
    <row r="885" customFormat="false" ht="15" hidden="false" customHeight="false" outlineLevel="0" collapsed="false">
      <c r="A885" s="16" t="s">
        <v>2990</v>
      </c>
      <c r="B885" s="16" t="s">
        <v>435</v>
      </c>
      <c r="C885" s="16"/>
      <c r="D885" s="16" t="s">
        <v>418</v>
      </c>
      <c r="E885" s="16" t="s">
        <v>345</v>
      </c>
      <c r="F885" s="16" t="s">
        <v>333</v>
      </c>
      <c r="G885" s="17" t="n">
        <v>46293.3707523148</v>
      </c>
      <c r="H885" s="17" t="n">
        <v>46293.4436689815</v>
      </c>
      <c r="I885" s="18" t="n">
        <f aca="false">IF(H885="",ROUND((تنظیمات!$B$7-G885)*1440,0),ROUND((H885-G885)*1440,0))</f>
        <v>105</v>
      </c>
      <c r="J885" s="16" t="s">
        <v>346</v>
      </c>
      <c r="K885" s="16" t="s">
        <v>400</v>
      </c>
      <c r="L885" s="19" t="n">
        <v>0.984</v>
      </c>
      <c r="M885" s="19" t="n">
        <v>0.995</v>
      </c>
      <c r="N885" s="16" t="s">
        <v>335</v>
      </c>
      <c r="O885" s="16" t="s">
        <v>650</v>
      </c>
      <c r="P885" s="16" t="s">
        <v>402</v>
      </c>
      <c r="Q885" s="20" t="n">
        <v>46293</v>
      </c>
      <c r="R885" s="16" t="s">
        <v>2991</v>
      </c>
      <c r="S885" s="16" t="s">
        <v>404</v>
      </c>
      <c r="T885" s="17"/>
      <c r="U885" s="21" t="n">
        <v>1</v>
      </c>
      <c r="V885" s="21" t="n">
        <v>1</v>
      </c>
      <c r="W885" s="22" t="n">
        <v>4.4</v>
      </c>
      <c r="X885" s="16" t="s">
        <v>335</v>
      </c>
      <c r="Y885" s="16" t="s">
        <v>338</v>
      </c>
      <c r="Z885" s="16" t="s">
        <v>405</v>
      </c>
      <c r="AA885" s="16"/>
      <c r="AB885" s="23"/>
      <c r="AC885" s="17"/>
      <c r="AD885" s="16" t="s">
        <v>338</v>
      </c>
      <c r="AE885" s="16"/>
      <c r="AF885" s="16" t="str">
        <f aca="false">IF(COUNTIF(لیست_سفید!$A$2:$A$21,B885)&gt;0,"بله","خیر")</f>
        <v>خیر</v>
      </c>
      <c r="AG885" s="24" t="n">
        <f aca="false">IF(H885="","",IF(AD885="فیش مفقودی",تنظیمات!$B$6,(INT(I885/1440)*تنظیمات!$B$5+IF(MOD(I885,1440)&lt;=تنظیمات!$B$2,0,MIN(تنظیمات!$B$5,تنظیمات!$B$3+MAX(0,ROUNDUP((MOD(I885,1440)-60)/60,0))*تنظیمات!$B$4)))*INDEX(تعرفه!$B$2:$B$7,MATCH(AD885,تعرفه!$A$2:$A$7,0))))</f>
        <v>34000</v>
      </c>
      <c r="AH885" s="24" t="n">
        <v>34000</v>
      </c>
      <c r="AI885" s="24" t="n">
        <f aca="false">IF(AG885="","",AH885-AG885)</f>
        <v>0</v>
      </c>
      <c r="AJ885" s="21" t="n">
        <v>-3</v>
      </c>
      <c r="AK885" s="21" t="n">
        <v>0</v>
      </c>
      <c r="AL885" s="16" t="s">
        <v>335</v>
      </c>
      <c r="AM885" s="16"/>
      <c r="AN885" s="16" t="s">
        <v>340</v>
      </c>
      <c r="AO885" s="16" t="s">
        <v>340</v>
      </c>
      <c r="AP885" s="16" t="s">
        <v>335</v>
      </c>
      <c r="AQ885" s="16"/>
      <c r="AR885" s="21" t="n">
        <f aca="false">IF(AND(T885&lt;&gt;"",H885&lt;&gt;""),IF(AND((T885-H885)*86400&gt;=0,(T885-H885)*86400&lt;تنظیمات!$B$13),1,0),0)</f>
        <v>0</v>
      </c>
      <c r="AS885" s="21" t="n">
        <f aca="false">IF(Z885="پوز",IF(OR(AB885="",COUNTIF(پوزها!$A$2:$A$5,AA885)=0),1,0),0)</f>
        <v>0</v>
      </c>
      <c r="AT885" s="21" t="n">
        <f aca="false">IF(AI885="",0,IF(AI885&gt;0,1,0))</f>
        <v>0</v>
      </c>
      <c r="AU885" s="21" t="n">
        <f aca="false">IF(AI885="",0,IF(AI885&lt;0,1,0))</f>
        <v>0</v>
      </c>
      <c r="AV885" s="21" t="n">
        <f aca="false">IF(U885&gt;V885,1,0)</f>
        <v>0</v>
      </c>
      <c r="AW885" s="21" t="n">
        <f aca="false">IF(OR(W885&gt;تنظیمات!$B$8,X885="بله"),1,0)</f>
        <v>0</v>
      </c>
      <c r="AX885" s="21" t="n">
        <f aca="false">IF(AND(N885="بله",L885&gt;تنظیمات!$B$9),1,0)</f>
        <v>0</v>
      </c>
      <c r="AY885" s="21" t="n">
        <f aca="false">IF(Y885="معکوس",1,0)</f>
        <v>0</v>
      </c>
      <c r="AZ885" s="21" t="n">
        <f aca="false">IF(ABS(AJ885)&gt;تنظیمات!$B$10,1,0)</f>
        <v>0</v>
      </c>
      <c r="BA885" s="21" t="n">
        <f aca="false">IF(AND(OR(AD885="رایگان/VIP",AD885="جانباز"),AF885="خیر"),1,0)</f>
        <v>0</v>
      </c>
      <c r="BB885" s="21" t="n">
        <f aca="false">IF(AE885="",0,IF(COUNTIF($AE$2:$AE$1001,AE885)&gt;1,1,0))</f>
        <v>0</v>
      </c>
      <c r="BC885" s="21" t="n">
        <f aca="false">IF(AND(H885="",I885&gt;تنظیمات!$B$12*60,AM885="خالی"),1,0)</f>
        <v>0</v>
      </c>
      <c r="BD885" s="21" t="n">
        <f aca="false">IF(AND(AP885="بله",I885&lt;تنظیمات!$B$14,AO885="خیر"),1,0)</f>
        <v>0</v>
      </c>
      <c r="BE885" s="21" t="n">
        <f aca="false">IF(AN885="خیر",1,0)</f>
        <v>0</v>
      </c>
      <c r="BF885" s="21" t="n">
        <f aca="false">IF(AND(AD885="فیش مفقودی",AQ885="بله",I885&gt;تنظیمات!$B$12*60),1,0)</f>
        <v>0</v>
      </c>
      <c r="BG885" s="21" t="n">
        <f aca="false">IF(AND(AK885&gt;تنظیمات!$B$11,AL885="بله"),1,0)</f>
        <v>0</v>
      </c>
      <c r="BH885" s="21" t="n">
        <f aca="false">MIN(100,AR885*تنظیمات!$B$21+AS885*تنظیمات!$B$22+AT885*تنظیمات!$B$23+AU885*تنظیمات!$B$24+AV885*تنظیمات!$B$25+AW885*تنظیمات!$B$26+AX885*تنظیمات!$B$27+AY885*تنظیمات!$B$28+AZ885*تنظیمات!$B$29+BA885*تنظیمات!$B$30+BB885*تنظیمات!$B$31+BC885*تنظیمات!$B$32+BD885*تنظیمات!$B$33+BE885*تنظیمات!$B$34+BF885*تنظیمات!$B$35+BG885*تنظیمات!$B$36)</f>
        <v>0</v>
      </c>
      <c r="BI885" s="16" t="str">
        <f aca="false">IF(BH885&gt;=60,"بحرانی",IF(BH885&gt;=30,"مشکوک",IF(BH885&gt;0,"هشدار","عادی")))</f>
        <v>عادی</v>
      </c>
      <c r="BJ885" s="16" t="s">
        <v>338</v>
      </c>
    </row>
    <row r="886" customFormat="false" ht="15" hidden="false" customHeight="false" outlineLevel="0" collapsed="false">
      <c r="A886" s="16" t="s">
        <v>2992</v>
      </c>
      <c r="B886" s="16" t="s">
        <v>928</v>
      </c>
      <c r="C886" s="16"/>
      <c r="D886" s="16" t="s">
        <v>331</v>
      </c>
      <c r="E886" s="16" t="s">
        <v>351</v>
      </c>
      <c r="F886" s="16" t="s">
        <v>333</v>
      </c>
      <c r="G886" s="17" t="n">
        <v>46293.3727314815</v>
      </c>
      <c r="H886" s="17" t="n">
        <v>46293.4331481482</v>
      </c>
      <c r="I886" s="18" t="n">
        <f aca="false">IF(H886="",ROUND((تنظیمات!$B$7-G886)*1440,0),ROUND((H886-G886)*1440,0))</f>
        <v>87</v>
      </c>
      <c r="J886" s="16" t="s">
        <v>346</v>
      </c>
      <c r="K886" s="16" t="s">
        <v>410</v>
      </c>
      <c r="L886" s="19" t="n">
        <v>0.909</v>
      </c>
      <c r="M886" s="19" t="n">
        <v>0.921</v>
      </c>
      <c r="N886" s="16" t="s">
        <v>335</v>
      </c>
      <c r="O886" s="16" t="s">
        <v>666</v>
      </c>
      <c r="P886" s="16" t="s">
        <v>402</v>
      </c>
      <c r="Q886" s="20" t="n">
        <v>46293</v>
      </c>
      <c r="R886" s="16" t="s">
        <v>2993</v>
      </c>
      <c r="S886" s="16" t="s">
        <v>404</v>
      </c>
      <c r="T886" s="17"/>
      <c r="U886" s="21" t="n">
        <v>1</v>
      </c>
      <c r="V886" s="21" t="n">
        <v>1</v>
      </c>
      <c r="W886" s="22" t="n">
        <v>4.2</v>
      </c>
      <c r="X886" s="16" t="s">
        <v>335</v>
      </c>
      <c r="Y886" s="16" t="s">
        <v>338</v>
      </c>
      <c r="Z886" s="16" t="s">
        <v>413</v>
      </c>
      <c r="AA886" s="16" t="s">
        <v>414</v>
      </c>
      <c r="AB886" s="23" t="s">
        <v>2994</v>
      </c>
      <c r="AC886" s="17" t="n">
        <v>46293.4321875</v>
      </c>
      <c r="AD886" s="16" t="s">
        <v>338</v>
      </c>
      <c r="AE886" s="16"/>
      <c r="AF886" s="16" t="str">
        <f aca="false">IF(COUNTIF(لیست_سفید!$A$2:$A$21,B886)&gt;0,"بله","خیر")</f>
        <v>خیر</v>
      </c>
      <c r="AG886" s="24" t="n">
        <f aca="false">IF(H886="","",IF(AD886="فیش مفقودی",تنظیمات!$B$6,(INT(I886/1440)*تنظیمات!$B$5+IF(MOD(I886,1440)&lt;=تنظیمات!$B$2,0,MIN(تنظیمات!$B$5,تنظیمات!$B$3+MAX(0,ROUNDUP((MOD(I886,1440)-60)/60,0))*تنظیمات!$B$4)))*INDEX(تعرفه!$B$2:$B$7,MATCH(AD886,تعرفه!$A$2:$A$7,0))))</f>
        <v>34000</v>
      </c>
      <c r="AH886" s="24" t="n">
        <v>34000</v>
      </c>
      <c r="AI886" s="24" t="n">
        <f aca="false">IF(AG886="","",AH886-AG886)</f>
        <v>0</v>
      </c>
      <c r="AJ886" s="21" t="n">
        <v>1</v>
      </c>
      <c r="AK886" s="21" t="n">
        <v>0</v>
      </c>
      <c r="AL886" s="16" t="s">
        <v>335</v>
      </c>
      <c r="AM886" s="16"/>
      <c r="AN886" s="16" t="s">
        <v>340</v>
      </c>
      <c r="AO886" s="16" t="s">
        <v>340</v>
      </c>
      <c r="AP886" s="16" t="s">
        <v>335</v>
      </c>
      <c r="AQ886" s="16"/>
      <c r="AR886" s="21" t="n">
        <f aca="false">IF(AND(T886&lt;&gt;"",H886&lt;&gt;""),IF(AND((T886-H886)*86400&gt;=0,(T886-H886)*86400&lt;تنظیمات!$B$13),1,0),0)</f>
        <v>0</v>
      </c>
      <c r="AS886" s="21" t="n">
        <f aca="false">IF(Z886="پوز",IF(OR(AB886="",COUNTIF(پوزها!$A$2:$A$5,AA886)=0),1,0),0)</f>
        <v>0</v>
      </c>
      <c r="AT886" s="21" t="n">
        <f aca="false">IF(AI886="",0,IF(AI886&gt;0,1,0))</f>
        <v>0</v>
      </c>
      <c r="AU886" s="21" t="n">
        <f aca="false">IF(AI886="",0,IF(AI886&lt;0,1,0))</f>
        <v>0</v>
      </c>
      <c r="AV886" s="21" t="n">
        <f aca="false">IF(U886&gt;V886,1,0)</f>
        <v>0</v>
      </c>
      <c r="AW886" s="21" t="n">
        <f aca="false">IF(OR(W886&gt;تنظیمات!$B$8,X886="بله"),1,0)</f>
        <v>0</v>
      </c>
      <c r="AX886" s="21" t="n">
        <f aca="false">IF(AND(N886="بله",L886&gt;تنظیمات!$B$9),1,0)</f>
        <v>0</v>
      </c>
      <c r="AY886" s="21" t="n">
        <f aca="false">IF(Y886="معکوس",1,0)</f>
        <v>0</v>
      </c>
      <c r="AZ886" s="21" t="n">
        <f aca="false">IF(ABS(AJ886)&gt;تنظیمات!$B$10,1,0)</f>
        <v>0</v>
      </c>
      <c r="BA886" s="21" t="n">
        <f aca="false">IF(AND(OR(AD886="رایگان/VIP",AD886="جانباز"),AF886="خیر"),1,0)</f>
        <v>0</v>
      </c>
      <c r="BB886" s="21" t="n">
        <f aca="false">IF(AE886="",0,IF(COUNTIF($AE$2:$AE$1001,AE886)&gt;1,1,0))</f>
        <v>0</v>
      </c>
      <c r="BC886" s="21" t="n">
        <f aca="false">IF(AND(H886="",I886&gt;تنظیمات!$B$12*60,AM886="خالی"),1,0)</f>
        <v>0</v>
      </c>
      <c r="BD886" s="21" t="n">
        <f aca="false">IF(AND(AP886="بله",I886&lt;تنظیمات!$B$14,AO886="خیر"),1,0)</f>
        <v>0</v>
      </c>
      <c r="BE886" s="21" t="n">
        <f aca="false">IF(AN886="خیر",1,0)</f>
        <v>0</v>
      </c>
      <c r="BF886" s="21" t="n">
        <f aca="false">IF(AND(AD886="فیش مفقودی",AQ886="بله",I886&gt;تنظیمات!$B$12*60),1,0)</f>
        <v>0</v>
      </c>
      <c r="BG886" s="21" t="n">
        <f aca="false">IF(AND(AK886&gt;تنظیمات!$B$11,AL886="بله"),1,0)</f>
        <v>0</v>
      </c>
      <c r="BH886" s="21" t="n">
        <f aca="false">MIN(100,AR886*تنظیمات!$B$21+AS886*تنظیمات!$B$22+AT886*تنظیمات!$B$23+AU886*تنظیمات!$B$24+AV886*تنظیمات!$B$25+AW886*تنظیمات!$B$26+AX886*تنظیمات!$B$27+AY886*تنظیمات!$B$28+AZ886*تنظیمات!$B$29+BA886*تنظیمات!$B$30+BB886*تنظیمات!$B$31+BC886*تنظیمات!$B$32+BD886*تنظیمات!$B$33+BE886*تنظیمات!$B$34+BF886*تنظیمات!$B$35+BG886*تنظیمات!$B$36)</f>
        <v>0</v>
      </c>
      <c r="BI886" s="16" t="str">
        <f aca="false">IF(BH886&gt;=60,"بحرانی",IF(BH886&gt;=30,"مشکوک",IF(BH886&gt;0,"هشدار","عادی")))</f>
        <v>عادی</v>
      </c>
      <c r="BJ886" s="16" t="s">
        <v>338</v>
      </c>
    </row>
    <row r="887" customFormat="false" ht="15" hidden="false" customHeight="false" outlineLevel="0" collapsed="false">
      <c r="A887" s="16" t="s">
        <v>2995</v>
      </c>
      <c r="B887" s="16" t="s">
        <v>892</v>
      </c>
      <c r="C887" s="16" t="s">
        <v>2996</v>
      </c>
      <c r="D887" s="16" t="s">
        <v>382</v>
      </c>
      <c r="E887" s="16" t="s">
        <v>332</v>
      </c>
      <c r="F887" s="16" t="s">
        <v>333</v>
      </c>
      <c r="G887" s="17" t="n">
        <v>46293.3737615741</v>
      </c>
      <c r="H887" s="17" t="n">
        <v>46293.3897337963</v>
      </c>
      <c r="I887" s="18" t="n">
        <f aca="false">IF(H887="",ROUND((تنظیمات!$B$7-G887)*1440,0),ROUND((H887-G887)*1440,0))</f>
        <v>23</v>
      </c>
      <c r="J887" s="16" t="s">
        <v>334</v>
      </c>
      <c r="K887" s="16" t="s">
        <v>410</v>
      </c>
      <c r="L887" s="19" t="n">
        <v>0.89</v>
      </c>
      <c r="M887" s="19" t="n">
        <v>0.924</v>
      </c>
      <c r="N887" s="16" t="s">
        <v>340</v>
      </c>
      <c r="O887" s="16" t="s">
        <v>666</v>
      </c>
      <c r="P887" s="16" t="s">
        <v>402</v>
      </c>
      <c r="Q887" s="20" t="n">
        <v>46293</v>
      </c>
      <c r="R887" s="16" t="s">
        <v>2997</v>
      </c>
      <c r="S887" s="16" t="s">
        <v>404</v>
      </c>
      <c r="T887" s="17"/>
      <c r="U887" s="21" t="n">
        <v>1</v>
      </c>
      <c r="V887" s="21" t="n">
        <v>1</v>
      </c>
      <c r="W887" s="22" t="n">
        <v>5.7</v>
      </c>
      <c r="X887" s="16" t="s">
        <v>335</v>
      </c>
      <c r="Y887" s="16" t="s">
        <v>338</v>
      </c>
      <c r="Z887" s="16" t="s">
        <v>413</v>
      </c>
      <c r="AA887" s="16" t="s">
        <v>414</v>
      </c>
      <c r="AB887" s="23" t="s">
        <v>2998</v>
      </c>
      <c r="AC887" s="17" t="n">
        <v>46293.3888888889</v>
      </c>
      <c r="AD887" s="16" t="s">
        <v>338</v>
      </c>
      <c r="AE887" s="16"/>
      <c r="AF887" s="16" t="str">
        <f aca="false">IF(COUNTIF(لیست_سفید!$A$2:$A$21,B887)&gt;0,"بله","خیر")</f>
        <v>خیر</v>
      </c>
      <c r="AG887" s="24" t="n">
        <f aca="false">IF(H887="","",IF(AD887="فیش مفقودی",تنظیمات!$B$6,(INT(I887/1440)*تنظیمات!$B$5+IF(MOD(I887,1440)&lt;=تنظیمات!$B$2,0,MIN(تنظیمات!$B$5,تنظیمات!$B$3+MAX(0,ROUNDUP((MOD(I887,1440)-60)/60,0))*تنظیمات!$B$4)))*INDEX(تعرفه!$B$2:$B$7,MATCH(AD887,تعرفه!$A$2:$A$7,0))))</f>
        <v>20000</v>
      </c>
      <c r="AH887" s="24" t="n">
        <v>20000</v>
      </c>
      <c r="AI887" s="24" t="n">
        <f aca="false">IF(AG887="","",AH887-AG887)</f>
        <v>0</v>
      </c>
      <c r="AJ887" s="21" t="n">
        <v>0</v>
      </c>
      <c r="AK887" s="21" t="n">
        <v>0</v>
      </c>
      <c r="AL887" s="16" t="s">
        <v>335</v>
      </c>
      <c r="AM887" s="16"/>
      <c r="AN887" s="16" t="s">
        <v>340</v>
      </c>
      <c r="AO887" s="16" t="s">
        <v>340</v>
      </c>
      <c r="AP887" s="16" t="s">
        <v>335</v>
      </c>
      <c r="AQ887" s="16"/>
      <c r="AR887" s="21" t="n">
        <f aca="false">IF(AND(T887&lt;&gt;"",H887&lt;&gt;""),IF(AND((T887-H887)*86400&gt;=0,(T887-H887)*86400&lt;تنظیمات!$B$13),1,0),0)</f>
        <v>0</v>
      </c>
      <c r="AS887" s="21" t="n">
        <f aca="false">IF(Z887="پوز",IF(OR(AB887="",COUNTIF(پوزها!$A$2:$A$5,AA887)=0),1,0),0)</f>
        <v>0</v>
      </c>
      <c r="AT887" s="21" t="n">
        <f aca="false">IF(AI887="",0,IF(AI887&gt;0,1,0))</f>
        <v>0</v>
      </c>
      <c r="AU887" s="21" t="n">
        <f aca="false">IF(AI887="",0,IF(AI887&lt;0,1,0))</f>
        <v>0</v>
      </c>
      <c r="AV887" s="21" t="n">
        <f aca="false">IF(U887&gt;V887,1,0)</f>
        <v>0</v>
      </c>
      <c r="AW887" s="21" t="n">
        <f aca="false">IF(OR(W887&gt;تنظیمات!$B$8,X887="بله"),1,0)</f>
        <v>0</v>
      </c>
      <c r="AX887" s="21" t="n">
        <f aca="false">IF(AND(N887="بله",L887&gt;تنظیمات!$B$9),1,0)</f>
        <v>1</v>
      </c>
      <c r="AY887" s="21" t="n">
        <f aca="false">IF(Y887="معکوس",1,0)</f>
        <v>0</v>
      </c>
      <c r="AZ887" s="21" t="n">
        <f aca="false">IF(ABS(AJ887)&gt;تنظیمات!$B$10,1,0)</f>
        <v>0</v>
      </c>
      <c r="BA887" s="21" t="n">
        <f aca="false">IF(AND(OR(AD887="رایگان/VIP",AD887="جانباز"),AF887="خیر"),1,0)</f>
        <v>0</v>
      </c>
      <c r="BB887" s="21" t="n">
        <f aca="false">IF(AE887="",0,IF(COUNTIF($AE$2:$AE$1001,AE887)&gt;1,1,0))</f>
        <v>0</v>
      </c>
      <c r="BC887" s="21" t="n">
        <f aca="false">IF(AND(H887="",I887&gt;تنظیمات!$B$12*60,AM887="خالی"),1,0)</f>
        <v>0</v>
      </c>
      <c r="BD887" s="21" t="n">
        <f aca="false">IF(AND(AP887="بله",I887&lt;تنظیمات!$B$14,AO887="خیر"),1,0)</f>
        <v>0</v>
      </c>
      <c r="BE887" s="21" t="n">
        <f aca="false">IF(AN887="خیر",1,0)</f>
        <v>0</v>
      </c>
      <c r="BF887" s="21" t="n">
        <f aca="false">IF(AND(AD887="فیش مفقودی",AQ887="بله",I887&gt;تنظیمات!$B$12*60),1,0)</f>
        <v>0</v>
      </c>
      <c r="BG887" s="21" t="n">
        <f aca="false">IF(AND(AK887&gt;تنظیمات!$B$11,AL887="بله"),1,0)</f>
        <v>0</v>
      </c>
      <c r="BH887" s="21" t="n">
        <f aca="false">MIN(100,AR887*تنظیمات!$B$21+AS887*تنظیمات!$B$22+AT887*تنظیمات!$B$23+AU887*تنظیمات!$B$24+AV887*تنظیمات!$B$25+AW887*تنظیمات!$B$26+AX887*تنظیمات!$B$27+AY887*تنظیمات!$B$28+AZ887*تنظیمات!$B$29+BA887*تنظیمات!$B$30+BB887*تنظیمات!$B$31+BC887*تنظیمات!$B$32+BD887*تنظیمات!$B$33+BE887*تنظیمات!$B$34+BF887*تنظیمات!$B$35+BG887*تنظیمات!$B$36)</f>
        <v>30</v>
      </c>
      <c r="BI887" s="16" t="str">
        <f aca="false">IF(BH887&gt;=60,"بحرانی",IF(BH887&gt;=30,"مشکوک",IF(BH887&gt;0,"هشدار","عادی")))</f>
        <v>مشکوک</v>
      </c>
      <c r="BJ887" s="16" t="s">
        <v>622</v>
      </c>
    </row>
    <row r="888" customFormat="false" ht="15" hidden="false" customHeight="false" outlineLevel="0" collapsed="false">
      <c r="A888" s="16" t="s">
        <v>2999</v>
      </c>
      <c r="B888" s="16" t="s">
        <v>522</v>
      </c>
      <c r="C888" s="16"/>
      <c r="D888" s="16" t="s">
        <v>523</v>
      </c>
      <c r="E888" s="16" t="s">
        <v>351</v>
      </c>
      <c r="F888" s="16" t="s">
        <v>333</v>
      </c>
      <c r="G888" s="17" t="n">
        <v>46293.3842592593</v>
      </c>
      <c r="H888" s="17" t="n">
        <v>46293.5606481481</v>
      </c>
      <c r="I888" s="18" t="n">
        <f aca="false">IF(H888="",ROUND((تنظیمات!$B$7-G888)*1440,0),ROUND((H888-G888)*1440,0))</f>
        <v>254</v>
      </c>
      <c r="J888" s="16" t="s">
        <v>334</v>
      </c>
      <c r="K888" s="16" t="s">
        <v>400</v>
      </c>
      <c r="L888" s="19" t="n">
        <v>0.975</v>
      </c>
      <c r="M888" s="19" t="n">
        <v>0.878</v>
      </c>
      <c r="N888" s="16" t="s">
        <v>335</v>
      </c>
      <c r="O888" s="16" t="s">
        <v>650</v>
      </c>
      <c r="P888" s="16" t="s">
        <v>402</v>
      </c>
      <c r="Q888" s="20" t="n">
        <v>46293</v>
      </c>
      <c r="R888" s="16" t="s">
        <v>3000</v>
      </c>
      <c r="S888" s="16" t="s">
        <v>404</v>
      </c>
      <c r="T888" s="17"/>
      <c r="U888" s="21" t="n">
        <v>1</v>
      </c>
      <c r="V888" s="21" t="n">
        <v>1</v>
      </c>
      <c r="W888" s="22" t="n">
        <v>4.6</v>
      </c>
      <c r="X888" s="16" t="s">
        <v>335</v>
      </c>
      <c r="Y888" s="16" t="s">
        <v>338</v>
      </c>
      <c r="Z888" s="16" t="s">
        <v>443</v>
      </c>
      <c r="AA888" s="16"/>
      <c r="AB888" s="23"/>
      <c r="AC888" s="17"/>
      <c r="AD888" s="16" t="s">
        <v>444</v>
      </c>
      <c r="AE888" s="16"/>
      <c r="AF888" s="16" t="str">
        <f aca="false">IF(COUNTIF(لیست_سفید!$A$2:$A$21,B888)&gt;0,"بله","خیر")</f>
        <v>خیر</v>
      </c>
      <c r="AG888" s="24" t="n">
        <f aca="false">IF(H888="","",IF(AD888="فیش مفقودی",تنظیمات!$B$6,(INT(I888/1440)*تنظیمات!$B$5+IF(MOD(I888,1440)&lt;=تنظیمات!$B$2,0,MIN(تنظیمات!$B$5,تنظیمات!$B$3+MAX(0,ROUNDUP((MOD(I888,1440)-60)/60,0))*تنظیمات!$B$4)))*INDEX(تعرفه!$B$2:$B$7,MATCH(AD888,تعرفه!$A$2:$A$7,0))))</f>
        <v>0</v>
      </c>
      <c r="AH888" s="24" t="n">
        <v>0</v>
      </c>
      <c r="AI888" s="24" t="n">
        <f aca="false">IF(AG888="","",AH888-AG888)</f>
        <v>0</v>
      </c>
      <c r="AJ888" s="21" t="n">
        <v>-1</v>
      </c>
      <c r="AK888" s="21" t="n">
        <v>0</v>
      </c>
      <c r="AL888" s="16" t="s">
        <v>335</v>
      </c>
      <c r="AM888" s="16"/>
      <c r="AN888" s="16" t="s">
        <v>340</v>
      </c>
      <c r="AO888" s="16" t="s">
        <v>340</v>
      </c>
      <c r="AP888" s="16" t="s">
        <v>335</v>
      </c>
      <c r="AQ888" s="16"/>
      <c r="AR888" s="21" t="n">
        <f aca="false">IF(AND(T888&lt;&gt;"",H888&lt;&gt;""),IF(AND((T888-H888)*86400&gt;=0,(T888-H888)*86400&lt;تنظیمات!$B$13),1,0),0)</f>
        <v>0</v>
      </c>
      <c r="AS888" s="21" t="n">
        <f aca="false">IF(Z888="پوز",IF(OR(AB888="",COUNTIF(پوزها!$A$2:$A$5,AA888)=0),1,0),0)</f>
        <v>0</v>
      </c>
      <c r="AT888" s="21" t="n">
        <f aca="false">IF(AI888="",0,IF(AI888&gt;0,1,0))</f>
        <v>0</v>
      </c>
      <c r="AU888" s="21" t="n">
        <f aca="false">IF(AI888="",0,IF(AI888&lt;0,1,0))</f>
        <v>0</v>
      </c>
      <c r="AV888" s="21" t="n">
        <f aca="false">IF(U888&gt;V888,1,0)</f>
        <v>0</v>
      </c>
      <c r="AW888" s="21" t="n">
        <f aca="false">IF(OR(W888&gt;تنظیمات!$B$8,X888="بله"),1,0)</f>
        <v>0</v>
      </c>
      <c r="AX888" s="21" t="n">
        <f aca="false">IF(AND(N888="بله",L888&gt;تنظیمات!$B$9),1,0)</f>
        <v>0</v>
      </c>
      <c r="AY888" s="21" t="n">
        <f aca="false">IF(Y888="معکوس",1,0)</f>
        <v>0</v>
      </c>
      <c r="AZ888" s="21" t="n">
        <f aca="false">IF(ABS(AJ888)&gt;تنظیمات!$B$10,1,0)</f>
        <v>0</v>
      </c>
      <c r="BA888" s="21" t="n">
        <f aca="false">IF(AND(OR(AD888="رایگان/VIP",AD888="جانباز"),AF888="خیر"),1,0)</f>
        <v>0</v>
      </c>
      <c r="BB888" s="21" t="n">
        <f aca="false">IF(AE888="",0,IF(COUNTIF($AE$2:$AE$1001,AE888)&gt;1,1,0))</f>
        <v>0</v>
      </c>
      <c r="BC888" s="21" t="n">
        <f aca="false">IF(AND(H888="",I888&gt;تنظیمات!$B$12*60,AM888="خالی"),1,0)</f>
        <v>0</v>
      </c>
      <c r="BD888" s="21" t="n">
        <f aca="false">IF(AND(AP888="بله",I888&lt;تنظیمات!$B$14,AO888="خیر"),1,0)</f>
        <v>0</v>
      </c>
      <c r="BE888" s="21" t="n">
        <f aca="false">IF(AN888="خیر",1,0)</f>
        <v>0</v>
      </c>
      <c r="BF888" s="21" t="n">
        <f aca="false">IF(AND(AD888="فیش مفقودی",AQ888="بله",I888&gt;تنظیمات!$B$12*60),1,0)</f>
        <v>0</v>
      </c>
      <c r="BG888" s="21" t="n">
        <f aca="false">IF(AND(AK888&gt;تنظیمات!$B$11,AL888="بله"),1,0)</f>
        <v>0</v>
      </c>
      <c r="BH888" s="21" t="n">
        <f aca="false">MIN(100,AR888*تنظیمات!$B$21+AS888*تنظیمات!$B$22+AT888*تنظیمات!$B$23+AU888*تنظیمات!$B$24+AV888*تنظیمات!$B$25+AW888*تنظیمات!$B$26+AX888*تنظیمات!$B$27+AY888*تنظیمات!$B$28+AZ888*تنظیمات!$B$29+BA888*تنظیمات!$B$30+BB888*تنظیمات!$B$31+BC888*تنظیمات!$B$32+BD888*تنظیمات!$B$33+BE888*تنظیمات!$B$34+BF888*تنظیمات!$B$35+BG888*تنظیمات!$B$36)</f>
        <v>0</v>
      </c>
      <c r="BI888" s="16" t="str">
        <f aca="false">IF(BH888&gt;=60,"بحرانی",IF(BH888&gt;=30,"مشکوک",IF(BH888&gt;0,"هشدار","عادی")))</f>
        <v>عادی</v>
      </c>
      <c r="BJ888" s="16" t="s">
        <v>338</v>
      </c>
    </row>
    <row r="889" customFormat="false" ht="15" hidden="false" customHeight="false" outlineLevel="0" collapsed="false">
      <c r="A889" s="16" t="s">
        <v>3001</v>
      </c>
      <c r="B889" s="16" t="s">
        <v>812</v>
      </c>
      <c r="C889" s="16"/>
      <c r="D889" s="16" t="s">
        <v>531</v>
      </c>
      <c r="E889" s="16" t="s">
        <v>351</v>
      </c>
      <c r="F889" s="16" t="s">
        <v>333</v>
      </c>
      <c r="G889" s="17" t="n">
        <v>46293.3979861111</v>
      </c>
      <c r="H889" s="17" t="n">
        <v>46293.5334027778</v>
      </c>
      <c r="I889" s="18" t="n">
        <f aca="false">IF(H889="",ROUND((تنظیمات!$B$7-G889)*1440,0),ROUND((H889-G889)*1440,0))</f>
        <v>195</v>
      </c>
      <c r="J889" s="16" t="s">
        <v>346</v>
      </c>
      <c r="K889" s="16" t="s">
        <v>400</v>
      </c>
      <c r="L889" s="19" t="n">
        <v>0.995</v>
      </c>
      <c r="M889" s="19" t="n">
        <v>0.896</v>
      </c>
      <c r="N889" s="16" t="s">
        <v>335</v>
      </c>
      <c r="O889" s="16" t="s">
        <v>650</v>
      </c>
      <c r="P889" s="16" t="s">
        <v>402</v>
      </c>
      <c r="Q889" s="20" t="n">
        <v>46293</v>
      </c>
      <c r="R889" s="16" t="s">
        <v>3002</v>
      </c>
      <c r="S889" s="16" t="s">
        <v>404</v>
      </c>
      <c r="T889" s="17"/>
      <c r="U889" s="21" t="n">
        <v>1</v>
      </c>
      <c r="V889" s="21" t="n">
        <v>1</v>
      </c>
      <c r="W889" s="22" t="n">
        <v>4</v>
      </c>
      <c r="X889" s="16" t="s">
        <v>335</v>
      </c>
      <c r="Y889" s="16" t="s">
        <v>338</v>
      </c>
      <c r="Z889" s="16" t="s">
        <v>413</v>
      </c>
      <c r="AA889" s="16" t="s">
        <v>427</v>
      </c>
      <c r="AB889" s="23" t="s">
        <v>3003</v>
      </c>
      <c r="AC889" s="17" t="n">
        <v>46293.5325462963</v>
      </c>
      <c r="AD889" s="16" t="s">
        <v>338</v>
      </c>
      <c r="AE889" s="16"/>
      <c r="AF889" s="16" t="str">
        <f aca="false">IF(COUNTIF(لیست_سفید!$A$2:$A$21,B889)&gt;0,"بله","خیر")</f>
        <v>خیر</v>
      </c>
      <c r="AG889" s="24" t="n">
        <f aca="false">IF(H889="","",IF(AD889="فیش مفقودی",تنظیمات!$B$6,(INT(I889/1440)*تنظیمات!$B$5+IF(MOD(I889,1440)&lt;=تنظیمات!$B$2,0,MIN(تنظیمات!$B$5,تنظیمات!$B$3+MAX(0,ROUNDUP((MOD(I889,1440)-60)/60,0))*تنظیمات!$B$4)))*INDEX(تعرفه!$B$2:$B$7,MATCH(AD889,تعرفه!$A$2:$A$7,0))))</f>
        <v>62000</v>
      </c>
      <c r="AH889" s="24" t="n">
        <v>62000</v>
      </c>
      <c r="AI889" s="24" t="n">
        <f aca="false">IF(AG889="","",AH889-AG889)</f>
        <v>0</v>
      </c>
      <c r="AJ889" s="21" t="n">
        <v>-1</v>
      </c>
      <c r="AK889" s="21" t="n">
        <v>0</v>
      </c>
      <c r="AL889" s="16" t="s">
        <v>335</v>
      </c>
      <c r="AM889" s="16"/>
      <c r="AN889" s="16" t="s">
        <v>340</v>
      </c>
      <c r="AO889" s="16" t="s">
        <v>340</v>
      </c>
      <c r="AP889" s="16" t="s">
        <v>335</v>
      </c>
      <c r="AQ889" s="16"/>
      <c r="AR889" s="21" t="n">
        <f aca="false">IF(AND(T889&lt;&gt;"",H889&lt;&gt;""),IF(AND((T889-H889)*86400&gt;=0,(T889-H889)*86400&lt;تنظیمات!$B$13),1,0),0)</f>
        <v>0</v>
      </c>
      <c r="AS889" s="21" t="n">
        <f aca="false">IF(Z889="پوز",IF(OR(AB889="",COUNTIF(پوزها!$A$2:$A$5,AA889)=0),1,0),0)</f>
        <v>0</v>
      </c>
      <c r="AT889" s="21" t="n">
        <f aca="false">IF(AI889="",0,IF(AI889&gt;0,1,0))</f>
        <v>0</v>
      </c>
      <c r="AU889" s="21" t="n">
        <f aca="false">IF(AI889="",0,IF(AI889&lt;0,1,0))</f>
        <v>0</v>
      </c>
      <c r="AV889" s="21" t="n">
        <f aca="false">IF(U889&gt;V889,1,0)</f>
        <v>0</v>
      </c>
      <c r="AW889" s="21" t="n">
        <f aca="false">IF(OR(W889&gt;تنظیمات!$B$8,X889="بله"),1,0)</f>
        <v>0</v>
      </c>
      <c r="AX889" s="21" t="n">
        <f aca="false">IF(AND(N889="بله",L889&gt;تنظیمات!$B$9),1,0)</f>
        <v>0</v>
      </c>
      <c r="AY889" s="21" t="n">
        <f aca="false">IF(Y889="معکوس",1,0)</f>
        <v>0</v>
      </c>
      <c r="AZ889" s="21" t="n">
        <f aca="false">IF(ABS(AJ889)&gt;تنظیمات!$B$10,1,0)</f>
        <v>0</v>
      </c>
      <c r="BA889" s="21" t="n">
        <f aca="false">IF(AND(OR(AD889="رایگان/VIP",AD889="جانباز"),AF889="خیر"),1,0)</f>
        <v>0</v>
      </c>
      <c r="BB889" s="21" t="n">
        <f aca="false">IF(AE889="",0,IF(COUNTIF($AE$2:$AE$1001,AE889)&gt;1,1,0))</f>
        <v>0</v>
      </c>
      <c r="BC889" s="21" t="n">
        <f aca="false">IF(AND(H889="",I889&gt;تنظیمات!$B$12*60,AM889="خالی"),1,0)</f>
        <v>0</v>
      </c>
      <c r="BD889" s="21" t="n">
        <f aca="false">IF(AND(AP889="بله",I889&lt;تنظیمات!$B$14,AO889="خیر"),1,0)</f>
        <v>0</v>
      </c>
      <c r="BE889" s="21" t="n">
        <f aca="false">IF(AN889="خیر",1,0)</f>
        <v>0</v>
      </c>
      <c r="BF889" s="21" t="n">
        <f aca="false">IF(AND(AD889="فیش مفقودی",AQ889="بله",I889&gt;تنظیمات!$B$12*60),1,0)</f>
        <v>0</v>
      </c>
      <c r="BG889" s="21" t="n">
        <f aca="false">IF(AND(AK889&gt;تنظیمات!$B$11,AL889="بله"),1,0)</f>
        <v>0</v>
      </c>
      <c r="BH889" s="21" t="n">
        <f aca="false">MIN(100,AR889*تنظیمات!$B$21+AS889*تنظیمات!$B$22+AT889*تنظیمات!$B$23+AU889*تنظیمات!$B$24+AV889*تنظیمات!$B$25+AW889*تنظیمات!$B$26+AX889*تنظیمات!$B$27+AY889*تنظیمات!$B$28+AZ889*تنظیمات!$B$29+BA889*تنظیمات!$B$30+BB889*تنظیمات!$B$31+BC889*تنظیمات!$B$32+BD889*تنظیمات!$B$33+BE889*تنظیمات!$B$34+BF889*تنظیمات!$B$35+BG889*تنظیمات!$B$36)</f>
        <v>0</v>
      </c>
      <c r="BI889" s="16" t="str">
        <f aca="false">IF(BH889&gt;=60,"بحرانی",IF(BH889&gt;=30,"مشکوک",IF(BH889&gt;0,"هشدار","عادی")))</f>
        <v>عادی</v>
      </c>
      <c r="BJ889" s="16" t="s">
        <v>338</v>
      </c>
    </row>
    <row r="890" customFormat="false" ht="15" hidden="false" customHeight="false" outlineLevel="0" collapsed="false">
      <c r="A890" s="16" t="s">
        <v>3004</v>
      </c>
      <c r="B890" s="16" t="s">
        <v>1239</v>
      </c>
      <c r="C890" s="16"/>
      <c r="D890" s="16" t="s">
        <v>382</v>
      </c>
      <c r="E890" s="16" t="s">
        <v>345</v>
      </c>
      <c r="F890" s="16" t="s">
        <v>333</v>
      </c>
      <c r="G890" s="17" t="n">
        <v>46293.4001388889</v>
      </c>
      <c r="H890" s="17" t="n">
        <v>46293.5668055556</v>
      </c>
      <c r="I890" s="18" t="n">
        <f aca="false">IF(H890="",ROUND((تنظیمات!$B$7-G890)*1440,0),ROUND((H890-G890)*1440,0))</f>
        <v>240</v>
      </c>
      <c r="J890" s="16" t="s">
        <v>346</v>
      </c>
      <c r="K890" s="16" t="s">
        <v>410</v>
      </c>
      <c r="L890" s="19" t="n">
        <v>0.944</v>
      </c>
      <c r="M890" s="19" t="n">
        <v>0.986</v>
      </c>
      <c r="N890" s="16" t="s">
        <v>335</v>
      </c>
      <c r="O890" s="16" t="s">
        <v>666</v>
      </c>
      <c r="P890" s="16" t="s">
        <v>402</v>
      </c>
      <c r="Q890" s="20" t="n">
        <v>46293</v>
      </c>
      <c r="R890" s="16" t="s">
        <v>3005</v>
      </c>
      <c r="S890" s="16" t="s">
        <v>606</v>
      </c>
      <c r="T890" s="17" t="n">
        <v>46293.5683912037</v>
      </c>
      <c r="U890" s="21" t="n">
        <v>1</v>
      </c>
      <c r="V890" s="21" t="n">
        <v>1</v>
      </c>
      <c r="W890" s="22" t="n">
        <v>4.6</v>
      </c>
      <c r="X890" s="16" t="s">
        <v>335</v>
      </c>
      <c r="Y890" s="16" t="s">
        <v>338</v>
      </c>
      <c r="Z890" s="16" t="s">
        <v>405</v>
      </c>
      <c r="AA890" s="16"/>
      <c r="AB890" s="23"/>
      <c r="AC890" s="17"/>
      <c r="AD890" s="16" t="s">
        <v>338</v>
      </c>
      <c r="AE890" s="16"/>
      <c r="AF890" s="16" t="str">
        <f aca="false">IF(COUNTIF(لیست_سفید!$A$2:$A$21,B890)&gt;0,"بله","خیر")</f>
        <v>خیر</v>
      </c>
      <c r="AG890" s="24" t="n">
        <f aca="false">IF(H890="","",IF(AD890="فیش مفقودی",تنظیمات!$B$6,(INT(I890/1440)*تنظیمات!$B$5+IF(MOD(I890,1440)&lt;=تنظیمات!$B$2,0,MIN(تنظیمات!$B$5,تنظیمات!$B$3+MAX(0,ROUNDUP((MOD(I890,1440)-60)/60,0))*تنظیمات!$B$4)))*INDEX(تعرفه!$B$2:$B$7,MATCH(AD890,تعرفه!$A$2:$A$7,0))))</f>
        <v>62000</v>
      </c>
      <c r="AH890" s="24" t="n">
        <v>0</v>
      </c>
      <c r="AI890" s="24" t="n">
        <f aca="false">IF(AG890="","",AH890-AG890)</f>
        <v>-62000</v>
      </c>
      <c r="AJ890" s="21" t="n">
        <v>-2</v>
      </c>
      <c r="AK890" s="21" t="n">
        <v>0</v>
      </c>
      <c r="AL890" s="16" t="s">
        <v>335</v>
      </c>
      <c r="AM890" s="16"/>
      <c r="AN890" s="16" t="s">
        <v>340</v>
      </c>
      <c r="AO890" s="16" t="s">
        <v>340</v>
      </c>
      <c r="AP890" s="16" t="s">
        <v>335</v>
      </c>
      <c r="AQ890" s="16"/>
      <c r="AR890" s="21" t="n">
        <f aca="false">IF(AND(T890&lt;&gt;"",H890&lt;&gt;""),IF(AND((T890-H890)*86400&gt;=0,(T890-H890)*86400&lt;تنظیمات!$B$13),1,0),0)</f>
        <v>1</v>
      </c>
      <c r="AS890" s="21" t="n">
        <f aca="false">IF(Z890="پوز",IF(OR(AB890="",COUNTIF(پوزها!$A$2:$A$5,AA890)=0),1,0),0)</f>
        <v>0</v>
      </c>
      <c r="AT890" s="21" t="n">
        <f aca="false">IF(AI890="",0,IF(AI890&gt;0,1,0))</f>
        <v>0</v>
      </c>
      <c r="AU890" s="21" t="n">
        <f aca="false">IF(AI890="",0,IF(AI890&lt;0,1,0))</f>
        <v>1</v>
      </c>
      <c r="AV890" s="21" t="n">
        <f aca="false">IF(U890&gt;V890,1,0)</f>
        <v>0</v>
      </c>
      <c r="AW890" s="21" t="n">
        <f aca="false">IF(OR(W890&gt;تنظیمات!$B$8,X890="بله"),1,0)</f>
        <v>0</v>
      </c>
      <c r="AX890" s="21" t="n">
        <f aca="false">IF(AND(N890="بله",L890&gt;تنظیمات!$B$9),1,0)</f>
        <v>0</v>
      </c>
      <c r="AY890" s="21" t="n">
        <f aca="false">IF(Y890="معکوس",1,0)</f>
        <v>0</v>
      </c>
      <c r="AZ890" s="21" t="n">
        <f aca="false">IF(ABS(AJ890)&gt;تنظیمات!$B$10,1,0)</f>
        <v>0</v>
      </c>
      <c r="BA890" s="21" t="n">
        <f aca="false">IF(AND(OR(AD890="رایگان/VIP",AD890="جانباز"),AF890="خیر"),1,0)</f>
        <v>0</v>
      </c>
      <c r="BB890" s="21" t="n">
        <f aca="false">IF(AE890="",0,IF(COUNTIF($AE$2:$AE$1001,AE890)&gt;1,1,0))</f>
        <v>0</v>
      </c>
      <c r="BC890" s="21" t="n">
        <f aca="false">IF(AND(H890="",I890&gt;تنظیمات!$B$12*60,AM890="خالی"),1,0)</f>
        <v>0</v>
      </c>
      <c r="BD890" s="21" t="n">
        <f aca="false">IF(AND(AP890="بله",I890&lt;تنظیمات!$B$14,AO890="خیر"),1,0)</f>
        <v>0</v>
      </c>
      <c r="BE890" s="21" t="n">
        <f aca="false">IF(AN890="خیر",1,0)</f>
        <v>0</v>
      </c>
      <c r="BF890" s="21" t="n">
        <f aca="false">IF(AND(AD890="فیش مفقودی",AQ890="بله",I890&gt;تنظیمات!$B$12*60),1,0)</f>
        <v>0</v>
      </c>
      <c r="BG890" s="21" t="n">
        <f aca="false">IF(AND(AK890&gt;تنظیمات!$B$11,AL890="بله"),1,0)</f>
        <v>0</v>
      </c>
      <c r="BH890" s="21" t="n">
        <f aca="false">MIN(100,AR890*تنظیمات!$B$21+AS890*تنظیمات!$B$22+AT890*تنظیمات!$B$23+AU890*تنظیمات!$B$24+AV890*تنظیمات!$B$25+AW890*تنظیمات!$B$26+AX890*تنظیمات!$B$27+AY890*تنظیمات!$B$28+AZ890*تنظیمات!$B$29+BA890*تنظیمات!$B$30+BB890*تنظیمات!$B$31+BC890*تنظیمات!$B$32+BD890*تنظیمات!$B$33+BE890*تنظیمات!$B$34+BF890*تنظیمات!$B$35+BG890*تنظیمات!$B$36)</f>
        <v>65</v>
      </c>
      <c r="BI890" s="16" t="str">
        <f aca="false">IF(BH890&gt;=60,"بحرانی",IF(BH890&gt;=30,"مشکوک",IF(BH890&gt;0,"هشدار","عادی")))</f>
        <v>بحرانی</v>
      </c>
      <c r="BJ890" s="16" t="s">
        <v>607</v>
      </c>
    </row>
    <row r="891" customFormat="false" ht="15" hidden="false" customHeight="false" outlineLevel="0" collapsed="false">
      <c r="A891" s="16" t="s">
        <v>3006</v>
      </c>
      <c r="B891" s="16" t="s">
        <v>2307</v>
      </c>
      <c r="C891" s="16"/>
      <c r="D891" s="16" t="s">
        <v>370</v>
      </c>
      <c r="E891" s="16" t="s">
        <v>375</v>
      </c>
      <c r="F891" s="16" t="s">
        <v>333</v>
      </c>
      <c r="G891" s="17" t="n">
        <v>46293.4110300926</v>
      </c>
      <c r="H891" s="17" t="n">
        <v>46293.5797800926</v>
      </c>
      <c r="I891" s="18" t="n">
        <f aca="false">IF(H891="",ROUND((تنظیمات!$B$7-G891)*1440,0),ROUND((H891-G891)*1440,0))</f>
        <v>243</v>
      </c>
      <c r="J891" s="16" t="s">
        <v>346</v>
      </c>
      <c r="K891" s="16" t="s">
        <v>400</v>
      </c>
      <c r="L891" s="19" t="n">
        <v>0.931</v>
      </c>
      <c r="M891" s="19" t="n">
        <v>0.924</v>
      </c>
      <c r="N891" s="16" t="s">
        <v>335</v>
      </c>
      <c r="O891" s="16" t="s">
        <v>650</v>
      </c>
      <c r="P891" s="16" t="s">
        <v>402</v>
      </c>
      <c r="Q891" s="20" t="n">
        <v>46293</v>
      </c>
      <c r="R891" s="16" t="s">
        <v>3007</v>
      </c>
      <c r="S891" s="16" t="s">
        <v>404</v>
      </c>
      <c r="T891" s="17"/>
      <c r="U891" s="21" t="n">
        <v>1</v>
      </c>
      <c r="V891" s="21" t="n">
        <v>1</v>
      </c>
      <c r="W891" s="22" t="n">
        <v>3.7</v>
      </c>
      <c r="X891" s="16" t="s">
        <v>335</v>
      </c>
      <c r="Y891" s="16" t="s">
        <v>338</v>
      </c>
      <c r="Z891" s="16" t="s">
        <v>443</v>
      </c>
      <c r="AA891" s="16"/>
      <c r="AB891" s="23"/>
      <c r="AC891" s="17"/>
      <c r="AD891" s="16" t="s">
        <v>444</v>
      </c>
      <c r="AE891" s="16"/>
      <c r="AF891" s="16" t="str">
        <f aca="false">IF(COUNTIF(لیست_سفید!$A$2:$A$21,B891)&gt;0,"بله","خیر")</f>
        <v>خیر</v>
      </c>
      <c r="AG891" s="24" t="n">
        <f aca="false">IF(H891="","",IF(AD891="فیش مفقودی",تنظیمات!$B$6,(INT(I891/1440)*تنظیمات!$B$5+IF(MOD(I891,1440)&lt;=تنظیمات!$B$2,0,MIN(تنظیمات!$B$5,تنظیمات!$B$3+MAX(0,ROUNDUP((MOD(I891,1440)-60)/60,0))*تنظیمات!$B$4)))*INDEX(تعرفه!$B$2:$B$7,MATCH(AD891,تعرفه!$A$2:$A$7,0))))</f>
        <v>0</v>
      </c>
      <c r="AH891" s="24" t="n">
        <v>0</v>
      </c>
      <c r="AI891" s="24" t="n">
        <f aca="false">IF(AG891="","",AH891-AG891)</f>
        <v>0</v>
      </c>
      <c r="AJ891" s="21" t="n">
        <v>-3</v>
      </c>
      <c r="AK891" s="21" t="n">
        <v>10</v>
      </c>
      <c r="AL891" s="16" t="s">
        <v>335</v>
      </c>
      <c r="AM891" s="16"/>
      <c r="AN891" s="16" t="s">
        <v>340</v>
      </c>
      <c r="AO891" s="16" t="s">
        <v>340</v>
      </c>
      <c r="AP891" s="16" t="s">
        <v>335</v>
      </c>
      <c r="AQ891" s="16"/>
      <c r="AR891" s="21" t="n">
        <f aca="false">IF(AND(T891&lt;&gt;"",H891&lt;&gt;""),IF(AND((T891-H891)*86400&gt;=0,(T891-H891)*86400&lt;تنظیمات!$B$13),1,0),0)</f>
        <v>0</v>
      </c>
      <c r="AS891" s="21" t="n">
        <f aca="false">IF(Z891="پوز",IF(OR(AB891="",COUNTIF(پوزها!$A$2:$A$5,AA891)=0),1,0),0)</f>
        <v>0</v>
      </c>
      <c r="AT891" s="21" t="n">
        <f aca="false">IF(AI891="",0,IF(AI891&gt;0,1,0))</f>
        <v>0</v>
      </c>
      <c r="AU891" s="21" t="n">
        <f aca="false">IF(AI891="",0,IF(AI891&lt;0,1,0))</f>
        <v>0</v>
      </c>
      <c r="AV891" s="21" t="n">
        <f aca="false">IF(U891&gt;V891,1,0)</f>
        <v>0</v>
      </c>
      <c r="AW891" s="21" t="n">
        <f aca="false">IF(OR(W891&gt;تنظیمات!$B$8,X891="بله"),1,0)</f>
        <v>0</v>
      </c>
      <c r="AX891" s="21" t="n">
        <f aca="false">IF(AND(N891="بله",L891&gt;تنظیمات!$B$9),1,0)</f>
        <v>0</v>
      </c>
      <c r="AY891" s="21" t="n">
        <f aca="false">IF(Y891="معکوس",1,0)</f>
        <v>0</v>
      </c>
      <c r="AZ891" s="21" t="n">
        <f aca="false">IF(ABS(AJ891)&gt;تنظیمات!$B$10,1,0)</f>
        <v>0</v>
      </c>
      <c r="BA891" s="21" t="n">
        <f aca="false">IF(AND(OR(AD891="رایگان/VIP",AD891="جانباز"),AF891="خیر"),1,0)</f>
        <v>0</v>
      </c>
      <c r="BB891" s="21" t="n">
        <f aca="false">IF(AE891="",0,IF(COUNTIF($AE$2:$AE$1001,AE891)&gt;1,1,0))</f>
        <v>0</v>
      </c>
      <c r="BC891" s="21" t="n">
        <f aca="false">IF(AND(H891="",I891&gt;تنظیمات!$B$12*60,AM891="خالی"),1,0)</f>
        <v>0</v>
      </c>
      <c r="BD891" s="21" t="n">
        <f aca="false">IF(AND(AP891="بله",I891&lt;تنظیمات!$B$14,AO891="خیر"),1,0)</f>
        <v>0</v>
      </c>
      <c r="BE891" s="21" t="n">
        <f aca="false">IF(AN891="خیر",1,0)</f>
        <v>0</v>
      </c>
      <c r="BF891" s="21" t="n">
        <f aca="false">IF(AND(AD891="فیش مفقودی",AQ891="بله",I891&gt;تنظیمات!$B$12*60),1,0)</f>
        <v>0</v>
      </c>
      <c r="BG891" s="21" t="n">
        <f aca="false">IF(AND(AK891&gt;تنظیمات!$B$11,AL891="بله"),1,0)</f>
        <v>0</v>
      </c>
      <c r="BH891" s="21" t="n">
        <f aca="false">MIN(100,AR891*تنظیمات!$B$21+AS891*تنظیمات!$B$22+AT891*تنظیمات!$B$23+AU891*تنظیمات!$B$24+AV891*تنظیمات!$B$25+AW891*تنظیمات!$B$26+AX891*تنظیمات!$B$27+AY891*تنظیمات!$B$28+AZ891*تنظیمات!$B$29+BA891*تنظیمات!$B$30+BB891*تنظیمات!$B$31+BC891*تنظیمات!$B$32+BD891*تنظیمات!$B$33+BE891*تنظیمات!$B$34+BF891*تنظیمات!$B$35+BG891*تنظیمات!$B$36)</f>
        <v>0</v>
      </c>
      <c r="BI891" s="16" t="str">
        <f aca="false">IF(BH891&gt;=60,"بحرانی",IF(BH891&gt;=30,"مشکوک",IF(BH891&gt;0,"هشدار","عادی")))</f>
        <v>عادی</v>
      </c>
      <c r="BJ891" s="16" t="s">
        <v>338</v>
      </c>
    </row>
    <row r="892" customFormat="false" ht="15" hidden="false" customHeight="false" outlineLevel="0" collapsed="false">
      <c r="A892" s="16" t="s">
        <v>3008</v>
      </c>
      <c r="B892" s="16" t="s">
        <v>586</v>
      </c>
      <c r="C892" s="16"/>
      <c r="D892" s="16" t="s">
        <v>382</v>
      </c>
      <c r="E892" s="16" t="s">
        <v>345</v>
      </c>
      <c r="F892" s="16" t="s">
        <v>333</v>
      </c>
      <c r="G892" s="17" t="n">
        <v>46293.4445949074</v>
      </c>
      <c r="H892" s="17" t="n">
        <v>46293.6883449074</v>
      </c>
      <c r="I892" s="18" t="n">
        <f aca="false">IF(H892="",ROUND((تنظیمات!$B$7-G892)*1440,0),ROUND((H892-G892)*1440,0))</f>
        <v>351</v>
      </c>
      <c r="J892" s="16" t="s">
        <v>346</v>
      </c>
      <c r="K892" s="16" t="s">
        <v>400</v>
      </c>
      <c r="L892" s="19" t="n">
        <v>0.935</v>
      </c>
      <c r="M892" s="19" t="n">
        <v>0.995</v>
      </c>
      <c r="N892" s="16" t="s">
        <v>335</v>
      </c>
      <c r="O892" s="16" t="s">
        <v>677</v>
      </c>
      <c r="P892" s="16" t="s">
        <v>420</v>
      </c>
      <c r="Q892" s="20" t="n">
        <v>46293</v>
      </c>
      <c r="R892" s="16" t="s">
        <v>3009</v>
      </c>
      <c r="S892" s="16" t="s">
        <v>404</v>
      </c>
      <c r="T892" s="17"/>
      <c r="U892" s="21" t="n">
        <v>1</v>
      </c>
      <c r="V892" s="21" t="n">
        <v>1</v>
      </c>
      <c r="W892" s="22" t="n">
        <v>6</v>
      </c>
      <c r="X892" s="16" t="s">
        <v>335</v>
      </c>
      <c r="Y892" s="16" t="s">
        <v>338</v>
      </c>
      <c r="Z892" s="16" t="s">
        <v>413</v>
      </c>
      <c r="AA892" s="16" t="s">
        <v>427</v>
      </c>
      <c r="AB892" s="23" t="s">
        <v>3010</v>
      </c>
      <c r="AC892" s="17" t="n">
        <v>46293.6878703704</v>
      </c>
      <c r="AD892" s="16" t="s">
        <v>338</v>
      </c>
      <c r="AE892" s="16"/>
      <c r="AF892" s="16" t="str">
        <f aca="false">IF(COUNTIF(لیست_سفید!$A$2:$A$21,B892)&gt;0,"بله","خیر")</f>
        <v>خیر</v>
      </c>
      <c r="AG892" s="24" t="n">
        <f aca="false">IF(H892="","",IF(AD892="فیش مفقودی",تنظیمات!$B$6,(INT(I892/1440)*تنظیمات!$B$5+IF(MOD(I892,1440)&lt;=تنظیمات!$B$2,0,MIN(تنظیمات!$B$5,تنظیمات!$B$3+MAX(0,ROUNDUP((MOD(I892,1440)-60)/60,0))*تنظیمات!$B$4)))*INDEX(تعرفه!$B$2:$B$7,MATCH(AD892,تعرفه!$A$2:$A$7,0))))</f>
        <v>90000</v>
      </c>
      <c r="AH892" s="24" t="n">
        <v>90000</v>
      </c>
      <c r="AI892" s="24" t="n">
        <f aca="false">IF(AG892="","",AH892-AG892)</f>
        <v>0</v>
      </c>
      <c r="AJ892" s="21" t="n">
        <v>-2</v>
      </c>
      <c r="AK892" s="21" t="n">
        <v>0</v>
      </c>
      <c r="AL892" s="16" t="s">
        <v>335</v>
      </c>
      <c r="AM892" s="16"/>
      <c r="AN892" s="16" t="s">
        <v>340</v>
      </c>
      <c r="AO892" s="16" t="s">
        <v>340</v>
      </c>
      <c r="AP892" s="16" t="s">
        <v>335</v>
      </c>
      <c r="AQ892" s="16"/>
      <c r="AR892" s="21" t="n">
        <f aca="false">IF(AND(T892&lt;&gt;"",H892&lt;&gt;""),IF(AND((T892-H892)*86400&gt;=0,(T892-H892)*86400&lt;تنظیمات!$B$13),1,0),0)</f>
        <v>0</v>
      </c>
      <c r="AS892" s="21" t="n">
        <f aca="false">IF(Z892="پوز",IF(OR(AB892="",COUNTIF(پوزها!$A$2:$A$5,AA892)=0),1,0),0)</f>
        <v>0</v>
      </c>
      <c r="AT892" s="21" t="n">
        <f aca="false">IF(AI892="",0,IF(AI892&gt;0,1,0))</f>
        <v>0</v>
      </c>
      <c r="AU892" s="21" t="n">
        <f aca="false">IF(AI892="",0,IF(AI892&lt;0,1,0))</f>
        <v>0</v>
      </c>
      <c r="AV892" s="21" t="n">
        <f aca="false">IF(U892&gt;V892,1,0)</f>
        <v>0</v>
      </c>
      <c r="AW892" s="21" t="n">
        <f aca="false">IF(OR(W892&gt;تنظیمات!$B$8,X892="بله"),1,0)</f>
        <v>0</v>
      </c>
      <c r="AX892" s="21" t="n">
        <f aca="false">IF(AND(N892="بله",L892&gt;تنظیمات!$B$9),1,0)</f>
        <v>0</v>
      </c>
      <c r="AY892" s="21" t="n">
        <f aca="false">IF(Y892="معکوس",1,0)</f>
        <v>0</v>
      </c>
      <c r="AZ892" s="21" t="n">
        <f aca="false">IF(ABS(AJ892)&gt;تنظیمات!$B$10,1,0)</f>
        <v>0</v>
      </c>
      <c r="BA892" s="21" t="n">
        <f aca="false">IF(AND(OR(AD892="رایگان/VIP",AD892="جانباز"),AF892="خیر"),1,0)</f>
        <v>0</v>
      </c>
      <c r="BB892" s="21" t="n">
        <f aca="false">IF(AE892="",0,IF(COUNTIF($AE$2:$AE$1001,AE892)&gt;1,1,0))</f>
        <v>0</v>
      </c>
      <c r="BC892" s="21" t="n">
        <f aca="false">IF(AND(H892="",I892&gt;تنظیمات!$B$12*60,AM892="خالی"),1,0)</f>
        <v>0</v>
      </c>
      <c r="BD892" s="21" t="n">
        <f aca="false">IF(AND(AP892="بله",I892&lt;تنظیمات!$B$14,AO892="خیر"),1,0)</f>
        <v>0</v>
      </c>
      <c r="BE892" s="21" t="n">
        <f aca="false">IF(AN892="خیر",1,0)</f>
        <v>0</v>
      </c>
      <c r="BF892" s="21" t="n">
        <f aca="false">IF(AND(AD892="فیش مفقودی",AQ892="بله",I892&gt;تنظیمات!$B$12*60),1,0)</f>
        <v>0</v>
      </c>
      <c r="BG892" s="21" t="n">
        <f aca="false">IF(AND(AK892&gt;تنظیمات!$B$11,AL892="بله"),1,0)</f>
        <v>0</v>
      </c>
      <c r="BH892" s="21" t="n">
        <f aca="false">MIN(100,AR892*تنظیمات!$B$21+AS892*تنظیمات!$B$22+AT892*تنظیمات!$B$23+AU892*تنظیمات!$B$24+AV892*تنظیمات!$B$25+AW892*تنظیمات!$B$26+AX892*تنظیمات!$B$27+AY892*تنظیمات!$B$28+AZ892*تنظیمات!$B$29+BA892*تنظیمات!$B$30+BB892*تنظیمات!$B$31+BC892*تنظیمات!$B$32+BD892*تنظیمات!$B$33+BE892*تنظیمات!$B$34+BF892*تنظیمات!$B$35+BG892*تنظیمات!$B$36)</f>
        <v>0</v>
      </c>
      <c r="BI892" s="16" t="str">
        <f aca="false">IF(BH892&gt;=60,"بحرانی",IF(BH892&gt;=30,"مشکوک",IF(BH892&gt;0,"هشدار","عادی")))</f>
        <v>عادی</v>
      </c>
      <c r="BJ892" s="16" t="s">
        <v>338</v>
      </c>
    </row>
    <row r="893" customFormat="false" ht="15" hidden="false" customHeight="false" outlineLevel="0" collapsed="false">
      <c r="A893" s="16" t="s">
        <v>3011</v>
      </c>
      <c r="B893" s="16" t="s">
        <v>543</v>
      </c>
      <c r="C893" s="16"/>
      <c r="D893" s="16" t="s">
        <v>431</v>
      </c>
      <c r="E893" s="16" t="s">
        <v>332</v>
      </c>
      <c r="F893" s="16" t="s">
        <v>333</v>
      </c>
      <c r="G893" s="17" t="n">
        <v>46293.4514930556</v>
      </c>
      <c r="H893" s="17" t="n">
        <v>46293.4903819444</v>
      </c>
      <c r="I893" s="18" t="n">
        <f aca="false">IF(H893="",ROUND((تنظیمات!$B$7-G893)*1440,0),ROUND((H893-G893)*1440,0))</f>
        <v>56</v>
      </c>
      <c r="J893" s="16" t="s">
        <v>346</v>
      </c>
      <c r="K893" s="16" t="s">
        <v>400</v>
      </c>
      <c r="L893" s="19" t="n">
        <v>0.968</v>
      </c>
      <c r="M893" s="19" t="n">
        <v>0.964</v>
      </c>
      <c r="N893" s="16" t="s">
        <v>335</v>
      </c>
      <c r="O893" s="16" t="s">
        <v>650</v>
      </c>
      <c r="P893" s="16" t="s">
        <v>402</v>
      </c>
      <c r="Q893" s="20" t="n">
        <v>46293</v>
      </c>
      <c r="R893" s="16" t="s">
        <v>3012</v>
      </c>
      <c r="S893" s="16" t="s">
        <v>404</v>
      </c>
      <c r="T893" s="17"/>
      <c r="U893" s="21" t="n">
        <v>1</v>
      </c>
      <c r="V893" s="21" t="n">
        <v>1</v>
      </c>
      <c r="W893" s="22" t="n">
        <v>5.4</v>
      </c>
      <c r="X893" s="16" t="s">
        <v>335</v>
      </c>
      <c r="Y893" s="16" t="s">
        <v>338</v>
      </c>
      <c r="Z893" s="16" t="s">
        <v>413</v>
      </c>
      <c r="AA893" s="16" t="s">
        <v>427</v>
      </c>
      <c r="AB893" s="23" t="s">
        <v>3013</v>
      </c>
      <c r="AC893" s="17" t="n">
        <v>46293.4901157407</v>
      </c>
      <c r="AD893" s="16" t="s">
        <v>338</v>
      </c>
      <c r="AE893" s="16"/>
      <c r="AF893" s="16" t="str">
        <f aca="false">IF(COUNTIF(لیست_سفید!$A$2:$A$21,B893)&gt;0,"بله","خیر")</f>
        <v>خیر</v>
      </c>
      <c r="AG893" s="24" t="n">
        <f aca="false">IF(H893="","",IF(AD893="فیش مفقودی",تنظیمات!$B$6,(INT(I893/1440)*تنظیمات!$B$5+IF(MOD(I893,1440)&lt;=تنظیمات!$B$2,0,MIN(تنظیمات!$B$5,تنظیمات!$B$3+MAX(0,ROUNDUP((MOD(I893,1440)-60)/60,0))*تنظیمات!$B$4)))*INDEX(تعرفه!$B$2:$B$7,MATCH(AD893,تعرفه!$A$2:$A$7,0))))</f>
        <v>20000</v>
      </c>
      <c r="AH893" s="24" t="n">
        <v>20000</v>
      </c>
      <c r="AI893" s="24" t="n">
        <f aca="false">IF(AG893="","",AH893-AG893)</f>
        <v>0</v>
      </c>
      <c r="AJ893" s="21" t="n">
        <v>-2</v>
      </c>
      <c r="AK893" s="21" t="n">
        <v>0</v>
      </c>
      <c r="AL893" s="16" t="s">
        <v>335</v>
      </c>
      <c r="AM893" s="16"/>
      <c r="AN893" s="16" t="s">
        <v>340</v>
      </c>
      <c r="AO893" s="16" t="s">
        <v>340</v>
      </c>
      <c r="AP893" s="16" t="s">
        <v>335</v>
      </c>
      <c r="AQ893" s="16"/>
      <c r="AR893" s="21" t="n">
        <f aca="false">IF(AND(T893&lt;&gt;"",H893&lt;&gt;""),IF(AND((T893-H893)*86400&gt;=0,(T893-H893)*86400&lt;تنظیمات!$B$13),1,0),0)</f>
        <v>0</v>
      </c>
      <c r="AS893" s="21" t="n">
        <f aca="false">IF(Z893="پوز",IF(OR(AB893="",COUNTIF(پوزها!$A$2:$A$5,AA893)=0),1,0),0)</f>
        <v>0</v>
      </c>
      <c r="AT893" s="21" t="n">
        <f aca="false">IF(AI893="",0,IF(AI893&gt;0,1,0))</f>
        <v>0</v>
      </c>
      <c r="AU893" s="21" t="n">
        <f aca="false">IF(AI893="",0,IF(AI893&lt;0,1,0))</f>
        <v>0</v>
      </c>
      <c r="AV893" s="21" t="n">
        <f aca="false">IF(U893&gt;V893,1,0)</f>
        <v>0</v>
      </c>
      <c r="AW893" s="21" t="n">
        <f aca="false">IF(OR(W893&gt;تنظیمات!$B$8,X893="بله"),1,0)</f>
        <v>0</v>
      </c>
      <c r="AX893" s="21" t="n">
        <f aca="false">IF(AND(N893="بله",L893&gt;تنظیمات!$B$9),1,0)</f>
        <v>0</v>
      </c>
      <c r="AY893" s="21" t="n">
        <f aca="false">IF(Y893="معکوس",1,0)</f>
        <v>0</v>
      </c>
      <c r="AZ893" s="21" t="n">
        <f aca="false">IF(ABS(AJ893)&gt;تنظیمات!$B$10,1,0)</f>
        <v>0</v>
      </c>
      <c r="BA893" s="21" t="n">
        <f aca="false">IF(AND(OR(AD893="رایگان/VIP",AD893="جانباز"),AF893="خیر"),1,0)</f>
        <v>0</v>
      </c>
      <c r="BB893" s="21" t="n">
        <f aca="false">IF(AE893="",0,IF(COUNTIF($AE$2:$AE$1001,AE893)&gt;1,1,0))</f>
        <v>0</v>
      </c>
      <c r="BC893" s="21" t="n">
        <f aca="false">IF(AND(H893="",I893&gt;تنظیمات!$B$12*60,AM893="خالی"),1,0)</f>
        <v>0</v>
      </c>
      <c r="BD893" s="21" t="n">
        <f aca="false">IF(AND(AP893="بله",I893&lt;تنظیمات!$B$14,AO893="خیر"),1,0)</f>
        <v>0</v>
      </c>
      <c r="BE893" s="21" t="n">
        <f aca="false">IF(AN893="خیر",1,0)</f>
        <v>0</v>
      </c>
      <c r="BF893" s="21" t="n">
        <f aca="false">IF(AND(AD893="فیش مفقودی",AQ893="بله",I893&gt;تنظیمات!$B$12*60),1,0)</f>
        <v>0</v>
      </c>
      <c r="BG893" s="21" t="n">
        <f aca="false">IF(AND(AK893&gt;تنظیمات!$B$11,AL893="بله"),1,0)</f>
        <v>0</v>
      </c>
      <c r="BH893" s="21" t="n">
        <f aca="false">MIN(100,AR893*تنظیمات!$B$21+AS893*تنظیمات!$B$22+AT893*تنظیمات!$B$23+AU893*تنظیمات!$B$24+AV893*تنظیمات!$B$25+AW893*تنظیمات!$B$26+AX893*تنظیمات!$B$27+AY893*تنظیمات!$B$28+AZ893*تنظیمات!$B$29+BA893*تنظیمات!$B$30+BB893*تنظیمات!$B$31+BC893*تنظیمات!$B$32+BD893*تنظیمات!$B$33+BE893*تنظیمات!$B$34+BF893*تنظیمات!$B$35+BG893*تنظیمات!$B$36)</f>
        <v>0</v>
      </c>
      <c r="BI893" s="16" t="str">
        <f aca="false">IF(BH893&gt;=60,"بحرانی",IF(BH893&gt;=30,"مشکوک",IF(BH893&gt;0,"هشدار","عادی")))</f>
        <v>عادی</v>
      </c>
      <c r="BJ893" s="16" t="s">
        <v>338</v>
      </c>
    </row>
    <row r="894" customFormat="false" ht="15" hidden="false" customHeight="false" outlineLevel="0" collapsed="false">
      <c r="A894" s="16" t="s">
        <v>3014</v>
      </c>
      <c r="B894" s="16" t="s">
        <v>1855</v>
      </c>
      <c r="C894" s="16"/>
      <c r="D894" s="16" t="s">
        <v>431</v>
      </c>
      <c r="E894" s="16" t="s">
        <v>332</v>
      </c>
      <c r="F894" s="16" t="s">
        <v>333</v>
      </c>
      <c r="G894" s="17" t="n">
        <v>46293.4584953704</v>
      </c>
      <c r="H894" s="17" t="n">
        <v>46293.7605787037</v>
      </c>
      <c r="I894" s="18" t="n">
        <f aca="false">IF(H894="",ROUND((تنظیمات!$B$7-G894)*1440,0),ROUND((H894-G894)*1440,0))</f>
        <v>435</v>
      </c>
      <c r="J894" s="16" t="s">
        <v>346</v>
      </c>
      <c r="K894" s="16" t="s">
        <v>410</v>
      </c>
      <c r="L894" s="19" t="n">
        <v>0.936</v>
      </c>
      <c r="M894" s="19" t="n">
        <v>0.947</v>
      </c>
      <c r="N894" s="16" t="s">
        <v>335</v>
      </c>
      <c r="O894" s="16" t="s">
        <v>425</v>
      </c>
      <c r="P894" s="16" t="s">
        <v>420</v>
      </c>
      <c r="Q894" s="20" t="n">
        <v>46293</v>
      </c>
      <c r="R894" s="16" t="s">
        <v>3015</v>
      </c>
      <c r="S894" s="16" t="s">
        <v>404</v>
      </c>
      <c r="T894" s="17"/>
      <c r="U894" s="21" t="n">
        <v>1</v>
      </c>
      <c r="V894" s="21" t="n">
        <v>1</v>
      </c>
      <c r="W894" s="22" t="n">
        <v>2.9</v>
      </c>
      <c r="X894" s="16" t="s">
        <v>335</v>
      </c>
      <c r="Y894" s="16" t="s">
        <v>338</v>
      </c>
      <c r="Z894" s="16" t="s">
        <v>465</v>
      </c>
      <c r="AA894" s="16"/>
      <c r="AB894" s="23"/>
      <c r="AC894" s="17"/>
      <c r="AD894" s="16" t="s">
        <v>466</v>
      </c>
      <c r="AE894" s="16"/>
      <c r="AF894" s="16" t="str">
        <f aca="false">IF(COUNTIF(لیست_سفید!$A$2:$A$21,B894)&gt;0,"بله","خیر")</f>
        <v>بله</v>
      </c>
      <c r="AG894" s="24" t="n">
        <f aca="false">IF(H894="","",IF(AD894="فیش مفقودی",تنظیمات!$B$6,(INT(I894/1440)*تنظیمات!$B$5+IF(MOD(I894,1440)&lt;=تنظیمات!$B$2,0,MIN(تنظیمات!$B$5,تنظیمات!$B$3+MAX(0,ROUNDUP((MOD(I894,1440)-60)/60,0))*تنظیمات!$B$4)))*INDEX(تعرفه!$B$2:$B$7,MATCH(AD894,تعرفه!$A$2:$A$7,0))))</f>
        <v>0</v>
      </c>
      <c r="AH894" s="24" t="n">
        <v>0</v>
      </c>
      <c r="AI894" s="24" t="n">
        <f aca="false">IF(AG894="","",AH894-AG894)</f>
        <v>0</v>
      </c>
      <c r="AJ894" s="21" t="n">
        <v>0</v>
      </c>
      <c r="AK894" s="21" t="n">
        <v>0</v>
      </c>
      <c r="AL894" s="16" t="s">
        <v>335</v>
      </c>
      <c r="AM894" s="16"/>
      <c r="AN894" s="16" t="s">
        <v>340</v>
      </c>
      <c r="AO894" s="16" t="s">
        <v>340</v>
      </c>
      <c r="AP894" s="16" t="s">
        <v>335</v>
      </c>
      <c r="AQ894" s="16"/>
      <c r="AR894" s="21" t="n">
        <f aca="false">IF(AND(T894&lt;&gt;"",H894&lt;&gt;""),IF(AND((T894-H894)*86400&gt;=0,(T894-H894)*86400&lt;تنظیمات!$B$13),1,0),0)</f>
        <v>0</v>
      </c>
      <c r="AS894" s="21" t="n">
        <f aca="false">IF(Z894="پوز",IF(OR(AB894="",COUNTIF(پوزها!$A$2:$A$5,AA894)=0),1,0),0)</f>
        <v>0</v>
      </c>
      <c r="AT894" s="21" t="n">
        <f aca="false">IF(AI894="",0,IF(AI894&gt;0,1,0))</f>
        <v>0</v>
      </c>
      <c r="AU894" s="21" t="n">
        <f aca="false">IF(AI894="",0,IF(AI894&lt;0,1,0))</f>
        <v>0</v>
      </c>
      <c r="AV894" s="21" t="n">
        <f aca="false">IF(U894&gt;V894,1,0)</f>
        <v>0</v>
      </c>
      <c r="AW894" s="21" t="n">
        <f aca="false">IF(OR(W894&gt;تنظیمات!$B$8,X894="بله"),1,0)</f>
        <v>0</v>
      </c>
      <c r="AX894" s="21" t="n">
        <f aca="false">IF(AND(N894="بله",L894&gt;تنظیمات!$B$9),1,0)</f>
        <v>0</v>
      </c>
      <c r="AY894" s="21" t="n">
        <f aca="false">IF(Y894="معکوس",1,0)</f>
        <v>0</v>
      </c>
      <c r="AZ894" s="21" t="n">
        <f aca="false">IF(ABS(AJ894)&gt;تنظیمات!$B$10,1,0)</f>
        <v>0</v>
      </c>
      <c r="BA894" s="21" t="n">
        <f aca="false">IF(AND(OR(AD894="رایگان/VIP",AD894="جانباز"),AF894="خیر"),1,0)</f>
        <v>0</v>
      </c>
      <c r="BB894" s="21" t="n">
        <f aca="false">IF(AE894="",0,IF(COUNTIF($AE$2:$AE$1001,AE894)&gt;1,1,0))</f>
        <v>0</v>
      </c>
      <c r="BC894" s="21" t="n">
        <f aca="false">IF(AND(H894="",I894&gt;تنظیمات!$B$12*60,AM894="خالی"),1,0)</f>
        <v>0</v>
      </c>
      <c r="BD894" s="21" t="n">
        <f aca="false">IF(AND(AP894="بله",I894&lt;تنظیمات!$B$14,AO894="خیر"),1,0)</f>
        <v>0</v>
      </c>
      <c r="BE894" s="21" t="n">
        <f aca="false">IF(AN894="خیر",1,0)</f>
        <v>0</v>
      </c>
      <c r="BF894" s="21" t="n">
        <f aca="false">IF(AND(AD894="فیش مفقودی",AQ894="بله",I894&gt;تنظیمات!$B$12*60),1,0)</f>
        <v>0</v>
      </c>
      <c r="BG894" s="21" t="n">
        <f aca="false">IF(AND(AK894&gt;تنظیمات!$B$11,AL894="بله"),1,0)</f>
        <v>0</v>
      </c>
      <c r="BH894" s="21" t="n">
        <f aca="false">MIN(100,AR894*تنظیمات!$B$21+AS894*تنظیمات!$B$22+AT894*تنظیمات!$B$23+AU894*تنظیمات!$B$24+AV894*تنظیمات!$B$25+AW894*تنظیمات!$B$26+AX894*تنظیمات!$B$27+AY894*تنظیمات!$B$28+AZ894*تنظیمات!$B$29+BA894*تنظیمات!$B$30+BB894*تنظیمات!$B$31+BC894*تنظیمات!$B$32+BD894*تنظیمات!$B$33+BE894*تنظیمات!$B$34+BF894*تنظیمات!$B$35+BG894*تنظیمات!$B$36)</f>
        <v>0</v>
      </c>
      <c r="BI894" s="16" t="str">
        <f aca="false">IF(BH894&gt;=60,"بحرانی",IF(BH894&gt;=30,"مشکوک",IF(BH894&gt;0,"هشدار","عادی")))</f>
        <v>عادی</v>
      </c>
      <c r="BJ894" s="16" t="s">
        <v>338</v>
      </c>
    </row>
    <row r="895" customFormat="false" ht="15" hidden="false" customHeight="false" outlineLevel="0" collapsed="false">
      <c r="A895" s="16" t="s">
        <v>3016</v>
      </c>
      <c r="B895" s="16" t="s">
        <v>753</v>
      </c>
      <c r="C895" s="16" t="s">
        <v>3017</v>
      </c>
      <c r="D895" s="16" t="s">
        <v>508</v>
      </c>
      <c r="E895" s="16" t="s">
        <v>363</v>
      </c>
      <c r="F895" s="16" t="s">
        <v>333</v>
      </c>
      <c r="G895" s="17" t="n">
        <v>46293.4603009259</v>
      </c>
      <c r="H895" s="17" t="n">
        <v>46293.4693287037</v>
      </c>
      <c r="I895" s="18" t="n">
        <f aca="false">IF(H895="",ROUND((تنظیمات!$B$7-G895)*1440,0),ROUND((H895-G895)*1440,0))</f>
        <v>13</v>
      </c>
      <c r="J895" s="16" t="s">
        <v>334</v>
      </c>
      <c r="K895" s="16" t="s">
        <v>410</v>
      </c>
      <c r="L895" s="19" t="n">
        <v>0.861</v>
      </c>
      <c r="M895" s="19" t="n">
        <v>0.891</v>
      </c>
      <c r="N895" s="16" t="s">
        <v>340</v>
      </c>
      <c r="O895" s="16" t="s">
        <v>666</v>
      </c>
      <c r="P895" s="16" t="s">
        <v>402</v>
      </c>
      <c r="Q895" s="20" t="n">
        <v>46293</v>
      </c>
      <c r="R895" s="16" t="s">
        <v>3018</v>
      </c>
      <c r="S895" s="16" t="s">
        <v>404</v>
      </c>
      <c r="T895" s="17"/>
      <c r="U895" s="21" t="n">
        <v>1</v>
      </c>
      <c r="V895" s="21" t="n">
        <v>1</v>
      </c>
      <c r="W895" s="22" t="n">
        <v>3.4</v>
      </c>
      <c r="X895" s="16" t="s">
        <v>335</v>
      </c>
      <c r="Y895" s="16" t="s">
        <v>338</v>
      </c>
      <c r="Z895" s="16" t="s">
        <v>413</v>
      </c>
      <c r="AA895" s="16" t="s">
        <v>414</v>
      </c>
      <c r="AB895" s="23" t="s">
        <v>3019</v>
      </c>
      <c r="AC895" s="17" t="n">
        <v>46293.4688425926</v>
      </c>
      <c r="AD895" s="16" t="s">
        <v>338</v>
      </c>
      <c r="AE895" s="16"/>
      <c r="AF895" s="16" t="str">
        <f aca="false">IF(COUNTIF(لیست_سفید!$A$2:$A$21,B895)&gt;0,"بله","خیر")</f>
        <v>خیر</v>
      </c>
      <c r="AG895" s="24" t="n">
        <f aca="false">IF(H895="","",IF(AD895="فیش مفقودی",تنظیمات!$B$6,(INT(I895/1440)*تنظیمات!$B$5+IF(MOD(I895,1440)&lt;=تنظیمات!$B$2,0,MIN(تنظیمات!$B$5,تنظیمات!$B$3+MAX(0,ROUNDUP((MOD(I895,1440)-60)/60,0))*تنظیمات!$B$4)))*INDEX(تعرفه!$B$2:$B$7,MATCH(AD895,تعرفه!$A$2:$A$7,0))))</f>
        <v>20000</v>
      </c>
      <c r="AH895" s="24" t="n">
        <v>20000</v>
      </c>
      <c r="AI895" s="24" t="n">
        <f aca="false">IF(AG895="","",AH895-AG895)</f>
        <v>0</v>
      </c>
      <c r="AJ895" s="21" t="n">
        <v>0</v>
      </c>
      <c r="AK895" s="21" t="n">
        <v>0</v>
      </c>
      <c r="AL895" s="16" t="s">
        <v>335</v>
      </c>
      <c r="AM895" s="16"/>
      <c r="AN895" s="16" t="s">
        <v>340</v>
      </c>
      <c r="AO895" s="16" t="s">
        <v>340</v>
      </c>
      <c r="AP895" s="16" t="s">
        <v>335</v>
      </c>
      <c r="AQ895" s="16"/>
      <c r="AR895" s="21" t="n">
        <f aca="false">IF(AND(T895&lt;&gt;"",H895&lt;&gt;""),IF(AND((T895-H895)*86400&gt;=0,(T895-H895)*86400&lt;تنظیمات!$B$13),1,0),0)</f>
        <v>0</v>
      </c>
      <c r="AS895" s="21" t="n">
        <f aca="false">IF(Z895="پوز",IF(OR(AB895="",COUNTIF(پوزها!$A$2:$A$5,AA895)=0),1,0),0)</f>
        <v>0</v>
      </c>
      <c r="AT895" s="21" t="n">
        <f aca="false">IF(AI895="",0,IF(AI895&gt;0,1,0))</f>
        <v>0</v>
      </c>
      <c r="AU895" s="21" t="n">
        <f aca="false">IF(AI895="",0,IF(AI895&lt;0,1,0))</f>
        <v>0</v>
      </c>
      <c r="AV895" s="21" t="n">
        <f aca="false">IF(U895&gt;V895,1,0)</f>
        <v>0</v>
      </c>
      <c r="AW895" s="21" t="n">
        <f aca="false">IF(OR(W895&gt;تنظیمات!$B$8,X895="بله"),1,0)</f>
        <v>0</v>
      </c>
      <c r="AX895" s="21" t="n">
        <f aca="false">IF(AND(N895="بله",L895&gt;تنظیمات!$B$9),1,0)</f>
        <v>1</v>
      </c>
      <c r="AY895" s="21" t="n">
        <f aca="false">IF(Y895="معکوس",1,0)</f>
        <v>0</v>
      </c>
      <c r="AZ895" s="21" t="n">
        <f aca="false">IF(ABS(AJ895)&gt;تنظیمات!$B$10,1,0)</f>
        <v>0</v>
      </c>
      <c r="BA895" s="21" t="n">
        <f aca="false">IF(AND(OR(AD895="رایگان/VIP",AD895="جانباز"),AF895="خیر"),1,0)</f>
        <v>0</v>
      </c>
      <c r="BB895" s="21" t="n">
        <f aca="false">IF(AE895="",0,IF(COUNTIF($AE$2:$AE$1001,AE895)&gt;1,1,0))</f>
        <v>0</v>
      </c>
      <c r="BC895" s="21" t="n">
        <f aca="false">IF(AND(H895="",I895&gt;تنظیمات!$B$12*60,AM895="خالی"),1,0)</f>
        <v>0</v>
      </c>
      <c r="BD895" s="21" t="n">
        <f aca="false">IF(AND(AP895="بله",I895&lt;تنظیمات!$B$14,AO895="خیر"),1,0)</f>
        <v>0</v>
      </c>
      <c r="BE895" s="21" t="n">
        <f aca="false">IF(AN895="خیر",1,0)</f>
        <v>0</v>
      </c>
      <c r="BF895" s="21" t="n">
        <f aca="false">IF(AND(AD895="فیش مفقودی",AQ895="بله",I895&gt;تنظیمات!$B$12*60),1,0)</f>
        <v>0</v>
      </c>
      <c r="BG895" s="21" t="n">
        <f aca="false">IF(AND(AK895&gt;تنظیمات!$B$11,AL895="بله"),1,0)</f>
        <v>0</v>
      </c>
      <c r="BH895" s="21" t="n">
        <f aca="false">MIN(100,AR895*تنظیمات!$B$21+AS895*تنظیمات!$B$22+AT895*تنظیمات!$B$23+AU895*تنظیمات!$B$24+AV895*تنظیمات!$B$25+AW895*تنظیمات!$B$26+AX895*تنظیمات!$B$27+AY895*تنظیمات!$B$28+AZ895*تنظیمات!$B$29+BA895*تنظیمات!$B$30+BB895*تنظیمات!$B$31+BC895*تنظیمات!$B$32+BD895*تنظیمات!$B$33+BE895*تنظیمات!$B$34+BF895*تنظیمات!$B$35+BG895*تنظیمات!$B$36)</f>
        <v>30</v>
      </c>
      <c r="BI895" s="16" t="str">
        <f aca="false">IF(BH895&gt;=60,"بحرانی",IF(BH895&gt;=30,"مشکوک",IF(BH895&gt;0,"هشدار","عادی")))</f>
        <v>مشکوک</v>
      </c>
      <c r="BJ895" s="16" t="s">
        <v>622</v>
      </c>
    </row>
    <row r="896" customFormat="false" ht="15" hidden="false" customHeight="false" outlineLevel="0" collapsed="false">
      <c r="A896" s="16" t="s">
        <v>3020</v>
      </c>
      <c r="B896" s="16" t="s">
        <v>856</v>
      </c>
      <c r="C896" s="16"/>
      <c r="D896" s="16" t="s">
        <v>523</v>
      </c>
      <c r="E896" s="16" t="s">
        <v>390</v>
      </c>
      <c r="F896" s="16" t="s">
        <v>333</v>
      </c>
      <c r="G896" s="17" t="n">
        <v>46293.4749884259</v>
      </c>
      <c r="H896" s="17" t="n">
        <v>46293.6194328704</v>
      </c>
      <c r="I896" s="18" t="n">
        <f aca="false">IF(H896="",ROUND((تنظیمات!$B$7-G896)*1440,0),ROUND((H896-G896)*1440,0))</f>
        <v>208</v>
      </c>
      <c r="J896" s="16" t="s">
        <v>346</v>
      </c>
      <c r="K896" s="16" t="s">
        <v>400</v>
      </c>
      <c r="L896" s="19" t="n">
        <v>0.922</v>
      </c>
      <c r="M896" s="19" t="n">
        <v>0.939</v>
      </c>
      <c r="N896" s="16" t="s">
        <v>335</v>
      </c>
      <c r="O896" s="16" t="s">
        <v>677</v>
      </c>
      <c r="P896" s="16" t="s">
        <v>420</v>
      </c>
      <c r="Q896" s="20" t="n">
        <v>46293</v>
      </c>
      <c r="R896" s="16" t="s">
        <v>3021</v>
      </c>
      <c r="S896" s="16" t="s">
        <v>404</v>
      </c>
      <c r="T896" s="17"/>
      <c r="U896" s="21" t="n">
        <v>1</v>
      </c>
      <c r="V896" s="21" t="n">
        <v>1</v>
      </c>
      <c r="W896" s="22" t="n">
        <v>5.1</v>
      </c>
      <c r="X896" s="16" t="s">
        <v>335</v>
      </c>
      <c r="Y896" s="16" t="s">
        <v>338</v>
      </c>
      <c r="Z896" s="16" t="s">
        <v>413</v>
      </c>
      <c r="AA896" s="16" t="s">
        <v>427</v>
      </c>
      <c r="AB896" s="23" t="s">
        <v>3022</v>
      </c>
      <c r="AC896" s="17" t="n">
        <v>46293.6188773148</v>
      </c>
      <c r="AD896" s="16" t="s">
        <v>338</v>
      </c>
      <c r="AE896" s="16"/>
      <c r="AF896" s="16" t="str">
        <f aca="false">IF(COUNTIF(لیست_سفید!$A$2:$A$21,B896)&gt;0,"بله","خیر")</f>
        <v>خیر</v>
      </c>
      <c r="AG896" s="24" t="n">
        <f aca="false">IF(H896="","",IF(AD896="فیش مفقودی",تنظیمات!$B$6,(INT(I896/1440)*تنظیمات!$B$5+IF(MOD(I896,1440)&lt;=تنظیمات!$B$2,0,MIN(تنظیمات!$B$5,تنظیمات!$B$3+MAX(0,ROUNDUP((MOD(I896,1440)-60)/60,0))*تنظیمات!$B$4)))*INDEX(تعرفه!$B$2:$B$7,MATCH(AD896,تعرفه!$A$2:$A$7,0))))</f>
        <v>62000</v>
      </c>
      <c r="AH896" s="24" t="n">
        <v>62000</v>
      </c>
      <c r="AI896" s="24" t="n">
        <f aca="false">IF(AG896="","",AH896-AG896)</f>
        <v>0</v>
      </c>
      <c r="AJ896" s="21" t="n">
        <v>-5</v>
      </c>
      <c r="AK896" s="21" t="n">
        <v>0</v>
      </c>
      <c r="AL896" s="16" t="s">
        <v>335</v>
      </c>
      <c r="AM896" s="16"/>
      <c r="AN896" s="16" t="s">
        <v>340</v>
      </c>
      <c r="AO896" s="16" t="s">
        <v>340</v>
      </c>
      <c r="AP896" s="16" t="s">
        <v>335</v>
      </c>
      <c r="AQ896" s="16"/>
      <c r="AR896" s="21" t="n">
        <f aca="false">IF(AND(T896&lt;&gt;"",H896&lt;&gt;""),IF(AND((T896-H896)*86400&gt;=0,(T896-H896)*86400&lt;تنظیمات!$B$13),1,0),0)</f>
        <v>0</v>
      </c>
      <c r="AS896" s="21" t="n">
        <f aca="false">IF(Z896="پوز",IF(OR(AB896="",COUNTIF(پوزها!$A$2:$A$5,AA896)=0),1,0),0)</f>
        <v>0</v>
      </c>
      <c r="AT896" s="21" t="n">
        <f aca="false">IF(AI896="",0,IF(AI896&gt;0,1,0))</f>
        <v>0</v>
      </c>
      <c r="AU896" s="21" t="n">
        <f aca="false">IF(AI896="",0,IF(AI896&lt;0,1,0))</f>
        <v>0</v>
      </c>
      <c r="AV896" s="21" t="n">
        <f aca="false">IF(U896&gt;V896,1,0)</f>
        <v>0</v>
      </c>
      <c r="AW896" s="21" t="n">
        <f aca="false">IF(OR(W896&gt;تنظیمات!$B$8,X896="بله"),1,0)</f>
        <v>0</v>
      </c>
      <c r="AX896" s="21" t="n">
        <f aca="false">IF(AND(N896="بله",L896&gt;تنظیمات!$B$9),1,0)</f>
        <v>0</v>
      </c>
      <c r="AY896" s="21" t="n">
        <f aca="false">IF(Y896="معکوس",1,0)</f>
        <v>0</v>
      </c>
      <c r="AZ896" s="21" t="n">
        <f aca="false">IF(ABS(AJ896)&gt;تنظیمات!$B$10,1,0)</f>
        <v>0</v>
      </c>
      <c r="BA896" s="21" t="n">
        <f aca="false">IF(AND(OR(AD896="رایگان/VIP",AD896="جانباز"),AF896="خیر"),1,0)</f>
        <v>0</v>
      </c>
      <c r="BB896" s="21" t="n">
        <f aca="false">IF(AE896="",0,IF(COUNTIF($AE$2:$AE$1001,AE896)&gt;1,1,0))</f>
        <v>0</v>
      </c>
      <c r="BC896" s="21" t="n">
        <f aca="false">IF(AND(H896="",I896&gt;تنظیمات!$B$12*60,AM896="خالی"),1,0)</f>
        <v>0</v>
      </c>
      <c r="BD896" s="21" t="n">
        <f aca="false">IF(AND(AP896="بله",I896&lt;تنظیمات!$B$14,AO896="خیر"),1,0)</f>
        <v>0</v>
      </c>
      <c r="BE896" s="21" t="n">
        <f aca="false">IF(AN896="خیر",1,0)</f>
        <v>0</v>
      </c>
      <c r="BF896" s="21" t="n">
        <f aca="false">IF(AND(AD896="فیش مفقودی",AQ896="بله",I896&gt;تنظیمات!$B$12*60),1,0)</f>
        <v>0</v>
      </c>
      <c r="BG896" s="21" t="n">
        <f aca="false">IF(AND(AK896&gt;تنظیمات!$B$11,AL896="بله"),1,0)</f>
        <v>0</v>
      </c>
      <c r="BH896" s="21" t="n">
        <f aca="false">MIN(100,AR896*تنظیمات!$B$21+AS896*تنظیمات!$B$22+AT896*تنظیمات!$B$23+AU896*تنظیمات!$B$24+AV896*تنظیمات!$B$25+AW896*تنظیمات!$B$26+AX896*تنظیمات!$B$27+AY896*تنظیمات!$B$28+AZ896*تنظیمات!$B$29+BA896*تنظیمات!$B$30+BB896*تنظیمات!$B$31+BC896*تنظیمات!$B$32+BD896*تنظیمات!$B$33+BE896*تنظیمات!$B$34+BF896*تنظیمات!$B$35+BG896*تنظیمات!$B$36)</f>
        <v>0</v>
      </c>
      <c r="BI896" s="16" t="str">
        <f aca="false">IF(BH896&gt;=60,"بحرانی",IF(BH896&gt;=30,"مشکوک",IF(BH896&gt;0,"هشدار","عادی")))</f>
        <v>عادی</v>
      </c>
      <c r="BJ896" s="16" t="s">
        <v>338</v>
      </c>
    </row>
    <row r="897" customFormat="false" ht="15" hidden="false" customHeight="false" outlineLevel="0" collapsed="false">
      <c r="A897" s="16" t="s">
        <v>3023</v>
      </c>
      <c r="B897" s="16" t="s">
        <v>714</v>
      </c>
      <c r="C897" s="16"/>
      <c r="D897" s="16" t="s">
        <v>386</v>
      </c>
      <c r="E897" s="16" t="s">
        <v>351</v>
      </c>
      <c r="F897" s="16" t="s">
        <v>333</v>
      </c>
      <c r="G897" s="17" t="n">
        <v>46293.4886574074</v>
      </c>
      <c r="H897" s="17" t="n">
        <v>46293.5782407407</v>
      </c>
      <c r="I897" s="18" t="n">
        <f aca="false">IF(H897="",ROUND((تنظیمات!$B$7-G897)*1440,0),ROUND((H897-G897)*1440,0))</f>
        <v>129</v>
      </c>
      <c r="J897" s="16" t="s">
        <v>334</v>
      </c>
      <c r="K897" s="16" t="s">
        <v>410</v>
      </c>
      <c r="L897" s="19" t="n">
        <v>0.91</v>
      </c>
      <c r="M897" s="19" t="n">
        <v>0.947</v>
      </c>
      <c r="N897" s="16" t="s">
        <v>335</v>
      </c>
      <c r="O897" s="16" t="s">
        <v>666</v>
      </c>
      <c r="P897" s="16" t="s">
        <v>402</v>
      </c>
      <c r="Q897" s="20" t="n">
        <v>46293</v>
      </c>
      <c r="R897" s="16" t="s">
        <v>3024</v>
      </c>
      <c r="S897" s="16" t="s">
        <v>404</v>
      </c>
      <c r="T897" s="17"/>
      <c r="U897" s="21" t="n">
        <v>2</v>
      </c>
      <c r="V897" s="21" t="n">
        <v>1</v>
      </c>
      <c r="W897" s="22" t="n">
        <v>10.4</v>
      </c>
      <c r="X897" s="16" t="s">
        <v>335</v>
      </c>
      <c r="Y897" s="16" t="s">
        <v>338</v>
      </c>
      <c r="Z897" s="16" t="s">
        <v>405</v>
      </c>
      <c r="AA897" s="16"/>
      <c r="AB897" s="23"/>
      <c r="AC897" s="17"/>
      <c r="AD897" s="16" t="s">
        <v>338</v>
      </c>
      <c r="AE897" s="16"/>
      <c r="AF897" s="16" t="str">
        <f aca="false">IF(COUNTIF(لیست_سفید!$A$2:$A$21,B897)&gt;0,"بله","خیر")</f>
        <v>خیر</v>
      </c>
      <c r="AG897" s="24" t="n">
        <f aca="false">IF(H897="","",IF(AD897="فیش مفقودی",تنظیمات!$B$6,(INT(I897/1440)*تنظیمات!$B$5+IF(MOD(I897,1440)&lt;=تنظیمات!$B$2,0,MIN(تنظیمات!$B$5,تنظیمات!$B$3+MAX(0,ROUNDUP((MOD(I897,1440)-60)/60,0))*تنظیمات!$B$4)))*INDEX(تعرفه!$B$2:$B$7,MATCH(AD897,تعرفه!$A$2:$A$7,0))))</f>
        <v>48000</v>
      </c>
      <c r="AH897" s="24" t="n">
        <v>48000</v>
      </c>
      <c r="AI897" s="24" t="n">
        <f aca="false">IF(AG897="","",AH897-AG897)</f>
        <v>0</v>
      </c>
      <c r="AJ897" s="21" t="n">
        <v>2</v>
      </c>
      <c r="AK897" s="21" t="n">
        <v>0</v>
      </c>
      <c r="AL897" s="16" t="s">
        <v>335</v>
      </c>
      <c r="AM897" s="16"/>
      <c r="AN897" s="16" t="s">
        <v>340</v>
      </c>
      <c r="AO897" s="16" t="s">
        <v>340</v>
      </c>
      <c r="AP897" s="16" t="s">
        <v>335</v>
      </c>
      <c r="AQ897" s="16"/>
      <c r="AR897" s="21" t="n">
        <f aca="false">IF(AND(T897&lt;&gt;"",H897&lt;&gt;""),IF(AND((T897-H897)*86400&gt;=0,(T897-H897)*86400&lt;تنظیمات!$B$13),1,0),0)</f>
        <v>0</v>
      </c>
      <c r="AS897" s="21" t="n">
        <f aca="false">IF(Z897="پوز",IF(OR(AB897="",COUNTIF(پوزها!$A$2:$A$5,AA897)=0),1,0),0)</f>
        <v>0</v>
      </c>
      <c r="AT897" s="21" t="n">
        <f aca="false">IF(AI897="",0,IF(AI897&gt;0,1,0))</f>
        <v>0</v>
      </c>
      <c r="AU897" s="21" t="n">
        <f aca="false">IF(AI897="",0,IF(AI897&lt;0,1,0))</f>
        <v>0</v>
      </c>
      <c r="AV897" s="21" t="n">
        <f aca="false">IF(U897&gt;V897,1,0)</f>
        <v>1</v>
      </c>
      <c r="AW897" s="21" t="n">
        <f aca="false">IF(OR(W897&gt;تنظیمات!$B$8,X897="بله"),1,0)</f>
        <v>0</v>
      </c>
      <c r="AX897" s="21" t="n">
        <f aca="false">IF(AND(N897="بله",L897&gt;تنظیمات!$B$9),1,0)</f>
        <v>0</v>
      </c>
      <c r="AY897" s="21" t="n">
        <f aca="false">IF(Y897="معکوس",1,0)</f>
        <v>0</v>
      </c>
      <c r="AZ897" s="21" t="n">
        <f aca="false">IF(ABS(AJ897)&gt;تنظیمات!$B$10,1,0)</f>
        <v>0</v>
      </c>
      <c r="BA897" s="21" t="n">
        <f aca="false">IF(AND(OR(AD897="رایگان/VIP",AD897="جانباز"),AF897="خیر"),1,0)</f>
        <v>0</v>
      </c>
      <c r="BB897" s="21" t="n">
        <f aca="false">IF(AE897="",0,IF(COUNTIF($AE$2:$AE$1001,AE897)&gt;1,1,0))</f>
        <v>0</v>
      </c>
      <c r="BC897" s="21" t="n">
        <f aca="false">IF(AND(H897="",I897&gt;تنظیمات!$B$12*60,AM897="خالی"),1,0)</f>
        <v>0</v>
      </c>
      <c r="BD897" s="21" t="n">
        <f aca="false">IF(AND(AP897="بله",I897&lt;تنظیمات!$B$14,AO897="خیر"),1,0)</f>
        <v>0</v>
      </c>
      <c r="BE897" s="21" t="n">
        <f aca="false">IF(AN897="خیر",1,0)</f>
        <v>0</v>
      </c>
      <c r="BF897" s="21" t="n">
        <f aca="false">IF(AND(AD897="فیش مفقودی",AQ897="بله",I897&gt;تنظیمات!$B$12*60),1,0)</f>
        <v>0</v>
      </c>
      <c r="BG897" s="21" t="n">
        <f aca="false">IF(AND(AK897&gt;تنظیمات!$B$11,AL897="بله"),1,0)</f>
        <v>0</v>
      </c>
      <c r="BH897" s="21" t="n">
        <f aca="false">MIN(100,AR897*تنظیمات!$B$21+AS897*تنظیمات!$B$22+AT897*تنظیمات!$B$23+AU897*تنظیمات!$B$24+AV897*تنظیمات!$B$25+AW897*تنظیمات!$B$26+AX897*تنظیمات!$B$27+AY897*تنظیمات!$B$28+AZ897*تنظیمات!$B$29+BA897*تنظیمات!$B$30+BB897*تنظیمات!$B$31+BC897*تنظیمات!$B$32+BD897*تنظیمات!$B$33+BE897*تنظیمات!$B$34+BF897*تنظیمات!$B$35+BG897*تنظیمات!$B$36)</f>
        <v>30</v>
      </c>
      <c r="BI897" s="16" t="str">
        <f aca="false">IF(BH897&gt;=60,"بحرانی",IF(BH897&gt;=30,"مشکوک",IF(BH897&gt;0,"هشدار","عادی")))</f>
        <v>مشکوک</v>
      </c>
      <c r="BJ897" s="16" t="s">
        <v>516</v>
      </c>
    </row>
    <row r="898" customFormat="false" ht="15" hidden="false" customHeight="false" outlineLevel="0" collapsed="false">
      <c r="A898" s="16" t="s">
        <v>3025</v>
      </c>
      <c r="B898" s="16" t="s">
        <v>570</v>
      </c>
      <c r="C898" s="16"/>
      <c r="D898" s="16" t="s">
        <v>386</v>
      </c>
      <c r="E898" s="16" t="s">
        <v>390</v>
      </c>
      <c r="F898" s="16" t="s">
        <v>333</v>
      </c>
      <c r="G898" s="17" t="n">
        <v>46293.4933449074</v>
      </c>
      <c r="H898" s="17" t="n">
        <v>46293.730150463</v>
      </c>
      <c r="I898" s="18" t="n">
        <f aca="false">IF(H898="",ROUND((تنظیمات!$B$7-G898)*1440,0),ROUND((H898-G898)*1440,0))</f>
        <v>341</v>
      </c>
      <c r="J898" s="16" t="s">
        <v>334</v>
      </c>
      <c r="K898" s="16" t="s">
        <v>410</v>
      </c>
      <c r="L898" s="19" t="n">
        <v>0.955</v>
      </c>
      <c r="M898" s="19" t="n">
        <v>0.973</v>
      </c>
      <c r="N898" s="16" t="s">
        <v>335</v>
      </c>
      <c r="O898" s="16" t="s">
        <v>425</v>
      </c>
      <c r="P898" s="16" t="s">
        <v>420</v>
      </c>
      <c r="Q898" s="20" t="n">
        <v>46293</v>
      </c>
      <c r="R898" s="16" t="s">
        <v>3026</v>
      </c>
      <c r="S898" s="16" t="s">
        <v>404</v>
      </c>
      <c r="T898" s="17"/>
      <c r="U898" s="21" t="n">
        <v>1</v>
      </c>
      <c r="V898" s="21" t="n">
        <v>1</v>
      </c>
      <c r="W898" s="22" t="n">
        <v>4.7</v>
      </c>
      <c r="X898" s="16" t="s">
        <v>335</v>
      </c>
      <c r="Y898" s="16" t="s">
        <v>338</v>
      </c>
      <c r="Z898" s="16" t="s">
        <v>443</v>
      </c>
      <c r="AA898" s="16"/>
      <c r="AB898" s="23"/>
      <c r="AC898" s="17"/>
      <c r="AD898" s="16" t="s">
        <v>444</v>
      </c>
      <c r="AE898" s="16"/>
      <c r="AF898" s="16" t="str">
        <f aca="false">IF(COUNTIF(لیست_سفید!$A$2:$A$21,B898)&gt;0,"بله","خیر")</f>
        <v>خیر</v>
      </c>
      <c r="AG898" s="24" t="n">
        <f aca="false">IF(H898="","",IF(AD898="فیش مفقودی",تنظیمات!$B$6,(INT(I898/1440)*تنظیمات!$B$5+IF(MOD(I898,1440)&lt;=تنظیمات!$B$2,0,MIN(تنظیمات!$B$5,تنظیمات!$B$3+MAX(0,ROUNDUP((MOD(I898,1440)-60)/60,0))*تنظیمات!$B$4)))*INDEX(تعرفه!$B$2:$B$7,MATCH(AD898,تعرفه!$A$2:$A$7,0))))</f>
        <v>0</v>
      </c>
      <c r="AH898" s="24" t="n">
        <v>0</v>
      </c>
      <c r="AI898" s="24" t="n">
        <f aca="false">IF(AG898="","",AH898-AG898)</f>
        <v>0</v>
      </c>
      <c r="AJ898" s="21" t="n">
        <v>0</v>
      </c>
      <c r="AK898" s="21" t="n">
        <v>0</v>
      </c>
      <c r="AL898" s="16" t="s">
        <v>335</v>
      </c>
      <c r="AM898" s="16"/>
      <c r="AN898" s="16" t="s">
        <v>340</v>
      </c>
      <c r="AO898" s="16" t="s">
        <v>340</v>
      </c>
      <c r="AP898" s="16" t="s">
        <v>335</v>
      </c>
      <c r="AQ898" s="16"/>
      <c r="AR898" s="21" t="n">
        <f aca="false">IF(AND(T898&lt;&gt;"",H898&lt;&gt;""),IF(AND((T898-H898)*86400&gt;=0,(T898-H898)*86400&lt;تنظیمات!$B$13),1,0),0)</f>
        <v>0</v>
      </c>
      <c r="AS898" s="21" t="n">
        <f aca="false">IF(Z898="پوز",IF(OR(AB898="",COUNTIF(پوزها!$A$2:$A$5,AA898)=0),1,0),0)</f>
        <v>0</v>
      </c>
      <c r="AT898" s="21" t="n">
        <f aca="false">IF(AI898="",0,IF(AI898&gt;0,1,0))</f>
        <v>0</v>
      </c>
      <c r="AU898" s="21" t="n">
        <f aca="false">IF(AI898="",0,IF(AI898&lt;0,1,0))</f>
        <v>0</v>
      </c>
      <c r="AV898" s="21" t="n">
        <f aca="false">IF(U898&gt;V898,1,0)</f>
        <v>0</v>
      </c>
      <c r="AW898" s="21" t="n">
        <f aca="false">IF(OR(W898&gt;تنظیمات!$B$8,X898="بله"),1,0)</f>
        <v>0</v>
      </c>
      <c r="AX898" s="21" t="n">
        <f aca="false">IF(AND(N898="بله",L898&gt;تنظیمات!$B$9),1,0)</f>
        <v>0</v>
      </c>
      <c r="AY898" s="21" t="n">
        <f aca="false">IF(Y898="معکوس",1,0)</f>
        <v>0</v>
      </c>
      <c r="AZ898" s="21" t="n">
        <f aca="false">IF(ABS(AJ898)&gt;تنظیمات!$B$10,1,0)</f>
        <v>0</v>
      </c>
      <c r="BA898" s="21" t="n">
        <f aca="false">IF(AND(OR(AD898="رایگان/VIP",AD898="جانباز"),AF898="خیر"),1,0)</f>
        <v>0</v>
      </c>
      <c r="BB898" s="21" t="n">
        <f aca="false">IF(AE898="",0,IF(COUNTIF($AE$2:$AE$1001,AE898)&gt;1,1,0))</f>
        <v>0</v>
      </c>
      <c r="BC898" s="21" t="n">
        <f aca="false">IF(AND(H898="",I898&gt;تنظیمات!$B$12*60,AM898="خالی"),1,0)</f>
        <v>0</v>
      </c>
      <c r="BD898" s="21" t="n">
        <f aca="false">IF(AND(AP898="بله",I898&lt;تنظیمات!$B$14,AO898="خیر"),1,0)</f>
        <v>0</v>
      </c>
      <c r="BE898" s="21" t="n">
        <f aca="false">IF(AN898="خیر",1,0)</f>
        <v>0</v>
      </c>
      <c r="BF898" s="21" t="n">
        <f aca="false">IF(AND(AD898="فیش مفقودی",AQ898="بله",I898&gt;تنظیمات!$B$12*60),1,0)</f>
        <v>0</v>
      </c>
      <c r="BG898" s="21" t="n">
        <f aca="false">IF(AND(AK898&gt;تنظیمات!$B$11,AL898="بله"),1,0)</f>
        <v>0</v>
      </c>
      <c r="BH898" s="21" t="n">
        <f aca="false">MIN(100,AR898*تنظیمات!$B$21+AS898*تنظیمات!$B$22+AT898*تنظیمات!$B$23+AU898*تنظیمات!$B$24+AV898*تنظیمات!$B$25+AW898*تنظیمات!$B$26+AX898*تنظیمات!$B$27+AY898*تنظیمات!$B$28+AZ898*تنظیمات!$B$29+BA898*تنظیمات!$B$30+BB898*تنظیمات!$B$31+BC898*تنظیمات!$B$32+BD898*تنظیمات!$B$33+BE898*تنظیمات!$B$34+BF898*تنظیمات!$B$35+BG898*تنظیمات!$B$36)</f>
        <v>0</v>
      </c>
      <c r="BI898" s="16" t="str">
        <f aca="false">IF(BH898&gt;=60,"بحرانی",IF(BH898&gt;=30,"مشکوک",IF(BH898&gt;0,"هشدار","عادی")))</f>
        <v>عادی</v>
      </c>
      <c r="BJ898" s="16" t="s">
        <v>338</v>
      </c>
    </row>
    <row r="899" customFormat="false" ht="15" hidden="false" customHeight="false" outlineLevel="0" collapsed="false">
      <c r="A899" s="16" t="s">
        <v>3027</v>
      </c>
      <c r="B899" s="16" t="s">
        <v>2128</v>
      </c>
      <c r="C899" s="16"/>
      <c r="D899" s="16" t="s">
        <v>450</v>
      </c>
      <c r="E899" s="16" t="s">
        <v>332</v>
      </c>
      <c r="F899" s="16" t="s">
        <v>333</v>
      </c>
      <c r="G899" s="17" t="n">
        <v>46293.4942361111</v>
      </c>
      <c r="H899" s="17" t="n">
        <v>46293.5275694444</v>
      </c>
      <c r="I899" s="18" t="n">
        <f aca="false">IF(H899="",ROUND((تنظیمات!$B$7-G899)*1440,0),ROUND((H899-G899)*1440,0))</f>
        <v>48</v>
      </c>
      <c r="J899" s="16" t="s">
        <v>334</v>
      </c>
      <c r="K899" s="16" t="s">
        <v>400</v>
      </c>
      <c r="L899" s="19" t="n">
        <v>0.94</v>
      </c>
      <c r="M899" s="19" t="n">
        <v>0.995</v>
      </c>
      <c r="N899" s="16" t="s">
        <v>335</v>
      </c>
      <c r="O899" s="16" t="s">
        <v>650</v>
      </c>
      <c r="P899" s="16" t="s">
        <v>402</v>
      </c>
      <c r="Q899" s="20" t="n">
        <v>46293</v>
      </c>
      <c r="R899" s="16" t="s">
        <v>3028</v>
      </c>
      <c r="S899" s="16" t="s">
        <v>404</v>
      </c>
      <c r="T899" s="17"/>
      <c r="U899" s="21" t="n">
        <v>1</v>
      </c>
      <c r="V899" s="21" t="n">
        <v>1</v>
      </c>
      <c r="W899" s="22" t="n">
        <v>5</v>
      </c>
      <c r="X899" s="16" t="s">
        <v>335</v>
      </c>
      <c r="Y899" s="16" t="s">
        <v>338</v>
      </c>
      <c r="Z899" s="16" t="s">
        <v>405</v>
      </c>
      <c r="AA899" s="16"/>
      <c r="AB899" s="23"/>
      <c r="AC899" s="17"/>
      <c r="AD899" s="16" t="s">
        <v>338</v>
      </c>
      <c r="AE899" s="16"/>
      <c r="AF899" s="16" t="str">
        <f aca="false">IF(COUNTIF(لیست_سفید!$A$2:$A$21,B899)&gt;0,"بله","خیر")</f>
        <v>خیر</v>
      </c>
      <c r="AG899" s="24" t="n">
        <f aca="false">IF(H899="","",IF(AD899="فیش مفقودی",تنظیمات!$B$6,(INT(I899/1440)*تنظیمات!$B$5+IF(MOD(I899,1440)&lt;=تنظیمات!$B$2,0,MIN(تنظیمات!$B$5,تنظیمات!$B$3+MAX(0,ROUNDUP((MOD(I899,1440)-60)/60,0))*تنظیمات!$B$4)))*INDEX(تعرفه!$B$2:$B$7,MATCH(AD899,تعرفه!$A$2:$A$7,0))))</f>
        <v>20000</v>
      </c>
      <c r="AH899" s="24" t="n">
        <v>20000</v>
      </c>
      <c r="AI899" s="24" t="n">
        <f aca="false">IF(AG899="","",AH899-AG899)</f>
        <v>0</v>
      </c>
      <c r="AJ899" s="21" t="n">
        <v>-3</v>
      </c>
      <c r="AK899" s="21" t="n">
        <v>0</v>
      </c>
      <c r="AL899" s="16" t="s">
        <v>335</v>
      </c>
      <c r="AM899" s="16"/>
      <c r="AN899" s="16" t="s">
        <v>340</v>
      </c>
      <c r="AO899" s="16" t="s">
        <v>340</v>
      </c>
      <c r="AP899" s="16" t="s">
        <v>335</v>
      </c>
      <c r="AQ899" s="16"/>
      <c r="AR899" s="21" t="n">
        <f aca="false">IF(AND(T899&lt;&gt;"",H899&lt;&gt;""),IF(AND((T899-H899)*86400&gt;=0,(T899-H899)*86400&lt;تنظیمات!$B$13),1,0),0)</f>
        <v>0</v>
      </c>
      <c r="AS899" s="21" t="n">
        <f aca="false">IF(Z899="پوز",IF(OR(AB899="",COUNTIF(پوزها!$A$2:$A$5,AA899)=0),1,0),0)</f>
        <v>0</v>
      </c>
      <c r="AT899" s="21" t="n">
        <f aca="false">IF(AI899="",0,IF(AI899&gt;0,1,0))</f>
        <v>0</v>
      </c>
      <c r="AU899" s="21" t="n">
        <f aca="false">IF(AI899="",0,IF(AI899&lt;0,1,0))</f>
        <v>0</v>
      </c>
      <c r="AV899" s="21" t="n">
        <f aca="false">IF(U899&gt;V899,1,0)</f>
        <v>0</v>
      </c>
      <c r="AW899" s="21" t="n">
        <f aca="false">IF(OR(W899&gt;تنظیمات!$B$8,X899="بله"),1,0)</f>
        <v>0</v>
      </c>
      <c r="AX899" s="21" t="n">
        <f aca="false">IF(AND(N899="بله",L899&gt;تنظیمات!$B$9),1,0)</f>
        <v>0</v>
      </c>
      <c r="AY899" s="21" t="n">
        <f aca="false">IF(Y899="معکوس",1,0)</f>
        <v>0</v>
      </c>
      <c r="AZ899" s="21" t="n">
        <f aca="false">IF(ABS(AJ899)&gt;تنظیمات!$B$10,1,0)</f>
        <v>0</v>
      </c>
      <c r="BA899" s="21" t="n">
        <f aca="false">IF(AND(OR(AD899="رایگان/VIP",AD899="جانباز"),AF899="خیر"),1,0)</f>
        <v>0</v>
      </c>
      <c r="BB899" s="21" t="n">
        <f aca="false">IF(AE899="",0,IF(COUNTIF($AE$2:$AE$1001,AE899)&gt;1,1,0))</f>
        <v>0</v>
      </c>
      <c r="BC899" s="21" t="n">
        <f aca="false">IF(AND(H899="",I899&gt;تنظیمات!$B$12*60,AM899="خالی"),1,0)</f>
        <v>0</v>
      </c>
      <c r="BD899" s="21" t="n">
        <f aca="false">IF(AND(AP899="بله",I899&lt;تنظیمات!$B$14,AO899="خیر"),1,0)</f>
        <v>0</v>
      </c>
      <c r="BE899" s="21" t="n">
        <f aca="false">IF(AN899="خیر",1,0)</f>
        <v>0</v>
      </c>
      <c r="BF899" s="21" t="n">
        <f aca="false">IF(AND(AD899="فیش مفقودی",AQ899="بله",I899&gt;تنظیمات!$B$12*60),1,0)</f>
        <v>0</v>
      </c>
      <c r="BG899" s="21" t="n">
        <f aca="false">IF(AND(AK899&gt;تنظیمات!$B$11,AL899="بله"),1,0)</f>
        <v>0</v>
      </c>
      <c r="BH899" s="21" t="n">
        <f aca="false">MIN(100,AR899*تنظیمات!$B$21+AS899*تنظیمات!$B$22+AT899*تنظیمات!$B$23+AU899*تنظیمات!$B$24+AV899*تنظیمات!$B$25+AW899*تنظیمات!$B$26+AX899*تنظیمات!$B$27+AY899*تنظیمات!$B$28+AZ899*تنظیمات!$B$29+BA899*تنظیمات!$B$30+BB899*تنظیمات!$B$31+BC899*تنظیمات!$B$32+BD899*تنظیمات!$B$33+BE899*تنظیمات!$B$34+BF899*تنظیمات!$B$35+BG899*تنظیمات!$B$36)</f>
        <v>0</v>
      </c>
      <c r="BI899" s="16" t="str">
        <f aca="false">IF(BH899&gt;=60,"بحرانی",IF(BH899&gt;=30,"مشکوک",IF(BH899&gt;0,"هشدار","عادی")))</f>
        <v>عادی</v>
      </c>
      <c r="BJ899" s="16" t="s">
        <v>338</v>
      </c>
    </row>
    <row r="900" customFormat="false" ht="15" hidden="false" customHeight="false" outlineLevel="0" collapsed="false">
      <c r="A900" s="16" t="s">
        <v>3029</v>
      </c>
      <c r="B900" s="16" t="s">
        <v>369</v>
      </c>
      <c r="C900" s="16"/>
      <c r="D900" s="16" t="s">
        <v>370</v>
      </c>
      <c r="E900" s="16" t="s">
        <v>345</v>
      </c>
      <c r="F900" s="16" t="s">
        <v>333</v>
      </c>
      <c r="G900" s="17" t="n">
        <v>46293.4964236111</v>
      </c>
      <c r="H900" s="17" t="n">
        <v>46293.5568402778</v>
      </c>
      <c r="I900" s="18" t="n">
        <f aca="false">IF(H900="",ROUND((تنظیمات!$B$7-G900)*1440,0),ROUND((H900-G900)*1440,0))</f>
        <v>87</v>
      </c>
      <c r="J900" s="16" t="s">
        <v>346</v>
      </c>
      <c r="K900" s="16" t="s">
        <v>410</v>
      </c>
      <c r="L900" s="19" t="n">
        <v>0.995</v>
      </c>
      <c r="M900" s="19" t="n">
        <v>0.976</v>
      </c>
      <c r="N900" s="16" t="s">
        <v>335</v>
      </c>
      <c r="O900" s="16" t="s">
        <v>666</v>
      </c>
      <c r="P900" s="16" t="s">
        <v>402</v>
      </c>
      <c r="Q900" s="20" t="n">
        <v>46293</v>
      </c>
      <c r="R900" s="16" t="s">
        <v>3030</v>
      </c>
      <c r="S900" s="16" t="s">
        <v>404</v>
      </c>
      <c r="T900" s="17"/>
      <c r="U900" s="21" t="n">
        <v>1</v>
      </c>
      <c r="V900" s="21" t="n">
        <v>1</v>
      </c>
      <c r="W900" s="22" t="n">
        <v>5.9</v>
      </c>
      <c r="X900" s="16" t="s">
        <v>335</v>
      </c>
      <c r="Y900" s="16" t="s">
        <v>338</v>
      </c>
      <c r="Z900" s="16" t="s">
        <v>413</v>
      </c>
      <c r="AA900" s="16" t="s">
        <v>414</v>
      </c>
      <c r="AB900" s="23" t="s">
        <v>3031</v>
      </c>
      <c r="AC900" s="17" t="n">
        <v>46293.5565277778</v>
      </c>
      <c r="AD900" s="16" t="s">
        <v>338</v>
      </c>
      <c r="AE900" s="16"/>
      <c r="AF900" s="16" t="str">
        <f aca="false">IF(COUNTIF(لیست_سفید!$A$2:$A$21,B900)&gt;0,"بله","خیر")</f>
        <v>خیر</v>
      </c>
      <c r="AG900" s="24" t="n">
        <f aca="false">IF(H900="","",IF(AD900="فیش مفقودی",تنظیمات!$B$6,(INT(I900/1440)*تنظیمات!$B$5+IF(MOD(I900,1440)&lt;=تنظیمات!$B$2,0,MIN(تنظیمات!$B$5,تنظیمات!$B$3+MAX(0,ROUNDUP((MOD(I900,1440)-60)/60,0))*تنظیمات!$B$4)))*INDEX(تعرفه!$B$2:$B$7,MATCH(AD900,تعرفه!$A$2:$A$7,0))))</f>
        <v>34000</v>
      </c>
      <c r="AH900" s="24" t="n">
        <v>34000</v>
      </c>
      <c r="AI900" s="24" t="n">
        <f aca="false">IF(AG900="","",AH900-AG900)</f>
        <v>0</v>
      </c>
      <c r="AJ900" s="21" t="n">
        <v>2</v>
      </c>
      <c r="AK900" s="21" t="n">
        <v>0</v>
      </c>
      <c r="AL900" s="16" t="s">
        <v>335</v>
      </c>
      <c r="AM900" s="16"/>
      <c r="AN900" s="16" t="s">
        <v>340</v>
      </c>
      <c r="AO900" s="16" t="s">
        <v>340</v>
      </c>
      <c r="AP900" s="16" t="s">
        <v>335</v>
      </c>
      <c r="AQ900" s="16"/>
      <c r="AR900" s="21" t="n">
        <f aca="false">IF(AND(T900&lt;&gt;"",H900&lt;&gt;""),IF(AND((T900-H900)*86400&gt;=0,(T900-H900)*86400&lt;تنظیمات!$B$13),1,0),0)</f>
        <v>0</v>
      </c>
      <c r="AS900" s="21" t="n">
        <f aca="false">IF(Z900="پوز",IF(OR(AB900="",COUNTIF(پوزها!$A$2:$A$5,AA900)=0),1,0),0)</f>
        <v>0</v>
      </c>
      <c r="AT900" s="21" t="n">
        <f aca="false">IF(AI900="",0,IF(AI900&gt;0,1,0))</f>
        <v>0</v>
      </c>
      <c r="AU900" s="21" t="n">
        <f aca="false">IF(AI900="",0,IF(AI900&lt;0,1,0))</f>
        <v>0</v>
      </c>
      <c r="AV900" s="21" t="n">
        <f aca="false">IF(U900&gt;V900,1,0)</f>
        <v>0</v>
      </c>
      <c r="AW900" s="21" t="n">
        <f aca="false">IF(OR(W900&gt;تنظیمات!$B$8,X900="بله"),1,0)</f>
        <v>0</v>
      </c>
      <c r="AX900" s="21" t="n">
        <f aca="false">IF(AND(N900="بله",L900&gt;تنظیمات!$B$9),1,0)</f>
        <v>0</v>
      </c>
      <c r="AY900" s="21" t="n">
        <f aca="false">IF(Y900="معکوس",1,0)</f>
        <v>0</v>
      </c>
      <c r="AZ900" s="21" t="n">
        <f aca="false">IF(ABS(AJ900)&gt;تنظیمات!$B$10,1,0)</f>
        <v>0</v>
      </c>
      <c r="BA900" s="21" t="n">
        <f aca="false">IF(AND(OR(AD900="رایگان/VIP",AD900="جانباز"),AF900="خیر"),1,0)</f>
        <v>0</v>
      </c>
      <c r="BB900" s="21" t="n">
        <f aca="false">IF(AE900="",0,IF(COUNTIF($AE$2:$AE$1001,AE900)&gt;1,1,0))</f>
        <v>0</v>
      </c>
      <c r="BC900" s="21" t="n">
        <f aca="false">IF(AND(H900="",I900&gt;تنظیمات!$B$12*60,AM900="خالی"),1,0)</f>
        <v>0</v>
      </c>
      <c r="BD900" s="21" t="n">
        <f aca="false">IF(AND(AP900="بله",I900&lt;تنظیمات!$B$14,AO900="خیر"),1,0)</f>
        <v>0</v>
      </c>
      <c r="BE900" s="21" t="n">
        <f aca="false">IF(AN900="خیر",1,0)</f>
        <v>0</v>
      </c>
      <c r="BF900" s="21" t="n">
        <f aca="false">IF(AND(AD900="فیش مفقودی",AQ900="بله",I900&gt;تنظیمات!$B$12*60),1,0)</f>
        <v>0</v>
      </c>
      <c r="BG900" s="21" t="n">
        <f aca="false">IF(AND(AK900&gt;تنظیمات!$B$11,AL900="بله"),1,0)</f>
        <v>0</v>
      </c>
      <c r="BH900" s="21" t="n">
        <f aca="false">MIN(100,AR900*تنظیمات!$B$21+AS900*تنظیمات!$B$22+AT900*تنظیمات!$B$23+AU900*تنظیمات!$B$24+AV900*تنظیمات!$B$25+AW900*تنظیمات!$B$26+AX900*تنظیمات!$B$27+AY900*تنظیمات!$B$28+AZ900*تنظیمات!$B$29+BA900*تنظیمات!$B$30+BB900*تنظیمات!$B$31+BC900*تنظیمات!$B$32+BD900*تنظیمات!$B$33+BE900*تنظیمات!$B$34+BF900*تنظیمات!$B$35+BG900*تنظیمات!$B$36)</f>
        <v>0</v>
      </c>
      <c r="BI900" s="16" t="str">
        <f aca="false">IF(BH900&gt;=60,"بحرانی",IF(BH900&gt;=30,"مشکوک",IF(BH900&gt;0,"هشدار","عادی")))</f>
        <v>عادی</v>
      </c>
      <c r="BJ900" s="16" t="s">
        <v>338</v>
      </c>
    </row>
    <row r="901" customFormat="false" ht="15" hidden="false" customHeight="false" outlineLevel="0" collapsed="false">
      <c r="A901" s="16" t="s">
        <v>3032</v>
      </c>
      <c r="B901" s="16" t="s">
        <v>2529</v>
      </c>
      <c r="C901" s="16"/>
      <c r="D901" s="16" t="s">
        <v>508</v>
      </c>
      <c r="E901" s="16" t="s">
        <v>345</v>
      </c>
      <c r="F901" s="16" t="s">
        <v>333</v>
      </c>
      <c r="G901" s="17" t="n">
        <v>46293.4977083333</v>
      </c>
      <c r="H901" s="17" t="n">
        <v>46293.5525694444</v>
      </c>
      <c r="I901" s="18" t="n">
        <f aca="false">IF(H901="",ROUND((تنظیمات!$B$7-G901)*1440,0),ROUND((H901-G901)*1440,0))</f>
        <v>79</v>
      </c>
      <c r="J901" s="16" t="s">
        <v>346</v>
      </c>
      <c r="K901" s="16" t="s">
        <v>400</v>
      </c>
      <c r="L901" s="19" t="n">
        <v>0.919</v>
      </c>
      <c r="M901" s="19" t="n">
        <v>0.938</v>
      </c>
      <c r="N901" s="16" t="s">
        <v>335</v>
      </c>
      <c r="O901" s="16" t="s">
        <v>650</v>
      </c>
      <c r="P901" s="16" t="s">
        <v>402</v>
      </c>
      <c r="Q901" s="20" t="n">
        <v>46293</v>
      </c>
      <c r="R901" s="16" t="s">
        <v>3033</v>
      </c>
      <c r="S901" s="16" t="s">
        <v>404</v>
      </c>
      <c r="T901" s="17"/>
      <c r="U901" s="21" t="n">
        <v>1</v>
      </c>
      <c r="V901" s="21" t="n">
        <v>1</v>
      </c>
      <c r="W901" s="22" t="n">
        <v>7.1</v>
      </c>
      <c r="X901" s="16" t="s">
        <v>335</v>
      </c>
      <c r="Y901" s="16" t="s">
        <v>338</v>
      </c>
      <c r="Z901" s="16" t="s">
        <v>405</v>
      </c>
      <c r="AA901" s="16"/>
      <c r="AB901" s="23"/>
      <c r="AC901" s="17"/>
      <c r="AD901" s="16" t="s">
        <v>338</v>
      </c>
      <c r="AE901" s="16"/>
      <c r="AF901" s="16" t="str">
        <f aca="false">IF(COUNTIF(لیست_سفید!$A$2:$A$21,B901)&gt;0,"بله","خیر")</f>
        <v>خیر</v>
      </c>
      <c r="AG901" s="24" t="n">
        <f aca="false">IF(H901="","",IF(AD901="فیش مفقودی",تنظیمات!$B$6,(INT(I901/1440)*تنظیمات!$B$5+IF(MOD(I901,1440)&lt;=تنظیمات!$B$2,0,MIN(تنظیمات!$B$5,تنظیمات!$B$3+MAX(0,ROUNDUP((MOD(I901,1440)-60)/60,0))*تنظیمات!$B$4)))*INDEX(تعرفه!$B$2:$B$7,MATCH(AD901,تعرفه!$A$2:$A$7,0))))</f>
        <v>34000</v>
      </c>
      <c r="AH901" s="24" t="n">
        <v>34000</v>
      </c>
      <c r="AI901" s="24" t="n">
        <f aca="false">IF(AG901="","",AH901-AG901)</f>
        <v>0</v>
      </c>
      <c r="AJ901" s="21" t="n">
        <v>-3</v>
      </c>
      <c r="AK901" s="21" t="n">
        <v>0</v>
      </c>
      <c r="AL901" s="16" t="s">
        <v>335</v>
      </c>
      <c r="AM901" s="16"/>
      <c r="AN901" s="16" t="s">
        <v>340</v>
      </c>
      <c r="AO901" s="16" t="s">
        <v>340</v>
      </c>
      <c r="AP901" s="16" t="s">
        <v>335</v>
      </c>
      <c r="AQ901" s="16"/>
      <c r="AR901" s="21" t="n">
        <f aca="false">IF(AND(T901&lt;&gt;"",H901&lt;&gt;""),IF(AND((T901-H901)*86400&gt;=0,(T901-H901)*86400&lt;تنظیمات!$B$13),1,0),0)</f>
        <v>0</v>
      </c>
      <c r="AS901" s="21" t="n">
        <f aca="false">IF(Z901="پوز",IF(OR(AB901="",COUNTIF(پوزها!$A$2:$A$5,AA901)=0),1,0),0)</f>
        <v>0</v>
      </c>
      <c r="AT901" s="21" t="n">
        <f aca="false">IF(AI901="",0,IF(AI901&gt;0,1,0))</f>
        <v>0</v>
      </c>
      <c r="AU901" s="21" t="n">
        <f aca="false">IF(AI901="",0,IF(AI901&lt;0,1,0))</f>
        <v>0</v>
      </c>
      <c r="AV901" s="21" t="n">
        <f aca="false">IF(U901&gt;V901,1,0)</f>
        <v>0</v>
      </c>
      <c r="AW901" s="21" t="n">
        <f aca="false">IF(OR(W901&gt;تنظیمات!$B$8,X901="بله"),1,0)</f>
        <v>0</v>
      </c>
      <c r="AX901" s="21" t="n">
        <f aca="false">IF(AND(N901="بله",L901&gt;تنظیمات!$B$9),1,0)</f>
        <v>0</v>
      </c>
      <c r="AY901" s="21" t="n">
        <f aca="false">IF(Y901="معکوس",1,0)</f>
        <v>0</v>
      </c>
      <c r="AZ901" s="21" t="n">
        <f aca="false">IF(ABS(AJ901)&gt;تنظیمات!$B$10,1,0)</f>
        <v>0</v>
      </c>
      <c r="BA901" s="21" t="n">
        <f aca="false">IF(AND(OR(AD901="رایگان/VIP",AD901="جانباز"),AF901="خیر"),1,0)</f>
        <v>0</v>
      </c>
      <c r="BB901" s="21" t="n">
        <f aca="false">IF(AE901="",0,IF(COUNTIF($AE$2:$AE$1001,AE901)&gt;1,1,0))</f>
        <v>0</v>
      </c>
      <c r="BC901" s="21" t="n">
        <f aca="false">IF(AND(H901="",I901&gt;تنظیمات!$B$12*60,AM901="خالی"),1,0)</f>
        <v>0</v>
      </c>
      <c r="BD901" s="21" t="n">
        <f aca="false">IF(AND(AP901="بله",I901&lt;تنظیمات!$B$14,AO901="خیر"),1,0)</f>
        <v>0</v>
      </c>
      <c r="BE901" s="21" t="n">
        <f aca="false">IF(AN901="خیر",1,0)</f>
        <v>0</v>
      </c>
      <c r="BF901" s="21" t="n">
        <f aca="false">IF(AND(AD901="فیش مفقودی",AQ901="بله",I901&gt;تنظیمات!$B$12*60),1,0)</f>
        <v>0</v>
      </c>
      <c r="BG901" s="21" t="n">
        <f aca="false">IF(AND(AK901&gt;تنظیمات!$B$11,AL901="بله"),1,0)</f>
        <v>0</v>
      </c>
      <c r="BH901" s="21" t="n">
        <f aca="false">MIN(100,AR901*تنظیمات!$B$21+AS901*تنظیمات!$B$22+AT901*تنظیمات!$B$23+AU901*تنظیمات!$B$24+AV901*تنظیمات!$B$25+AW901*تنظیمات!$B$26+AX901*تنظیمات!$B$27+AY901*تنظیمات!$B$28+AZ901*تنظیمات!$B$29+BA901*تنظیمات!$B$30+BB901*تنظیمات!$B$31+BC901*تنظیمات!$B$32+BD901*تنظیمات!$B$33+BE901*تنظیمات!$B$34+BF901*تنظیمات!$B$35+BG901*تنظیمات!$B$36)</f>
        <v>0</v>
      </c>
      <c r="BI901" s="16" t="str">
        <f aca="false">IF(BH901&gt;=60,"بحرانی",IF(BH901&gt;=30,"مشکوک",IF(BH901&gt;0,"هشدار","عادی")))</f>
        <v>عادی</v>
      </c>
      <c r="BJ901" s="16" t="s">
        <v>338</v>
      </c>
    </row>
    <row r="902" customFormat="false" ht="15" hidden="false" customHeight="false" outlineLevel="0" collapsed="false">
      <c r="A902" s="16" t="s">
        <v>3034</v>
      </c>
      <c r="B902" s="16" t="s">
        <v>560</v>
      </c>
      <c r="C902" s="16"/>
      <c r="D902" s="16" t="s">
        <v>350</v>
      </c>
      <c r="E902" s="16" t="s">
        <v>390</v>
      </c>
      <c r="F902" s="16" t="s">
        <v>333</v>
      </c>
      <c r="G902" s="17" t="n">
        <v>46293.5027430556</v>
      </c>
      <c r="H902" s="17" t="n">
        <v>46293.6235763889</v>
      </c>
      <c r="I902" s="18" t="n">
        <f aca="false">IF(H902="",ROUND((تنظیمات!$B$7-G902)*1440,0),ROUND((H902-G902)*1440,0))</f>
        <v>174</v>
      </c>
      <c r="J902" s="16" t="s">
        <v>334</v>
      </c>
      <c r="K902" s="16" t="s">
        <v>400</v>
      </c>
      <c r="L902" s="19" t="n">
        <v>0.959</v>
      </c>
      <c r="M902" s="19" t="n">
        <v>0.946</v>
      </c>
      <c r="N902" s="16" t="s">
        <v>335</v>
      </c>
      <c r="O902" s="16" t="s">
        <v>677</v>
      </c>
      <c r="P902" s="16" t="s">
        <v>420</v>
      </c>
      <c r="Q902" s="20" t="n">
        <v>46293</v>
      </c>
      <c r="R902" s="16" t="s">
        <v>3035</v>
      </c>
      <c r="S902" s="16" t="s">
        <v>404</v>
      </c>
      <c r="T902" s="17"/>
      <c r="U902" s="21" t="n">
        <v>1</v>
      </c>
      <c r="V902" s="21" t="n">
        <v>1</v>
      </c>
      <c r="W902" s="22" t="n">
        <v>4.8</v>
      </c>
      <c r="X902" s="16" t="s">
        <v>335</v>
      </c>
      <c r="Y902" s="16" t="s">
        <v>338</v>
      </c>
      <c r="Z902" s="16" t="s">
        <v>413</v>
      </c>
      <c r="AA902" s="16" t="s">
        <v>427</v>
      </c>
      <c r="AB902" s="23" t="s">
        <v>3036</v>
      </c>
      <c r="AC902" s="17" t="n">
        <v>46293.6227777778</v>
      </c>
      <c r="AD902" s="16" t="s">
        <v>338</v>
      </c>
      <c r="AE902" s="16"/>
      <c r="AF902" s="16" t="str">
        <f aca="false">IF(COUNTIF(لیست_سفید!$A$2:$A$21,B902)&gt;0,"بله","خیر")</f>
        <v>خیر</v>
      </c>
      <c r="AG902" s="24" t="n">
        <f aca="false">IF(H902="","",IF(AD902="فیش مفقودی",تنظیمات!$B$6,(INT(I902/1440)*تنظیمات!$B$5+IF(MOD(I902,1440)&lt;=تنظیمات!$B$2,0,MIN(تنظیمات!$B$5,تنظیمات!$B$3+MAX(0,ROUNDUP((MOD(I902,1440)-60)/60,0))*تنظیمات!$B$4)))*INDEX(تعرفه!$B$2:$B$7,MATCH(AD902,تعرفه!$A$2:$A$7,0))))</f>
        <v>48000</v>
      </c>
      <c r="AH902" s="24" t="n">
        <v>48000</v>
      </c>
      <c r="AI902" s="24" t="n">
        <f aca="false">IF(AG902="","",AH902-AG902)</f>
        <v>0</v>
      </c>
      <c r="AJ902" s="21" t="n">
        <v>-1</v>
      </c>
      <c r="AK902" s="21" t="n">
        <v>0</v>
      </c>
      <c r="AL902" s="16" t="s">
        <v>335</v>
      </c>
      <c r="AM902" s="16"/>
      <c r="AN902" s="16" t="s">
        <v>340</v>
      </c>
      <c r="AO902" s="16" t="s">
        <v>340</v>
      </c>
      <c r="AP902" s="16" t="s">
        <v>335</v>
      </c>
      <c r="AQ902" s="16"/>
      <c r="AR902" s="21" t="n">
        <f aca="false">IF(AND(T902&lt;&gt;"",H902&lt;&gt;""),IF(AND((T902-H902)*86400&gt;=0,(T902-H902)*86400&lt;تنظیمات!$B$13),1,0),0)</f>
        <v>0</v>
      </c>
      <c r="AS902" s="21" t="n">
        <f aca="false">IF(Z902="پوز",IF(OR(AB902="",COUNTIF(پوزها!$A$2:$A$5,AA902)=0),1,0),0)</f>
        <v>0</v>
      </c>
      <c r="AT902" s="21" t="n">
        <f aca="false">IF(AI902="",0,IF(AI902&gt;0,1,0))</f>
        <v>0</v>
      </c>
      <c r="AU902" s="21" t="n">
        <f aca="false">IF(AI902="",0,IF(AI902&lt;0,1,0))</f>
        <v>0</v>
      </c>
      <c r="AV902" s="21" t="n">
        <f aca="false">IF(U902&gt;V902,1,0)</f>
        <v>0</v>
      </c>
      <c r="AW902" s="21" t="n">
        <f aca="false">IF(OR(W902&gt;تنظیمات!$B$8,X902="بله"),1,0)</f>
        <v>0</v>
      </c>
      <c r="AX902" s="21" t="n">
        <f aca="false">IF(AND(N902="بله",L902&gt;تنظیمات!$B$9),1,0)</f>
        <v>0</v>
      </c>
      <c r="AY902" s="21" t="n">
        <f aca="false">IF(Y902="معکوس",1,0)</f>
        <v>0</v>
      </c>
      <c r="AZ902" s="21" t="n">
        <f aca="false">IF(ABS(AJ902)&gt;تنظیمات!$B$10,1,0)</f>
        <v>0</v>
      </c>
      <c r="BA902" s="21" t="n">
        <f aca="false">IF(AND(OR(AD902="رایگان/VIP",AD902="جانباز"),AF902="خیر"),1,0)</f>
        <v>0</v>
      </c>
      <c r="BB902" s="21" t="n">
        <f aca="false">IF(AE902="",0,IF(COUNTIF($AE$2:$AE$1001,AE902)&gt;1,1,0))</f>
        <v>0</v>
      </c>
      <c r="BC902" s="21" t="n">
        <f aca="false">IF(AND(H902="",I902&gt;تنظیمات!$B$12*60,AM902="خالی"),1,0)</f>
        <v>0</v>
      </c>
      <c r="BD902" s="21" t="n">
        <f aca="false">IF(AND(AP902="بله",I902&lt;تنظیمات!$B$14,AO902="خیر"),1,0)</f>
        <v>0</v>
      </c>
      <c r="BE902" s="21" t="n">
        <f aca="false">IF(AN902="خیر",1,0)</f>
        <v>0</v>
      </c>
      <c r="BF902" s="21" t="n">
        <f aca="false">IF(AND(AD902="فیش مفقودی",AQ902="بله",I902&gt;تنظیمات!$B$12*60),1,0)</f>
        <v>0</v>
      </c>
      <c r="BG902" s="21" t="n">
        <f aca="false">IF(AND(AK902&gt;تنظیمات!$B$11,AL902="بله"),1,0)</f>
        <v>0</v>
      </c>
      <c r="BH902" s="21" t="n">
        <f aca="false">MIN(100,AR902*تنظیمات!$B$21+AS902*تنظیمات!$B$22+AT902*تنظیمات!$B$23+AU902*تنظیمات!$B$24+AV902*تنظیمات!$B$25+AW902*تنظیمات!$B$26+AX902*تنظیمات!$B$27+AY902*تنظیمات!$B$28+AZ902*تنظیمات!$B$29+BA902*تنظیمات!$B$30+BB902*تنظیمات!$B$31+BC902*تنظیمات!$B$32+BD902*تنظیمات!$B$33+BE902*تنظیمات!$B$34+BF902*تنظیمات!$B$35+BG902*تنظیمات!$B$36)</f>
        <v>0</v>
      </c>
      <c r="BI902" s="16" t="str">
        <f aca="false">IF(BH902&gt;=60,"بحرانی",IF(BH902&gt;=30,"مشکوک",IF(BH902&gt;0,"هشدار","عادی")))</f>
        <v>عادی</v>
      </c>
      <c r="BJ902" s="16" t="s">
        <v>338</v>
      </c>
    </row>
    <row r="903" customFormat="false" ht="15" hidden="false" customHeight="false" outlineLevel="0" collapsed="false">
      <c r="A903" s="16" t="s">
        <v>3037</v>
      </c>
      <c r="B903" s="16" t="s">
        <v>1807</v>
      </c>
      <c r="C903" s="16"/>
      <c r="D903" s="16" t="s">
        <v>370</v>
      </c>
      <c r="E903" s="16" t="s">
        <v>375</v>
      </c>
      <c r="F903" s="16" t="s">
        <v>333</v>
      </c>
      <c r="G903" s="17" t="n">
        <v>46293.5049421296</v>
      </c>
      <c r="H903" s="17" t="n">
        <v>46293.6625810185</v>
      </c>
      <c r="I903" s="18" t="n">
        <f aca="false">IF(H903="",ROUND((تنظیمات!$B$7-G903)*1440,0),ROUND((H903-G903)*1440,0))</f>
        <v>227</v>
      </c>
      <c r="J903" s="16" t="s">
        <v>346</v>
      </c>
      <c r="K903" s="16" t="s">
        <v>346</v>
      </c>
      <c r="L903" s="19" t="n">
        <v>0.93</v>
      </c>
      <c r="M903" s="19" t="n">
        <v>0.934</v>
      </c>
      <c r="N903" s="16" t="s">
        <v>335</v>
      </c>
      <c r="O903" s="16" t="s">
        <v>677</v>
      </c>
      <c r="P903" s="16" t="s">
        <v>420</v>
      </c>
      <c r="Q903" s="20" t="n">
        <v>46293</v>
      </c>
      <c r="R903" s="16" t="s">
        <v>3038</v>
      </c>
      <c r="S903" s="16" t="s">
        <v>404</v>
      </c>
      <c r="T903" s="17"/>
      <c r="U903" s="21" t="n">
        <v>1</v>
      </c>
      <c r="V903" s="21" t="n">
        <v>1</v>
      </c>
      <c r="W903" s="22" t="n">
        <v>5.5</v>
      </c>
      <c r="X903" s="16" t="s">
        <v>335</v>
      </c>
      <c r="Y903" s="16" t="s">
        <v>1438</v>
      </c>
      <c r="Z903" s="16" t="s">
        <v>1439</v>
      </c>
      <c r="AA903" s="16"/>
      <c r="AB903" s="23"/>
      <c r="AC903" s="17"/>
      <c r="AD903" s="16" t="s">
        <v>338</v>
      </c>
      <c r="AE903" s="16"/>
      <c r="AF903" s="16" t="str">
        <f aca="false">IF(COUNTIF(لیست_سفید!$A$2:$A$21,B903)&gt;0,"بله","خیر")</f>
        <v>خیر</v>
      </c>
      <c r="AG903" s="24" t="n">
        <f aca="false">IF(H903="","",IF(AD903="فیش مفقودی",تنظیمات!$B$6,(INT(I903/1440)*تنظیمات!$B$5+IF(MOD(I903,1440)&lt;=تنظیمات!$B$2,0,MIN(تنظیمات!$B$5,تنظیمات!$B$3+MAX(0,ROUNDUP((MOD(I903,1440)-60)/60,0))*تنظیمات!$B$4)))*INDEX(تعرفه!$B$2:$B$7,MATCH(AD903,تعرفه!$A$2:$A$7,0))))</f>
        <v>62000</v>
      </c>
      <c r="AH903" s="24" t="n">
        <v>0</v>
      </c>
      <c r="AI903" s="24" t="n">
        <f aca="false">IF(AG903="","",AH903-AG903)</f>
        <v>-62000</v>
      </c>
      <c r="AJ903" s="21" t="n">
        <v>2</v>
      </c>
      <c r="AK903" s="21" t="n">
        <v>0</v>
      </c>
      <c r="AL903" s="16" t="s">
        <v>335</v>
      </c>
      <c r="AM903" s="16"/>
      <c r="AN903" s="16" t="s">
        <v>340</v>
      </c>
      <c r="AO903" s="16" t="s">
        <v>340</v>
      </c>
      <c r="AP903" s="16" t="s">
        <v>335</v>
      </c>
      <c r="AQ903" s="16"/>
      <c r="AR903" s="21" t="n">
        <f aca="false">IF(AND(T903&lt;&gt;"",H903&lt;&gt;""),IF(AND((T903-H903)*86400&gt;=0,(T903-H903)*86400&lt;تنظیمات!$B$13),1,0),0)</f>
        <v>0</v>
      </c>
      <c r="AS903" s="21" t="n">
        <f aca="false">IF(Z903="پوز",IF(OR(AB903="",COUNTIF(پوزها!$A$2:$A$5,AA903)=0),1,0),0)</f>
        <v>0</v>
      </c>
      <c r="AT903" s="21" t="n">
        <f aca="false">IF(AI903="",0,IF(AI903&gt;0,1,0))</f>
        <v>0</v>
      </c>
      <c r="AU903" s="21" t="n">
        <f aca="false">IF(AI903="",0,IF(AI903&lt;0,1,0))</f>
        <v>1</v>
      </c>
      <c r="AV903" s="21" t="n">
        <f aca="false">IF(U903&gt;V903,1,0)</f>
        <v>0</v>
      </c>
      <c r="AW903" s="21" t="n">
        <f aca="false">IF(OR(W903&gt;تنظیمات!$B$8,X903="بله"),1,0)</f>
        <v>0</v>
      </c>
      <c r="AX903" s="21" t="n">
        <f aca="false">IF(AND(N903="بله",L903&gt;تنظیمات!$B$9),1,0)</f>
        <v>0</v>
      </c>
      <c r="AY903" s="21" t="n">
        <f aca="false">IF(Y903="معکوس",1,0)</f>
        <v>1</v>
      </c>
      <c r="AZ903" s="21" t="n">
        <f aca="false">IF(ABS(AJ903)&gt;تنظیمات!$B$10,1,0)</f>
        <v>0</v>
      </c>
      <c r="BA903" s="21" t="n">
        <f aca="false">IF(AND(OR(AD903="رایگان/VIP",AD903="جانباز"),AF903="خیر"),1,0)</f>
        <v>0</v>
      </c>
      <c r="BB903" s="21" t="n">
        <f aca="false">IF(AE903="",0,IF(COUNTIF($AE$2:$AE$1001,AE903)&gt;1,1,0))</f>
        <v>0</v>
      </c>
      <c r="BC903" s="21" t="n">
        <f aca="false">IF(AND(H903="",I903&gt;تنظیمات!$B$12*60,AM903="خالی"),1,0)</f>
        <v>0</v>
      </c>
      <c r="BD903" s="21" t="n">
        <f aca="false">IF(AND(AP903="بله",I903&lt;تنظیمات!$B$14,AO903="خیر"),1,0)</f>
        <v>0</v>
      </c>
      <c r="BE903" s="21" t="n">
        <f aca="false">IF(AN903="خیر",1,0)</f>
        <v>0</v>
      </c>
      <c r="BF903" s="21" t="n">
        <f aca="false">IF(AND(AD903="فیش مفقودی",AQ903="بله",I903&gt;تنظیمات!$B$12*60),1,0)</f>
        <v>0</v>
      </c>
      <c r="BG903" s="21" t="n">
        <f aca="false">IF(AND(AK903&gt;تنظیمات!$B$11,AL903="بله"),1,0)</f>
        <v>0</v>
      </c>
      <c r="BH903" s="21" t="n">
        <f aca="false">MIN(100,AR903*تنظیمات!$B$21+AS903*تنظیمات!$B$22+AT903*تنظیمات!$B$23+AU903*تنظیمات!$B$24+AV903*تنظیمات!$B$25+AW903*تنظیمات!$B$26+AX903*تنظیمات!$B$27+AY903*تنظیمات!$B$28+AZ903*تنظیمات!$B$29+BA903*تنظیمات!$B$30+BB903*تنظیمات!$B$31+BC903*تنظیمات!$B$32+BD903*تنظیمات!$B$33+BE903*تنظیمات!$B$34+BF903*تنظیمات!$B$35+BG903*تنظیمات!$B$36)</f>
        <v>55</v>
      </c>
      <c r="BI903" s="16" t="str">
        <f aca="false">IF(BH903&gt;=60,"بحرانی",IF(BH903&gt;=30,"مشکوک",IF(BH903&gt;0,"هشدار","عادی")))</f>
        <v>مشکوک</v>
      </c>
      <c r="BJ903" s="16" t="s">
        <v>1440</v>
      </c>
    </row>
    <row r="904" customFormat="false" ht="15" hidden="false" customHeight="false" outlineLevel="0" collapsed="false">
      <c r="A904" s="16" t="s">
        <v>3039</v>
      </c>
      <c r="B904" s="16" t="s">
        <v>773</v>
      </c>
      <c r="C904" s="16"/>
      <c r="D904" s="16" t="s">
        <v>431</v>
      </c>
      <c r="E904" s="16" t="s">
        <v>332</v>
      </c>
      <c r="F904" s="16" t="s">
        <v>333</v>
      </c>
      <c r="G904" s="17" t="n">
        <v>46293.5211921296</v>
      </c>
      <c r="H904" s="17" t="n">
        <v>46293.835775463</v>
      </c>
      <c r="I904" s="18" t="n">
        <f aca="false">IF(H904="",ROUND((تنظیمات!$B$7-G904)*1440,0),ROUND((H904-G904)*1440,0))</f>
        <v>453</v>
      </c>
      <c r="J904" s="16" t="s">
        <v>346</v>
      </c>
      <c r="K904" s="16" t="s">
        <v>400</v>
      </c>
      <c r="L904" s="19" t="n">
        <v>0.972</v>
      </c>
      <c r="M904" s="19" t="n">
        <v>0.994</v>
      </c>
      <c r="N904" s="16" t="s">
        <v>335</v>
      </c>
      <c r="O904" s="16" t="s">
        <v>677</v>
      </c>
      <c r="P904" s="16" t="s">
        <v>420</v>
      </c>
      <c r="Q904" s="20" t="n">
        <v>46293</v>
      </c>
      <c r="R904" s="16" t="s">
        <v>3040</v>
      </c>
      <c r="S904" s="16" t="s">
        <v>404</v>
      </c>
      <c r="T904" s="17"/>
      <c r="U904" s="21" t="n">
        <v>1</v>
      </c>
      <c r="V904" s="21" t="n">
        <v>1</v>
      </c>
      <c r="W904" s="22" t="n">
        <v>4.2</v>
      </c>
      <c r="X904" s="16" t="s">
        <v>335</v>
      </c>
      <c r="Y904" s="16" t="s">
        <v>338</v>
      </c>
      <c r="Z904" s="16" t="s">
        <v>405</v>
      </c>
      <c r="AA904" s="16"/>
      <c r="AB904" s="23"/>
      <c r="AC904" s="17"/>
      <c r="AD904" s="16" t="s">
        <v>338</v>
      </c>
      <c r="AE904" s="16"/>
      <c r="AF904" s="16" t="str">
        <f aca="false">IF(COUNTIF(لیست_سفید!$A$2:$A$21,B904)&gt;0,"بله","خیر")</f>
        <v>خیر</v>
      </c>
      <c r="AG904" s="24" t="n">
        <f aca="false">IF(H904="","",IF(AD904="فیش مفقودی",تنظیمات!$B$6,(INT(I904/1440)*تنظیمات!$B$5+IF(MOD(I904,1440)&lt;=تنظیمات!$B$2,0,MIN(تنظیمات!$B$5,تنظیمات!$B$3+MAX(0,ROUNDUP((MOD(I904,1440)-60)/60,0))*تنظیمات!$B$4)))*INDEX(تعرفه!$B$2:$B$7,MATCH(AD904,تعرفه!$A$2:$A$7,0))))</f>
        <v>118000</v>
      </c>
      <c r="AH904" s="24" t="n">
        <v>118000</v>
      </c>
      <c r="AI904" s="24" t="n">
        <f aca="false">IF(AG904="","",AH904-AG904)</f>
        <v>0</v>
      </c>
      <c r="AJ904" s="21" t="n">
        <v>0</v>
      </c>
      <c r="AK904" s="21" t="n">
        <v>0</v>
      </c>
      <c r="AL904" s="16" t="s">
        <v>335</v>
      </c>
      <c r="AM904" s="16"/>
      <c r="AN904" s="16" t="s">
        <v>340</v>
      </c>
      <c r="AO904" s="16" t="s">
        <v>340</v>
      </c>
      <c r="AP904" s="16" t="s">
        <v>335</v>
      </c>
      <c r="AQ904" s="16"/>
      <c r="AR904" s="21" t="n">
        <f aca="false">IF(AND(T904&lt;&gt;"",H904&lt;&gt;""),IF(AND((T904-H904)*86400&gt;=0,(T904-H904)*86400&lt;تنظیمات!$B$13),1,0),0)</f>
        <v>0</v>
      </c>
      <c r="AS904" s="21" t="n">
        <f aca="false">IF(Z904="پوز",IF(OR(AB904="",COUNTIF(پوزها!$A$2:$A$5,AA904)=0),1,0),0)</f>
        <v>0</v>
      </c>
      <c r="AT904" s="21" t="n">
        <f aca="false">IF(AI904="",0,IF(AI904&gt;0,1,0))</f>
        <v>0</v>
      </c>
      <c r="AU904" s="21" t="n">
        <f aca="false">IF(AI904="",0,IF(AI904&lt;0,1,0))</f>
        <v>0</v>
      </c>
      <c r="AV904" s="21" t="n">
        <f aca="false">IF(U904&gt;V904,1,0)</f>
        <v>0</v>
      </c>
      <c r="AW904" s="21" t="n">
        <f aca="false">IF(OR(W904&gt;تنظیمات!$B$8,X904="بله"),1,0)</f>
        <v>0</v>
      </c>
      <c r="AX904" s="21" t="n">
        <f aca="false">IF(AND(N904="بله",L904&gt;تنظیمات!$B$9),1,0)</f>
        <v>0</v>
      </c>
      <c r="AY904" s="21" t="n">
        <f aca="false">IF(Y904="معکوس",1,0)</f>
        <v>0</v>
      </c>
      <c r="AZ904" s="21" t="n">
        <f aca="false">IF(ABS(AJ904)&gt;تنظیمات!$B$10,1,0)</f>
        <v>0</v>
      </c>
      <c r="BA904" s="21" t="n">
        <f aca="false">IF(AND(OR(AD904="رایگان/VIP",AD904="جانباز"),AF904="خیر"),1,0)</f>
        <v>0</v>
      </c>
      <c r="BB904" s="21" t="n">
        <f aca="false">IF(AE904="",0,IF(COUNTIF($AE$2:$AE$1001,AE904)&gt;1,1,0))</f>
        <v>0</v>
      </c>
      <c r="BC904" s="21" t="n">
        <f aca="false">IF(AND(H904="",I904&gt;تنظیمات!$B$12*60,AM904="خالی"),1,0)</f>
        <v>0</v>
      </c>
      <c r="BD904" s="21" t="n">
        <f aca="false">IF(AND(AP904="بله",I904&lt;تنظیمات!$B$14,AO904="خیر"),1,0)</f>
        <v>0</v>
      </c>
      <c r="BE904" s="21" t="n">
        <f aca="false">IF(AN904="خیر",1,0)</f>
        <v>0</v>
      </c>
      <c r="BF904" s="21" t="n">
        <f aca="false">IF(AND(AD904="فیش مفقودی",AQ904="بله",I904&gt;تنظیمات!$B$12*60),1,0)</f>
        <v>0</v>
      </c>
      <c r="BG904" s="21" t="n">
        <f aca="false">IF(AND(AK904&gt;تنظیمات!$B$11,AL904="بله"),1,0)</f>
        <v>0</v>
      </c>
      <c r="BH904" s="21" t="n">
        <f aca="false">MIN(100,AR904*تنظیمات!$B$21+AS904*تنظیمات!$B$22+AT904*تنظیمات!$B$23+AU904*تنظیمات!$B$24+AV904*تنظیمات!$B$25+AW904*تنظیمات!$B$26+AX904*تنظیمات!$B$27+AY904*تنظیمات!$B$28+AZ904*تنظیمات!$B$29+BA904*تنظیمات!$B$30+BB904*تنظیمات!$B$31+BC904*تنظیمات!$B$32+BD904*تنظیمات!$B$33+BE904*تنظیمات!$B$34+BF904*تنظیمات!$B$35+BG904*تنظیمات!$B$36)</f>
        <v>0</v>
      </c>
      <c r="BI904" s="16" t="str">
        <f aca="false">IF(BH904&gt;=60,"بحرانی",IF(BH904&gt;=30,"مشکوک",IF(BH904&gt;0,"هشدار","عادی")))</f>
        <v>عادی</v>
      </c>
      <c r="BJ904" s="16" t="s">
        <v>338</v>
      </c>
    </row>
    <row r="905" customFormat="false" ht="15" hidden="false" customHeight="false" outlineLevel="0" collapsed="false">
      <c r="A905" s="16" t="s">
        <v>3041</v>
      </c>
      <c r="B905" s="16" t="s">
        <v>1752</v>
      </c>
      <c r="C905" s="16"/>
      <c r="D905" s="16" t="s">
        <v>374</v>
      </c>
      <c r="E905" s="16" t="s">
        <v>363</v>
      </c>
      <c r="F905" s="16" t="s">
        <v>359</v>
      </c>
      <c r="G905" s="17" t="n">
        <v>46293.5255671296</v>
      </c>
      <c r="H905" s="17" t="n">
        <v>46293.565150463</v>
      </c>
      <c r="I905" s="18" t="n">
        <f aca="false">IF(H905="",ROUND((تنظیمات!$B$7-G905)*1440,0),ROUND((H905-G905)*1440,0))</f>
        <v>57</v>
      </c>
      <c r="J905" s="16" t="s">
        <v>346</v>
      </c>
      <c r="K905" s="16" t="s">
        <v>400</v>
      </c>
      <c r="L905" s="19" t="n">
        <v>0.939</v>
      </c>
      <c r="M905" s="19" t="n">
        <v>0.981</v>
      </c>
      <c r="N905" s="16" t="s">
        <v>335</v>
      </c>
      <c r="O905" s="16" t="s">
        <v>650</v>
      </c>
      <c r="P905" s="16" t="s">
        <v>402</v>
      </c>
      <c r="Q905" s="20" t="n">
        <v>46293</v>
      </c>
      <c r="R905" s="16" t="s">
        <v>3042</v>
      </c>
      <c r="S905" s="16" t="s">
        <v>404</v>
      </c>
      <c r="T905" s="17"/>
      <c r="U905" s="21" t="n">
        <v>1</v>
      </c>
      <c r="V905" s="21" t="n">
        <v>1</v>
      </c>
      <c r="W905" s="22" t="n">
        <v>5.7</v>
      </c>
      <c r="X905" s="16" t="s">
        <v>335</v>
      </c>
      <c r="Y905" s="16" t="s">
        <v>338</v>
      </c>
      <c r="Z905" s="16" t="s">
        <v>413</v>
      </c>
      <c r="AA905" s="16" t="s">
        <v>427</v>
      </c>
      <c r="AB905" s="23" t="s">
        <v>3043</v>
      </c>
      <c r="AC905" s="17" t="n">
        <v>46293.5643402778</v>
      </c>
      <c r="AD905" s="16" t="s">
        <v>338</v>
      </c>
      <c r="AE905" s="16"/>
      <c r="AF905" s="16" t="str">
        <f aca="false">IF(COUNTIF(لیست_سفید!$A$2:$A$21,B905)&gt;0,"بله","خیر")</f>
        <v>خیر</v>
      </c>
      <c r="AG905" s="24" t="n">
        <f aca="false">IF(H905="","",IF(AD905="فیش مفقودی",تنظیمات!$B$6,(INT(I905/1440)*تنظیمات!$B$5+IF(MOD(I905,1440)&lt;=تنظیمات!$B$2,0,MIN(تنظیمات!$B$5,تنظیمات!$B$3+MAX(0,ROUNDUP((MOD(I905,1440)-60)/60,0))*تنظیمات!$B$4)))*INDEX(تعرفه!$B$2:$B$7,MATCH(AD905,تعرفه!$A$2:$A$7,0))))</f>
        <v>20000</v>
      </c>
      <c r="AH905" s="24" t="n">
        <v>20000</v>
      </c>
      <c r="AI905" s="24" t="n">
        <f aca="false">IF(AG905="","",AH905-AG905)</f>
        <v>0</v>
      </c>
      <c r="AJ905" s="21" t="n">
        <v>1</v>
      </c>
      <c r="AK905" s="21" t="n">
        <v>0</v>
      </c>
      <c r="AL905" s="16" t="s">
        <v>335</v>
      </c>
      <c r="AM905" s="16"/>
      <c r="AN905" s="16" t="s">
        <v>340</v>
      </c>
      <c r="AO905" s="16" t="s">
        <v>340</v>
      </c>
      <c r="AP905" s="16" t="s">
        <v>335</v>
      </c>
      <c r="AQ905" s="16"/>
      <c r="AR905" s="21" t="n">
        <f aca="false">IF(AND(T905&lt;&gt;"",H905&lt;&gt;""),IF(AND((T905-H905)*86400&gt;=0,(T905-H905)*86400&lt;تنظیمات!$B$13),1,0),0)</f>
        <v>0</v>
      </c>
      <c r="AS905" s="21" t="n">
        <f aca="false">IF(Z905="پوز",IF(OR(AB905="",COUNTIF(پوزها!$A$2:$A$5,AA905)=0),1,0),0)</f>
        <v>0</v>
      </c>
      <c r="AT905" s="21" t="n">
        <f aca="false">IF(AI905="",0,IF(AI905&gt;0,1,0))</f>
        <v>0</v>
      </c>
      <c r="AU905" s="21" t="n">
        <f aca="false">IF(AI905="",0,IF(AI905&lt;0,1,0))</f>
        <v>0</v>
      </c>
      <c r="AV905" s="21" t="n">
        <f aca="false">IF(U905&gt;V905,1,0)</f>
        <v>0</v>
      </c>
      <c r="AW905" s="21" t="n">
        <f aca="false">IF(OR(W905&gt;تنظیمات!$B$8,X905="بله"),1,0)</f>
        <v>0</v>
      </c>
      <c r="AX905" s="21" t="n">
        <f aca="false">IF(AND(N905="بله",L905&gt;تنظیمات!$B$9),1,0)</f>
        <v>0</v>
      </c>
      <c r="AY905" s="21" t="n">
        <f aca="false">IF(Y905="معکوس",1,0)</f>
        <v>0</v>
      </c>
      <c r="AZ905" s="21" t="n">
        <f aca="false">IF(ABS(AJ905)&gt;تنظیمات!$B$10,1,0)</f>
        <v>0</v>
      </c>
      <c r="BA905" s="21" t="n">
        <f aca="false">IF(AND(OR(AD905="رایگان/VIP",AD905="جانباز"),AF905="خیر"),1,0)</f>
        <v>0</v>
      </c>
      <c r="BB905" s="21" t="n">
        <f aca="false">IF(AE905="",0,IF(COUNTIF($AE$2:$AE$1001,AE905)&gt;1,1,0))</f>
        <v>0</v>
      </c>
      <c r="BC905" s="21" t="n">
        <f aca="false">IF(AND(H905="",I905&gt;تنظیمات!$B$12*60,AM905="خالی"),1,0)</f>
        <v>0</v>
      </c>
      <c r="BD905" s="21" t="n">
        <f aca="false">IF(AND(AP905="بله",I905&lt;تنظیمات!$B$14,AO905="خیر"),1,0)</f>
        <v>0</v>
      </c>
      <c r="BE905" s="21" t="n">
        <f aca="false">IF(AN905="خیر",1,0)</f>
        <v>0</v>
      </c>
      <c r="BF905" s="21" t="n">
        <f aca="false">IF(AND(AD905="فیش مفقودی",AQ905="بله",I905&gt;تنظیمات!$B$12*60),1,0)</f>
        <v>0</v>
      </c>
      <c r="BG905" s="21" t="n">
        <f aca="false">IF(AND(AK905&gt;تنظیمات!$B$11,AL905="بله"),1,0)</f>
        <v>0</v>
      </c>
      <c r="BH905" s="21" t="n">
        <f aca="false">MIN(100,AR905*تنظیمات!$B$21+AS905*تنظیمات!$B$22+AT905*تنظیمات!$B$23+AU905*تنظیمات!$B$24+AV905*تنظیمات!$B$25+AW905*تنظیمات!$B$26+AX905*تنظیمات!$B$27+AY905*تنظیمات!$B$28+AZ905*تنظیمات!$B$29+BA905*تنظیمات!$B$30+BB905*تنظیمات!$B$31+BC905*تنظیمات!$B$32+BD905*تنظیمات!$B$33+BE905*تنظیمات!$B$34+BF905*تنظیمات!$B$35+BG905*تنظیمات!$B$36)</f>
        <v>0</v>
      </c>
      <c r="BI905" s="16" t="str">
        <f aca="false">IF(BH905&gt;=60,"بحرانی",IF(BH905&gt;=30,"مشکوک",IF(BH905&gt;0,"هشدار","عادی")))</f>
        <v>عادی</v>
      </c>
      <c r="BJ905" s="16" t="s">
        <v>338</v>
      </c>
    </row>
    <row r="906" customFormat="false" ht="15" hidden="false" customHeight="false" outlineLevel="0" collapsed="false">
      <c r="A906" s="16" t="s">
        <v>3044</v>
      </c>
      <c r="B906" s="16" t="s">
        <v>1117</v>
      </c>
      <c r="C906" s="16"/>
      <c r="D906" s="16" t="s">
        <v>344</v>
      </c>
      <c r="E906" s="16" t="s">
        <v>351</v>
      </c>
      <c r="F906" s="16" t="s">
        <v>333</v>
      </c>
      <c r="G906" s="17" t="n">
        <v>46293.5400347222</v>
      </c>
      <c r="H906" s="17" t="n">
        <v>46293.5782291667</v>
      </c>
      <c r="I906" s="18" t="n">
        <f aca="false">IF(H906="",ROUND((تنظیمات!$B$7-G906)*1440,0),ROUND((H906-G906)*1440,0))</f>
        <v>55</v>
      </c>
      <c r="J906" s="16" t="s">
        <v>346</v>
      </c>
      <c r="K906" s="16" t="s">
        <v>410</v>
      </c>
      <c r="L906" s="19" t="n">
        <v>0.879</v>
      </c>
      <c r="M906" s="19" t="n">
        <v>0.983</v>
      </c>
      <c r="N906" s="16" t="s">
        <v>335</v>
      </c>
      <c r="O906" s="16" t="s">
        <v>666</v>
      </c>
      <c r="P906" s="16" t="s">
        <v>402</v>
      </c>
      <c r="Q906" s="20" t="n">
        <v>46293</v>
      </c>
      <c r="R906" s="16" t="s">
        <v>3045</v>
      </c>
      <c r="S906" s="16" t="s">
        <v>404</v>
      </c>
      <c r="T906" s="17"/>
      <c r="U906" s="21" t="n">
        <v>1</v>
      </c>
      <c r="V906" s="21" t="n">
        <v>1</v>
      </c>
      <c r="W906" s="22" t="n">
        <v>7.2</v>
      </c>
      <c r="X906" s="16" t="s">
        <v>335</v>
      </c>
      <c r="Y906" s="16" t="s">
        <v>338</v>
      </c>
      <c r="Z906" s="16" t="s">
        <v>405</v>
      </c>
      <c r="AA906" s="16"/>
      <c r="AB906" s="23"/>
      <c r="AC906" s="17"/>
      <c r="AD906" s="16" t="s">
        <v>338</v>
      </c>
      <c r="AE906" s="16"/>
      <c r="AF906" s="16" t="str">
        <f aca="false">IF(COUNTIF(لیست_سفید!$A$2:$A$21,B906)&gt;0,"بله","خیر")</f>
        <v>خیر</v>
      </c>
      <c r="AG906" s="24" t="n">
        <f aca="false">IF(H906="","",IF(AD906="فیش مفقودی",تنظیمات!$B$6,(INT(I906/1440)*تنظیمات!$B$5+IF(MOD(I906,1440)&lt;=تنظیمات!$B$2,0,MIN(تنظیمات!$B$5,تنظیمات!$B$3+MAX(0,ROUNDUP((MOD(I906,1440)-60)/60,0))*تنظیمات!$B$4)))*INDEX(تعرفه!$B$2:$B$7,MATCH(AD906,تعرفه!$A$2:$A$7,0))))</f>
        <v>20000</v>
      </c>
      <c r="AH906" s="24" t="n">
        <v>20000</v>
      </c>
      <c r="AI906" s="24" t="n">
        <f aca="false">IF(AG906="","",AH906-AG906)</f>
        <v>0</v>
      </c>
      <c r="AJ906" s="21" t="n">
        <v>2</v>
      </c>
      <c r="AK906" s="21" t="n">
        <v>0</v>
      </c>
      <c r="AL906" s="16" t="s">
        <v>335</v>
      </c>
      <c r="AM906" s="16"/>
      <c r="AN906" s="16" t="s">
        <v>340</v>
      </c>
      <c r="AO906" s="16" t="s">
        <v>340</v>
      </c>
      <c r="AP906" s="16" t="s">
        <v>335</v>
      </c>
      <c r="AQ906" s="16"/>
      <c r="AR906" s="21" t="n">
        <f aca="false">IF(AND(T906&lt;&gt;"",H906&lt;&gt;""),IF(AND((T906-H906)*86400&gt;=0,(T906-H906)*86400&lt;تنظیمات!$B$13),1,0),0)</f>
        <v>0</v>
      </c>
      <c r="AS906" s="21" t="n">
        <f aca="false">IF(Z906="پوز",IF(OR(AB906="",COUNTIF(پوزها!$A$2:$A$5,AA906)=0),1,0),0)</f>
        <v>0</v>
      </c>
      <c r="AT906" s="21" t="n">
        <f aca="false">IF(AI906="",0,IF(AI906&gt;0,1,0))</f>
        <v>0</v>
      </c>
      <c r="AU906" s="21" t="n">
        <f aca="false">IF(AI906="",0,IF(AI906&lt;0,1,0))</f>
        <v>0</v>
      </c>
      <c r="AV906" s="21" t="n">
        <f aca="false">IF(U906&gt;V906,1,0)</f>
        <v>0</v>
      </c>
      <c r="AW906" s="21" t="n">
        <f aca="false">IF(OR(W906&gt;تنظیمات!$B$8,X906="بله"),1,0)</f>
        <v>0</v>
      </c>
      <c r="AX906" s="21" t="n">
        <f aca="false">IF(AND(N906="بله",L906&gt;تنظیمات!$B$9),1,0)</f>
        <v>0</v>
      </c>
      <c r="AY906" s="21" t="n">
        <f aca="false">IF(Y906="معکوس",1,0)</f>
        <v>0</v>
      </c>
      <c r="AZ906" s="21" t="n">
        <f aca="false">IF(ABS(AJ906)&gt;تنظیمات!$B$10,1,0)</f>
        <v>0</v>
      </c>
      <c r="BA906" s="21" t="n">
        <f aca="false">IF(AND(OR(AD906="رایگان/VIP",AD906="جانباز"),AF906="خیر"),1,0)</f>
        <v>0</v>
      </c>
      <c r="BB906" s="21" t="n">
        <f aca="false">IF(AE906="",0,IF(COUNTIF($AE$2:$AE$1001,AE906)&gt;1,1,0))</f>
        <v>0</v>
      </c>
      <c r="BC906" s="21" t="n">
        <f aca="false">IF(AND(H906="",I906&gt;تنظیمات!$B$12*60,AM906="خالی"),1,0)</f>
        <v>0</v>
      </c>
      <c r="BD906" s="21" t="n">
        <f aca="false">IF(AND(AP906="بله",I906&lt;تنظیمات!$B$14,AO906="خیر"),1,0)</f>
        <v>0</v>
      </c>
      <c r="BE906" s="21" t="n">
        <f aca="false">IF(AN906="خیر",1,0)</f>
        <v>0</v>
      </c>
      <c r="BF906" s="21" t="n">
        <f aca="false">IF(AND(AD906="فیش مفقودی",AQ906="بله",I906&gt;تنظیمات!$B$12*60),1,0)</f>
        <v>0</v>
      </c>
      <c r="BG906" s="21" t="n">
        <f aca="false">IF(AND(AK906&gt;تنظیمات!$B$11,AL906="بله"),1,0)</f>
        <v>0</v>
      </c>
      <c r="BH906" s="21" t="n">
        <f aca="false">MIN(100,AR906*تنظیمات!$B$21+AS906*تنظیمات!$B$22+AT906*تنظیمات!$B$23+AU906*تنظیمات!$B$24+AV906*تنظیمات!$B$25+AW906*تنظیمات!$B$26+AX906*تنظیمات!$B$27+AY906*تنظیمات!$B$28+AZ906*تنظیمات!$B$29+BA906*تنظیمات!$B$30+BB906*تنظیمات!$B$31+BC906*تنظیمات!$B$32+BD906*تنظیمات!$B$33+BE906*تنظیمات!$B$34+BF906*تنظیمات!$B$35+BG906*تنظیمات!$B$36)</f>
        <v>0</v>
      </c>
      <c r="BI906" s="16" t="str">
        <f aca="false">IF(BH906&gt;=60,"بحرانی",IF(BH906&gt;=30,"مشکوک",IF(BH906&gt;0,"هشدار","عادی")))</f>
        <v>عادی</v>
      </c>
      <c r="BJ906" s="16" t="s">
        <v>338</v>
      </c>
    </row>
    <row r="907" customFormat="false" ht="15" hidden="false" customHeight="false" outlineLevel="0" collapsed="false">
      <c r="A907" s="16" t="s">
        <v>3046</v>
      </c>
      <c r="B907" s="16" t="s">
        <v>819</v>
      </c>
      <c r="C907" s="16"/>
      <c r="D907" s="16" t="s">
        <v>344</v>
      </c>
      <c r="E907" s="16" t="s">
        <v>363</v>
      </c>
      <c r="F907" s="16" t="s">
        <v>333</v>
      </c>
      <c r="G907" s="17" t="n">
        <v>46293.5476157407</v>
      </c>
      <c r="H907" s="17" t="n">
        <v>46293.6427546296</v>
      </c>
      <c r="I907" s="18" t="n">
        <f aca="false">IF(H907="",ROUND((تنظیمات!$B$7-G907)*1440,0),ROUND((H907-G907)*1440,0))</f>
        <v>137</v>
      </c>
      <c r="J907" s="16" t="s">
        <v>346</v>
      </c>
      <c r="K907" s="16" t="s">
        <v>400</v>
      </c>
      <c r="L907" s="19" t="n">
        <v>0.969</v>
      </c>
      <c r="M907" s="19" t="n">
        <v>0.884</v>
      </c>
      <c r="N907" s="16" t="s">
        <v>335</v>
      </c>
      <c r="O907" s="16" t="s">
        <v>677</v>
      </c>
      <c r="P907" s="16" t="s">
        <v>420</v>
      </c>
      <c r="Q907" s="20" t="n">
        <v>46293</v>
      </c>
      <c r="R907" s="16" t="s">
        <v>3047</v>
      </c>
      <c r="S907" s="16" t="s">
        <v>404</v>
      </c>
      <c r="T907" s="17"/>
      <c r="U907" s="21" t="n">
        <v>1</v>
      </c>
      <c r="V907" s="21" t="n">
        <v>1</v>
      </c>
      <c r="W907" s="22" t="n">
        <v>4.8</v>
      </c>
      <c r="X907" s="16" t="s">
        <v>335</v>
      </c>
      <c r="Y907" s="16" t="s">
        <v>338</v>
      </c>
      <c r="Z907" s="16" t="s">
        <v>413</v>
      </c>
      <c r="AA907" s="16" t="s">
        <v>427</v>
      </c>
      <c r="AB907" s="23" t="s">
        <v>3048</v>
      </c>
      <c r="AC907" s="17" t="n">
        <v>46293.6421990741</v>
      </c>
      <c r="AD907" s="16" t="s">
        <v>338</v>
      </c>
      <c r="AE907" s="16"/>
      <c r="AF907" s="16" t="str">
        <f aca="false">IF(COUNTIF(لیست_سفید!$A$2:$A$21,B907)&gt;0,"بله","خیر")</f>
        <v>خیر</v>
      </c>
      <c r="AG907" s="24" t="n">
        <f aca="false">IF(H907="","",IF(AD907="فیش مفقودی",تنظیمات!$B$6,(INT(I907/1440)*تنظیمات!$B$5+IF(MOD(I907,1440)&lt;=تنظیمات!$B$2,0,MIN(تنظیمات!$B$5,تنظیمات!$B$3+MAX(0,ROUNDUP((MOD(I907,1440)-60)/60,0))*تنظیمات!$B$4)))*INDEX(تعرفه!$B$2:$B$7,MATCH(AD907,تعرفه!$A$2:$A$7,0))))</f>
        <v>48000</v>
      </c>
      <c r="AH907" s="24" t="n">
        <v>48000</v>
      </c>
      <c r="AI907" s="24" t="n">
        <f aca="false">IF(AG907="","",AH907-AG907)</f>
        <v>0</v>
      </c>
      <c r="AJ907" s="21" t="n">
        <v>3</v>
      </c>
      <c r="AK907" s="21" t="n">
        <v>0</v>
      </c>
      <c r="AL907" s="16" t="s">
        <v>335</v>
      </c>
      <c r="AM907" s="16"/>
      <c r="AN907" s="16" t="s">
        <v>340</v>
      </c>
      <c r="AO907" s="16" t="s">
        <v>340</v>
      </c>
      <c r="AP907" s="16" t="s">
        <v>335</v>
      </c>
      <c r="AQ907" s="16"/>
      <c r="AR907" s="21" t="n">
        <f aca="false">IF(AND(T907&lt;&gt;"",H907&lt;&gt;""),IF(AND((T907-H907)*86400&gt;=0,(T907-H907)*86400&lt;تنظیمات!$B$13),1,0),0)</f>
        <v>0</v>
      </c>
      <c r="AS907" s="21" t="n">
        <f aca="false">IF(Z907="پوز",IF(OR(AB907="",COUNTIF(پوزها!$A$2:$A$5,AA907)=0),1,0),0)</f>
        <v>0</v>
      </c>
      <c r="AT907" s="21" t="n">
        <f aca="false">IF(AI907="",0,IF(AI907&gt;0,1,0))</f>
        <v>0</v>
      </c>
      <c r="AU907" s="21" t="n">
        <f aca="false">IF(AI907="",0,IF(AI907&lt;0,1,0))</f>
        <v>0</v>
      </c>
      <c r="AV907" s="21" t="n">
        <f aca="false">IF(U907&gt;V907,1,0)</f>
        <v>0</v>
      </c>
      <c r="AW907" s="21" t="n">
        <f aca="false">IF(OR(W907&gt;تنظیمات!$B$8,X907="بله"),1,0)</f>
        <v>0</v>
      </c>
      <c r="AX907" s="21" t="n">
        <f aca="false">IF(AND(N907="بله",L907&gt;تنظیمات!$B$9),1,0)</f>
        <v>0</v>
      </c>
      <c r="AY907" s="21" t="n">
        <f aca="false">IF(Y907="معکوس",1,0)</f>
        <v>0</v>
      </c>
      <c r="AZ907" s="21" t="n">
        <f aca="false">IF(ABS(AJ907)&gt;تنظیمات!$B$10,1,0)</f>
        <v>0</v>
      </c>
      <c r="BA907" s="21" t="n">
        <f aca="false">IF(AND(OR(AD907="رایگان/VIP",AD907="جانباز"),AF907="خیر"),1,0)</f>
        <v>0</v>
      </c>
      <c r="BB907" s="21" t="n">
        <f aca="false">IF(AE907="",0,IF(COUNTIF($AE$2:$AE$1001,AE907)&gt;1,1,0))</f>
        <v>0</v>
      </c>
      <c r="BC907" s="21" t="n">
        <f aca="false">IF(AND(H907="",I907&gt;تنظیمات!$B$12*60,AM907="خالی"),1,0)</f>
        <v>0</v>
      </c>
      <c r="BD907" s="21" t="n">
        <f aca="false">IF(AND(AP907="بله",I907&lt;تنظیمات!$B$14,AO907="خیر"),1,0)</f>
        <v>0</v>
      </c>
      <c r="BE907" s="21" t="n">
        <f aca="false">IF(AN907="خیر",1,0)</f>
        <v>0</v>
      </c>
      <c r="BF907" s="21" t="n">
        <f aca="false">IF(AND(AD907="فیش مفقودی",AQ907="بله",I907&gt;تنظیمات!$B$12*60),1,0)</f>
        <v>0</v>
      </c>
      <c r="BG907" s="21" t="n">
        <f aca="false">IF(AND(AK907&gt;تنظیمات!$B$11,AL907="بله"),1,0)</f>
        <v>0</v>
      </c>
      <c r="BH907" s="21" t="n">
        <f aca="false">MIN(100,AR907*تنظیمات!$B$21+AS907*تنظیمات!$B$22+AT907*تنظیمات!$B$23+AU907*تنظیمات!$B$24+AV907*تنظیمات!$B$25+AW907*تنظیمات!$B$26+AX907*تنظیمات!$B$27+AY907*تنظیمات!$B$28+AZ907*تنظیمات!$B$29+BA907*تنظیمات!$B$30+BB907*تنظیمات!$B$31+BC907*تنظیمات!$B$32+BD907*تنظیمات!$B$33+BE907*تنظیمات!$B$34+BF907*تنظیمات!$B$35+BG907*تنظیمات!$B$36)</f>
        <v>0</v>
      </c>
      <c r="BI907" s="16" t="str">
        <f aca="false">IF(BH907&gt;=60,"بحرانی",IF(BH907&gt;=30,"مشکوک",IF(BH907&gt;0,"هشدار","عادی")))</f>
        <v>عادی</v>
      </c>
      <c r="BJ907" s="16" t="s">
        <v>338</v>
      </c>
    </row>
    <row r="908" customFormat="false" ht="15" hidden="false" customHeight="false" outlineLevel="0" collapsed="false">
      <c r="A908" s="16" t="s">
        <v>3049</v>
      </c>
      <c r="B908" s="16" t="s">
        <v>1897</v>
      </c>
      <c r="C908" s="16"/>
      <c r="D908" s="16" t="s">
        <v>374</v>
      </c>
      <c r="E908" s="16" t="s">
        <v>332</v>
      </c>
      <c r="F908" s="16" t="s">
        <v>359</v>
      </c>
      <c r="G908" s="17" t="n">
        <v>46293.5590509259</v>
      </c>
      <c r="H908" s="17" t="n">
        <v>46293.6458564815</v>
      </c>
      <c r="I908" s="18" t="n">
        <f aca="false">IF(H908="",ROUND((تنظیمات!$B$7-G908)*1440,0),ROUND((H908-G908)*1440,0))</f>
        <v>125</v>
      </c>
      <c r="J908" s="16" t="s">
        <v>346</v>
      </c>
      <c r="K908" s="16" t="s">
        <v>400</v>
      </c>
      <c r="L908" s="19" t="n">
        <v>0.904</v>
      </c>
      <c r="M908" s="19" t="n">
        <v>0.943</v>
      </c>
      <c r="N908" s="16" t="s">
        <v>335</v>
      </c>
      <c r="O908" s="16" t="s">
        <v>677</v>
      </c>
      <c r="P908" s="16" t="s">
        <v>420</v>
      </c>
      <c r="Q908" s="20" t="n">
        <v>46293</v>
      </c>
      <c r="R908" s="16" t="s">
        <v>3050</v>
      </c>
      <c r="S908" s="16" t="s">
        <v>404</v>
      </c>
      <c r="T908" s="17"/>
      <c r="U908" s="21" t="n">
        <v>1</v>
      </c>
      <c r="V908" s="21" t="n">
        <v>1</v>
      </c>
      <c r="W908" s="22" t="n">
        <v>3.7</v>
      </c>
      <c r="X908" s="16" t="s">
        <v>335</v>
      </c>
      <c r="Y908" s="16" t="s">
        <v>338</v>
      </c>
      <c r="Z908" s="16" t="s">
        <v>413</v>
      </c>
      <c r="AA908" s="16" t="s">
        <v>427</v>
      </c>
      <c r="AB908" s="23" t="s">
        <v>3051</v>
      </c>
      <c r="AC908" s="17" t="n">
        <v>46293.6451273148</v>
      </c>
      <c r="AD908" s="16" t="s">
        <v>338</v>
      </c>
      <c r="AE908" s="16"/>
      <c r="AF908" s="16" t="str">
        <f aca="false">IF(COUNTIF(لیست_سفید!$A$2:$A$21,B908)&gt;0,"بله","خیر")</f>
        <v>خیر</v>
      </c>
      <c r="AG908" s="24" t="n">
        <f aca="false">IF(H908="","",IF(AD908="فیش مفقودی",تنظیمات!$B$6,(INT(I908/1440)*تنظیمات!$B$5+IF(MOD(I908,1440)&lt;=تنظیمات!$B$2,0,MIN(تنظیمات!$B$5,تنظیمات!$B$3+MAX(0,ROUNDUP((MOD(I908,1440)-60)/60,0))*تنظیمات!$B$4)))*INDEX(تعرفه!$B$2:$B$7,MATCH(AD908,تعرفه!$A$2:$A$7,0))))</f>
        <v>48000</v>
      </c>
      <c r="AH908" s="24" t="n">
        <v>48000</v>
      </c>
      <c r="AI908" s="24" t="n">
        <f aca="false">IF(AG908="","",AH908-AG908)</f>
        <v>0</v>
      </c>
      <c r="AJ908" s="21" t="n">
        <v>2</v>
      </c>
      <c r="AK908" s="21" t="n">
        <v>0</v>
      </c>
      <c r="AL908" s="16" t="s">
        <v>335</v>
      </c>
      <c r="AM908" s="16"/>
      <c r="AN908" s="16" t="s">
        <v>340</v>
      </c>
      <c r="AO908" s="16" t="s">
        <v>340</v>
      </c>
      <c r="AP908" s="16" t="s">
        <v>335</v>
      </c>
      <c r="AQ908" s="16"/>
      <c r="AR908" s="21" t="n">
        <f aca="false">IF(AND(T908&lt;&gt;"",H908&lt;&gt;""),IF(AND((T908-H908)*86400&gt;=0,(T908-H908)*86400&lt;تنظیمات!$B$13),1,0),0)</f>
        <v>0</v>
      </c>
      <c r="AS908" s="21" t="n">
        <f aca="false">IF(Z908="پوز",IF(OR(AB908="",COUNTIF(پوزها!$A$2:$A$5,AA908)=0),1,0),0)</f>
        <v>0</v>
      </c>
      <c r="AT908" s="21" t="n">
        <f aca="false">IF(AI908="",0,IF(AI908&gt;0,1,0))</f>
        <v>0</v>
      </c>
      <c r="AU908" s="21" t="n">
        <f aca="false">IF(AI908="",0,IF(AI908&lt;0,1,0))</f>
        <v>0</v>
      </c>
      <c r="AV908" s="21" t="n">
        <f aca="false">IF(U908&gt;V908,1,0)</f>
        <v>0</v>
      </c>
      <c r="AW908" s="21" t="n">
        <f aca="false">IF(OR(W908&gt;تنظیمات!$B$8,X908="بله"),1,0)</f>
        <v>0</v>
      </c>
      <c r="AX908" s="21" t="n">
        <f aca="false">IF(AND(N908="بله",L908&gt;تنظیمات!$B$9),1,0)</f>
        <v>0</v>
      </c>
      <c r="AY908" s="21" t="n">
        <f aca="false">IF(Y908="معکوس",1,0)</f>
        <v>0</v>
      </c>
      <c r="AZ908" s="21" t="n">
        <f aca="false">IF(ABS(AJ908)&gt;تنظیمات!$B$10,1,0)</f>
        <v>0</v>
      </c>
      <c r="BA908" s="21" t="n">
        <f aca="false">IF(AND(OR(AD908="رایگان/VIP",AD908="جانباز"),AF908="خیر"),1,0)</f>
        <v>0</v>
      </c>
      <c r="BB908" s="21" t="n">
        <f aca="false">IF(AE908="",0,IF(COUNTIF($AE$2:$AE$1001,AE908)&gt;1,1,0))</f>
        <v>0</v>
      </c>
      <c r="BC908" s="21" t="n">
        <f aca="false">IF(AND(H908="",I908&gt;تنظیمات!$B$12*60,AM908="خالی"),1,0)</f>
        <v>0</v>
      </c>
      <c r="BD908" s="21" t="n">
        <f aca="false">IF(AND(AP908="بله",I908&lt;تنظیمات!$B$14,AO908="خیر"),1,0)</f>
        <v>0</v>
      </c>
      <c r="BE908" s="21" t="n">
        <f aca="false">IF(AN908="خیر",1,0)</f>
        <v>0</v>
      </c>
      <c r="BF908" s="21" t="n">
        <f aca="false">IF(AND(AD908="فیش مفقودی",AQ908="بله",I908&gt;تنظیمات!$B$12*60),1,0)</f>
        <v>0</v>
      </c>
      <c r="BG908" s="21" t="n">
        <f aca="false">IF(AND(AK908&gt;تنظیمات!$B$11,AL908="بله"),1,0)</f>
        <v>0</v>
      </c>
      <c r="BH908" s="21" t="n">
        <f aca="false">MIN(100,AR908*تنظیمات!$B$21+AS908*تنظیمات!$B$22+AT908*تنظیمات!$B$23+AU908*تنظیمات!$B$24+AV908*تنظیمات!$B$25+AW908*تنظیمات!$B$26+AX908*تنظیمات!$B$27+AY908*تنظیمات!$B$28+AZ908*تنظیمات!$B$29+BA908*تنظیمات!$B$30+BB908*تنظیمات!$B$31+BC908*تنظیمات!$B$32+BD908*تنظیمات!$B$33+BE908*تنظیمات!$B$34+BF908*تنظیمات!$B$35+BG908*تنظیمات!$B$36)</f>
        <v>0</v>
      </c>
      <c r="BI908" s="16" t="str">
        <f aca="false">IF(BH908&gt;=60,"بحرانی",IF(BH908&gt;=30,"مشکوک",IF(BH908&gt;0,"هشدار","عادی")))</f>
        <v>عادی</v>
      </c>
      <c r="BJ908" s="16" t="s">
        <v>338</v>
      </c>
    </row>
    <row r="909" customFormat="false" ht="15" hidden="false" customHeight="false" outlineLevel="0" collapsed="false">
      <c r="A909" s="16" t="s">
        <v>3052</v>
      </c>
      <c r="B909" s="16" t="s">
        <v>885</v>
      </c>
      <c r="C909" s="16"/>
      <c r="D909" s="16" t="s">
        <v>469</v>
      </c>
      <c r="E909" s="16" t="s">
        <v>351</v>
      </c>
      <c r="F909" s="16" t="s">
        <v>359</v>
      </c>
      <c r="G909" s="17" t="n">
        <v>46293.5864930556</v>
      </c>
      <c r="H909" s="17" t="n">
        <v>46293.7309375</v>
      </c>
      <c r="I909" s="18" t="n">
        <f aca="false">IF(H909="",ROUND((تنظیمات!$B$7-G909)*1440,0),ROUND((H909-G909)*1440,0))</f>
        <v>208</v>
      </c>
      <c r="J909" s="16" t="s">
        <v>334</v>
      </c>
      <c r="K909" s="16" t="s">
        <v>410</v>
      </c>
      <c r="L909" s="19" t="n">
        <v>0.993</v>
      </c>
      <c r="M909" s="19" t="n">
        <v>0.956</v>
      </c>
      <c r="N909" s="16" t="s">
        <v>335</v>
      </c>
      <c r="O909" s="16" t="s">
        <v>425</v>
      </c>
      <c r="P909" s="16" t="s">
        <v>420</v>
      </c>
      <c r="Q909" s="20" t="n">
        <v>46293</v>
      </c>
      <c r="R909" s="16" t="s">
        <v>3053</v>
      </c>
      <c r="S909" s="16" t="s">
        <v>404</v>
      </c>
      <c r="T909" s="17"/>
      <c r="U909" s="21" t="n">
        <v>1</v>
      </c>
      <c r="V909" s="21" t="n">
        <v>1</v>
      </c>
      <c r="W909" s="22" t="n">
        <v>5.2</v>
      </c>
      <c r="X909" s="16" t="s">
        <v>335</v>
      </c>
      <c r="Y909" s="16" t="s">
        <v>338</v>
      </c>
      <c r="Z909" s="16" t="s">
        <v>413</v>
      </c>
      <c r="AA909" s="16" t="s">
        <v>414</v>
      </c>
      <c r="AB909" s="23" t="s">
        <v>3054</v>
      </c>
      <c r="AC909" s="17" t="n">
        <v>46293.7305092593</v>
      </c>
      <c r="AD909" s="16" t="s">
        <v>338</v>
      </c>
      <c r="AE909" s="16"/>
      <c r="AF909" s="16" t="str">
        <f aca="false">IF(COUNTIF(لیست_سفید!$A$2:$A$21,B909)&gt;0,"بله","خیر")</f>
        <v>خیر</v>
      </c>
      <c r="AG909" s="24" t="n">
        <f aca="false">IF(H909="","",IF(AD909="فیش مفقودی",تنظیمات!$B$6,(INT(I909/1440)*تنظیمات!$B$5+IF(MOD(I909,1440)&lt;=تنظیمات!$B$2,0,MIN(تنظیمات!$B$5,تنظیمات!$B$3+MAX(0,ROUNDUP((MOD(I909,1440)-60)/60,0))*تنظیمات!$B$4)))*INDEX(تعرفه!$B$2:$B$7,MATCH(AD909,تعرفه!$A$2:$A$7,0))))</f>
        <v>62000</v>
      </c>
      <c r="AH909" s="24" t="n">
        <v>62000</v>
      </c>
      <c r="AI909" s="24" t="n">
        <f aca="false">IF(AG909="","",AH909-AG909)</f>
        <v>0</v>
      </c>
      <c r="AJ909" s="21" t="n">
        <v>2</v>
      </c>
      <c r="AK909" s="21" t="n">
        <v>0</v>
      </c>
      <c r="AL909" s="16" t="s">
        <v>335</v>
      </c>
      <c r="AM909" s="16"/>
      <c r="AN909" s="16" t="s">
        <v>340</v>
      </c>
      <c r="AO909" s="16" t="s">
        <v>340</v>
      </c>
      <c r="AP909" s="16" t="s">
        <v>335</v>
      </c>
      <c r="AQ909" s="16"/>
      <c r="AR909" s="21" t="n">
        <f aca="false">IF(AND(T909&lt;&gt;"",H909&lt;&gt;""),IF(AND((T909-H909)*86400&gt;=0,(T909-H909)*86400&lt;تنظیمات!$B$13),1,0),0)</f>
        <v>0</v>
      </c>
      <c r="AS909" s="21" t="n">
        <f aca="false">IF(Z909="پوز",IF(OR(AB909="",COUNTIF(پوزها!$A$2:$A$5,AA909)=0),1,0),0)</f>
        <v>0</v>
      </c>
      <c r="AT909" s="21" t="n">
        <f aca="false">IF(AI909="",0,IF(AI909&gt;0,1,0))</f>
        <v>0</v>
      </c>
      <c r="AU909" s="21" t="n">
        <f aca="false">IF(AI909="",0,IF(AI909&lt;0,1,0))</f>
        <v>0</v>
      </c>
      <c r="AV909" s="21" t="n">
        <f aca="false">IF(U909&gt;V909,1,0)</f>
        <v>0</v>
      </c>
      <c r="AW909" s="21" t="n">
        <f aca="false">IF(OR(W909&gt;تنظیمات!$B$8,X909="بله"),1,0)</f>
        <v>0</v>
      </c>
      <c r="AX909" s="21" t="n">
        <f aca="false">IF(AND(N909="بله",L909&gt;تنظیمات!$B$9),1,0)</f>
        <v>0</v>
      </c>
      <c r="AY909" s="21" t="n">
        <f aca="false">IF(Y909="معکوس",1,0)</f>
        <v>0</v>
      </c>
      <c r="AZ909" s="21" t="n">
        <f aca="false">IF(ABS(AJ909)&gt;تنظیمات!$B$10,1,0)</f>
        <v>0</v>
      </c>
      <c r="BA909" s="21" t="n">
        <f aca="false">IF(AND(OR(AD909="رایگان/VIP",AD909="جانباز"),AF909="خیر"),1,0)</f>
        <v>0</v>
      </c>
      <c r="BB909" s="21" t="n">
        <f aca="false">IF(AE909="",0,IF(COUNTIF($AE$2:$AE$1001,AE909)&gt;1,1,0))</f>
        <v>0</v>
      </c>
      <c r="BC909" s="21" t="n">
        <f aca="false">IF(AND(H909="",I909&gt;تنظیمات!$B$12*60,AM909="خالی"),1,0)</f>
        <v>0</v>
      </c>
      <c r="BD909" s="21" t="n">
        <f aca="false">IF(AND(AP909="بله",I909&lt;تنظیمات!$B$14,AO909="خیر"),1,0)</f>
        <v>0</v>
      </c>
      <c r="BE909" s="21" t="n">
        <f aca="false">IF(AN909="خیر",1,0)</f>
        <v>0</v>
      </c>
      <c r="BF909" s="21" t="n">
        <f aca="false">IF(AND(AD909="فیش مفقودی",AQ909="بله",I909&gt;تنظیمات!$B$12*60),1,0)</f>
        <v>0</v>
      </c>
      <c r="BG909" s="21" t="n">
        <f aca="false">IF(AND(AK909&gt;تنظیمات!$B$11,AL909="بله"),1,0)</f>
        <v>0</v>
      </c>
      <c r="BH909" s="21" t="n">
        <f aca="false">MIN(100,AR909*تنظیمات!$B$21+AS909*تنظیمات!$B$22+AT909*تنظیمات!$B$23+AU909*تنظیمات!$B$24+AV909*تنظیمات!$B$25+AW909*تنظیمات!$B$26+AX909*تنظیمات!$B$27+AY909*تنظیمات!$B$28+AZ909*تنظیمات!$B$29+BA909*تنظیمات!$B$30+BB909*تنظیمات!$B$31+BC909*تنظیمات!$B$32+BD909*تنظیمات!$B$33+BE909*تنظیمات!$B$34+BF909*تنظیمات!$B$35+BG909*تنظیمات!$B$36)</f>
        <v>0</v>
      </c>
      <c r="BI909" s="16" t="str">
        <f aca="false">IF(BH909&gt;=60,"بحرانی",IF(BH909&gt;=30,"مشکوک",IF(BH909&gt;0,"هشدار","عادی")))</f>
        <v>عادی</v>
      </c>
      <c r="BJ909" s="16" t="s">
        <v>338</v>
      </c>
    </row>
    <row r="910" customFormat="false" ht="15" hidden="false" customHeight="false" outlineLevel="0" collapsed="false">
      <c r="A910" s="16" t="s">
        <v>3055</v>
      </c>
      <c r="B910" s="16" t="s">
        <v>928</v>
      </c>
      <c r="C910" s="16"/>
      <c r="D910" s="16" t="s">
        <v>331</v>
      </c>
      <c r="E910" s="16" t="s">
        <v>351</v>
      </c>
      <c r="F910" s="16" t="s">
        <v>333</v>
      </c>
      <c r="G910" s="17" t="n">
        <v>46293.6311458333</v>
      </c>
      <c r="H910" s="17" t="n">
        <v>46293.7165625</v>
      </c>
      <c r="I910" s="18" t="n">
        <f aca="false">IF(H910="",ROUND((تنظیمات!$B$7-G910)*1440,0),ROUND((H910-G910)*1440,0))</f>
        <v>123</v>
      </c>
      <c r="J910" s="16" t="s">
        <v>334</v>
      </c>
      <c r="K910" s="16" t="s">
        <v>400</v>
      </c>
      <c r="L910" s="19" t="n">
        <v>0.96</v>
      </c>
      <c r="M910" s="19" t="n">
        <v>0.955</v>
      </c>
      <c r="N910" s="16" t="s">
        <v>335</v>
      </c>
      <c r="O910" s="16" t="s">
        <v>677</v>
      </c>
      <c r="P910" s="16" t="s">
        <v>420</v>
      </c>
      <c r="Q910" s="20" t="n">
        <v>46293</v>
      </c>
      <c r="R910" s="16" t="s">
        <v>3056</v>
      </c>
      <c r="S910" s="16" t="s">
        <v>404</v>
      </c>
      <c r="T910" s="17"/>
      <c r="U910" s="21" t="n">
        <v>1</v>
      </c>
      <c r="V910" s="21" t="n">
        <v>1</v>
      </c>
      <c r="W910" s="22" t="n">
        <v>4.2</v>
      </c>
      <c r="X910" s="16" t="s">
        <v>335</v>
      </c>
      <c r="Y910" s="16" t="s">
        <v>338</v>
      </c>
      <c r="Z910" s="16" t="s">
        <v>413</v>
      </c>
      <c r="AA910" s="16" t="s">
        <v>427</v>
      </c>
      <c r="AB910" s="23" t="s">
        <v>3057</v>
      </c>
      <c r="AC910" s="17" t="n">
        <v>46293.7162731482</v>
      </c>
      <c r="AD910" s="16" t="s">
        <v>338</v>
      </c>
      <c r="AE910" s="16"/>
      <c r="AF910" s="16" t="str">
        <f aca="false">IF(COUNTIF(لیست_سفید!$A$2:$A$21,B910)&gt;0,"بله","خیر")</f>
        <v>خیر</v>
      </c>
      <c r="AG910" s="24" t="n">
        <f aca="false">IF(H910="","",IF(AD910="فیش مفقودی",تنظیمات!$B$6,(INT(I910/1440)*تنظیمات!$B$5+IF(MOD(I910,1440)&lt;=تنظیمات!$B$2,0,MIN(تنظیمات!$B$5,تنظیمات!$B$3+MAX(0,ROUNDUP((MOD(I910,1440)-60)/60,0))*تنظیمات!$B$4)))*INDEX(تعرفه!$B$2:$B$7,MATCH(AD910,تعرفه!$A$2:$A$7,0))))</f>
        <v>48000</v>
      </c>
      <c r="AH910" s="24" t="n">
        <v>48000</v>
      </c>
      <c r="AI910" s="24" t="n">
        <f aca="false">IF(AG910="","",AH910-AG910)</f>
        <v>0</v>
      </c>
      <c r="AJ910" s="21" t="n">
        <v>-1</v>
      </c>
      <c r="AK910" s="21" t="n">
        <v>0</v>
      </c>
      <c r="AL910" s="16" t="s">
        <v>335</v>
      </c>
      <c r="AM910" s="16"/>
      <c r="AN910" s="16" t="s">
        <v>340</v>
      </c>
      <c r="AO910" s="16" t="s">
        <v>340</v>
      </c>
      <c r="AP910" s="16" t="s">
        <v>335</v>
      </c>
      <c r="AQ910" s="16"/>
      <c r="AR910" s="21" t="n">
        <f aca="false">IF(AND(T910&lt;&gt;"",H910&lt;&gt;""),IF(AND((T910-H910)*86400&gt;=0,(T910-H910)*86400&lt;تنظیمات!$B$13),1,0),0)</f>
        <v>0</v>
      </c>
      <c r="AS910" s="21" t="n">
        <f aca="false">IF(Z910="پوز",IF(OR(AB910="",COUNTIF(پوزها!$A$2:$A$5,AA910)=0),1,0),0)</f>
        <v>0</v>
      </c>
      <c r="AT910" s="21" t="n">
        <f aca="false">IF(AI910="",0,IF(AI910&gt;0,1,0))</f>
        <v>0</v>
      </c>
      <c r="AU910" s="21" t="n">
        <f aca="false">IF(AI910="",0,IF(AI910&lt;0,1,0))</f>
        <v>0</v>
      </c>
      <c r="AV910" s="21" t="n">
        <f aca="false">IF(U910&gt;V910,1,0)</f>
        <v>0</v>
      </c>
      <c r="AW910" s="21" t="n">
        <f aca="false">IF(OR(W910&gt;تنظیمات!$B$8,X910="بله"),1,0)</f>
        <v>0</v>
      </c>
      <c r="AX910" s="21" t="n">
        <f aca="false">IF(AND(N910="بله",L910&gt;تنظیمات!$B$9),1,0)</f>
        <v>0</v>
      </c>
      <c r="AY910" s="21" t="n">
        <f aca="false">IF(Y910="معکوس",1,0)</f>
        <v>0</v>
      </c>
      <c r="AZ910" s="21" t="n">
        <f aca="false">IF(ABS(AJ910)&gt;تنظیمات!$B$10,1,0)</f>
        <v>0</v>
      </c>
      <c r="BA910" s="21" t="n">
        <f aca="false">IF(AND(OR(AD910="رایگان/VIP",AD910="جانباز"),AF910="خیر"),1,0)</f>
        <v>0</v>
      </c>
      <c r="BB910" s="21" t="n">
        <f aca="false">IF(AE910="",0,IF(COUNTIF($AE$2:$AE$1001,AE910)&gt;1,1,0))</f>
        <v>0</v>
      </c>
      <c r="BC910" s="21" t="n">
        <f aca="false">IF(AND(H910="",I910&gt;تنظیمات!$B$12*60,AM910="خالی"),1,0)</f>
        <v>0</v>
      </c>
      <c r="BD910" s="21" t="n">
        <f aca="false">IF(AND(AP910="بله",I910&lt;تنظیمات!$B$14,AO910="خیر"),1,0)</f>
        <v>0</v>
      </c>
      <c r="BE910" s="21" t="n">
        <f aca="false">IF(AN910="خیر",1,0)</f>
        <v>0</v>
      </c>
      <c r="BF910" s="21" t="n">
        <f aca="false">IF(AND(AD910="فیش مفقودی",AQ910="بله",I910&gt;تنظیمات!$B$12*60),1,0)</f>
        <v>0</v>
      </c>
      <c r="BG910" s="21" t="n">
        <f aca="false">IF(AND(AK910&gt;تنظیمات!$B$11,AL910="بله"),1,0)</f>
        <v>0</v>
      </c>
      <c r="BH910" s="21" t="n">
        <f aca="false">MIN(100,AR910*تنظیمات!$B$21+AS910*تنظیمات!$B$22+AT910*تنظیمات!$B$23+AU910*تنظیمات!$B$24+AV910*تنظیمات!$B$25+AW910*تنظیمات!$B$26+AX910*تنظیمات!$B$27+AY910*تنظیمات!$B$28+AZ910*تنظیمات!$B$29+BA910*تنظیمات!$B$30+BB910*تنظیمات!$B$31+BC910*تنظیمات!$B$32+BD910*تنظیمات!$B$33+BE910*تنظیمات!$B$34+BF910*تنظیمات!$B$35+BG910*تنظیمات!$B$36)</f>
        <v>0</v>
      </c>
      <c r="BI910" s="16" t="str">
        <f aca="false">IF(BH910&gt;=60,"بحرانی",IF(BH910&gt;=30,"مشکوک",IF(BH910&gt;0,"هشدار","عادی")))</f>
        <v>عادی</v>
      </c>
      <c r="BJ910" s="16" t="s">
        <v>338</v>
      </c>
    </row>
    <row r="911" customFormat="false" ht="15" hidden="false" customHeight="false" outlineLevel="0" collapsed="false">
      <c r="A911" s="16" t="s">
        <v>3058</v>
      </c>
      <c r="B911" s="16" t="s">
        <v>1380</v>
      </c>
      <c r="C911" s="16"/>
      <c r="D911" s="16" t="s">
        <v>431</v>
      </c>
      <c r="E911" s="16" t="s">
        <v>345</v>
      </c>
      <c r="F911" s="16" t="s">
        <v>333</v>
      </c>
      <c r="G911" s="17" t="n">
        <v>46293.635</v>
      </c>
      <c r="H911" s="17" t="n">
        <v>46293.6676388889</v>
      </c>
      <c r="I911" s="18" t="n">
        <f aca="false">IF(H911="",ROUND((تنظیمات!$B$7-G911)*1440,0),ROUND((H911-G911)*1440,0))</f>
        <v>47</v>
      </c>
      <c r="J911" s="16" t="s">
        <v>334</v>
      </c>
      <c r="K911" s="16" t="s">
        <v>410</v>
      </c>
      <c r="L911" s="19" t="n">
        <v>0.919</v>
      </c>
      <c r="M911" s="19" t="n">
        <v>0.904</v>
      </c>
      <c r="N911" s="16" t="s">
        <v>335</v>
      </c>
      <c r="O911" s="16" t="s">
        <v>425</v>
      </c>
      <c r="P911" s="16" t="s">
        <v>420</v>
      </c>
      <c r="Q911" s="20" t="n">
        <v>46293</v>
      </c>
      <c r="R911" s="16" t="s">
        <v>3059</v>
      </c>
      <c r="S911" s="16" t="s">
        <v>404</v>
      </c>
      <c r="T911" s="17"/>
      <c r="U911" s="21" t="n">
        <v>1</v>
      </c>
      <c r="V911" s="21" t="n">
        <v>1</v>
      </c>
      <c r="W911" s="22" t="n">
        <v>7.3</v>
      </c>
      <c r="X911" s="16" t="s">
        <v>335</v>
      </c>
      <c r="Y911" s="16" t="s">
        <v>338</v>
      </c>
      <c r="Z911" s="16" t="s">
        <v>405</v>
      </c>
      <c r="AA911" s="16"/>
      <c r="AB911" s="23"/>
      <c r="AC911" s="17"/>
      <c r="AD911" s="16" t="s">
        <v>338</v>
      </c>
      <c r="AE911" s="16"/>
      <c r="AF911" s="16" t="str">
        <f aca="false">IF(COUNTIF(لیست_سفید!$A$2:$A$21,B911)&gt;0,"بله","خیر")</f>
        <v>خیر</v>
      </c>
      <c r="AG911" s="24" t="n">
        <f aca="false">IF(H911="","",IF(AD911="فیش مفقودی",تنظیمات!$B$6,(INT(I911/1440)*تنظیمات!$B$5+IF(MOD(I911,1440)&lt;=تنظیمات!$B$2,0,MIN(تنظیمات!$B$5,تنظیمات!$B$3+MAX(0,ROUNDUP((MOD(I911,1440)-60)/60,0))*تنظیمات!$B$4)))*INDEX(تعرفه!$B$2:$B$7,MATCH(AD911,تعرفه!$A$2:$A$7,0))))</f>
        <v>20000</v>
      </c>
      <c r="AH911" s="24" t="n">
        <v>20000</v>
      </c>
      <c r="AI911" s="24" t="n">
        <f aca="false">IF(AG911="","",AH911-AG911)</f>
        <v>0</v>
      </c>
      <c r="AJ911" s="21" t="n">
        <v>2</v>
      </c>
      <c r="AK911" s="21" t="n">
        <v>0</v>
      </c>
      <c r="AL911" s="16" t="s">
        <v>335</v>
      </c>
      <c r="AM911" s="16"/>
      <c r="AN911" s="16" t="s">
        <v>340</v>
      </c>
      <c r="AO911" s="16" t="s">
        <v>340</v>
      </c>
      <c r="AP911" s="16" t="s">
        <v>335</v>
      </c>
      <c r="AQ911" s="16"/>
      <c r="AR911" s="21" t="n">
        <f aca="false">IF(AND(T911&lt;&gt;"",H911&lt;&gt;""),IF(AND((T911-H911)*86400&gt;=0,(T911-H911)*86400&lt;تنظیمات!$B$13),1,0),0)</f>
        <v>0</v>
      </c>
      <c r="AS911" s="21" t="n">
        <f aca="false">IF(Z911="پوز",IF(OR(AB911="",COUNTIF(پوزها!$A$2:$A$5,AA911)=0),1,0),0)</f>
        <v>0</v>
      </c>
      <c r="AT911" s="21" t="n">
        <f aca="false">IF(AI911="",0,IF(AI911&gt;0,1,0))</f>
        <v>0</v>
      </c>
      <c r="AU911" s="21" t="n">
        <f aca="false">IF(AI911="",0,IF(AI911&lt;0,1,0))</f>
        <v>0</v>
      </c>
      <c r="AV911" s="21" t="n">
        <f aca="false">IF(U911&gt;V911,1,0)</f>
        <v>0</v>
      </c>
      <c r="AW911" s="21" t="n">
        <f aca="false">IF(OR(W911&gt;تنظیمات!$B$8,X911="بله"),1,0)</f>
        <v>0</v>
      </c>
      <c r="AX911" s="21" t="n">
        <f aca="false">IF(AND(N911="بله",L911&gt;تنظیمات!$B$9),1,0)</f>
        <v>0</v>
      </c>
      <c r="AY911" s="21" t="n">
        <f aca="false">IF(Y911="معکوس",1,0)</f>
        <v>0</v>
      </c>
      <c r="AZ911" s="21" t="n">
        <f aca="false">IF(ABS(AJ911)&gt;تنظیمات!$B$10,1,0)</f>
        <v>0</v>
      </c>
      <c r="BA911" s="21" t="n">
        <f aca="false">IF(AND(OR(AD911="رایگان/VIP",AD911="جانباز"),AF911="خیر"),1,0)</f>
        <v>0</v>
      </c>
      <c r="BB911" s="21" t="n">
        <f aca="false">IF(AE911="",0,IF(COUNTIF($AE$2:$AE$1001,AE911)&gt;1,1,0))</f>
        <v>0</v>
      </c>
      <c r="BC911" s="21" t="n">
        <f aca="false">IF(AND(H911="",I911&gt;تنظیمات!$B$12*60,AM911="خالی"),1,0)</f>
        <v>0</v>
      </c>
      <c r="BD911" s="21" t="n">
        <f aca="false">IF(AND(AP911="بله",I911&lt;تنظیمات!$B$14,AO911="خیر"),1,0)</f>
        <v>0</v>
      </c>
      <c r="BE911" s="21" t="n">
        <f aca="false">IF(AN911="خیر",1,0)</f>
        <v>0</v>
      </c>
      <c r="BF911" s="21" t="n">
        <f aca="false">IF(AND(AD911="فیش مفقودی",AQ911="بله",I911&gt;تنظیمات!$B$12*60),1,0)</f>
        <v>0</v>
      </c>
      <c r="BG911" s="21" t="n">
        <f aca="false">IF(AND(AK911&gt;تنظیمات!$B$11,AL911="بله"),1,0)</f>
        <v>0</v>
      </c>
      <c r="BH911" s="21" t="n">
        <f aca="false">MIN(100,AR911*تنظیمات!$B$21+AS911*تنظیمات!$B$22+AT911*تنظیمات!$B$23+AU911*تنظیمات!$B$24+AV911*تنظیمات!$B$25+AW911*تنظیمات!$B$26+AX911*تنظیمات!$B$27+AY911*تنظیمات!$B$28+AZ911*تنظیمات!$B$29+BA911*تنظیمات!$B$30+BB911*تنظیمات!$B$31+BC911*تنظیمات!$B$32+BD911*تنظیمات!$B$33+BE911*تنظیمات!$B$34+BF911*تنظیمات!$B$35+BG911*تنظیمات!$B$36)</f>
        <v>0</v>
      </c>
      <c r="BI911" s="16" t="str">
        <f aca="false">IF(BH911&gt;=60,"بحرانی",IF(BH911&gt;=30,"مشکوک",IF(BH911&gt;0,"هشدار","عادی")))</f>
        <v>عادی</v>
      </c>
      <c r="BJ911" s="16" t="s">
        <v>338</v>
      </c>
    </row>
    <row r="912" customFormat="false" ht="15" hidden="false" customHeight="false" outlineLevel="0" collapsed="false">
      <c r="A912" s="16" t="s">
        <v>3060</v>
      </c>
      <c r="B912" s="16" t="s">
        <v>567</v>
      </c>
      <c r="C912" s="16"/>
      <c r="D912" s="16" t="s">
        <v>331</v>
      </c>
      <c r="E912" s="16" t="s">
        <v>390</v>
      </c>
      <c r="F912" s="16" t="s">
        <v>333</v>
      </c>
      <c r="G912" s="17" t="n">
        <v>46293.6392592593</v>
      </c>
      <c r="H912" s="17" t="n">
        <v>46293.8017592593</v>
      </c>
      <c r="I912" s="18" t="n">
        <f aca="false">IF(H912="",ROUND((تنظیمات!$B$7-G912)*1440,0),ROUND((H912-G912)*1440,0))</f>
        <v>234</v>
      </c>
      <c r="J912" s="16" t="s">
        <v>334</v>
      </c>
      <c r="K912" s="16" t="s">
        <v>410</v>
      </c>
      <c r="L912" s="19" t="n">
        <v>0.944</v>
      </c>
      <c r="M912" s="19" t="n">
        <v>0.906</v>
      </c>
      <c r="N912" s="16" t="s">
        <v>335</v>
      </c>
      <c r="O912" s="16" t="s">
        <v>425</v>
      </c>
      <c r="P912" s="16" t="s">
        <v>420</v>
      </c>
      <c r="Q912" s="20" t="n">
        <v>46293</v>
      </c>
      <c r="R912" s="16" t="s">
        <v>3061</v>
      </c>
      <c r="S912" s="16" t="s">
        <v>404</v>
      </c>
      <c r="T912" s="17"/>
      <c r="U912" s="21" t="n">
        <v>1</v>
      </c>
      <c r="V912" s="21" t="n">
        <v>1</v>
      </c>
      <c r="W912" s="22" t="n">
        <v>5.2</v>
      </c>
      <c r="X912" s="16" t="s">
        <v>335</v>
      </c>
      <c r="Y912" s="16" t="s">
        <v>338</v>
      </c>
      <c r="Z912" s="16" t="s">
        <v>465</v>
      </c>
      <c r="AA912" s="16"/>
      <c r="AB912" s="23"/>
      <c r="AC912" s="17"/>
      <c r="AD912" s="16" t="s">
        <v>466</v>
      </c>
      <c r="AE912" s="16"/>
      <c r="AF912" s="16" t="str">
        <f aca="false">IF(COUNTIF(لیست_سفید!$A$2:$A$21,B912)&gt;0,"بله","خیر")</f>
        <v>بله</v>
      </c>
      <c r="AG912" s="24" t="n">
        <f aca="false">IF(H912="","",IF(AD912="فیش مفقودی",تنظیمات!$B$6,(INT(I912/1440)*تنظیمات!$B$5+IF(MOD(I912,1440)&lt;=تنظیمات!$B$2,0,MIN(تنظیمات!$B$5,تنظیمات!$B$3+MAX(0,ROUNDUP((MOD(I912,1440)-60)/60,0))*تنظیمات!$B$4)))*INDEX(تعرفه!$B$2:$B$7,MATCH(AD912,تعرفه!$A$2:$A$7,0))))</f>
        <v>0</v>
      </c>
      <c r="AH912" s="24" t="n">
        <v>0</v>
      </c>
      <c r="AI912" s="24" t="n">
        <f aca="false">IF(AG912="","",AH912-AG912)</f>
        <v>0</v>
      </c>
      <c r="AJ912" s="21" t="n">
        <v>1</v>
      </c>
      <c r="AK912" s="21" t="n">
        <v>0</v>
      </c>
      <c r="AL912" s="16" t="s">
        <v>335</v>
      </c>
      <c r="AM912" s="16"/>
      <c r="AN912" s="16" t="s">
        <v>340</v>
      </c>
      <c r="AO912" s="16" t="s">
        <v>340</v>
      </c>
      <c r="AP912" s="16" t="s">
        <v>335</v>
      </c>
      <c r="AQ912" s="16"/>
      <c r="AR912" s="21" t="n">
        <f aca="false">IF(AND(T912&lt;&gt;"",H912&lt;&gt;""),IF(AND((T912-H912)*86400&gt;=0,(T912-H912)*86400&lt;تنظیمات!$B$13),1,0),0)</f>
        <v>0</v>
      </c>
      <c r="AS912" s="21" t="n">
        <f aca="false">IF(Z912="پوز",IF(OR(AB912="",COUNTIF(پوزها!$A$2:$A$5,AA912)=0),1,0),0)</f>
        <v>0</v>
      </c>
      <c r="AT912" s="21" t="n">
        <f aca="false">IF(AI912="",0,IF(AI912&gt;0,1,0))</f>
        <v>0</v>
      </c>
      <c r="AU912" s="21" t="n">
        <f aca="false">IF(AI912="",0,IF(AI912&lt;0,1,0))</f>
        <v>0</v>
      </c>
      <c r="AV912" s="21" t="n">
        <f aca="false">IF(U912&gt;V912,1,0)</f>
        <v>0</v>
      </c>
      <c r="AW912" s="21" t="n">
        <f aca="false">IF(OR(W912&gt;تنظیمات!$B$8,X912="بله"),1,0)</f>
        <v>0</v>
      </c>
      <c r="AX912" s="21" t="n">
        <f aca="false">IF(AND(N912="بله",L912&gt;تنظیمات!$B$9),1,0)</f>
        <v>0</v>
      </c>
      <c r="AY912" s="21" t="n">
        <f aca="false">IF(Y912="معکوس",1,0)</f>
        <v>0</v>
      </c>
      <c r="AZ912" s="21" t="n">
        <f aca="false">IF(ABS(AJ912)&gt;تنظیمات!$B$10,1,0)</f>
        <v>0</v>
      </c>
      <c r="BA912" s="21" t="n">
        <f aca="false">IF(AND(OR(AD912="رایگان/VIP",AD912="جانباز"),AF912="خیر"),1,0)</f>
        <v>0</v>
      </c>
      <c r="BB912" s="21" t="n">
        <f aca="false">IF(AE912="",0,IF(COUNTIF($AE$2:$AE$1001,AE912)&gt;1,1,0))</f>
        <v>0</v>
      </c>
      <c r="BC912" s="21" t="n">
        <f aca="false">IF(AND(H912="",I912&gt;تنظیمات!$B$12*60,AM912="خالی"),1,0)</f>
        <v>0</v>
      </c>
      <c r="BD912" s="21" t="n">
        <f aca="false">IF(AND(AP912="بله",I912&lt;تنظیمات!$B$14,AO912="خیر"),1,0)</f>
        <v>0</v>
      </c>
      <c r="BE912" s="21" t="n">
        <f aca="false">IF(AN912="خیر",1,0)</f>
        <v>0</v>
      </c>
      <c r="BF912" s="21" t="n">
        <f aca="false">IF(AND(AD912="فیش مفقودی",AQ912="بله",I912&gt;تنظیمات!$B$12*60),1,0)</f>
        <v>0</v>
      </c>
      <c r="BG912" s="21" t="n">
        <f aca="false">IF(AND(AK912&gt;تنظیمات!$B$11,AL912="بله"),1,0)</f>
        <v>0</v>
      </c>
      <c r="BH912" s="21" t="n">
        <f aca="false">MIN(100,AR912*تنظیمات!$B$21+AS912*تنظیمات!$B$22+AT912*تنظیمات!$B$23+AU912*تنظیمات!$B$24+AV912*تنظیمات!$B$25+AW912*تنظیمات!$B$26+AX912*تنظیمات!$B$27+AY912*تنظیمات!$B$28+AZ912*تنظیمات!$B$29+BA912*تنظیمات!$B$30+BB912*تنظیمات!$B$31+BC912*تنظیمات!$B$32+BD912*تنظیمات!$B$33+BE912*تنظیمات!$B$34+BF912*تنظیمات!$B$35+BG912*تنظیمات!$B$36)</f>
        <v>0</v>
      </c>
      <c r="BI912" s="16" t="str">
        <f aca="false">IF(BH912&gt;=60,"بحرانی",IF(BH912&gt;=30,"مشکوک",IF(BH912&gt;0,"هشدار","عادی")))</f>
        <v>عادی</v>
      </c>
      <c r="BJ912" s="16" t="s">
        <v>338</v>
      </c>
    </row>
    <row r="913" customFormat="false" ht="15" hidden="false" customHeight="false" outlineLevel="0" collapsed="false">
      <c r="A913" s="16" t="s">
        <v>3062</v>
      </c>
      <c r="B913" s="16" t="s">
        <v>709</v>
      </c>
      <c r="C913" s="16"/>
      <c r="D913" s="16" t="s">
        <v>440</v>
      </c>
      <c r="E913" s="16" t="s">
        <v>363</v>
      </c>
      <c r="F913" s="16" t="s">
        <v>359</v>
      </c>
      <c r="G913" s="17" t="n">
        <v>46293.6428240741</v>
      </c>
      <c r="H913" s="17" t="n">
        <v>46293.6726851852</v>
      </c>
      <c r="I913" s="18" t="n">
        <f aca="false">IF(H913="",ROUND((تنظیمات!$B$7-G913)*1440,0),ROUND((H913-G913)*1440,0))</f>
        <v>43</v>
      </c>
      <c r="J913" s="16" t="s">
        <v>346</v>
      </c>
      <c r="K913" s="16" t="s">
        <v>410</v>
      </c>
      <c r="L913" s="19" t="n">
        <v>0.967</v>
      </c>
      <c r="M913" s="19" t="n">
        <v>0.968</v>
      </c>
      <c r="N913" s="16" t="s">
        <v>335</v>
      </c>
      <c r="O913" s="16" t="s">
        <v>425</v>
      </c>
      <c r="P913" s="16" t="s">
        <v>420</v>
      </c>
      <c r="Q913" s="20" t="n">
        <v>46293</v>
      </c>
      <c r="R913" s="16" t="s">
        <v>3063</v>
      </c>
      <c r="S913" s="16" t="s">
        <v>404</v>
      </c>
      <c r="T913" s="17"/>
      <c r="U913" s="21" t="n">
        <v>1</v>
      </c>
      <c r="V913" s="21" t="n">
        <v>1</v>
      </c>
      <c r="W913" s="22" t="n">
        <v>5.4</v>
      </c>
      <c r="X913" s="16" t="s">
        <v>335</v>
      </c>
      <c r="Y913" s="16" t="s">
        <v>338</v>
      </c>
      <c r="Z913" s="16" t="s">
        <v>405</v>
      </c>
      <c r="AA913" s="16"/>
      <c r="AB913" s="23"/>
      <c r="AC913" s="17"/>
      <c r="AD913" s="16" t="s">
        <v>338</v>
      </c>
      <c r="AE913" s="16"/>
      <c r="AF913" s="16" t="str">
        <f aca="false">IF(COUNTIF(لیست_سفید!$A$2:$A$21,B913)&gt;0,"بله","خیر")</f>
        <v>خیر</v>
      </c>
      <c r="AG913" s="24" t="n">
        <f aca="false">IF(H913="","",IF(AD913="فیش مفقودی",تنظیمات!$B$6,(INT(I913/1440)*تنظیمات!$B$5+IF(MOD(I913,1440)&lt;=تنظیمات!$B$2,0,MIN(تنظیمات!$B$5,تنظیمات!$B$3+MAX(0,ROUNDUP((MOD(I913,1440)-60)/60,0))*تنظیمات!$B$4)))*INDEX(تعرفه!$B$2:$B$7,MATCH(AD913,تعرفه!$A$2:$A$7,0))))</f>
        <v>20000</v>
      </c>
      <c r="AH913" s="24" t="n">
        <v>20000</v>
      </c>
      <c r="AI913" s="24" t="n">
        <f aca="false">IF(AG913="","",AH913-AG913)</f>
        <v>0</v>
      </c>
      <c r="AJ913" s="21" t="n">
        <v>0</v>
      </c>
      <c r="AK913" s="21" t="n">
        <v>36</v>
      </c>
      <c r="AL913" s="16" t="s">
        <v>335</v>
      </c>
      <c r="AM913" s="16"/>
      <c r="AN913" s="16" t="s">
        <v>340</v>
      </c>
      <c r="AO913" s="16" t="s">
        <v>340</v>
      </c>
      <c r="AP913" s="16" t="s">
        <v>335</v>
      </c>
      <c r="AQ913" s="16"/>
      <c r="AR913" s="21" t="n">
        <f aca="false">IF(AND(T913&lt;&gt;"",H913&lt;&gt;""),IF(AND((T913-H913)*86400&gt;=0,(T913-H913)*86400&lt;تنظیمات!$B$13),1,0),0)</f>
        <v>0</v>
      </c>
      <c r="AS913" s="21" t="n">
        <f aca="false">IF(Z913="پوز",IF(OR(AB913="",COUNTIF(پوزها!$A$2:$A$5,AA913)=0),1,0),0)</f>
        <v>0</v>
      </c>
      <c r="AT913" s="21" t="n">
        <f aca="false">IF(AI913="",0,IF(AI913&gt;0,1,0))</f>
        <v>0</v>
      </c>
      <c r="AU913" s="21" t="n">
        <f aca="false">IF(AI913="",0,IF(AI913&lt;0,1,0))</f>
        <v>0</v>
      </c>
      <c r="AV913" s="21" t="n">
        <f aca="false">IF(U913&gt;V913,1,0)</f>
        <v>0</v>
      </c>
      <c r="AW913" s="21" t="n">
        <f aca="false">IF(OR(W913&gt;تنظیمات!$B$8,X913="بله"),1,0)</f>
        <v>0</v>
      </c>
      <c r="AX913" s="21" t="n">
        <f aca="false">IF(AND(N913="بله",L913&gt;تنظیمات!$B$9),1,0)</f>
        <v>0</v>
      </c>
      <c r="AY913" s="21" t="n">
        <f aca="false">IF(Y913="معکوس",1,0)</f>
        <v>0</v>
      </c>
      <c r="AZ913" s="21" t="n">
        <f aca="false">IF(ABS(AJ913)&gt;تنظیمات!$B$10,1,0)</f>
        <v>0</v>
      </c>
      <c r="BA913" s="21" t="n">
        <f aca="false">IF(AND(OR(AD913="رایگان/VIP",AD913="جانباز"),AF913="خیر"),1,0)</f>
        <v>0</v>
      </c>
      <c r="BB913" s="21" t="n">
        <f aca="false">IF(AE913="",0,IF(COUNTIF($AE$2:$AE$1001,AE913)&gt;1,1,0))</f>
        <v>0</v>
      </c>
      <c r="BC913" s="21" t="n">
        <f aca="false">IF(AND(H913="",I913&gt;تنظیمات!$B$12*60,AM913="خالی"),1,0)</f>
        <v>0</v>
      </c>
      <c r="BD913" s="21" t="n">
        <f aca="false">IF(AND(AP913="بله",I913&lt;تنظیمات!$B$14,AO913="خیر"),1,0)</f>
        <v>0</v>
      </c>
      <c r="BE913" s="21" t="n">
        <f aca="false">IF(AN913="خیر",1,0)</f>
        <v>0</v>
      </c>
      <c r="BF913" s="21" t="n">
        <f aca="false">IF(AND(AD913="فیش مفقودی",AQ913="بله",I913&gt;تنظیمات!$B$12*60),1,0)</f>
        <v>0</v>
      </c>
      <c r="BG913" s="21" t="n">
        <f aca="false">IF(AND(AK913&gt;تنظیمات!$B$11,AL913="بله"),1,0)</f>
        <v>0</v>
      </c>
      <c r="BH913" s="21" t="n">
        <f aca="false">MIN(100,AR913*تنظیمات!$B$21+AS913*تنظیمات!$B$22+AT913*تنظیمات!$B$23+AU913*تنظیمات!$B$24+AV913*تنظیمات!$B$25+AW913*تنظیمات!$B$26+AX913*تنظیمات!$B$27+AY913*تنظیمات!$B$28+AZ913*تنظیمات!$B$29+BA913*تنظیمات!$B$30+BB913*تنظیمات!$B$31+BC913*تنظیمات!$B$32+BD913*تنظیمات!$B$33+BE913*تنظیمات!$B$34+BF913*تنظیمات!$B$35+BG913*تنظیمات!$B$36)</f>
        <v>0</v>
      </c>
      <c r="BI913" s="16" t="str">
        <f aca="false">IF(BH913&gt;=60,"بحرانی",IF(BH913&gt;=30,"مشکوک",IF(BH913&gt;0,"هشدار","عادی")))</f>
        <v>عادی</v>
      </c>
      <c r="BJ913" s="16" t="s">
        <v>338</v>
      </c>
    </row>
    <row r="914" customFormat="false" ht="15" hidden="false" customHeight="false" outlineLevel="0" collapsed="false">
      <c r="A914" s="16" t="s">
        <v>3064</v>
      </c>
      <c r="B914" s="16" t="s">
        <v>551</v>
      </c>
      <c r="C914" s="16"/>
      <c r="D914" s="16" t="s">
        <v>350</v>
      </c>
      <c r="E914" s="16" t="s">
        <v>332</v>
      </c>
      <c r="F914" s="16" t="s">
        <v>333</v>
      </c>
      <c r="G914" s="17" t="n">
        <v>46293.6437037037</v>
      </c>
      <c r="H914" s="17" t="n">
        <v>46293.7680092593</v>
      </c>
      <c r="I914" s="18" t="n">
        <f aca="false">IF(H914="",ROUND((تنظیمات!$B$7-G914)*1440,0),ROUND((H914-G914)*1440,0))</f>
        <v>179</v>
      </c>
      <c r="J914" s="16" t="s">
        <v>334</v>
      </c>
      <c r="K914" s="16" t="s">
        <v>410</v>
      </c>
      <c r="L914" s="19" t="n">
        <v>0.942</v>
      </c>
      <c r="M914" s="19" t="n">
        <v>0.995</v>
      </c>
      <c r="N914" s="16" t="s">
        <v>335</v>
      </c>
      <c r="O914" s="16" t="s">
        <v>425</v>
      </c>
      <c r="P914" s="16" t="s">
        <v>420</v>
      </c>
      <c r="Q914" s="20" t="n">
        <v>46293</v>
      </c>
      <c r="R914" s="16" t="s">
        <v>3065</v>
      </c>
      <c r="S914" s="16" t="s">
        <v>404</v>
      </c>
      <c r="T914" s="17"/>
      <c r="U914" s="21" t="n">
        <v>1</v>
      </c>
      <c r="V914" s="21" t="n">
        <v>1</v>
      </c>
      <c r="W914" s="22" t="n">
        <v>5.8</v>
      </c>
      <c r="X914" s="16" t="s">
        <v>335</v>
      </c>
      <c r="Y914" s="16" t="s">
        <v>338</v>
      </c>
      <c r="Z914" s="16" t="s">
        <v>413</v>
      </c>
      <c r="AA914" s="16" t="s">
        <v>414</v>
      </c>
      <c r="AB914" s="23" t="s">
        <v>3066</v>
      </c>
      <c r="AC914" s="17" t="n">
        <v>46293.7673032407</v>
      </c>
      <c r="AD914" s="16" t="s">
        <v>338</v>
      </c>
      <c r="AE914" s="16"/>
      <c r="AF914" s="16" t="str">
        <f aca="false">IF(COUNTIF(لیست_سفید!$A$2:$A$21,B914)&gt;0,"بله","خیر")</f>
        <v>خیر</v>
      </c>
      <c r="AG914" s="24" t="n">
        <f aca="false">IF(H914="","",IF(AD914="فیش مفقودی",تنظیمات!$B$6,(INT(I914/1440)*تنظیمات!$B$5+IF(MOD(I914,1440)&lt;=تنظیمات!$B$2,0,MIN(تنظیمات!$B$5,تنظیمات!$B$3+MAX(0,ROUNDUP((MOD(I914,1440)-60)/60,0))*تنظیمات!$B$4)))*INDEX(تعرفه!$B$2:$B$7,MATCH(AD914,تعرفه!$A$2:$A$7,0))))</f>
        <v>48000</v>
      </c>
      <c r="AH914" s="24" t="n">
        <v>48000</v>
      </c>
      <c r="AI914" s="24" t="n">
        <f aca="false">IF(AG914="","",AH914-AG914)</f>
        <v>0</v>
      </c>
      <c r="AJ914" s="21" t="n">
        <v>-1</v>
      </c>
      <c r="AK914" s="21" t="n">
        <v>0</v>
      </c>
      <c r="AL914" s="16" t="s">
        <v>335</v>
      </c>
      <c r="AM914" s="16"/>
      <c r="AN914" s="16" t="s">
        <v>340</v>
      </c>
      <c r="AO914" s="16" t="s">
        <v>340</v>
      </c>
      <c r="AP914" s="16" t="s">
        <v>335</v>
      </c>
      <c r="AQ914" s="16"/>
      <c r="AR914" s="21" t="n">
        <f aca="false">IF(AND(T914&lt;&gt;"",H914&lt;&gt;""),IF(AND((T914-H914)*86400&gt;=0,(T914-H914)*86400&lt;تنظیمات!$B$13),1,0),0)</f>
        <v>0</v>
      </c>
      <c r="AS914" s="21" t="n">
        <f aca="false">IF(Z914="پوز",IF(OR(AB914="",COUNTIF(پوزها!$A$2:$A$5,AA914)=0),1,0),0)</f>
        <v>0</v>
      </c>
      <c r="AT914" s="21" t="n">
        <f aca="false">IF(AI914="",0,IF(AI914&gt;0,1,0))</f>
        <v>0</v>
      </c>
      <c r="AU914" s="21" t="n">
        <f aca="false">IF(AI914="",0,IF(AI914&lt;0,1,0))</f>
        <v>0</v>
      </c>
      <c r="AV914" s="21" t="n">
        <f aca="false">IF(U914&gt;V914,1,0)</f>
        <v>0</v>
      </c>
      <c r="AW914" s="21" t="n">
        <f aca="false">IF(OR(W914&gt;تنظیمات!$B$8,X914="بله"),1,0)</f>
        <v>0</v>
      </c>
      <c r="AX914" s="21" t="n">
        <f aca="false">IF(AND(N914="بله",L914&gt;تنظیمات!$B$9),1,0)</f>
        <v>0</v>
      </c>
      <c r="AY914" s="21" t="n">
        <f aca="false">IF(Y914="معکوس",1,0)</f>
        <v>0</v>
      </c>
      <c r="AZ914" s="21" t="n">
        <f aca="false">IF(ABS(AJ914)&gt;تنظیمات!$B$10,1,0)</f>
        <v>0</v>
      </c>
      <c r="BA914" s="21" t="n">
        <f aca="false">IF(AND(OR(AD914="رایگان/VIP",AD914="جانباز"),AF914="خیر"),1,0)</f>
        <v>0</v>
      </c>
      <c r="BB914" s="21" t="n">
        <f aca="false">IF(AE914="",0,IF(COUNTIF($AE$2:$AE$1001,AE914)&gt;1,1,0))</f>
        <v>0</v>
      </c>
      <c r="BC914" s="21" t="n">
        <f aca="false">IF(AND(H914="",I914&gt;تنظیمات!$B$12*60,AM914="خالی"),1,0)</f>
        <v>0</v>
      </c>
      <c r="BD914" s="21" t="n">
        <f aca="false">IF(AND(AP914="بله",I914&lt;تنظیمات!$B$14,AO914="خیر"),1,0)</f>
        <v>0</v>
      </c>
      <c r="BE914" s="21" t="n">
        <f aca="false">IF(AN914="خیر",1,0)</f>
        <v>0</v>
      </c>
      <c r="BF914" s="21" t="n">
        <f aca="false">IF(AND(AD914="فیش مفقودی",AQ914="بله",I914&gt;تنظیمات!$B$12*60),1,0)</f>
        <v>0</v>
      </c>
      <c r="BG914" s="21" t="n">
        <f aca="false">IF(AND(AK914&gt;تنظیمات!$B$11,AL914="بله"),1,0)</f>
        <v>0</v>
      </c>
      <c r="BH914" s="21" t="n">
        <f aca="false">MIN(100,AR914*تنظیمات!$B$21+AS914*تنظیمات!$B$22+AT914*تنظیمات!$B$23+AU914*تنظیمات!$B$24+AV914*تنظیمات!$B$25+AW914*تنظیمات!$B$26+AX914*تنظیمات!$B$27+AY914*تنظیمات!$B$28+AZ914*تنظیمات!$B$29+BA914*تنظیمات!$B$30+BB914*تنظیمات!$B$31+BC914*تنظیمات!$B$32+BD914*تنظیمات!$B$33+BE914*تنظیمات!$B$34+BF914*تنظیمات!$B$35+BG914*تنظیمات!$B$36)</f>
        <v>0</v>
      </c>
      <c r="BI914" s="16" t="str">
        <f aca="false">IF(BH914&gt;=60,"بحرانی",IF(BH914&gt;=30,"مشکوک",IF(BH914&gt;0,"هشدار","عادی")))</f>
        <v>عادی</v>
      </c>
      <c r="BJ914" s="16" t="s">
        <v>338</v>
      </c>
    </row>
    <row r="915" customFormat="false" ht="15" hidden="false" customHeight="false" outlineLevel="0" collapsed="false">
      <c r="A915" s="16" t="s">
        <v>3067</v>
      </c>
      <c r="B915" s="16" t="s">
        <v>753</v>
      </c>
      <c r="C915" s="16"/>
      <c r="D915" s="16" t="s">
        <v>508</v>
      </c>
      <c r="E915" s="16" t="s">
        <v>363</v>
      </c>
      <c r="F915" s="16" t="s">
        <v>333</v>
      </c>
      <c r="G915" s="17" t="n">
        <v>46293.6693634259</v>
      </c>
      <c r="H915" s="17" t="n">
        <v>46293.6797800926</v>
      </c>
      <c r="I915" s="18" t="n">
        <f aca="false">IF(H915="",ROUND((تنظیمات!$B$7-G915)*1440,0),ROUND((H915-G915)*1440,0))</f>
        <v>15</v>
      </c>
      <c r="J915" s="16" t="s">
        <v>346</v>
      </c>
      <c r="K915" s="16" t="s">
        <v>410</v>
      </c>
      <c r="L915" s="19" t="n">
        <v>0.874</v>
      </c>
      <c r="M915" s="19" t="n">
        <v>0.938</v>
      </c>
      <c r="N915" s="16" t="s">
        <v>335</v>
      </c>
      <c r="O915" s="16" t="s">
        <v>425</v>
      </c>
      <c r="P915" s="16" t="s">
        <v>420</v>
      </c>
      <c r="Q915" s="20" t="n">
        <v>46293</v>
      </c>
      <c r="R915" s="16" t="s">
        <v>3068</v>
      </c>
      <c r="S915" s="16" t="s">
        <v>404</v>
      </c>
      <c r="T915" s="17"/>
      <c r="U915" s="21" t="n">
        <v>1</v>
      </c>
      <c r="V915" s="21" t="n">
        <v>1</v>
      </c>
      <c r="W915" s="22" t="n">
        <v>8.2</v>
      </c>
      <c r="X915" s="16" t="s">
        <v>335</v>
      </c>
      <c r="Y915" s="16" t="s">
        <v>338</v>
      </c>
      <c r="Z915" s="16" t="s">
        <v>413</v>
      </c>
      <c r="AA915" s="16" t="s">
        <v>414</v>
      </c>
      <c r="AB915" s="23" t="s">
        <v>3069</v>
      </c>
      <c r="AC915" s="17" t="n">
        <v>46293.6789930556</v>
      </c>
      <c r="AD915" s="16" t="s">
        <v>338</v>
      </c>
      <c r="AE915" s="16"/>
      <c r="AF915" s="16" t="str">
        <f aca="false">IF(COUNTIF(لیست_سفید!$A$2:$A$21,B915)&gt;0,"بله","خیر")</f>
        <v>خیر</v>
      </c>
      <c r="AG915" s="24" t="n">
        <f aca="false">IF(H915="","",IF(AD915="فیش مفقودی",تنظیمات!$B$6,(INT(I915/1440)*تنظیمات!$B$5+IF(MOD(I915,1440)&lt;=تنظیمات!$B$2,0,MIN(تنظیمات!$B$5,تنظیمات!$B$3+MAX(0,ROUNDUP((MOD(I915,1440)-60)/60,0))*تنظیمات!$B$4)))*INDEX(تعرفه!$B$2:$B$7,MATCH(AD915,تعرفه!$A$2:$A$7,0))))</f>
        <v>20000</v>
      </c>
      <c r="AH915" s="24" t="n">
        <v>20000</v>
      </c>
      <c r="AI915" s="24" t="n">
        <f aca="false">IF(AG915="","",AH915-AG915)</f>
        <v>0</v>
      </c>
      <c r="AJ915" s="21" t="n">
        <v>-2</v>
      </c>
      <c r="AK915" s="21" t="n">
        <v>0</v>
      </c>
      <c r="AL915" s="16" t="s">
        <v>335</v>
      </c>
      <c r="AM915" s="16"/>
      <c r="AN915" s="16" t="s">
        <v>340</v>
      </c>
      <c r="AO915" s="16" t="s">
        <v>340</v>
      </c>
      <c r="AP915" s="16" t="s">
        <v>335</v>
      </c>
      <c r="AQ915" s="16"/>
      <c r="AR915" s="21" t="n">
        <f aca="false">IF(AND(T915&lt;&gt;"",H915&lt;&gt;""),IF(AND((T915-H915)*86400&gt;=0,(T915-H915)*86400&lt;تنظیمات!$B$13),1,0),0)</f>
        <v>0</v>
      </c>
      <c r="AS915" s="21" t="n">
        <f aca="false">IF(Z915="پوز",IF(OR(AB915="",COUNTIF(پوزها!$A$2:$A$5,AA915)=0),1,0),0)</f>
        <v>0</v>
      </c>
      <c r="AT915" s="21" t="n">
        <f aca="false">IF(AI915="",0,IF(AI915&gt;0,1,0))</f>
        <v>0</v>
      </c>
      <c r="AU915" s="21" t="n">
        <f aca="false">IF(AI915="",0,IF(AI915&lt;0,1,0))</f>
        <v>0</v>
      </c>
      <c r="AV915" s="21" t="n">
        <f aca="false">IF(U915&gt;V915,1,0)</f>
        <v>0</v>
      </c>
      <c r="AW915" s="21" t="n">
        <f aca="false">IF(OR(W915&gt;تنظیمات!$B$8,X915="بله"),1,0)</f>
        <v>0</v>
      </c>
      <c r="AX915" s="21" t="n">
        <f aca="false">IF(AND(N915="بله",L915&gt;تنظیمات!$B$9),1,0)</f>
        <v>0</v>
      </c>
      <c r="AY915" s="21" t="n">
        <f aca="false">IF(Y915="معکوس",1,0)</f>
        <v>0</v>
      </c>
      <c r="AZ915" s="21" t="n">
        <f aca="false">IF(ABS(AJ915)&gt;تنظیمات!$B$10,1,0)</f>
        <v>0</v>
      </c>
      <c r="BA915" s="21" t="n">
        <f aca="false">IF(AND(OR(AD915="رایگان/VIP",AD915="جانباز"),AF915="خیر"),1,0)</f>
        <v>0</v>
      </c>
      <c r="BB915" s="21" t="n">
        <f aca="false">IF(AE915="",0,IF(COUNTIF($AE$2:$AE$1001,AE915)&gt;1,1,0))</f>
        <v>0</v>
      </c>
      <c r="BC915" s="21" t="n">
        <f aca="false">IF(AND(H915="",I915&gt;تنظیمات!$B$12*60,AM915="خالی"),1,0)</f>
        <v>0</v>
      </c>
      <c r="BD915" s="21" t="n">
        <f aca="false">IF(AND(AP915="بله",I915&lt;تنظیمات!$B$14,AO915="خیر"),1,0)</f>
        <v>0</v>
      </c>
      <c r="BE915" s="21" t="n">
        <f aca="false">IF(AN915="خیر",1,0)</f>
        <v>0</v>
      </c>
      <c r="BF915" s="21" t="n">
        <f aca="false">IF(AND(AD915="فیش مفقودی",AQ915="بله",I915&gt;تنظیمات!$B$12*60),1,0)</f>
        <v>0</v>
      </c>
      <c r="BG915" s="21" t="n">
        <f aca="false">IF(AND(AK915&gt;تنظیمات!$B$11,AL915="بله"),1,0)</f>
        <v>0</v>
      </c>
      <c r="BH915" s="21" t="n">
        <f aca="false">MIN(100,AR915*تنظیمات!$B$21+AS915*تنظیمات!$B$22+AT915*تنظیمات!$B$23+AU915*تنظیمات!$B$24+AV915*تنظیمات!$B$25+AW915*تنظیمات!$B$26+AX915*تنظیمات!$B$27+AY915*تنظیمات!$B$28+AZ915*تنظیمات!$B$29+BA915*تنظیمات!$B$30+BB915*تنظیمات!$B$31+BC915*تنظیمات!$B$32+BD915*تنظیمات!$B$33+BE915*تنظیمات!$B$34+BF915*تنظیمات!$B$35+BG915*تنظیمات!$B$36)</f>
        <v>0</v>
      </c>
      <c r="BI915" s="16" t="str">
        <f aca="false">IF(BH915&gt;=60,"بحرانی",IF(BH915&gt;=30,"مشکوک",IF(BH915&gt;0,"هشدار","عادی")))</f>
        <v>عادی</v>
      </c>
      <c r="BJ915" s="16" t="s">
        <v>338</v>
      </c>
    </row>
    <row r="916" customFormat="false" ht="15" hidden="false" customHeight="false" outlineLevel="0" collapsed="false">
      <c r="A916" s="16" t="s">
        <v>3070</v>
      </c>
      <c r="B916" s="16" t="s">
        <v>944</v>
      </c>
      <c r="C916" s="16" t="s">
        <v>3071</v>
      </c>
      <c r="D916" s="16" t="s">
        <v>350</v>
      </c>
      <c r="E916" s="16" t="s">
        <v>351</v>
      </c>
      <c r="F916" s="16" t="s">
        <v>333</v>
      </c>
      <c r="G916" s="17" t="n">
        <v>46293.6719444445</v>
      </c>
      <c r="H916" s="17" t="n">
        <v>46293.7768055556</v>
      </c>
      <c r="I916" s="18" t="n">
        <f aca="false">IF(H916="",ROUND((تنظیمات!$B$7-G916)*1440,0),ROUND((H916-G916)*1440,0))</f>
        <v>151</v>
      </c>
      <c r="J916" s="16" t="s">
        <v>346</v>
      </c>
      <c r="K916" s="16" t="s">
        <v>400</v>
      </c>
      <c r="L916" s="19" t="n">
        <v>0.697</v>
      </c>
      <c r="M916" s="19" t="n">
        <v>0.995</v>
      </c>
      <c r="N916" s="16" t="s">
        <v>340</v>
      </c>
      <c r="O916" s="16" t="s">
        <v>677</v>
      </c>
      <c r="P916" s="16" t="s">
        <v>420</v>
      </c>
      <c r="Q916" s="20" t="n">
        <v>46293</v>
      </c>
      <c r="R916" s="16" t="s">
        <v>3072</v>
      </c>
      <c r="S916" s="16" t="s">
        <v>404</v>
      </c>
      <c r="T916" s="17"/>
      <c r="U916" s="21" t="n">
        <v>1</v>
      </c>
      <c r="V916" s="21" t="n">
        <v>1</v>
      </c>
      <c r="W916" s="22" t="n">
        <v>5.8</v>
      </c>
      <c r="X916" s="16" t="s">
        <v>335</v>
      </c>
      <c r="Y916" s="16" t="s">
        <v>338</v>
      </c>
      <c r="Z916" s="16" t="s">
        <v>405</v>
      </c>
      <c r="AA916" s="16"/>
      <c r="AB916" s="23"/>
      <c r="AC916" s="17"/>
      <c r="AD916" s="16" t="s">
        <v>338</v>
      </c>
      <c r="AE916" s="16"/>
      <c r="AF916" s="16" t="str">
        <f aca="false">IF(COUNTIF(لیست_سفید!$A$2:$A$21,B916)&gt;0,"بله","خیر")</f>
        <v>خیر</v>
      </c>
      <c r="AG916" s="24" t="n">
        <f aca="false">IF(H916="","",IF(AD916="فیش مفقودی",تنظیمات!$B$6,(INT(I916/1440)*تنظیمات!$B$5+IF(MOD(I916,1440)&lt;=تنظیمات!$B$2,0,MIN(تنظیمات!$B$5,تنظیمات!$B$3+MAX(0,ROUNDUP((MOD(I916,1440)-60)/60,0))*تنظیمات!$B$4)))*INDEX(تعرفه!$B$2:$B$7,MATCH(AD916,تعرفه!$A$2:$A$7,0))))</f>
        <v>48000</v>
      </c>
      <c r="AH916" s="24" t="n">
        <v>48000</v>
      </c>
      <c r="AI916" s="24" t="n">
        <f aca="false">IF(AG916="","",AH916-AG916)</f>
        <v>0</v>
      </c>
      <c r="AJ916" s="21" t="n">
        <v>0</v>
      </c>
      <c r="AK916" s="21" t="n">
        <v>0</v>
      </c>
      <c r="AL916" s="16" t="s">
        <v>335</v>
      </c>
      <c r="AM916" s="16"/>
      <c r="AN916" s="16" t="s">
        <v>340</v>
      </c>
      <c r="AO916" s="16" t="s">
        <v>340</v>
      </c>
      <c r="AP916" s="16" t="s">
        <v>335</v>
      </c>
      <c r="AQ916" s="16"/>
      <c r="AR916" s="21" t="n">
        <f aca="false">IF(AND(T916&lt;&gt;"",H916&lt;&gt;""),IF(AND((T916-H916)*86400&gt;=0,(T916-H916)*86400&lt;تنظیمات!$B$13),1,0),0)</f>
        <v>0</v>
      </c>
      <c r="AS916" s="21" t="n">
        <f aca="false">IF(Z916="پوز",IF(OR(AB916="",COUNTIF(پوزها!$A$2:$A$5,AA916)=0),1,0),0)</f>
        <v>0</v>
      </c>
      <c r="AT916" s="21" t="n">
        <f aca="false">IF(AI916="",0,IF(AI916&gt;0,1,0))</f>
        <v>0</v>
      </c>
      <c r="AU916" s="21" t="n">
        <f aca="false">IF(AI916="",0,IF(AI916&lt;0,1,0))</f>
        <v>0</v>
      </c>
      <c r="AV916" s="21" t="n">
        <f aca="false">IF(U916&gt;V916,1,0)</f>
        <v>0</v>
      </c>
      <c r="AW916" s="21" t="n">
        <f aca="false">IF(OR(W916&gt;تنظیمات!$B$8,X916="بله"),1,0)</f>
        <v>0</v>
      </c>
      <c r="AX916" s="21" t="n">
        <f aca="false">IF(AND(N916="بله",L916&gt;تنظیمات!$B$9),1,0)</f>
        <v>0</v>
      </c>
      <c r="AY916" s="21" t="n">
        <f aca="false">IF(Y916="معکوس",1,0)</f>
        <v>0</v>
      </c>
      <c r="AZ916" s="21" t="n">
        <f aca="false">IF(ABS(AJ916)&gt;تنظیمات!$B$10,1,0)</f>
        <v>0</v>
      </c>
      <c r="BA916" s="21" t="n">
        <f aca="false">IF(AND(OR(AD916="رایگان/VIP",AD916="جانباز"),AF916="خیر"),1,0)</f>
        <v>0</v>
      </c>
      <c r="BB916" s="21" t="n">
        <f aca="false">IF(AE916="",0,IF(COUNTIF($AE$2:$AE$1001,AE916)&gt;1,1,0))</f>
        <v>0</v>
      </c>
      <c r="BC916" s="21" t="n">
        <f aca="false">IF(AND(H916="",I916&gt;تنظیمات!$B$12*60,AM916="خالی"),1,0)</f>
        <v>0</v>
      </c>
      <c r="BD916" s="21" t="n">
        <f aca="false">IF(AND(AP916="بله",I916&lt;تنظیمات!$B$14,AO916="خیر"),1,0)</f>
        <v>0</v>
      </c>
      <c r="BE916" s="21" t="n">
        <f aca="false">IF(AN916="خیر",1,0)</f>
        <v>0</v>
      </c>
      <c r="BF916" s="21" t="n">
        <f aca="false">IF(AND(AD916="فیش مفقودی",AQ916="بله",I916&gt;تنظیمات!$B$12*60),1,0)</f>
        <v>0</v>
      </c>
      <c r="BG916" s="21" t="n">
        <f aca="false">IF(AND(AK916&gt;تنظیمات!$B$11,AL916="بله"),1,0)</f>
        <v>0</v>
      </c>
      <c r="BH916" s="21" t="n">
        <f aca="false">MIN(100,AR916*تنظیمات!$B$21+AS916*تنظیمات!$B$22+AT916*تنظیمات!$B$23+AU916*تنظیمات!$B$24+AV916*تنظیمات!$B$25+AW916*تنظیمات!$B$26+AX916*تنظیمات!$B$27+AY916*تنظیمات!$B$28+AZ916*تنظیمات!$B$29+BA916*تنظیمات!$B$30+BB916*تنظیمات!$B$31+BC916*تنظیمات!$B$32+BD916*تنظیمات!$B$33+BE916*تنظیمات!$B$34+BF916*تنظیمات!$B$35+BG916*تنظیمات!$B$36)</f>
        <v>0</v>
      </c>
      <c r="BI916" s="16" t="str">
        <f aca="false">IF(BH916&gt;=60,"بحرانی",IF(BH916&gt;=30,"مشکوک",IF(BH916&gt;0,"هشدار","عادی")))</f>
        <v>عادی</v>
      </c>
      <c r="BJ916" s="16" t="s">
        <v>338</v>
      </c>
    </row>
    <row r="917" customFormat="false" ht="15" hidden="false" customHeight="false" outlineLevel="0" collapsed="false">
      <c r="A917" s="16" t="s">
        <v>3073</v>
      </c>
      <c r="B917" s="16" t="s">
        <v>2801</v>
      </c>
      <c r="C917" s="16"/>
      <c r="D917" s="16" t="s">
        <v>418</v>
      </c>
      <c r="E917" s="16" t="s">
        <v>345</v>
      </c>
      <c r="F917" s="16" t="s">
        <v>333</v>
      </c>
      <c r="G917" s="17" t="n">
        <v>46293.6758564815</v>
      </c>
      <c r="H917" s="17" t="n">
        <v>46293.7487731482</v>
      </c>
      <c r="I917" s="18" t="n">
        <f aca="false">IF(H917="",ROUND((تنظیمات!$B$7-G917)*1440,0),ROUND((H917-G917)*1440,0))</f>
        <v>105</v>
      </c>
      <c r="J917" s="16" t="s">
        <v>346</v>
      </c>
      <c r="K917" s="16" t="s">
        <v>400</v>
      </c>
      <c r="L917" s="19" t="n">
        <v>0.97</v>
      </c>
      <c r="M917" s="19" t="n">
        <v>0.974</v>
      </c>
      <c r="N917" s="16" t="s">
        <v>335</v>
      </c>
      <c r="O917" s="16" t="s">
        <v>677</v>
      </c>
      <c r="P917" s="16" t="s">
        <v>420</v>
      </c>
      <c r="Q917" s="20" t="n">
        <v>46293</v>
      </c>
      <c r="R917" s="16" t="s">
        <v>3074</v>
      </c>
      <c r="S917" s="16" t="s">
        <v>404</v>
      </c>
      <c r="T917" s="17"/>
      <c r="U917" s="21" t="n">
        <v>1</v>
      </c>
      <c r="V917" s="21" t="n">
        <v>1</v>
      </c>
      <c r="W917" s="22" t="n">
        <v>6.3</v>
      </c>
      <c r="X917" s="16" t="s">
        <v>335</v>
      </c>
      <c r="Y917" s="16" t="s">
        <v>338</v>
      </c>
      <c r="Z917" s="16" t="s">
        <v>413</v>
      </c>
      <c r="AA917" s="16" t="s">
        <v>427</v>
      </c>
      <c r="AB917" s="23" t="s">
        <v>3075</v>
      </c>
      <c r="AC917" s="17" t="n">
        <v>46293.7483796296</v>
      </c>
      <c r="AD917" s="16" t="s">
        <v>338</v>
      </c>
      <c r="AE917" s="16"/>
      <c r="AF917" s="16" t="str">
        <f aca="false">IF(COUNTIF(لیست_سفید!$A$2:$A$21,B917)&gt;0,"بله","خیر")</f>
        <v>خیر</v>
      </c>
      <c r="AG917" s="24" t="n">
        <f aca="false">IF(H917="","",IF(AD917="فیش مفقودی",تنظیمات!$B$6,(INT(I917/1440)*تنظیمات!$B$5+IF(MOD(I917,1440)&lt;=تنظیمات!$B$2,0,MIN(تنظیمات!$B$5,تنظیمات!$B$3+MAX(0,ROUNDUP((MOD(I917,1440)-60)/60,0))*تنظیمات!$B$4)))*INDEX(تعرفه!$B$2:$B$7,MATCH(AD917,تعرفه!$A$2:$A$7,0))))</f>
        <v>34000</v>
      </c>
      <c r="AH917" s="24" t="n">
        <v>34000</v>
      </c>
      <c r="AI917" s="24" t="n">
        <f aca="false">IF(AG917="","",AH917-AG917)</f>
        <v>0</v>
      </c>
      <c r="AJ917" s="21" t="n">
        <v>0</v>
      </c>
      <c r="AK917" s="21" t="n">
        <v>0</v>
      </c>
      <c r="AL917" s="16" t="s">
        <v>335</v>
      </c>
      <c r="AM917" s="16"/>
      <c r="AN917" s="16" t="s">
        <v>340</v>
      </c>
      <c r="AO917" s="16" t="s">
        <v>340</v>
      </c>
      <c r="AP917" s="16" t="s">
        <v>335</v>
      </c>
      <c r="AQ917" s="16"/>
      <c r="AR917" s="21" t="n">
        <f aca="false">IF(AND(T917&lt;&gt;"",H917&lt;&gt;""),IF(AND((T917-H917)*86400&gt;=0,(T917-H917)*86400&lt;تنظیمات!$B$13),1,0),0)</f>
        <v>0</v>
      </c>
      <c r="AS917" s="21" t="n">
        <f aca="false">IF(Z917="پوز",IF(OR(AB917="",COUNTIF(پوزها!$A$2:$A$5,AA917)=0),1,0),0)</f>
        <v>0</v>
      </c>
      <c r="AT917" s="21" t="n">
        <f aca="false">IF(AI917="",0,IF(AI917&gt;0,1,0))</f>
        <v>0</v>
      </c>
      <c r="AU917" s="21" t="n">
        <f aca="false">IF(AI917="",0,IF(AI917&lt;0,1,0))</f>
        <v>0</v>
      </c>
      <c r="AV917" s="21" t="n">
        <f aca="false">IF(U917&gt;V917,1,0)</f>
        <v>0</v>
      </c>
      <c r="AW917" s="21" t="n">
        <f aca="false">IF(OR(W917&gt;تنظیمات!$B$8,X917="بله"),1,0)</f>
        <v>0</v>
      </c>
      <c r="AX917" s="21" t="n">
        <f aca="false">IF(AND(N917="بله",L917&gt;تنظیمات!$B$9),1,0)</f>
        <v>0</v>
      </c>
      <c r="AY917" s="21" t="n">
        <f aca="false">IF(Y917="معکوس",1,0)</f>
        <v>0</v>
      </c>
      <c r="AZ917" s="21" t="n">
        <f aca="false">IF(ABS(AJ917)&gt;تنظیمات!$B$10,1,0)</f>
        <v>0</v>
      </c>
      <c r="BA917" s="21" t="n">
        <f aca="false">IF(AND(OR(AD917="رایگان/VIP",AD917="جانباز"),AF917="خیر"),1,0)</f>
        <v>0</v>
      </c>
      <c r="BB917" s="21" t="n">
        <f aca="false">IF(AE917="",0,IF(COUNTIF($AE$2:$AE$1001,AE917)&gt;1,1,0))</f>
        <v>0</v>
      </c>
      <c r="BC917" s="21" t="n">
        <f aca="false">IF(AND(H917="",I917&gt;تنظیمات!$B$12*60,AM917="خالی"),1,0)</f>
        <v>0</v>
      </c>
      <c r="BD917" s="21" t="n">
        <f aca="false">IF(AND(AP917="بله",I917&lt;تنظیمات!$B$14,AO917="خیر"),1,0)</f>
        <v>0</v>
      </c>
      <c r="BE917" s="21" t="n">
        <f aca="false">IF(AN917="خیر",1,0)</f>
        <v>0</v>
      </c>
      <c r="BF917" s="21" t="n">
        <f aca="false">IF(AND(AD917="فیش مفقودی",AQ917="بله",I917&gt;تنظیمات!$B$12*60),1,0)</f>
        <v>0</v>
      </c>
      <c r="BG917" s="21" t="n">
        <f aca="false">IF(AND(AK917&gt;تنظیمات!$B$11,AL917="بله"),1,0)</f>
        <v>0</v>
      </c>
      <c r="BH917" s="21" t="n">
        <f aca="false">MIN(100,AR917*تنظیمات!$B$21+AS917*تنظیمات!$B$22+AT917*تنظیمات!$B$23+AU917*تنظیمات!$B$24+AV917*تنظیمات!$B$25+AW917*تنظیمات!$B$26+AX917*تنظیمات!$B$27+AY917*تنظیمات!$B$28+AZ917*تنظیمات!$B$29+BA917*تنظیمات!$B$30+BB917*تنظیمات!$B$31+BC917*تنظیمات!$B$32+BD917*تنظیمات!$B$33+BE917*تنظیمات!$B$34+BF917*تنظیمات!$B$35+BG917*تنظیمات!$B$36)</f>
        <v>0</v>
      </c>
      <c r="BI917" s="16" t="str">
        <f aca="false">IF(BH917&gt;=60,"بحرانی",IF(BH917&gt;=30,"مشکوک",IF(BH917&gt;0,"هشدار","عادی")))</f>
        <v>عادی</v>
      </c>
      <c r="BJ917" s="16" t="s">
        <v>338</v>
      </c>
    </row>
    <row r="918" customFormat="false" ht="15" hidden="false" customHeight="false" outlineLevel="0" collapsed="false">
      <c r="A918" s="16" t="s">
        <v>3076</v>
      </c>
      <c r="B918" s="16" t="s">
        <v>798</v>
      </c>
      <c r="C918" s="16"/>
      <c r="D918" s="16" t="s">
        <v>508</v>
      </c>
      <c r="E918" s="16" t="s">
        <v>363</v>
      </c>
      <c r="F918" s="16" t="s">
        <v>333</v>
      </c>
      <c r="G918" s="17" t="n">
        <v>46293.6811574074</v>
      </c>
      <c r="H918" s="17" t="n">
        <v>46293.755462963</v>
      </c>
      <c r="I918" s="18" t="n">
        <f aca="false">IF(H918="",ROUND((تنظیمات!$B$7-G918)*1440,0),ROUND((H918-G918)*1440,0))</f>
        <v>107</v>
      </c>
      <c r="J918" s="16" t="s">
        <v>334</v>
      </c>
      <c r="K918" s="16" t="s">
        <v>410</v>
      </c>
      <c r="L918" s="19" t="n">
        <v>0.95</v>
      </c>
      <c r="M918" s="19" t="n">
        <v>0.995</v>
      </c>
      <c r="N918" s="16" t="s">
        <v>335</v>
      </c>
      <c r="O918" s="16" t="s">
        <v>425</v>
      </c>
      <c r="P918" s="16" t="s">
        <v>420</v>
      </c>
      <c r="Q918" s="20" t="n">
        <v>46293</v>
      </c>
      <c r="R918" s="16" t="s">
        <v>3077</v>
      </c>
      <c r="S918" s="16" t="s">
        <v>404</v>
      </c>
      <c r="T918" s="17"/>
      <c r="U918" s="21" t="n">
        <v>1</v>
      </c>
      <c r="V918" s="21" t="n">
        <v>1</v>
      </c>
      <c r="W918" s="22" t="n">
        <v>4.2</v>
      </c>
      <c r="X918" s="16" t="s">
        <v>335</v>
      </c>
      <c r="Y918" s="16" t="s">
        <v>338</v>
      </c>
      <c r="Z918" s="16" t="s">
        <v>405</v>
      </c>
      <c r="AA918" s="16"/>
      <c r="AB918" s="23"/>
      <c r="AC918" s="17"/>
      <c r="AD918" s="16" t="s">
        <v>338</v>
      </c>
      <c r="AE918" s="16"/>
      <c r="AF918" s="16" t="str">
        <f aca="false">IF(COUNTIF(لیست_سفید!$A$2:$A$21,B918)&gt;0,"بله","خیر")</f>
        <v>خیر</v>
      </c>
      <c r="AG918" s="24" t="n">
        <f aca="false">IF(H918="","",IF(AD918="فیش مفقودی",تنظیمات!$B$6,(INT(I918/1440)*تنظیمات!$B$5+IF(MOD(I918,1440)&lt;=تنظیمات!$B$2,0,MIN(تنظیمات!$B$5,تنظیمات!$B$3+MAX(0,ROUNDUP((MOD(I918,1440)-60)/60,0))*تنظیمات!$B$4)))*INDEX(تعرفه!$B$2:$B$7,MATCH(AD918,تعرفه!$A$2:$A$7,0))))</f>
        <v>34000</v>
      </c>
      <c r="AH918" s="24" t="n">
        <v>34000</v>
      </c>
      <c r="AI918" s="24" t="n">
        <f aca="false">IF(AG918="","",AH918-AG918)</f>
        <v>0</v>
      </c>
      <c r="AJ918" s="21" t="n">
        <v>0</v>
      </c>
      <c r="AK918" s="21" t="n">
        <v>0</v>
      </c>
      <c r="AL918" s="16" t="s">
        <v>335</v>
      </c>
      <c r="AM918" s="16"/>
      <c r="AN918" s="16" t="s">
        <v>340</v>
      </c>
      <c r="AO918" s="16" t="s">
        <v>340</v>
      </c>
      <c r="AP918" s="16" t="s">
        <v>335</v>
      </c>
      <c r="AQ918" s="16"/>
      <c r="AR918" s="21" t="n">
        <f aca="false">IF(AND(T918&lt;&gt;"",H918&lt;&gt;""),IF(AND((T918-H918)*86400&gt;=0,(T918-H918)*86400&lt;تنظیمات!$B$13),1,0),0)</f>
        <v>0</v>
      </c>
      <c r="AS918" s="21" t="n">
        <f aca="false">IF(Z918="پوز",IF(OR(AB918="",COUNTIF(پوزها!$A$2:$A$5,AA918)=0),1,0),0)</f>
        <v>0</v>
      </c>
      <c r="AT918" s="21" t="n">
        <f aca="false">IF(AI918="",0,IF(AI918&gt;0,1,0))</f>
        <v>0</v>
      </c>
      <c r="AU918" s="21" t="n">
        <f aca="false">IF(AI918="",0,IF(AI918&lt;0,1,0))</f>
        <v>0</v>
      </c>
      <c r="AV918" s="21" t="n">
        <f aca="false">IF(U918&gt;V918,1,0)</f>
        <v>0</v>
      </c>
      <c r="AW918" s="21" t="n">
        <f aca="false">IF(OR(W918&gt;تنظیمات!$B$8,X918="بله"),1,0)</f>
        <v>0</v>
      </c>
      <c r="AX918" s="21" t="n">
        <f aca="false">IF(AND(N918="بله",L918&gt;تنظیمات!$B$9),1,0)</f>
        <v>0</v>
      </c>
      <c r="AY918" s="21" t="n">
        <f aca="false">IF(Y918="معکوس",1,0)</f>
        <v>0</v>
      </c>
      <c r="AZ918" s="21" t="n">
        <f aca="false">IF(ABS(AJ918)&gt;تنظیمات!$B$10,1,0)</f>
        <v>0</v>
      </c>
      <c r="BA918" s="21" t="n">
        <f aca="false">IF(AND(OR(AD918="رایگان/VIP",AD918="جانباز"),AF918="خیر"),1,0)</f>
        <v>0</v>
      </c>
      <c r="BB918" s="21" t="n">
        <f aca="false">IF(AE918="",0,IF(COUNTIF($AE$2:$AE$1001,AE918)&gt;1,1,0))</f>
        <v>0</v>
      </c>
      <c r="BC918" s="21" t="n">
        <f aca="false">IF(AND(H918="",I918&gt;تنظیمات!$B$12*60,AM918="خالی"),1,0)</f>
        <v>0</v>
      </c>
      <c r="BD918" s="21" t="n">
        <f aca="false">IF(AND(AP918="بله",I918&lt;تنظیمات!$B$14,AO918="خیر"),1,0)</f>
        <v>0</v>
      </c>
      <c r="BE918" s="21" t="n">
        <f aca="false">IF(AN918="خیر",1,0)</f>
        <v>0</v>
      </c>
      <c r="BF918" s="21" t="n">
        <f aca="false">IF(AND(AD918="فیش مفقودی",AQ918="بله",I918&gt;تنظیمات!$B$12*60),1,0)</f>
        <v>0</v>
      </c>
      <c r="BG918" s="21" t="n">
        <f aca="false">IF(AND(AK918&gt;تنظیمات!$B$11,AL918="بله"),1,0)</f>
        <v>0</v>
      </c>
      <c r="BH918" s="21" t="n">
        <f aca="false">MIN(100,AR918*تنظیمات!$B$21+AS918*تنظیمات!$B$22+AT918*تنظیمات!$B$23+AU918*تنظیمات!$B$24+AV918*تنظیمات!$B$25+AW918*تنظیمات!$B$26+AX918*تنظیمات!$B$27+AY918*تنظیمات!$B$28+AZ918*تنظیمات!$B$29+BA918*تنظیمات!$B$30+BB918*تنظیمات!$B$31+BC918*تنظیمات!$B$32+BD918*تنظیمات!$B$33+BE918*تنظیمات!$B$34+BF918*تنظیمات!$B$35+BG918*تنظیمات!$B$36)</f>
        <v>0</v>
      </c>
      <c r="BI918" s="16" t="str">
        <f aca="false">IF(BH918&gt;=60,"بحرانی",IF(BH918&gt;=30,"مشکوک",IF(BH918&gt;0,"هشدار","عادی")))</f>
        <v>عادی</v>
      </c>
      <c r="BJ918" s="16" t="s">
        <v>338</v>
      </c>
    </row>
    <row r="919" customFormat="false" ht="15" hidden="false" customHeight="false" outlineLevel="0" collapsed="false">
      <c r="A919" s="16" t="s">
        <v>3078</v>
      </c>
      <c r="B919" s="16" t="s">
        <v>1065</v>
      </c>
      <c r="C919" s="16"/>
      <c r="D919" s="16" t="s">
        <v>344</v>
      </c>
      <c r="E919" s="16" t="s">
        <v>345</v>
      </c>
      <c r="F919" s="16" t="s">
        <v>333</v>
      </c>
      <c r="G919" s="17" t="n">
        <v>46293.6899768519</v>
      </c>
      <c r="H919" s="17" t="n">
        <v>46293.7469212963</v>
      </c>
      <c r="I919" s="18" t="n">
        <f aca="false">IF(H919="",ROUND((تنظیمات!$B$7-G919)*1440,0),ROUND((H919-G919)*1440,0))</f>
        <v>82</v>
      </c>
      <c r="J919" s="16" t="s">
        <v>334</v>
      </c>
      <c r="K919" s="16" t="s">
        <v>400</v>
      </c>
      <c r="L919" s="19" t="n">
        <v>0.973</v>
      </c>
      <c r="M919" s="19" t="n">
        <v>0.922</v>
      </c>
      <c r="N919" s="16" t="s">
        <v>335</v>
      </c>
      <c r="O919" s="16" t="s">
        <v>677</v>
      </c>
      <c r="P919" s="16" t="s">
        <v>420</v>
      </c>
      <c r="Q919" s="20" t="n">
        <v>46293</v>
      </c>
      <c r="R919" s="16" t="s">
        <v>3079</v>
      </c>
      <c r="S919" s="16" t="s">
        <v>404</v>
      </c>
      <c r="T919" s="17"/>
      <c r="U919" s="21" t="n">
        <v>1</v>
      </c>
      <c r="V919" s="21" t="n">
        <v>1</v>
      </c>
      <c r="W919" s="22" t="n">
        <v>3.9</v>
      </c>
      <c r="X919" s="16" t="s">
        <v>335</v>
      </c>
      <c r="Y919" s="16" t="s">
        <v>338</v>
      </c>
      <c r="Z919" s="16" t="s">
        <v>413</v>
      </c>
      <c r="AA919" s="16" t="s">
        <v>427</v>
      </c>
      <c r="AB919" s="23" t="s">
        <v>3080</v>
      </c>
      <c r="AC919" s="17" t="n">
        <v>46293.7460069444</v>
      </c>
      <c r="AD919" s="16" t="s">
        <v>338</v>
      </c>
      <c r="AE919" s="16"/>
      <c r="AF919" s="16" t="str">
        <f aca="false">IF(COUNTIF(لیست_سفید!$A$2:$A$21,B919)&gt;0,"بله","خیر")</f>
        <v>خیر</v>
      </c>
      <c r="AG919" s="24" t="n">
        <f aca="false">IF(H919="","",IF(AD919="فیش مفقودی",تنظیمات!$B$6,(INT(I919/1440)*تنظیمات!$B$5+IF(MOD(I919,1440)&lt;=تنظیمات!$B$2,0,MIN(تنظیمات!$B$5,تنظیمات!$B$3+MAX(0,ROUNDUP((MOD(I919,1440)-60)/60,0))*تنظیمات!$B$4)))*INDEX(تعرفه!$B$2:$B$7,MATCH(AD919,تعرفه!$A$2:$A$7,0))))</f>
        <v>34000</v>
      </c>
      <c r="AH919" s="24" t="n">
        <v>34000</v>
      </c>
      <c r="AI919" s="24" t="n">
        <f aca="false">IF(AG919="","",AH919-AG919)</f>
        <v>0</v>
      </c>
      <c r="AJ919" s="21" t="n">
        <v>0</v>
      </c>
      <c r="AK919" s="21" t="n">
        <v>0</v>
      </c>
      <c r="AL919" s="16" t="s">
        <v>335</v>
      </c>
      <c r="AM919" s="16"/>
      <c r="AN919" s="16" t="s">
        <v>340</v>
      </c>
      <c r="AO919" s="16" t="s">
        <v>340</v>
      </c>
      <c r="AP919" s="16" t="s">
        <v>335</v>
      </c>
      <c r="AQ919" s="16"/>
      <c r="AR919" s="21" t="n">
        <f aca="false">IF(AND(T919&lt;&gt;"",H919&lt;&gt;""),IF(AND((T919-H919)*86400&gt;=0,(T919-H919)*86400&lt;تنظیمات!$B$13),1,0),0)</f>
        <v>0</v>
      </c>
      <c r="AS919" s="21" t="n">
        <f aca="false">IF(Z919="پوز",IF(OR(AB919="",COUNTIF(پوزها!$A$2:$A$5,AA919)=0),1,0),0)</f>
        <v>0</v>
      </c>
      <c r="AT919" s="21" t="n">
        <f aca="false">IF(AI919="",0,IF(AI919&gt;0,1,0))</f>
        <v>0</v>
      </c>
      <c r="AU919" s="21" t="n">
        <f aca="false">IF(AI919="",0,IF(AI919&lt;0,1,0))</f>
        <v>0</v>
      </c>
      <c r="AV919" s="21" t="n">
        <f aca="false">IF(U919&gt;V919,1,0)</f>
        <v>0</v>
      </c>
      <c r="AW919" s="21" t="n">
        <f aca="false">IF(OR(W919&gt;تنظیمات!$B$8,X919="بله"),1,0)</f>
        <v>0</v>
      </c>
      <c r="AX919" s="21" t="n">
        <f aca="false">IF(AND(N919="بله",L919&gt;تنظیمات!$B$9),1,0)</f>
        <v>0</v>
      </c>
      <c r="AY919" s="21" t="n">
        <f aca="false">IF(Y919="معکوس",1,0)</f>
        <v>0</v>
      </c>
      <c r="AZ919" s="21" t="n">
        <f aca="false">IF(ABS(AJ919)&gt;تنظیمات!$B$10,1,0)</f>
        <v>0</v>
      </c>
      <c r="BA919" s="21" t="n">
        <f aca="false">IF(AND(OR(AD919="رایگان/VIP",AD919="جانباز"),AF919="خیر"),1,0)</f>
        <v>0</v>
      </c>
      <c r="BB919" s="21" t="n">
        <f aca="false">IF(AE919="",0,IF(COUNTIF($AE$2:$AE$1001,AE919)&gt;1,1,0))</f>
        <v>0</v>
      </c>
      <c r="BC919" s="21" t="n">
        <f aca="false">IF(AND(H919="",I919&gt;تنظیمات!$B$12*60,AM919="خالی"),1,0)</f>
        <v>0</v>
      </c>
      <c r="BD919" s="21" t="n">
        <f aca="false">IF(AND(AP919="بله",I919&lt;تنظیمات!$B$14,AO919="خیر"),1,0)</f>
        <v>0</v>
      </c>
      <c r="BE919" s="21" t="n">
        <f aca="false">IF(AN919="خیر",1,0)</f>
        <v>0</v>
      </c>
      <c r="BF919" s="21" t="n">
        <f aca="false">IF(AND(AD919="فیش مفقودی",AQ919="بله",I919&gt;تنظیمات!$B$12*60),1,0)</f>
        <v>0</v>
      </c>
      <c r="BG919" s="21" t="n">
        <f aca="false">IF(AND(AK919&gt;تنظیمات!$B$11,AL919="بله"),1,0)</f>
        <v>0</v>
      </c>
      <c r="BH919" s="21" t="n">
        <f aca="false">MIN(100,AR919*تنظیمات!$B$21+AS919*تنظیمات!$B$22+AT919*تنظیمات!$B$23+AU919*تنظیمات!$B$24+AV919*تنظیمات!$B$25+AW919*تنظیمات!$B$26+AX919*تنظیمات!$B$27+AY919*تنظیمات!$B$28+AZ919*تنظیمات!$B$29+BA919*تنظیمات!$B$30+BB919*تنظیمات!$B$31+BC919*تنظیمات!$B$32+BD919*تنظیمات!$B$33+BE919*تنظیمات!$B$34+BF919*تنظیمات!$B$35+BG919*تنظیمات!$B$36)</f>
        <v>0</v>
      </c>
      <c r="BI919" s="16" t="str">
        <f aca="false">IF(BH919&gt;=60,"بحرانی",IF(BH919&gt;=30,"مشکوک",IF(BH919&gt;0,"هشدار","عادی")))</f>
        <v>عادی</v>
      </c>
      <c r="BJ919" s="16" t="s">
        <v>338</v>
      </c>
    </row>
    <row r="920" customFormat="false" ht="15" hidden="false" customHeight="false" outlineLevel="0" collapsed="false">
      <c r="A920" s="16" t="s">
        <v>3081</v>
      </c>
      <c r="B920" s="16" t="s">
        <v>385</v>
      </c>
      <c r="C920" s="16"/>
      <c r="D920" s="16" t="s">
        <v>386</v>
      </c>
      <c r="E920" s="16" t="s">
        <v>351</v>
      </c>
      <c r="F920" s="16" t="s">
        <v>333</v>
      </c>
      <c r="G920" s="17" t="n">
        <v>46293.7080555556</v>
      </c>
      <c r="H920" s="17" t="n">
        <v>46293.7344444445</v>
      </c>
      <c r="I920" s="18" t="n">
        <f aca="false">IF(H920="",ROUND((تنظیمات!$B$7-G920)*1440,0),ROUND((H920-G920)*1440,0))</f>
        <v>38</v>
      </c>
      <c r="J920" s="16" t="s">
        <v>334</v>
      </c>
      <c r="K920" s="16" t="s">
        <v>410</v>
      </c>
      <c r="L920" s="19" t="n">
        <v>0.927</v>
      </c>
      <c r="M920" s="19" t="n">
        <v>0.964</v>
      </c>
      <c r="N920" s="16" t="s">
        <v>335</v>
      </c>
      <c r="O920" s="16" t="s">
        <v>425</v>
      </c>
      <c r="P920" s="16" t="s">
        <v>420</v>
      </c>
      <c r="Q920" s="20" t="n">
        <v>46293</v>
      </c>
      <c r="R920" s="16" t="s">
        <v>3082</v>
      </c>
      <c r="S920" s="16" t="s">
        <v>404</v>
      </c>
      <c r="T920" s="17"/>
      <c r="U920" s="21" t="n">
        <v>1</v>
      </c>
      <c r="V920" s="21" t="n">
        <v>1</v>
      </c>
      <c r="W920" s="22" t="n">
        <v>5</v>
      </c>
      <c r="X920" s="16" t="s">
        <v>335</v>
      </c>
      <c r="Y920" s="16" t="s">
        <v>338</v>
      </c>
      <c r="Z920" s="16" t="s">
        <v>413</v>
      </c>
      <c r="AA920" s="16" t="s">
        <v>414</v>
      </c>
      <c r="AB920" s="23" t="s">
        <v>3083</v>
      </c>
      <c r="AC920" s="17" t="n">
        <v>46293.7341203704</v>
      </c>
      <c r="AD920" s="16" t="s">
        <v>481</v>
      </c>
      <c r="AE920" s="16" t="s">
        <v>3084</v>
      </c>
      <c r="AF920" s="16" t="str">
        <f aca="false">IF(COUNTIF(لیست_سفید!$A$2:$A$21,B920)&gt;0,"بله","خیر")</f>
        <v>خیر</v>
      </c>
      <c r="AG920" s="24" t="n">
        <f aca="false">IF(H920="","",IF(AD920="فیش مفقودی",تنظیمات!$B$6,(INT(I920/1440)*تنظیمات!$B$5+IF(MOD(I920,1440)&lt;=تنظیمات!$B$2,0,MIN(تنظیمات!$B$5,تنظیمات!$B$3+MAX(0,ROUNDUP((MOD(I920,1440)-60)/60,0))*تنظیمات!$B$4)))*INDEX(تعرفه!$B$2:$B$7,MATCH(AD920,تعرفه!$A$2:$A$7,0))))</f>
        <v>10000</v>
      </c>
      <c r="AH920" s="24" t="n">
        <v>10000</v>
      </c>
      <c r="AI920" s="24" t="n">
        <f aca="false">IF(AG920="","",AH920-AG920)</f>
        <v>0</v>
      </c>
      <c r="AJ920" s="21" t="n">
        <v>-1</v>
      </c>
      <c r="AK920" s="21" t="n">
        <v>0</v>
      </c>
      <c r="AL920" s="16" t="s">
        <v>335</v>
      </c>
      <c r="AM920" s="16"/>
      <c r="AN920" s="16" t="s">
        <v>340</v>
      </c>
      <c r="AO920" s="16" t="s">
        <v>340</v>
      </c>
      <c r="AP920" s="16" t="s">
        <v>335</v>
      </c>
      <c r="AQ920" s="16"/>
      <c r="AR920" s="21" t="n">
        <f aca="false">IF(AND(T920&lt;&gt;"",H920&lt;&gt;""),IF(AND((T920-H920)*86400&gt;=0,(T920-H920)*86400&lt;تنظیمات!$B$13),1,0),0)</f>
        <v>0</v>
      </c>
      <c r="AS920" s="21" t="n">
        <f aca="false">IF(Z920="پوز",IF(OR(AB920="",COUNTIF(پوزها!$A$2:$A$5,AA920)=0),1,0),0)</f>
        <v>0</v>
      </c>
      <c r="AT920" s="21" t="n">
        <f aca="false">IF(AI920="",0,IF(AI920&gt;0,1,0))</f>
        <v>0</v>
      </c>
      <c r="AU920" s="21" t="n">
        <f aca="false">IF(AI920="",0,IF(AI920&lt;0,1,0))</f>
        <v>0</v>
      </c>
      <c r="AV920" s="21" t="n">
        <f aca="false">IF(U920&gt;V920,1,0)</f>
        <v>0</v>
      </c>
      <c r="AW920" s="21" t="n">
        <f aca="false">IF(OR(W920&gt;تنظیمات!$B$8,X920="بله"),1,0)</f>
        <v>0</v>
      </c>
      <c r="AX920" s="21" t="n">
        <f aca="false">IF(AND(N920="بله",L920&gt;تنظیمات!$B$9),1,0)</f>
        <v>0</v>
      </c>
      <c r="AY920" s="21" t="n">
        <f aca="false">IF(Y920="معکوس",1,0)</f>
        <v>0</v>
      </c>
      <c r="AZ920" s="21" t="n">
        <f aca="false">IF(ABS(AJ920)&gt;تنظیمات!$B$10,1,0)</f>
        <v>0</v>
      </c>
      <c r="BA920" s="21" t="n">
        <f aca="false">IF(AND(OR(AD920="رایگان/VIP",AD920="جانباز"),AF920="خیر"),1,0)</f>
        <v>0</v>
      </c>
      <c r="BB920" s="21" t="n">
        <f aca="false">IF(AE920="",0,IF(COUNTIF($AE$2:$AE$1001,AE920)&gt;1,1,0))</f>
        <v>0</v>
      </c>
      <c r="BC920" s="21" t="n">
        <f aca="false">IF(AND(H920="",I920&gt;تنظیمات!$B$12*60,AM920="خالی"),1,0)</f>
        <v>0</v>
      </c>
      <c r="BD920" s="21" t="n">
        <f aca="false">IF(AND(AP920="بله",I920&lt;تنظیمات!$B$14,AO920="خیر"),1,0)</f>
        <v>0</v>
      </c>
      <c r="BE920" s="21" t="n">
        <f aca="false">IF(AN920="خیر",1,0)</f>
        <v>0</v>
      </c>
      <c r="BF920" s="21" t="n">
        <f aca="false">IF(AND(AD920="فیش مفقودی",AQ920="بله",I920&gt;تنظیمات!$B$12*60),1,0)</f>
        <v>0</v>
      </c>
      <c r="BG920" s="21" t="n">
        <f aca="false">IF(AND(AK920&gt;تنظیمات!$B$11,AL920="بله"),1,0)</f>
        <v>0</v>
      </c>
      <c r="BH920" s="21" t="n">
        <f aca="false">MIN(100,AR920*تنظیمات!$B$21+AS920*تنظیمات!$B$22+AT920*تنظیمات!$B$23+AU920*تنظیمات!$B$24+AV920*تنظیمات!$B$25+AW920*تنظیمات!$B$26+AX920*تنظیمات!$B$27+AY920*تنظیمات!$B$28+AZ920*تنظیمات!$B$29+BA920*تنظیمات!$B$30+BB920*تنظیمات!$B$31+BC920*تنظیمات!$B$32+BD920*تنظیمات!$B$33+BE920*تنظیمات!$B$34+BF920*تنظیمات!$B$35+BG920*تنظیمات!$B$36)</f>
        <v>0</v>
      </c>
      <c r="BI920" s="16" t="str">
        <f aca="false">IF(BH920&gt;=60,"بحرانی",IF(BH920&gt;=30,"مشکوک",IF(BH920&gt;0,"هشدار","عادی")))</f>
        <v>عادی</v>
      </c>
      <c r="BJ920" s="16" t="s">
        <v>338</v>
      </c>
    </row>
    <row r="921" customFormat="false" ht="15" hidden="false" customHeight="false" outlineLevel="0" collapsed="false">
      <c r="A921" s="16" t="s">
        <v>3085</v>
      </c>
      <c r="B921" s="16" t="s">
        <v>381</v>
      </c>
      <c r="C921" s="16"/>
      <c r="D921" s="16" t="s">
        <v>382</v>
      </c>
      <c r="E921" s="16" t="s">
        <v>351</v>
      </c>
      <c r="F921" s="16" t="s">
        <v>333</v>
      </c>
      <c r="G921" s="17" t="n">
        <v>46293.7355555556</v>
      </c>
      <c r="H921" s="17" t="n">
        <v>46293.7411111111</v>
      </c>
      <c r="I921" s="18" t="n">
        <f aca="false">IF(H921="",ROUND((تنظیمات!$B$7-G921)*1440,0),ROUND((H921-G921)*1440,0))</f>
        <v>8</v>
      </c>
      <c r="J921" s="16" t="s">
        <v>334</v>
      </c>
      <c r="K921" s="16" t="s">
        <v>410</v>
      </c>
      <c r="L921" s="19" t="n">
        <v>0.964</v>
      </c>
      <c r="M921" s="19" t="n">
        <v>0.963</v>
      </c>
      <c r="N921" s="16" t="s">
        <v>335</v>
      </c>
      <c r="O921" s="16" t="s">
        <v>425</v>
      </c>
      <c r="P921" s="16" t="s">
        <v>420</v>
      </c>
      <c r="Q921" s="20" t="n">
        <v>46293</v>
      </c>
      <c r="R921" s="16" t="s">
        <v>3086</v>
      </c>
      <c r="S921" s="16" t="s">
        <v>404</v>
      </c>
      <c r="T921" s="17"/>
      <c r="U921" s="21" t="n">
        <v>1</v>
      </c>
      <c r="V921" s="21" t="n">
        <v>1</v>
      </c>
      <c r="W921" s="22" t="n">
        <v>4.5</v>
      </c>
      <c r="X921" s="16" t="s">
        <v>335</v>
      </c>
      <c r="Y921" s="16" t="s">
        <v>338</v>
      </c>
      <c r="Z921" s="16" t="s">
        <v>628</v>
      </c>
      <c r="AA921" s="16"/>
      <c r="AB921" s="23"/>
      <c r="AC921" s="17"/>
      <c r="AD921" s="16" t="s">
        <v>338</v>
      </c>
      <c r="AE921" s="16"/>
      <c r="AF921" s="16" t="str">
        <f aca="false">IF(COUNTIF(لیست_سفید!$A$2:$A$21,B921)&gt;0,"بله","خیر")</f>
        <v>خیر</v>
      </c>
      <c r="AG921" s="24" t="n">
        <f aca="false">IF(H921="","",IF(AD921="فیش مفقودی",تنظیمات!$B$6,(INT(I921/1440)*تنظیمات!$B$5+IF(MOD(I921,1440)&lt;=تنظیمات!$B$2,0,MIN(تنظیمات!$B$5,تنظیمات!$B$3+MAX(0,ROUNDUP((MOD(I921,1440)-60)/60,0))*تنظیمات!$B$4)))*INDEX(تعرفه!$B$2:$B$7,MATCH(AD921,تعرفه!$A$2:$A$7,0))))</f>
        <v>0</v>
      </c>
      <c r="AH921" s="24" t="n">
        <v>0</v>
      </c>
      <c r="AI921" s="24" t="n">
        <f aca="false">IF(AG921="","",AH921-AG921)</f>
        <v>0</v>
      </c>
      <c r="AJ921" s="21" t="n">
        <v>0</v>
      </c>
      <c r="AK921" s="21" t="n">
        <v>0</v>
      </c>
      <c r="AL921" s="16" t="s">
        <v>335</v>
      </c>
      <c r="AM921" s="16"/>
      <c r="AN921" s="16" t="s">
        <v>340</v>
      </c>
      <c r="AO921" s="16" t="s">
        <v>335</v>
      </c>
      <c r="AP921" s="16" t="s">
        <v>340</v>
      </c>
      <c r="AQ921" s="16"/>
      <c r="AR921" s="21" t="n">
        <f aca="false">IF(AND(T921&lt;&gt;"",H921&lt;&gt;""),IF(AND((T921-H921)*86400&gt;=0,(T921-H921)*86400&lt;تنظیمات!$B$13),1,0),0)</f>
        <v>0</v>
      </c>
      <c r="AS921" s="21" t="n">
        <f aca="false">IF(Z921="پوز",IF(OR(AB921="",COUNTIF(پوزها!$A$2:$A$5,AA921)=0),1,0),0)</f>
        <v>0</v>
      </c>
      <c r="AT921" s="21" t="n">
        <f aca="false">IF(AI921="",0,IF(AI921&gt;0,1,0))</f>
        <v>0</v>
      </c>
      <c r="AU921" s="21" t="n">
        <f aca="false">IF(AI921="",0,IF(AI921&lt;0,1,0))</f>
        <v>0</v>
      </c>
      <c r="AV921" s="21" t="n">
        <f aca="false">IF(U921&gt;V921,1,0)</f>
        <v>0</v>
      </c>
      <c r="AW921" s="21" t="n">
        <f aca="false">IF(OR(W921&gt;تنظیمات!$B$8,X921="بله"),1,0)</f>
        <v>0</v>
      </c>
      <c r="AX921" s="21" t="n">
        <f aca="false">IF(AND(N921="بله",L921&gt;تنظیمات!$B$9),1,0)</f>
        <v>0</v>
      </c>
      <c r="AY921" s="21" t="n">
        <f aca="false">IF(Y921="معکوس",1,0)</f>
        <v>0</v>
      </c>
      <c r="AZ921" s="21" t="n">
        <f aca="false">IF(ABS(AJ921)&gt;تنظیمات!$B$10,1,0)</f>
        <v>0</v>
      </c>
      <c r="BA921" s="21" t="n">
        <f aca="false">IF(AND(OR(AD921="رایگان/VIP",AD921="جانباز"),AF921="خیر"),1,0)</f>
        <v>0</v>
      </c>
      <c r="BB921" s="21" t="n">
        <f aca="false">IF(AE921="",0,IF(COUNTIF($AE$2:$AE$1001,AE921)&gt;1,1,0))</f>
        <v>0</v>
      </c>
      <c r="BC921" s="21" t="n">
        <f aca="false">IF(AND(H921="",I921&gt;تنظیمات!$B$12*60,AM921="خالی"),1,0)</f>
        <v>0</v>
      </c>
      <c r="BD921" s="21" t="n">
        <f aca="false">IF(AND(AP921="بله",I921&lt;تنظیمات!$B$14,AO921="خیر"),1,0)</f>
        <v>1</v>
      </c>
      <c r="BE921" s="21" t="n">
        <f aca="false">IF(AN921="خیر",1,0)</f>
        <v>0</v>
      </c>
      <c r="BF921" s="21" t="n">
        <f aca="false">IF(AND(AD921="فیش مفقودی",AQ921="بله",I921&gt;تنظیمات!$B$12*60),1,0)</f>
        <v>0</v>
      </c>
      <c r="BG921" s="21" t="n">
        <f aca="false">IF(AND(AK921&gt;تنظیمات!$B$11,AL921="بله"),1,0)</f>
        <v>0</v>
      </c>
      <c r="BH921" s="21" t="n">
        <f aca="false">MIN(100,AR921*تنظیمات!$B$21+AS921*تنظیمات!$B$22+AT921*تنظیمات!$B$23+AU921*تنظیمات!$B$24+AV921*تنظیمات!$B$25+AW921*تنظیمات!$B$26+AX921*تنظیمات!$B$27+AY921*تنظیمات!$B$28+AZ921*تنظیمات!$B$29+BA921*تنظیمات!$B$30+BB921*تنظیمات!$B$31+BC921*تنظیمات!$B$32+BD921*تنظیمات!$B$33+BE921*تنظیمات!$B$34+BF921*تنظیمات!$B$35+BG921*تنظیمات!$B$36)</f>
        <v>40</v>
      </c>
      <c r="BI921" s="16" t="str">
        <f aca="false">IF(BH921&gt;=60,"بحرانی",IF(BH921&gt;=30,"مشکوک",IF(BH921&gt;0,"هشدار","عادی")))</f>
        <v>مشکوک</v>
      </c>
      <c r="BJ921" s="16" t="s">
        <v>1329</v>
      </c>
    </row>
    <row r="922" customFormat="false" ht="15" hidden="false" customHeight="false" outlineLevel="0" collapsed="false">
      <c r="A922" s="16" t="s">
        <v>3087</v>
      </c>
      <c r="B922" s="16" t="s">
        <v>2965</v>
      </c>
      <c r="C922" s="16"/>
      <c r="D922" s="16" t="s">
        <v>431</v>
      </c>
      <c r="E922" s="16" t="s">
        <v>390</v>
      </c>
      <c r="F922" s="16" t="s">
        <v>333</v>
      </c>
      <c r="G922" s="17" t="n">
        <v>46293.7470486111</v>
      </c>
      <c r="H922" s="17" t="n">
        <v>46293.7949652778</v>
      </c>
      <c r="I922" s="18" t="n">
        <f aca="false">IF(H922="",ROUND((تنظیمات!$B$7-G922)*1440,0),ROUND((H922-G922)*1440,0))</f>
        <v>69</v>
      </c>
      <c r="J922" s="16" t="s">
        <v>346</v>
      </c>
      <c r="K922" s="16" t="s">
        <v>400</v>
      </c>
      <c r="L922" s="19" t="n">
        <v>0.943</v>
      </c>
      <c r="M922" s="19" t="n">
        <v>0.952</v>
      </c>
      <c r="N922" s="16" t="s">
        <v>335</v>
      </c>
      <c r="O922" s="16" t="s">
        <v>677</v>
      </c>
      <c r="P922" s="16" t="s">
        <v>420</v>
      </c>
      <c r="Q922" s="20" t="n">
        <v>46293</v>
      </c>
      <c r="R922" s="16" t="s">
        <v>3088</v>
      </c>
      <c r="S922" s="16" t="s">
        <v>404</v>
      </c>
      <c r="T922" s="17"/>
      <c r="U922" s="21" t="n">
        <v>1</v>
      </c>
      <c r="V922" s="21" t="n">
        <v>1</v>
      </c>
      <c r="W922" s="22" t="n">
        <v>4.1</v>
      </c>
      <c r="X922" s="16" t="s">
        <v>335</v>
      </c>
      <c r="Y922" s="16" t="s">
        <v>338</v>
      </c>
      <c r="Z922" s="16" t="s">
        <v>413</v>
      </c>
      <c r="AA922" s="16" t="s">
        <v>427</v>
      </c>
      <c r="AB922" s="23" t="s">
        <v>3089</v>
      </c>
      <c r="AC922" s="17" t="n">
        <v>46293.7940046296</v>
      </c>
      <c r="AD922" s="16" t="s">
        <v>338</v>
      </c>
      <c r="AE922" s="16"/>
      <c r="AF922" s="16" t="str">
        <f aca="false">IF(COUNTIF(لیست_سفید!$A$2:$A$21,B922)&gt;0,"بله","خیر")</f>
        <v>خیر</v>
      </c>
      <c r="AG922" s="24" t="n">
        <f aca="false">IF(H922="","",IF(AD922="فیش مفقودی",تنظیمات!$B$6,(INT(I922/1440)*تنظیمات!$B$5+IF(MOD(I922,1440)&lt;=تنظیمات!$B$2,0,MIN(تنظیمات!$B$5,تنظیمات!$B$3+MAX(0,ROUNDUP((MOD(I922,1440)-60)/60,0))*تنظیمات!$B$4)))*INDEX(تعرفه!$B$2:$B$7,MATCH(AD922,تعرفه!$A$2:$A$7,0))))</f>
        <v>34000</v>
      </c>
      <c r="AH922" s="24" t="n">
        <v>34000</v>
      </c>
      <c r="AI922" s="24" t="n">
        <f aca="false">IF(AG922="","",AH922-AG922)</f>
        <v>0</v>
      </c>
      <c r="AJ922" s="21" t="n">
        <v>-1</v>
      </c>
      <c r="AK922" s="21" t="n">
        <v>0</v>
      </c>
      <c r="AL922" s="16" t="s">
        <v>335</v>
      </c>
      <c r="AM922" s="16"/>
      <c r="AN922" s="16" t="s">
        <v>340</v>
      </c>
      <c r="AO922" s="16" t="s">
        <v>340</v>
      </c>
      <c r="AP922" s="16" t="s">
        <v>335</v>
      </c>
      <c r="AQ922" s="16"/>
      <c r="AR922" s="21" t="n">
        <f aca="false">IF(AND(T922&lt;&gt;"",H922&lt;&gt;""),IF(AND((T922-H922)*86400&gt;=0,(T922-H922)*86400&lt;تنظیمات!$B$13),1,0),0)</f>
        <v>0</v>
      </c>
      <c r="AS922" s="21" t="n">
        <f aca="false">IF(Z922="پوز",IF(OR(AB922="",COUNTIF(پوزها!$A$2:$A$5,AA922)=0),1,0),0)</f>
        <v>0</v>
      </c>
      <c r="AT922" s="21" t="n">
        <f aca="false">IF(AI922="",0,IF(AI922&gt;0,1,0))</f>
        <v>0</v>
      </c>
      <c r="AU922" s="21" t="n">
        <f aca="false">IF(AI922="",0,IF(AI922&lt;0,1,0))</f>
        <v>0</v>
      </c>
      <c r="AV922" s="21" t="n">
        <f aca="false">IF(U922&gt;V922,1,0)</f>
        <v>0</v>
      </c>
      <c r="AW922" s="21" t="n">
        <f aca="false">IF(OR(W922&gt;تنظیمات!$B$8,X922="بله"),1,0)</f>
        <v>0</v>
      </c>
      <c r="AX922" s="21" t="n">
        <f aca="false">IF(AND(N922="بله",L922&gt;تنظیمات!$B$9),1,0)</f>
        <v>0</v>
      </c>
      <c r="AY922" s="21" t="n">
        <f aca="false">IF(Y922="معکوس",1,0)</f>
        <v>0</v>
      </c>
      <c r="AZ922" s="21" t="n">
        <f aca="false">IF(ABS(AJ922)&gt;تنظیمات!$B$10,1,0)</f>
        <v>0</v>
      </c>
      <c r="BA922" s="21" t="n">
        <f aca="false">IF(AND(OR(AD922="رایگان/VIP",AD922="جانباز"),AF922="خیر"),1,0)</f>
        <v>0</v>
      </c>
      <c r="BB922" s="21" t="n">
        <f aca="false">IF(AE922="",0,IF(COUNTIF($AE$2:$AE$1001,AE922)&gt;1,1,0))</f>
        <v>0</v>
      </c>
      <c r="BC922" s="21" t="n">
        <f aca="false">IF(AND(H922="",I922&gt;تنظیمات!$B$12*60,AM922="خالی"),1,0)</f>
        <v>0</v>
      </c>
      <c r="BD922" s="21" t="n">
        <f aca="false">IF(AND(AP922="بله",I922&lt;تنظیمات!$B$14,AO922="خیر"),1,0)</f>
        <v>0</v>
      </c>
      <c r="BE922" s="21" t="n">
        <f aca="false">IF(AN922="خیر",1,0)</f>
        <v>0</v>
      </c>
      <c r="BF922" s="21" t="n">
        <f aca="false">IF(AND(AD922="فیش مفقودی",AQ922="بله",I922&gt;تنظیمات!$B$12*60),1,0)</f>
        <v>0</v>
      </c>
      <c r="BG922" s="21" t="n">
        <f aca="false">IF(AND(AK922&gt;تنظیمات!$B$11,AL922="بله"),1,0)</f>
        <v>0</v>
      </c>
      <c r="BH922" s="21" t="n">
        <f aca="false">MIN(100,AR922*تنظیمات!$B$21+AS922*تنظیمات!$B$22+AT922*تنظیمات!$B$23+AU922*تنظیمات!$B$24+AV922*تنظیمات!$B$25+AW922*تنظیمات!$B$26+AX922*تنظیمات!$B$27+AY922*تنظیمات!$B$28+AZ922*تنظیمات!$B$29+BA922*تنظیمات!$B$30+BB922*تنظیمات!$B$31+BC922*تنظیمات!$B$32+BD922*تنظیمات!$B$33+BE922*تنظیمات!$B$34+BF922*تنظیمات!$B$35+BG922*تنظیمات!$B$36)</f>
        <v>0</v>
      </c>
      <c r="BI922" s="16" t="str">
        <f aca="false">IF(BH922&gt;=60,"بحرانی",IF(BH922&gt;=30,"مشکوک",IF(BH922&gt;0,"هشدار","عادی")))</f>
        <v>عادی</v>
      </c>
      <c r="BJ922" s="16" t="s">
        <v>338</v>
      </c>
    </row>
    <row r="923" customFormat="false" ht="15" hidden="false" customHeight="false" outlineLevel="0" collapsed="false">
      <c r="A923" s="16" t="s">
        <v>3090</v>
      </c>
      <c r="B923" s="16" t="s">
        <v>1203</v>
      </c>
      <c r="C923" s="16"/>
      <c r="D923" s="16" t="s">
        <v>350</v>
      </c>
      <c r="E923" s="16" t="s">
        <v>332</v>
      </c>
      <c r="F923" s="16" t="s">
        <v>333</v>
      </c>
      <c r="G923" s="17" t="n">
        <v>46293.7568634259</v>
      </c>
      <c r="H923" s="17" t="n">
        <v>46293.7901967593</v>
      </c>
      <c r="I923" s="18" t="n">
        <f aca="false">IF(H923="",ROUND((تنظیمات!$B$7-G923)*1440,0),ROUND((H923-G923)*1440,0))</f>
        <v>48</v>
      </c>
      <c r="J923" s="16" t="s">
        <v>346</v>
      </c>
      <c r="K923" s="16" t="s">
        <v>410</v>
      </c>
      <c r="L923" s="19" t="n">
        <v>0.94</v>
      </c>
      <c r="M923" s="19" t="n">
        <v>0.952</v>
      </c>
      <c r="N923" s="16" t="s">
        <v>335</v>
      </c>
      <c r="O923" s="16" t="s">
        <v>425</v>
      </c>
      <c r="P923" s="16" t="s">
        <v>420</v>
      </c>
      <c r="Q923" s="20" t="n">
        <v>46293</v>
      </c>
      <c r="R923" s="16" t="s">
        <v>3091</v>
      </c>
      <c r="S923" s="16" t="s">
        <v>404</v>
      </c>
      <c r="T923" s="17"/>
      <c r="U923" s="21" t="n">
        <v>1</v>
      </c>
      <c r="V923" s="21" t="n">
        <v>1</v>
      </c>
      <c r="W923" s="22" t="n">
        <v>7.4</v>
      </c>
      <c r="X923" s="16" t="s">
        <v>335</v>
      </c>
      <c r="Y923" s="16" t="s">
        <v>338</v>
      </c>
      <c r="Z923" s="16" t="s">
        <v>413</v>
      </c>
      <c r="AA923" s="16" t="s">
        <v>414</v>
      </c>
      <c r="AB923" s="23" t="s">
        <v>3092</v>
      </c>
      <c r="AC923" s="17" t="n">
        <v>46293.7893634259</v>
      </c>
      <c r="AD923" s="16" t="s">
        <v>338</v>
      </c>
      <c r="AE923" s="16"/>
      <c r="AF923" s="16" t="str">
        <f aca="false">IF(COUNTIF(لیست_سفید!$A$2:$A$21,B923)&gt;0,"بله","خیر")</f>
        <v>خیر</v>
      </c>
      <c r="AG923" s="24" t="n">
        <f aca="false">IF(H923="","",IF(AD923="فیش مفقودی",تنظیمات!$B$6,(INT(I923/1440)*تنظیمات!$B$5+IF(MOD(I923,1440)&lt;=تنظیمات!$B$2,0,MIN(تنظیمات!$B$5,تنظیمات!$B$3+MAX(0,ROUNDUP((MOD(I923,1440)-60)/60,0))*تنظیمات!$B$4)))*INDEX(تعرفه!$B$2:$B$7,MATCH(AD923,تعرفه!$A$2:$A$7,0))))</f>
        <v>20000</v>
      </c>
      <c r="AH923" s="24" t="n">
        <v>20000</v>
      </c>
      <c r="AI923" s="24" t="n">
        <f aca="false">IF(AG923="","",AH923-AG923)</f>
        <v>0</v>
      </c>
      <c r="AJ923" s="21" t="n">
        <v>4</v>
      </c>
      <c r="AK923" s="21" t="n">
        <v>0</v>
      </c>
      <c r="AL923" s="16" t="s">
        <v>335</v>
      </c>
      <c r="AM923" s="16"/>
      <c r="AN923" s="16" t="s">
        <v>340</v>
      </c>
      <c r="AO923" s="16" t="s">
        <v>340</v>
      </c>
      <c r="AP923" s="16" t="s">
        <v>335</v>
      </c>
      <c r="AQ923" s="16"/>
      <c r="AR923" s="21" t="n">
        <f aca="false">IF(AND(T923&lt;&gt;"",H923&lt;&gt;""),IF(AND((T923-H923)*86400&gt;=0,(T923-H923)*86400&lt;تنظیمات!$B$13),1,0),0)</f>
        <v>0</v>
      </c>
      <c r="AS923" s="21" t="n">
        <f aca="false">IF(Z923="پوز",IF(OR(AB923="",COUNTIF(پوزها!$A$2:$A$5,AA923)=0),1,0),0)</f>
        <v>0</v>
      </c>
      <c r="AT923" s="21" t="n">
        <f aca="false">IF(AI923="",0,IF(AI923&gt;0,1,0))</f>
        <v>0</v>
      </c>
      <c r="AU923" s="21" t="n">
        <f aca="false">IF(AI923="",0,IF(AI923&lt;0,1,0))</f>
        <v>0</v>
      </c>
      <c r="AV923" s="21" t="n">
        <f aca="false">IF(U923&gt;V923,1,0)</f>
        <v>0</v>
      </c>
      <c r="AW923" s="21" t="n">
        <f aca="false">IF(OR(W923&gt;تنظیمات!$B$8,X923="بله"),1,0)</f>
        <v>0</v>
      </c>
      <c r="AX923" s="21" t="n">
        <f aca="false">IF(AND(N923="بله",L923&gt;تنظیمات!$B$9),1,0)</f>
        <v>0</v>
      </c>
      <c r="AY923" s="21" t="n">
        <f aca="false">IF(Y923="معکوس",1,0)</f>
        <v>0</v>
      </c>
      <c r="AZ923" s="21" t="n">
        <f aca="false">IF(ABS(AJ923)&gt;تنظیمات!$B$10,1,0)</f>
        <v>0</v>
      </c>
      <c r="BA923" s="21" t="n">
        <f aca="false">IF(AND(OR(AD923="رایگان/VIP",AD923="جانباز"),AF923="خیر"),1,0)</f>
        <v>0</v>
      </c>
      <c r="BB923" s="21" t="n">
        <f aca="false">IF(AE923="",0,IF(COUNTIF($AE$2:$AE$1001,AE923)&gt;1,1,0))</f>
        <v>0</v>
      </c>
      <c r="BC923" s="21" t="n">
        <f aca="false">IF(AND(H923="",I923&gt;تنظیمات!$B$12*60,AM923="خالی"),1,0)</f>
        <v>0</v>
      </c>
      <c r="BD923" s="21" t="n">
        <f aca="false">IF(AND(AP923="بله",I923&lt;تنظیمات!$B$14,AO923="خیر"),1,0)</f>
        <v>0</v>
      </c>
      <c r="BE923" s="21" t="n">
        <f aca="false">IF(AN923="خیر",1,0)</f>
        <v>0</v>
      </c>
      <c r="BF923" s="21" t="n">
        <f aca="false">IF(AND(AD923="فیش مفقودی",AQ923="بله",I923&gt;تنظیمات!$B$12*60),1,0)</f>
        <v>0</v>
      </c>
      <c r="BG923" s="21" t="n">
        <f aca="false">IF(AND(AK923&gt;تنظیمات!$B$11,AL923="بله"),1,0)</f>
        <v>0</v>
      </c>
      <c r="BH923" s="21" t="n">
        <f aca="false">MIN(100,AR923*تنظیمات!$B$21+AS923*تنظیمات!$B$22+AT923*تنظیمات!$B$23+AU923*تنظیمات!$B$24+AV923*تنظیمات!$B$25+AW923*تنظیمات!$B$26+AX923*تنظیمات!$B$27+AY923*تنظیمات!$B$28+AZ923*تنظیمات!$B$29+BA923*تنظیمات!$B$30+BB923*تنظیمات!$B$31+BC923*تنظیمات!$B$32+BD923*تنظیمات!$B$33+BE923*تنظیمات!$B$34+BF923*تنظیمات!$B$35+BG923*تنظیمات!$B$36)</f>
        <v>0</v>
      </c>
      <c r="BI923" s="16" t="str">
        <f aca="false">IF(BH923&gt;=60,"بحرانی",IF(BH923&gt;=30,"مشکوک",IF(BH923&gt;0,"هشدار","عادی")))</f>
        <v>عادی</v>
      </c>
      <c r="BJ923" s="16" t="s">
        <v>338</v>
      </c>
    </row>
    <row r="924" customFormat="false" ht="15" hidden="false" customHeight="false" outlineLevel="0" collapsed="false">
      <c r="A924" s="16" t="s">
        <v>3093</v>
      </c>
      <c r="B924" s="16" t="s">
        <v>2220</v>
      </c>
      <c r="C924" s="16"/>
      <c r="D924" s="16" t="s">
        <v>450</v>
      </c>
      <c r="E924" s="16" t="s">
        <v>390</v>
      </c>
      <c r="F924" s="16" t="s">
        <v>333</v>
      </c>
      <c r="G924" s="17" t="n">
        <v>46293.7612731482</v>
      </c>
      <c r="H924" s="17" t="n">
        <v>46293.8272453704</v>
      </c>
      <c r="I924" s="18" t="n">
        <f aca="false">IF(H924="",ROUND((تنظیمات!$B$7-G924)*1440,0),ROUND((H924-G924)*1440,0))</f>
        <v>95</v>
      </c>
      <c r="J924" s="16" t="s">
        <v>334</v>
      </c>
      <c r="K924" s="16" t="s">
        <v>410</v>
      </c>
      <c r="L924" s="19" t="n">
        <v>0.976</v>
      </c>
      <c r="M924" s="19" t="n">
        <v>0.959</v>
      </c>
      <c r="N924" s="16" t="s">
        <v>335</v>
      </c>
      <c r="O924" s="16" t="s">
        <v>425</v>
      </c>
      <c r="P924" s="16" t="s">
        <v>420</v>
      </c>
      <c r="Q924" s="20" t="n">
        <v>46293</v>
      </c>
      <c r="R924" s="16" t="s">
        <v>3094</v>
      </c>
      <c r="S924" s="16" t="s">
        <v>404</v>
      </c>
      <c r="T924" s="17"/>
      <c r="U924" s="21" t="n">
        <v>1</v>
      </c>
      <c r="V924" s="21" t="n">
        <v>1</v>
      </c>
      <c r="W924" s="22" t="n">
        <v>5.6</v>
      </c>
      <c r="X924" s="16" t="s">
        <v>335</v>
      </c>
      <c r="Y924" s="16" t="s">
        <v>338</v>
      </c>
      <c r="Z924" s="16" t="s">
        <v>413</v>
      </c>
      <c r="AA924" s="16" t="s">
        <v>414</v>
      </c>
      <c r="AB924" s="23" t="s">
        <v>3095</v>
      </c>
      <c r="AC924" s="17" t="n">
        <v>46293.8265625</v>
      </c>
      <c r="AD924" s="16" t="s">
        <v>338</v>
      </c>
      <c r="AE924" s="16"/>
      <c r="AF924" s="16" t="str">
        <f aca="false">IF(COUNTIF(لیست_سفید!$A$2:$A$21,B924)&gt;0,"بله","خیر")</f>
        <v>خیر</v>
      </c>
      <c r="AG924" s="24" t="n">
        <f aca="false">IF(H924="","",IF(AD924="فیش مفقودی",تنظیمات!$B$6,(INT(I924/1440)*تنظیمات!$B$5+IF(MOD(I924,1440)&lt;=تنظیمات!$B$2,0,MIN(تنظیمات!$B$5,تنظیمات!$B$3+MAX(0,ROUNDUP((MOD(I924,1440)-60)/60,0))*تنظیمات!$B$4)))*INDEX(تعرفه!$B$2:$B$7,MATCH(AD924,تعرفه!$A$2:$A$7,0))))</f>
        <v>34000</v>
      </c>
      <c r="AH924" s="24" t="n">
        <v>34000</v>
      </c>
      <c r="AI924" s="24" t="n">
        <f aca="false">IF(AG924="","",AH924-AG924)</f>
        <v>0</v>
      </c>
      <c r="AJ924" s="21" t="n">
        <v>-2</v>
      </c>
      <c r="AK924" s="21" t="n">
        <v>0</v>
      </c>
      <c r="AL924" s="16" t="s">
        <v>335</v>
      </c>
      <c r="AM924" s="16"/>
      <c r="AN924" s="16" t="s">
        <v>340</v>
      </c>
      <c r="AO924" s="16" t="s">
        <v>340</v>
      </c>
      <c r="AP924" s="16" t="s">
        <v>335</v>
      </c>
      <c r="AQ924" s="16"/>
      <c r="AR924" s="21" t="n">
        <f aca="false">IF(AND(T924&lt;&gt;"",H924&lt;&gt;""),IF(AND((T924-H924)*86400&gt;=0,(T924-H924)*86400&lt;تنظیمات!$B$13),1,0),0)</f>
        <v>0</v>
      </c>
      <c r="AS924" s="21" t="n">
        <f aca="false">IF(Z924="پوز",IF(OR(AB924="",COUNTIF(پوزها!$A$2:$A$5,AA924)=0),1,0),0)</f>
        <v>0</v>
      </c>
      <c r="AT924" s="21" t="n">
        <f aca="false">IF(AI924="",0,IF(AI924&gt;0,1,0))</f>
        <v>0</v>
      </c>
      <c r="AU924" s="21" t="n">
        <f aca="false">IF(AI924="",0,IF(AI924&lt;0,1,0))</f>
        <v>0</v>
      </c>
      <c r="AV924" s="21" t="n">
        <f aca="false">IF(U924&gt;V924,1,0)</f>
        <v>0</v>
      </c>
      <c r="AW924" s="21" t="n">
        <f aca="false">IF(OR(W924&gt;تنظیمات!$B$8,X924="بله"),1,0)</f>
        <v>0</v>
      </c>
      <c r="AX924" s="21" t="n">
        <f aca="false">IF(AND(N924="بله",L924&gt;تنظیمات!$B$9),1,0)</f>
        <v>0</v>
      </c>
      <c r="AY924" s="21" t="n">
        <f aca="false">IF(Y924="معکوس",1,0)</f>
        <v>0</v>
      </c>
      <c r="AZ924" s="21" t="n">
        <f aca="false">IF(ABS(AJ924)&gt;تنظیمات!$B$10,1,0)</f>
        <v>0</v>
      </c>
      <c r="BA924" s="21" t="n">
        <f aca="false">IF(AND(OR(AD924="رایگان/VIP",AD924="جانباز"),AF924="خیر"),1,0)</f>
        <v>0</v>
      </c>
      <c r="BB924" s="21" t="n">
        <f aca="false">IF(AE924="",0,IF(COUNTIF($AE$2:$AE$1001,AE924)&gt;1,1,0))</f>
        <v>0</v>
      </c>
      <c r="BC924" s="21" t="n">
        <f aca="false">IF(AND(H924="",I924&gt;تنظیمات!$B$12*60,AM924="خالی"),1,0)</f>
        <v>0</v>
      </c>
      <c r="BD924" s="21" t="n">
        <f aca="false">IF(AND(AP924="بله",I924&lt;تنظیمات!$B$14,AO924="خیر"),1,0)</f>
        <v>0</v>
      </c>
      <c r="BE924" s="21" t="n">
        <f aca="false">IF(AN924="خیر",1,0)</f>
        <v>0</v>
      </c>
      <c r="BF924" s="21" t="n">
        <f aca="false">IF(AND(AD924="فیش مفقودی",AQ924="بله",I924&gt;تنظیمات!$B$12*60),1,0)</f>
        <v>0</v>
      </c>
      <c r="BG924" s="21" t="n">
        <f aca="false">IF(AND(AK924&gt;تنظیمات!$B$11,AL924="بله"),1,0)</f>
        <v>0</v>
      </c>
      <c r="BH924" s="21" t="n">
        <f aca="false">MIN(100,AR924*تنظیمات!$B$21+AS924*تنظیمات!$B$22+AT924*تنظیمات!$B$23+AU924*تنظیمات!$B$24+AV924*تنظیمات!$B$25+AW924*تنظیمات!$B$26+AX924*تنظیمات!$B$27+AY924*تنظیمات!$B$28+AZ924*تنظیمات!$B$29+BA924*تنظیمات!$B$30+BB924*تنظیمات!$B$31+BC924*تنظیمات!$B$32+BD924*تنظیمات!$B$33+BE924*تنظیمات!$B$34+BF924*تنظیمات!$B$35+BG924*تنظیمات!$B$36)</f>
        <v>0</v>
      </c>
      <c r="BI924" s="16" t="str">
        <f aca="false">IF(BH924&gt;=60,"بحرانی",IF(BH924&gt;=30,"مشکوک",IF(BH924&gt;0,"هشدار","عادی")))</f>
        <v>عادی</v>
      </c>
      <c r="BJ924" s="16" t="s">
        <v>338</v>
      </c>
    </row>
    <row r="925" customFormat="false" ht="15" hidden="false" customHeight="false" outlineLevel="0" collapsed="false">
      <c r="A925" s="16" t="s">
        <v>3096</v>
      </c>
      <c r="B925" s="16" t="s">
        <v>655</v>
      </c>
      <c r="C925" s="16"/>
      <c r="D925" s="16" t="s">
        <v>370</v>
      </c>
      <c r="E925" s="16" t="s">
        <v>363</v>
      </c>
      <c r="F925" s="16" t="s">
        <v>333</v>
      </c>
      <c r="G925" s="17" t="n">
        <v>46293.7717592593</v>
      </c>
      <c r="H925" s="17" t="n">
        <v>46293.8273148148</v>
      </c>
      <c r="I925" s="18" t="n">
        <f aca="false">IF(H925="",ROUND((تنظیمات!$B$7-G925)*1440,0),ROUND((H925-G925)*1440,0))</f>
        <v>80</v>
      </c>
      <c r="J925" s="16" t="s">
        <v>346</v>
      </c>
      <c r="K925" s="16" t="s">
        <v>410</v>
      </c>
      <c r="L925" s="19" t="n">
        <v>0.949</v>
      </c>
      <c r="M925" s="19" t="n">
        <v>0.964</v>
      </c>
      <c r="N925" s="16" t="s">
        <v>335</v>
      </c>
      <c r="O925" s="16" t="s">
        <v>425</v>
      </c>
      <c r="P925" s="16" t="s">
        <v>420</v>
      </c>
      <c r="Q925" s="20" t="n">
        <v>46293</v>
      </c>
      <c r="R925" s="16" t="s">
        <v>3097</v>
      </c>
      <c r="S925" s="16" t="s">
        <v>404</v>
      </c>
      <c r="T925" s="17"/>
      <c r="U925" s="21" t="n">
        <v>1</v>
      </c>
      <c r="V925" s="21" t="n">
        <v>1</v>
      </c>
      <c r="W925" s="22" t="n">
        <v>3.7</v>
      </c>
      <c r="X925" s="16" t="s">
        <v>335</v>
      </c>
      <c r="Y925" s="16" t="s">
        <v>338</v>
      </c>
      <c r="Z925" s="16" t="s">
        <v>413</v>
      </c>
      <c r="AA925" s="16" t="s">
        <v>414</v>
      </c>
      <c r="AB925" s="23" t="s">
        <v>3098</v>
      </c>
      <c r="AC925" s="17" t="n">
        <v>46293.8270833333</v>
      </c>
      <c r="AD925" s="16" t="s">
        <v>338</v>
      </c>
      <c r="AE925" s="16"/>
      <c r="AF925" s="16" t="str">
        <f aca="false">IF(COUNTIF(لیست_سفید!$A$2:$A$21,B925)&gt;0,"بله","خیر")</f>
        <v>خیر</v>
      </c>
      <c r="AG925" s="24" t="n">
        <f aca="false">IF(H925="","",IF(AD925="فیش مفقودی",تنظیمات!$B$6,(INT(I925/1440)*تنظیمات!$B$5+IF(MOD(I925,1440)&lt;=تنظیمات!$B$2,0,MIN(تنظیمات!$B$5,تنظیمات!$B$3+MAX(0,ROUNDUP((MOD(I925,1440)-60)/60,0))*تنظیمات!$B$4)))*INDEX(تعرفه!$B$2:$B$7,MATCH(AD925,تعرفه!$A$2:$A$7,0))))</f>
        <v>34000</v>
      </c>
      <c r="AH925" s="24" t="n">
        <v>34000</v>
      </c>
      <c r="AI925" s="24" t="n">
        <f aca="false">IF(AG925="","",AH925-AG925)</f>
        <v>0</v>
      </c>
      <c r="AJ925" s="21" t="n">
        <v>3</v>
      </c>
      <c r="AK925" s="21" t="n">
        <v>0</v>
      </c>
      <c r="AL925" s="16" t="s">
        <v>335</v>
      </c>
      <c r="AM925" s="16"/>
      <c r="AN925" s="16" t="s">
        <v>340</v>
      </c>
      <c r="AO925" s="16" t="s">
        <v>340</v>
      </c>
      <c r="AP925" s="16" t="s">
        <v>335</v>
      </c>
      <c r="AQ925" s="16"/>
      <c r="AR925" s="21" t="n">
        <f aca="false">IF(AND(T925&lt;&gt;"",H925&lt;&gt;""),IF(AND((T925-H925)*86400&gt;=0,(T925-H925)*86400&lt;تنظیمات!$B$13),1,0),0)</f>
        <v>0</v>
      </c>
      <c r="AS925" s="21" t="n">
        <f aca="false">IF(Z925="پوز",IF(OR(AB925="",COUNTIF(پوزها!$A$2:$A$5,AA925)=0),1,0),0)</f>
        <v>0</v>
      </c>
      <c r="AT925" s="21" t="n">
        <f aca="false">IF(AI925="",0,IF(AI925&gt;0,1,0))</f>
        <v>0</v>
      </c>
      <c r="AU925" s="21" t="n">
        <f aca="false">IF(AI925="",0,IF(AI925&lt;0,1,0))</f>
        <v>0</v>
      </c>
      <c r="AV925" s="21" t="n">
        <f aca="false">IF(U925&gt;V925,1,0)</f>
        <v>0</v>
      </c>
      <c r="AW925" s="21" t="n">
        <f aca="false">IF(OR(W925&gt;تنظیمات!$B$8,X925="بله"),1,0)</f>
        <v>0</v>
      </c>
      <c r="AX925" s="21" t="n">
        <f aca="false">IF(AND(N925="بله",L925&gt;تنظیمات!$B$9),1,0)</f>
        <v>0</v>
      </c>
      <c r="AY925" s="21" t="n">
        <f aca="false">IF(Y925="معکوس",1,0)</f>
        <v>0</v>
      </c>
      <c r="AZ925" s="21" t="n">
        <f aca="false">IF(ABS(AJ925)&gt;تنظیمات!$B$10,1,0)</f>
        <v>0</v>
      </c>
      <c r="BA925" s="21" t="n">
        <f aca="false">IF(AND(OR(AD925="رایگان/VIP",AD925="جانباز"),AF925="خیر"),1,0)</f>
        <v>0</v>
      </c>
      <c r="BB925" s="21" t="n">
        <f aca="false">IF(AE925="",0,IF(COUNTIF($AE$2:$AE$1001,AE925)&gt;1,1,0))</f>
        <v>0</v>
      </c>
      <c r="BC925" s="21" t="n">
        <f aca="false">IF(AND(H925="",I925&gt;تنظیمات!$B$12*60,AM925="خالی"),1,0)</f>
        <v>0</v>
      </c>
      <c r="BD925" s="21" t="n">
        <f aca="false">IF(AND(AP925="بله",I925&lt;تنظیمات!$B$14,AO925="خیر"),1,0)</f>
        <v>0</v>
      </c>
      <c r="BE925" s="21" t="n">
        <f aca="false">IF(AN925="خیر",1,0)</f>
        <v>0</v>
      </c>
      <c r="BF925" s="21" t="n">
        <f aca="false">IF(AND(AD925="فیش مفقودی",AQ925="بله",I925&gt;تنظیمات!$B$12*60),1,0)</f>
        <v>0</v>
      </c>
      <c r="BG925" s="21" t="n">
        <f aca="false">IF(AND(AK925&gt;تنظیمات!$B$11,AL925="بله"),1,0)</f>
        <v>0</v>
      </c>
      <c r="BH925" s="21" t="n">
        <f aca="false">MIN(100,AR925*تنظیمات!$B$21+AS925*تنظیمات!$B$22+AT925*تنظیمات!$B$23+AU925*تنظیمات!$B$24+AV925*تنظیمات!$B$25+AW925*تنظیمات!$B$26+AX925*تنظیمات!$B$27+AY925*تنظیمات!$B$28+AZ925*تنظیمات!$B$29+BA925*تنظیمات!$B$30+BB925*تنظیمات!$B$31+BC925*تنظیمات!$B$32+BD925*تنظیمات!$B$33+BE925*تنظیمات!$B$34+BF925*تنظیمات!$B$35+BG925*تنظیمات!$B$36)</f>
        <v>0</v>
      </c>
      <c r="BI925" s="16" t="str">
        <f aca="false">IF(BH925&gt;=60,"بحرانی",IF(BH925&gt;=30,"مشکوک",IF(BH925&gt;0,"هشدار","عادی")))</f>
        <v>عادی</v>
      </c>
      <c r="BJ925" s="16" t="s">
        <v>338</v>
      </c>
    </row>
    <row r="926" customFormat="false" ht="15" hidden="false" customHeight="false" outlineLevel="0" collapsed="false">
      <c r="A926" s="16" t="s">
        <v>3099</v>
      </c>
      <c r="B926" s="16" t="s">
        <v>1490</v>
      </c>
      <c r="C926" s="16"/>
      <c r="D926" s="16" t="s">
        <v>344</v>
      </c>
      <c r="E926" s="16" t="s">
        <v>345</v>
      </c>
      <c r="F926" s="16" t="s">
        <v>333</v>
      </c>
      <c r="G926" s="17" t="n">
        <v>46293.7972337963</v>
      </c>
      <c r="H926" s="17" t="n">
        <v>46293.8111226852</v>
      </c>
      <c r="I926" s="18" t="n">
        <f aca="false">IF(H926="",ROUND((تنظیمات!$B$7-G926)*1440,0),ROUND((H926-G926)*1440,0))</f>
        <v>20</v>
      </c>
      <c r="J926" s="16" t="s">
        <v>334</v>
      </c>
      <c r="K926" s="16" t="s">
        <v>400</v>
      </c>
      <c r="L926" s="19" t="n">
        <v>0.908</v>
      </c>
      <c r="M926" s="19" t="n">
        <v>0.94</v>
      </c>
      <c r="N926" s="16" t="s">
        <v>335</v>
      </c>
      <c r="O926" s="16" t="s">
        <v>677</v>
      </c>
      <c r="P926" s="16" t="s">
        <v>420</v>
      </c>
      <c r="Q926" s="20" t="n">
        <v>46293</v>
      </c>
      <c r="R926" s="16" t="s">
        <v>3100</v>
      </c>
      <c r="S926" s="16" t="s">
        <v>404</v>
      </c>
      <c r="T926" s="17"/>
      <c r="U926" s="21" t="n">
        <v>1</v>
      </c>
      <c r="V926" s="21" t="n">
        <v>1</v>
      </c>
      <c r="W926" s="22" t="n">
        <v>5.6</v>
      </c>
      <c r="X926" s="16" t="s">
        <v>335</v>
      </c>
      <c r="Y926" s="16" t="s">
        <v>338</v>
      </c>
      <c r="Z926" s="16" t="s">
        <v>413</v>
      </c>
      <c r="AA926" s="16" t="s">
        <v>427</v>
      </c>
      <c r="AB926" s="23" t="s">
        <v>3101</v>
      </c>
      <c r="AC926" s="17" t="n">
        <v>46293.8104166667</v>
      </c>
      <c r="AD926" s="16" t="s">
        <v>338</v>
      </c>
      <c r="AE926" s="16"/>
      <c r="AF926" s="16" t="str">
        <f aca="false">IF(COUNTIF(لیست_سفید!$A$2:$A$21,B926)&gt;0,"بله","خیر")</f>
        <v>خیر</v>
      </c>
      <c r="AG926" s="24" t="n">
        <f aca="false">IF(H926="","",IF(AD926="فیش مفقودی",تنظیمات!$B$6,(INT(I926/1440)*تنظیمات!$B$5+IF(MOD(I926,1440)&lt;=تنظیمات!$B$2,0,MIN(تنظیمات!$B$5,تنظیمات!$B$3+MAX(0,ROUNDUP((MOD(I926,1440)-60)/60,0))*تنظیمات!$B$4)))*INDEX(تعرفه!$B$2:$B$7,MATCH(AD926,تعرفه!$A$2:$A$7,0))))</f>
        <v>20000</v>
      </c>
      <c r="AH926" s="24" t="n">
        <v>20000</v>
      </c>
      <c r="AI926" s="24" t="n">
        <f aca="false">IF(AG926="","",AH926-AG926)</f>
        <v>0</v>
      </c>
      <c r="AJ926" s="21" t="n">
        <v>3</v>
      </c>
      <c r="AK926" s="21" t="n">
        <v>0</v>
      </c>
      <c r="AL926" s="16" t="s">
        <v>335</v>
      </c>
      <c r="AM926" s="16"/>
      <c r="AN926" s="16" t="s">
        <v>340</v>
      </c>
      <c r="AO926" s="16" t="s">
        <v>340</v>
      </c>
      <c r="AP926" s="16" t="s">
        <v>335</v>
      </c>
      <c r="AQ926" s="16"/>
      <c r="AR926" s="21" t="n">
        <f aca="false">IF(AND(T926&lt;&gt;"",H926&lt;&gt;""),IF(AND((T926-H926)*86400&gt;=0,(T926-H926)*86400&lt;تنظیمات!$B$13),1,0),0)</f>
        <v>0</v>
      </c>
      <c r="AS926" s="21" t="n">
        <f aca="false">IF(Z926="پوز",IF(OR(AB926="",COUNTIF(پوزها!$A$2:$A$5,AA926)=0),1,0),0)</f>
        <v>0</v>
      </c>
      <c r="AT926" s="21" t="n">
        <f aca="false">IF(AI926="",0,IF(AI926&gt;0,1,0))</f>
        <v>0</v>
      </c>
      <c r="AU926" s="21" t="n">
        <f aca="false">IF(AI926="",0,IF(AI926&lt;0,1,0))</f>
        <v>0</v>
      </c>
      <c r="AV926" s="21" t="n">
        <f aca="false">IF(U926&gt;V926,1,0)</f>
        <v>0</v>
      </c>
      <c r="AW926" s="21" t="n">
        <f aca="false">IF(OR(W926&gt;تنظیمات!$B$8,X926="بله"),1,0)</f>
        <v>0</v>
      </c>
      <c r="AX926" s="21" t="n">
        <f aca="false">IF(AND(N926="بله",L926&gt;تنظیمات!$B$9),1,0)</f>
        <v>0</v>
      </c>
      <c r="AY926" s="21" t="n">
        <f aca="false">IF(Y926="معکوس",1,0)</f>
        <v>0</v>
      </c>
      <c r="AZ926" s="21" t="n">
        <f aca="false">IF(ABS(AJ926)&gt;تنظیمات!$B$10,1,0)</f>
        <v>0</v>
      </c>
      <c r="BA926" s="21" t="n">
        <f aca="false">IF(AND(OR(AD926="رایگان/VIP",AD926="جانباز"),AF926="خیر"),1,0)</f>
        <v>0</v>
      </c>
      <c r="BB926" s="21" t="n">
        <f aca="false">IF(AE926="",0,IF(COUNTIF($AE$2:$AE$1001,AE926)&gt;1,1,0))</f>
        <v>0</v>
      </c>
      <c r="BC926" s="21" t="n">
        <f aca="false">IF(AND(H926="",I926&gt;تنظیمات!$B$12*60,AM926="خالی"),1,0)</f>
        <v>0</v>
      </c>
      <c r="BD926" s="21" t="n">
        <f aca="false">IF(AND(AP926="بله",I926&lt;تنظیمات!$B$14,AO926="خیر"),1,0)</f>
        <v>0</v>
      </c>
      <c r="BE926" s="21" t="n">
        <f aca="false">IF(AN926="خیر",1,0)</f>
        <v>0</v>
      </c>
      <c r="BF926" s="21" t="n">
        <f aca="false">IF(AND(AD926="فیش مفقودی",AQ926="بله",I926&gt;تنظیمات!$B$12*60),1,0)</f>
        <v>0</v>
      </c>
      <c r="BG926" s="21" t="n">
        <f aca="false">IF(AND(AK926&gt;تنظیمات!$B$11,AL926="بله"),1,0)</f>
        <v>0</v>
      </c>
      <c r="BH926" s="21" t="n">
        <f aca="false">MIN(100,AR926*تنظیمات!$B$21+AS926*تنظیمات!$B$22+AT926*تنظیمات!$B$23+AU926*تنظیمات!$B$24+AV926*تنظیمات!$B$25+AW926*تنظیمات!$B$26+AX926*تنظیمات!$B$27+AY926*تنظیمات!$B$28+AZ926*تنظیمات!$B$29+BA926*تنظیمات!$B$30+BB926*تنظیمات!$B$31+BC926*تنظیمات!$B$32+BD926*تنظیمات!$B$33+BE926*تنظیمات!$B$34+BF926*تنظیمات!$B$35+BG926*تنظیمات!$B$36)</f>
        <v>0</v>
      </c>
      <c r="BI926" s="16" t="str">
        <f aca="false">IF(BH926&gt;=60,"بحرانی",IF(BH926&gt;=30,"مشکوک",IF(BH926&gt;0,"هشدار","عادی")))</f>
        <v>عادی</v>
      </c>
      <c r="BJ926" s="16" t="s">
        <v>338</v>
      </c>
    </row>
    <row r="927" customFormat="false" ht="15" hidden="false" customHeight="false" outlineLevel="0" collapsed="false">
      <c r="A927" s="16" t="s">
        <v>3102</v>
      </c>
      <c r="B927" s="16" t="s">
        <v>362</v>
      </c>
      <c r="C927" s="16"/>
      <c r="D927" s="16" t="s">
        <v>331</v>
      </c>
      <c r="E927" s="16" t="s">
        <v>363</v>
      </c>
      <c r="F927" s="16" t="s">
        <v>333</v>
      </c>
      <c r="G927" s="17" t="n">
        <v>46293.7995601852</v>
      </c>
      <c r="H927" s="17" t="n">
        <v>46294.033587963</v>
      </c>
      <c r="I927" s="18" t="n">
        <f aca="false">IF(H927="",ROUND((تنظیمات!$B$7-G927)*1440,0),ROUND((H927-G927)*1440,0))</f>
        <v>337</v>
      </c>
      <c r="J927" s="16" t="s">
        <v>334</v>
      </c>
      <c r="K927" s="16" t="s">
        <v>400</v>
      </c>
      <c r="L927" s="19" t="n">
        <v>0.932</v>
      </c>
      <c r="M927" s="19" t="n">
        <v>0.916</v>
      </c>
      <c r="N927" s="16" t="s">
        <v>335</v>
      </c>
      <c r="O927" s="16" t="s">
        <v>441</v>
      </c>
      <c r="P927" s="16" t="s">
        <v>651</v>
      </c>
      <c r="Q927" s="20" t="n">
        <v>46293</v>
      </c>
      <c r="R927" s="16" t="s">
        <v>3103</v>
      </c>
      <c r="S927" s="16" t="s">
        <v>404</v>
      </c>
      <c r="T927" s="17"/>
      <c r="U927" s="21" t="n">
        <v>1</v>
      </c>
      <c r="V927" s="21" t="n">
        <v>1</v>
      </c>
      <c r="W927" s="22" t="n">
        <v>4</v>
      </c>
      <c r="X927" s="16" t="s">
        <v>335</v>
      </c>
      <c r="Y927" s="16" t="s">
        <v>338</v>
      </c>
      <c r="Z927" s="16" t="s">
        <v>405</v>
      </c>
      <c r="AA927" s="16"/>
      <c r="AB927" s="23"/>
      <c r="AC927" s="17"/>
      <c r="AD927" s="16" t="s">
        <v>338</v>
      </c>
      <c r="AE927" s="16"/>
      <c r="AF927" s="16" t="str">
        <f aca="false">IF(COUNTIF(لیست_سفید!$A$2:$A$21,B927)&gt;0,"بله","خیر")</f>
        <v>خیر</v>
      </c>
      <c r="AG927" s="24" t="n">
        <f aca="false">IF(H927="","",IF(AD927="فیش مفقودی",تنظیمات!$B$6,(INT(I927/1440)*تنظیمات!$B$5+IF(MOD(I927,1440)&lt;=تنظیمات!$B$2,0,MIN(تنظیمات!$B$5,تنظیمات!$B$3+MAX(0,ROUNDUP((MOD(I927,1440)-60)/60,0))*تنظیمات!$B$4)))*INDEX(تعرفه!$B$2:$B$7,MATCH(AD927,تعرفه!$A$2:$A$7,0))))</f>
        <v>90000</v>
      </c>
      <c r="AH927" s="24" t="n">
        <v>90000</v>
      </c>
      <c r="AI927" s="24" t="n">
        <f aca="false">IF(AG927="","",AH927-AG927)</f>
        <v>0</v>
      </c>
      <c r="AJ927" s="21" t="n">
        <v>-1</v>
      </c>
      <c r="AK927" s="21" t="n">
        <v>0</v>
      </c>
      <c r="AL927" s="16" t="s">
        <v>335</v>
      </c>
      <c r="AM927" s="16"/>
      <c r="AN927" s="16" t="s">
        <v>340</v>
      </c>
      <c r="AO927" s="16" t="s">
        <v>340</v>
      </c>
      <c r="AP927" s="16" t="s">
        <v>335</v>
      </c>
      <c r="AQ927" s="16"/>
      <c r="AR927" s="21" t="n">
        <f aca="false">IF(AND(T927&lt;&gt;"",H927&lt;&gt;""),IF(AND((T927-H927)*86400&gt;=0,(T927-H927)*86400&lt;تنظیمات!$B$13),1,0),0)</f>
        <v>0</v>
      </c>
      <c r="AS927" s="21" t="n">
        <f aca="false">IF(Z927="پوز",IF(OR(AB927="",COUNTIF(پوزها!$A$2:$A$5,AA927)=0),1,0),0)</f>
        <v>0</v>
      </c>
      <c r="AT927" s="21" t="n">
        <f aca="false">IF(AI927="",0,IF(AI927&gt;0,1,0))</f>
        <v>0</v>
      </c>
      <c r="AU927" s="21" t="n">
        <f aca="false">IF(AI927="",0,IF(AI927&lt;0,1,0))</f>
        <v>0</v>
      </c>
      <c r="AV927" s="21" t="n">
        <f aca="false">IF(U927&gt;V927,1,0)</f>
        <v>0</v>
      </c>
      <c r="AW927" s="21" t="n">
        <f aca="false">IF(OR(W927&gt;تنظیمات!$B$8,X927="بله"),1,0)</f>
        <v>0</v>
      </c>
      <c r="AX927" s="21" t="n">
        <f aca="false">IF(AND(N927="بله",L927&gt;تنظیمات!$B$9),1,0)</f>
        <v>0</v>
      </c>
      <c r="AY927" s="21" t="n">
        <f aca="false">IF(Y927="معکوس",1,0)</f>
        <v>0</v>
      </c>
      <c r="AZ927" s="21" t="n">
        <f aca="false">IF(ABS(AJ927)&gt;تنظیمات!$B$10,1,0)</f>
        <v>0</v>
      </c>
      <c r="BA927" s="21" t="n">
        <f aca="false">IF(AND(OR(AD927="رایگان/VIP",AD927="جانباز"),AF927="خیر"),1,0)</f>
        <v>0</v>
      </c>
      <c r="BB927" s="21" t="n">
        <f aca="false">IF(AE927="",0,IF(COUNTIF($AE$2:$AE$1001,AE927)&gt;1,1,0))</f>
        <v>0</v>
      </c>
      <c r="BC927" s="21" t="n">
        <f aca="false">IF(AND(H927="",I927&gt;تنظیمات!$B$12*60,AM927="خالی"),1,0)</f>
        <v>0</v>
      </c>
      <c r="BD927" s="21" t="n">
        <f aca="false">IF(AND(AP927="بله",I927&lt;تنظیمات!$B$14,AO927="خیر"),1,0)</f>
        <v>0</v>
      </c>
      <c r="BE927" s="21" t="n">
        <f aca="false">IF(AN927="خیر",1,0)</f>
        <v>0</v>
      </c>
      <c r="BF927" s="21" t="n">
        <f aca="false">IF(AND(AD927="فیش مفقودی",AQ927="بله",I927&gt;تنظیمات!$B$12*60),1,0)</f>
        <v>0</v>
      </c>
      <c r="BG927" s="21" t="n">
        <f aca="false">IF(AND(AK927&gt;تنظیمات!$B$11,AL927="بله"),1,0)</f>
        <v>0</v>
      </c>
      <c r="BH927" s="21" t="n">
        <f aca="false">MIN(100,AR927*تنظیمات!$B$21+AS927*تنظیمات!$B$22+AT927*تنظیمات!$B$23+AU927*تنظیمات!$B$24+AV927*تنظیمات!$B$25+AW927*تنظیمات!$B$26+AX927*تنظیمات!$B$27+AY927*تنظیمات!$B$28+AZ927*تنظیمات!$B$29+BA927*تنظیمات!$B$30+BB927*تنظیمات!$B$31+BC927*تنظیمات!$B$32+BD927*تنظیمات!$B$33+BE927*تنظیمات!$B$34+BF927*تنظیمات!$B$35+BG927*تنظیمات!$B$36)</f>
        <v>0</v>
      </c>
      <c r="BI927" s="16" t="str">
        <f aca="false">IF(BH927&gt;=60,"بحرانی",IF(BH927&gt;=30,"مشکوک",IF(BH927&gt;0,"هشدار","عادی")))</f>
        <v>عادی</v>
      </c>
      <c r="BJ927" s="16" t="s">
        <v>338</v>
      </c>
    </row>
    <row r="928" customFormat="false" ht="15" hidden="false" customHeight="false" outlineLevel="0" collapsed="false">
      <c r="A928" s="16" t="s">
        <v>3104</v>
      </c>
      <c r="B928" s="16" t="s">
        <v>788</v>
      </c>
      <c r="C928" s="16"/>
      <c r="D928" s="16" t="s">
        <v>508</v>
      </c>
      <c r="E928" s="16" t="s">
        <v>332</v>
      </c>
      <c r="F928" s="16" t="s">
        <v>333</v>
      </c>
      <c r="G928" s="17" t="n">
        <v>46293.8948842593</v>
      </c>
      <c r="H928" s="17" t="n">
        <v>46293.9372453704</v>
      </c>
      <c r="I928" s="18" t="n">
        <f aca="false">IF(H928="",ROUND((تنظیمات!$B$7-G928)*1440,0),ROUND((H928-G928)*1440,0))</f>
        <v>61</v>
      </c>
      <c r="J928" s="16" t="s">
        <v>334</v>
      </c>
      <c r="K928" s="16" t="s">
        <v>400</v>
      </c>
      <c r="L928" s="19" t="n">
        <v>0.977</v>
      </c>
      <c r="M928" s="19" t="n">
        <v>0.953</v>
      </c>
      <c r="N928" s="16" t="s">
        <v>335</v>
      </c>
      <c r="O928" s="16" t="s">
        <v>441</v>
      </c>
      <c r="P928" s="16" t="s">
        <v>651</v>
      </c>
      <c r="Q928" s="20" t="n">
        <v>46293</v>
      </c>
      <c r="R928" s="16" t="s">
        <v>3105</v>
      </c>
      <c r="S928" s="16" t="s">
        <v>404</v>
      </c>
      <c r="T928" s="17"/>
      <c r="U928" s="21" t="n">
        <v>1</v>
      </c>
      <c r="V928" s="21" t="n">
        <v>1</v>
      </c>
      <c r="W928" s="22" t="n">
        <v>4</v>
      </c>
      <c r="X928" s="16" t="s">
        <v>335</v>
      </c>
      <c r="Y928" s="16" t="s">
        <v>338</v>
      </c>
      <c r="Z928" s="16" t="s">
        <v>413</v>
      </c>
      <c r="AA928" s="16" t="s">
        <v>427</v>
      </c>
      <c r="AB928" s="23" t="s">
        <v>3106</v>
      </c>
      <c r="AC928" s="17" t="n">
        <v>46293.9368634259</v>
      </c>
      <c r="AD928" s="16" t="s">
        <v>338</v>
      </c>
      <c r="AE928" s="16"/>
      <c r="AF928" s="16" t="str">
        <f aca="false">IF(COUNTIF(لیست_سفید!$A$2:$A$21,B928)&gt;0,"بله","خیر")</f>
        <v>خیر</v>
      </c>
      <c r="AG928" s="24" t="n">
        <f aca="false">IF(H928="","",IF(AD928="فیش مفقودی",تنظیمات!$B$6,(INT(I928/1440)*تنظیمات!$B$5+IF(MOD(I928,1440)&lt;=تنظیمات!$B$2,0,MIN(تنظیمات!$B$5,تنظیمات!$B$3+MAX(0,ROUNDUP((MOD(I928,1440)-60)/60,0))*تنظیمات!$B$4)))*INDEX(تعرفه!$B$2:$B$7,MATCH(AD928,تعرفه!$A$2:$A$7,0))))</f>
        <v>34000</v>
      </c>
      <c r="AH928" s="24" t="n">
        <v>34000</v>
      </c>
      <c r="AI928" s="24" t="n">
        <f aca="false">IF(AG928="","",AH928-AG928)</f>
        <v>0</v>
      </c>
      <c r="AJ928" s="21" t="n">
        <v>1</v>
      </c>
      <c r="AK928" s="21" t="n">
        <v>0</v>
      </c>
      <c r="AL928" s="16" t="s">
        <v>335</v>
      </c>
      <c r="AM928" s="16"/>
      <c r="AN928" s="16" t="s">
        <v>340</v>
      </c>
      <c r="AO928" s="16" t="s">
        <v>340</v>
      </c>
      <c r="AP928" s="16" t="s">
        <v>335</v>
      </c>
      <c r="AQ928" s="16"/>
      <c r="AR928" s="21" t="n">
        <f aca="false">IF(AND(T928&lt;&gt;"",H928&lt;&gt;""),IF(AND((T928-H928)*86400&gt;=0,(T928-H928)*86400&lt;تنظیمات!$B$13),1,0),0)</f>
        <v>0</v>
      </c>
      <c r="AS928" s="21" t="n">
        <f aca="false">IF(Z928="پوز",IF(OR(AB928="",COUNTIF(پوزها!$A$2:$A$5,AA928)=0),1,0),0)</f>
        <v>0</v>
      </c>
      <c r="AT928" s="21" t="n">
        <f aca="false">IF(AI928="",0,IF(AI928&gt;0,1,0))</f>
        <v>0</v>
      </c>
      <c r="AU928" s="21" t="n">
        <f aca="false">IF(AI928="",0,IF(AI928&lt;0,1,0))</f>
        <v>0</v>
      </c>
      <c r="AV928" s="21" t="n">
        <f aca="false">IF(U928&gt;V928,1,0)</f>
        <v>0</v>
      </c>
      <c r="AW928" s="21" t="n">
        <f aca="false">IF(OR(W928&gt;تنظیمات!$B$8,X928="بله"),1,0)</f>
        <v>0</v>
      </c>
      <c r="AX928" s="21" t="n">
        <f aca="false">IF(AND(N928="بله",L928&gt;تنظیمات!$B$9),1,0)</f>
        <v>0</v>
      </c>
      <c r="AY928" s="21" t="n">
        <f aca="false">IF(Y928="معکوس",1,0)</f>
        <v>0</v>
      </c>
      <c r="AZ928" s="21" t="n">
        <f aca="false">IF(ABS(AJ928)&gt;تنظیمات!$B$10,1,0)</f>
        <v>0</v>
      </c>
      <c r="BA928" s="21" t="n">
        <f aca="false">IF(AND(OR(AD928="رایگان/VIP",AD928="جانباز"),AF928="خیر"),1,0)</f>
        <v>0</v>
      </c>
      <c r="BB928" s="21" t="n">
        <f aca="false">IF(AE928="",0,IF(COUNTIF($AE$2:$AE$1001,AE928)&gt;1,1,0))</f>
        <v>0</v>
      </c>
      <c r="BC928" s="21" t="n">
        <f aca="false">IF(AND(H928="",I928&gt;تنظیمات!$B$12*60,AM928="خالی"),1,0)</f>
        <v>0</v>
      </c>
      <c r="BD928" s="21" t="n">
        <f aca="false">IF(AND(AP928="بله",I928&lt;تنظیمات!$B$14,AO928="خیر"),1,0)</f>
        <v>0</v>
      </c>
      <c r="BE928" s="21" t="n">
        <f aca="false">IF(AN928="خیر",1,0)</f>
        <v>0</v>
      </c>
      <c r="BF928" s="21" t="n">
        <f aca="false">IF(AND(AD928="فیش مفقودی",AQ928="بله",I928&gt;تنظیمات!$B$12*60),1,0)</f>
        <v>0</v>
      </c>
      <c r="BG928" s="21" t="n">
        <f aca="false">IF(AND(AK928&gt;تنظیمات!$B$11,AL928="بله"),1,0)</f>
        <v>0</v>
      </c>
      <c r="BH928" s="21" t="n">
        <f aca="false">MIN(100,AR928*تنظیمات!$B$21+AS928*تنظیمات!$B$22+AT928*تنظیمات!$B$23+AU928*تنظیمات!$B$24+AV928*تنظیمات!$B$25+AW928*تنظیمات!$B$26+AX928*تنظیمات!$B$27+AY928*تنظیمات!$B$28+AZ928*تنظیمات!$B$29+BA928*تنظیمات!$B$30+BB928*تنظیمات!$B$31+BC928*تنظیمات!$B$32+BD928*تنظیمات!$B$33+BE928*تنظیمات!$B$34+BF928*تنظیمات!$B$35+BG928*تنظیمات!$B$36)</f>
        <v>0</v>
      </c>
      <c r="BI928" s="16" t="str">
        <f aca="false">IF(BH928&gt;=60,"بحرانی",IF(BH928&gt;=30,"مشکوک",IF(BH928&gt;0,"هشدار","عادی")))</f>
        <v>عادی</v>
      </c>
      <c r="BJ928" s="16" t="s">
        <v>338</v>
      </c>
    </row>
    <row r="929" customFormat="false" ht="15" hidden="false" customHeight="false" outlineLevel="0" collapsed="false">
      <c r="A929" s="16" t="s">
        <v>3107</v>
      </c>
      <c r="B929" s="16" t="s">
        <v>1000</v>
      </c>
      <c r="C929" s="16"/>
      <c r="D929" s="16" t="s">
        <v>440</v>
      </c>
      <c r="E929" s="16" t="s">
        <v>390</v>
      </c>
      <c r="F929" s="16" t="s">
        <v>359</v>
      </c>
      <c r="G929" s="17" t="n">
        <v>46293.8956944444</v>
      </c>
      <c r="H929" s="17" t="n">
        <v>46293.9116666667</v>
      </c>
      <c r="I929" s="18" t="n">
        <f aca="false">IF(H929="",ROUND((تنظیمات!$B$7-G929)*1440,0),ROUND((H929-G929)*1440,0))</f>
        <v>23</v>
      </c>
      <c r="J929" s="16" t="s">
        <v>334</v>
      </c>
      <c r="K929" s="16" t="s">
        <v>410</v>
      </c>
      <c r="L929" s="19" t="n">
        <v>0.923</v>
      </c>
      <c r="M929" s="19" t="n">
        <v>0.908</v>
      </c>
      <c r="N929" s="16" t="s">
        <v>335</v>
      </c>
      <c r="O929" s="16" t="s">
        <v>425</v>
      </c>
      <c r="P929" s="16" t="s">
        <v>420</v>
      </c>
      <c r="Q929" s="20" t="n">
        <v>46293</v>
      </c>
      <c r="R929" s="16" t="s">
        <v>3108</v>
      </c>
      <c r="S929" s="16" t="s">
        <v>452</v>
      </c>
      <c r="T929" s="17" t="n">
        <v>46293.9086342593</v>
      </c>
      <c r="U929" s="21" t="n">
        <v>1</v>
      </c>
      <c r="V929" s="21" t="n">
        <v>1</v>
      </c>
      <c r="W929" s="22" t="n">
        <v>7.2</v>
      </c>
      <c r="X929" s="16" t="s">
        <v>335</v>
      </c>
      <c r="Y929" s="16" t="s">
        <v>338</v>
      </c>
      <c r="Z929" s="16" t="s">
        <v>405</v>
      </c>
      <c r="AA929" s="16"/>
      <c r="AB929" s="23"/>
      <c r="AC929" s="17"/>
      <c r="AD929" s="16" t="s">
        <v>338</v>
      </c>
      <c r="AE929" s="16"/>
      <c r="AF929" s="16" t="str">
        <f aca="false">IF(COUNTIF(لیست_سفید!$A$2:$A$21,B929)&gt;0,"بله","خیر")</f>
        <v>خیر</v>
      </c>
      <c r="AG929" s="24" t="n">
        <f aca="false">IF(H929="","",IF(AD929="فیش مفقودی",تنظیمات!$B$6,(INT(I929/1440)*تنظیمات!$B$5+IF(MOD(I929,1440)&lt;=تنظیمات!$B$2,0,MIN(تنظیمات!$B$5,تنظیمات!$B$3+MAX(0,ROUNDUP((MOD(I929,1440)-60)/60,0))*تنظیمات!$B$4)))*INDEX(تعرفه!$B$2:$B$7,MATCH(AD929,تعرفه!$A$2:$A$7,0))))</f>
        <v>20000</v>
      </c>
      <c r="AH929" s="24" t="n">
        <v>20000</v>
      </c>
      <c r="AI929" s="24" t="n">
        <f aca="false">IF(AG929="","",AH929-AG929)</f>
        <v>0</v>
      </c>
      <c r="AJ929" s="21" t="n">
        <v>-2</v>
      </c>
      <c r="AK929" s="21" t="n">
        <v>0</v>
      </c>
      <c r="AL929" s="16" t="s">
        <v>335</v>
      </c>
      <c r="AM929" s="16"/>
      <c r="AN929" s="16" t="s">
        <v>340</v>
      </c>
      <c r="AO929" s="16" t="s">
        <v>340</v>
      </c>
      <c r="AP929" s="16" t="s">
        <v>335</v>
      </c>
      <c r="AQ929" s="16"/>
      <c r="AR929" s="21" t="n">
        <f aca="false">IF(AND(T929&lt;&gt;"",H929&lt;&gt;""),IF(AND((T929-H929)*86400&gt;=0,(T929-H929)*86400&lt;تنظیمات!$B$13),1,0),0)</f>
        <v>0</v>
      </c>
      <c r="AS929" s="21" t="n">
        <f aca="false">IF(Z929="پوز",IF(OR(AB929="",COUNTIF(پوزها!$A$2:$A$5,AA929)=0),1,0),0)</f>
        <v>0</v>
      </c>
      <c r="AT929" s="21" t="n">
        <f aca="false">IF(AI929="",0,IF(AI929&gt;0,1,0))</f>
        <v>0</v>
      </c>
      <c r="AU929" s="21" t="n">
        <f aca="false">IF(AI929="",0,IF(AI929&lt;0,1,0))</f>
        <v>0</v>
      </c>
      <c r="AV929" s="21" t="n">
        <f aca="false">IF(U929&gt;V929,1,0)</f>
        <v>0</v>
      </c>
      <c r="AW929" s="21" t="n">
        <f aca="false">IF(OR(W929&gt;تنظیمات!$B$8,X929="بله"),1,0)</f>
        <v>0</v>
      </c>
      <c r="AX929" s="21" t="n">
        <f aca="false">IF(AND(N929="بله",L929&gt;تنظیمات!$B$9),1,0)</f>
        <v>0</v>
      </c>
      <c r="AY929" s="21" t="n">
        <f aca="false">IF(Y929="معکوس",1,0)</f>
        <v>0</v>
      </c>
      <c r="AZ929" s="21" t="n">
        <f aca="false">IF(ABS(AJ929)&gt;تنظیمات!$B$10,1,0)</f>
        <v>0</v>
      </c>
      <c r="BA929" s="21" t="n">
        <f aca="false">IF(AND(OR(AD929="رایگان/VIP",AD929="جانباز"),AF929="خیر"),1,0)</f>
        <v>0</v>
      </c>
      <c r="BB929" s="21" t="n">
        <f aca="false">IF(AE929="",0,IF(COUNTIF($AE$2:$AE$1001,AE929)&gt;1,1,0))</f>
        <v>0</v>
      </c>
      <c r="BC929" s="21" t="n">
        <f aca="false">IF(AND(H929="",I929&gt;تنظیمات!$B$12*60,AM929="خالی"),1,0)</f>
        <v>0</v>
      </c>
      <c r="BD929" s="21" t="n">
        <f aca="false">IF(AND(AP929="بله",I929&lt;تنظیمات!$B$14,AO929="خیر"),1,0)</f>
        <v>0</v>
      </c>
      <c r="BE929" s="21" t="n">
        <f aca="false">IF(AN929="خیر",1,0)</f>
        <v>0</v>
      </c>
      <c r="BF929" s="21" t="n">
        <f aca="false">IF(AND(AD929="فیش مفقودی",AQ929="بله",I929&gt;تنظیمات!$B$12*60),1,0)</f>
        <v>0</v>
      </c>
      <c r="BG929" s="21" t="n">
        <f aca="false">IF(AND(AK929&gt;تنظیمات!$B$11,AL929="بله"),1,0)</f>
        <v>0</v>
      </c>
      <c r="BH929" s="21" t="n">
        <f aca="false">MIN(100,AR929*تنظیمات!$B$21+AS929*تنظیمات!$B$22+AT929*تنظیمات!$B$23+AU929*تنظیمات!$B$24+AV929*تنظیمات!$B$25+AW929*تنظیمات!$B$26+AX929*تنظیمات!$B$27+AY929*تنظیمات!$B$28+AZ929*تنظیمات!$B$29+BA929*تنظیمات!$B$30+BB929*تنظیمات!$B$31+BC929*تنظیمات!$B$32+BD929*تنظیمات!$B$33+BE929*تنظیمات!$B$34+BF929*تنظیمات!$B$35+BG929*تنظیمات!$B$36)</f>
        <v>0</v>
      </c>
      <c r="BI929" s="16" t="str">
        <f aca="false">IF(BH929&gt;=60,"بحرانی",IF(BH929&gt;=30,"مشکوک",IF(BH929&gt;0,"هشدار","عادی")))</f>
        <v>عادی</v>
      </c>
      <c r="BJ929" s="16" t="s">
        <v>338</v>
      </c>
    </row>
    <row r="930" customFormat="false" ht="15" hidden="false" customHeight="false" outlineLevel="0" collapsed="false">
      <c r="A930" s="16" t="s">
        <v>3109</v>
      </c>
      <c r="B930" s="16" t="s">
        <v>1345</v>
      </c>
      <c r="C930" s="16"/>
      <c r="D930" s="16" t="s">
        <v>431</v>
      </c>
      <c r="E930" s="16" t="s">
        <v>375</v>
      </c>
      <c r="F930" s="16" t="s">
        <v>333</v>
      </c>
      <c r="G930" s="17" t="n">
        <v>46293.9311574074</v>
      </c>
      <c r="H930" s="17" t="n">
        <v>46293.9964351852</v>
      </c>
      <c r="I930" s="18" t="n">
        <f aca="false">IF(H930="",ROUND((تنظیمات!$B$7-G930)*1440,0),ROUND((H930-G930)*1440,0))</f>
        <v>94</v>
      </c>
      <c r="J930" s="16" t="s">
        <v>334</v>
      </c>
      <c r="K930" s="16" t="s">
        <v>400</v>
      </c>
      <c r="L930" s="19" t="n">
        <v>0.908</v>
      </c>
      <c r="M930" s="19" t="n">
        <v>0.984</v>
      </c>
      <c r="N930" s="16" t="s">
        <v>335</v>
      </c>
      <c r="O930" s="16" t="s">
        <v>441</v>
      </c>
      <c r="P930" s="16" t="s">
        <v>651</v>
      </c>
      <c r="Q930" s="20" t="n">
        <v>46293</v>
      </c>
      <c r="R930" s="16" t="s">
        <v>3110</v>
      </c>
      <c r="S930" s="16" t="s">
        <v>404</v>
      </c>
      <c r="T930" s="17"/>
      <c r="U930" s="21" t="n">
        <v>1</v>
      </c>
      <c r="V930" s="21" t="n">
        <v>1</v>
      </c>
      <c r="W930" s="22" t="n">
        <v>6.1</v>
      </c>
      <c r="X930" s="16" t="s">
        <v>335</v>
      </c>
      <c r="Y930" s="16" t="s">
        <v>338</v>
      </c>
      <c r="Z930" s="16" t="s">
        <v>413</v>
      </c>
      <c r="AA930" s="16" t="s">
        <v>427</v>
      </c>
      <c r="AB930" s="23" t="s">
        <v>3111</v>
      </c>
      <c r="AC930" s="17" t="n">
        <v>46293.9961111111</v>
      </c>
      <c r="AD930" s="16" t="s">
        <v>338</v>
      </c>
      <c r="AE930" s="16"/>
      <c r="AF930" s="16" t="str">
        <f aca="false">IF(COUNTIF(لیست_سفید!$A$2:$A$21,B930)&gt;0,"بله","خیر")</f>
        <v>خیر</v>
      </c>
      <c r="AG930" s="24" t="n">
        <f aca="false">IF(H930="","",IF(AD930="فیش مفقودی",تنظیمات!$B$6,(INT(I930/1440)*تنظیمات!$B$5+IF(MOD(I930,1440)&lt;=تنظیمات!$B$2,0,MIN(تنظیمات!$B$5,تنظیمات!$B$3+MAX(0,ROUNDUP((MOD(I930,1440)-60)/60,0))*تنظیمات!$B$4)))*INDEX(تعرفه!$B$2:$B$7,MATCH(AD930,تعرفه!$A$2:$A$7,0))))</f>
        <v>34000</v>
      </c>
      <c r="AH930" s="24" t="n">
        <v>34000</v>
      </c>
      <c r="AI930" s="24" t="n">
        <f aca="false">IF(AG930="","",AH930-AG930)</f>
        <v>0</v>
      </c>
      <c r="AJ930" s="21" t="n">
        <v>-4</v>
      </c>
      <c r="AK930" s="21" t="n">
        <v>0</v>
      </c>
      <c r="AL930" s="16" t="s">
        <v>335</v>
      </c>
      <c r="AM930" s="16"/>
      <c r="AN930" s="16" t="s">
        <v>340</v>
      </c>
      <c r="AO930" s="16" t="s">
        <v>340</v>
      </c>
      <c r="AP930" s="16" t="s">
        <v>335</v>
      </c>
      <c r="AQ930" s="16"/>
      <c r="AR930" s="21" t="n">
        <f aca="false">IF(AND(T930&lt;&gt;"",H930&lt;&gt;""),IF(AND((T930-H930)*86400&gt;=0,(T930-H930)*86400&lt;تنظیمات!$B$13),1,0),0)</f>
        <v>0</v>
      </c>
      <c r="AS930" s="21" t="n">
        <f aca="false">IF(Z930="پوز",IF(OR(AB930="",COUNTIF(پوزها!$A$2:$A$5,AA930)=0),1,0),0)</f>
        <v>0</v>
      </c>
      <c r="AT930" s="21" t="n">
        <f aca="false">IF(AI930="",0,IF(AI930&gt;0,1,0))</f>
        <v>0</v>
      </c>
      <c r="AU930" s="21" t="n">
        <f aca="false">IF(AI930="",0,IF(AI930&lt;0,1,0))</f>
        <v>0</v>
      </c>
      <c r="AV930" s="21" t="n">
        <f aca="false">IF(U930&gt;V930,1,0)</f>
        <v>0</v>
      </c>
      <c r="AW930" s="21" t="n">
        <f aca="false">IF(OR(W930&gt;تنظیمات!$B$8,X930="بله"),1,0)</f>
        <v>0</v>
      </c>
      <c r="AX930" s="21" t="n">
        <f aca="false">IF(AND(N930="بله",L930&gt;تنظیمات!$B$9),1,0)</f>
        <v>0</v>
      </c>
      <c r="AY930" s="21" t="n">
        <f aca="false">IF(Y930="معکوس",1,0)</f>
        <v>0</v>
      </c>
      <c r="AZ930" s="21" t="n">
        <f aca="false">IF(ABS(AJ930)&gt;تنظیمات!$B$10,1,0)</f>
        <v>0</v>
      </c>
      <c r="BA930" s="21" t="n">
        <f aca="false">IF(AND(OR(AD930="رایگان/VIP",AD930="جانباز"),AF930="خیر"),1,0)</f>
        <v>0</v>
      </c>
      <c r="BB930" s="21" t="n">
        <f aca="false">IF(AE930="",0,IF(COUNTIF($AE$2:$AE$1001,AE930)&gt;1,1,0))</f>
        <v>0</v>
      </c>
      <c r="BC930" s="21" t="n">
        <f aca="false">IF(AND(H930="",I930&gt;تنظیمات!$B$12*60,AM930="خالی"),1,0)</f>
        <v>0</v>
      </c>
      <c r="BD930" s="21" t="n">
        <f aca="false">IF(AND(AP930="بله",I930&lt;تنظیمات!$B$14,AO930="خیر"),1,0)</f>
        <v>0</v>
      </c>
      <c r="BE930" s="21" t="n">
        <f aca="false">IF(AN930="خیر",1,0)</f>
        <v>0</v>
      </c>
      <c r="BF930" s="21" t="n">
        <f aca="false">IF(AND(AD930="فیش مفقودی",AQ930="بله",I930&gt;تنظیمات!$B$12*60),1,0)</f>
        <v>0</v>
      </c>
      <c r="BG930" s="21" t="n">
        <f aca="false">IF(AND(AK930&gt;تنظیمات!$B$11,AL930="بله"),1,0)</f>
        <v>0</v>
      </c>
      <c r="BH930" s="21" t="n">
        <f aca="false">MIN(100,AR930*تنظیمات!$B$21+AS930*تنظیمات!$B$22+AT930*تنظیمات!$B$23+AU930*تنظیمات!$B$24+AV930*تنظیمات!$B$25+AW930*تنظیمات!$B$26+AX930*تنظیمات!$B$27+AY930*تنظیمات!$B$28+AZ930*تنظیمات!$B$29+BA930*تنظیمات!$B$30+BB930*تنظیمات!$B$31+BC930*تنظیمات!$B$32+BD930*تنظیمات!$B$33+BE930*تنظیمات!$B$34+BF930*تنظیمات!$B$35+BG930*تنظیمات!$B$36)</f>
        <v>0</v>
      </c>
      <c r="BI930" s="16" t="str">
        <f aca="false">IF(BH930&gt;=60,"بحرانی",IF(BH930&gt;=30,"مشکوک",IF(BH930&gt;0,"هشدار","عادی")))</f>
        <v>عادی</v>
      </c>
      <c r="BJ930" s="16" t="s">
        <v>338</v>
      </c>
    </row>
    <row r="931" customFormat="false" ht="15" hidden="false" customHeight="false" outlineLevel="0" collapsed="false">
      <c r="A931" s="16" t="s">
        <v>3112</v>
      </c>
      <c r="B931" s="16" t="s">
        <v>399</v>
      </c>
      <c r="C931" s="16"/>
      <c r="D931" s="16" t="s">
        <v>382</v>
      </c>
      <c r="E931" s="16" t="s">
        <v>351</v>
      </c>
      <c r="F931" s="16" t="s">
        <v>333</v>
      </c>
      <c r="G931" s="17" t="n">
        <v>46293.9479861111</v>
      </c>
      <c r="H931" s="17" t="n">
        <v>46293.9542361111</v>
      </c>
      <c r="I931" s="18" t="n">
        <f aca="false">IF(H931="",ROUND((تنظیمات!$B$7-G931)*1440,0),ROUND((H931-G931)*1440,0))</f>
        <v>9</v>
      </c>
      <c r="J931" s="16" t="s">
        <v>334</v>
      </c>
      <c r="K931" s="16" t="s">
        <v>400</v>
      </c>
      <c r="L931" s="19" t="n">
        <v>0.983</v>
      </c>
      <c r="M931" s="19" t="n">
        <v>0.904</v>
      </c>
      <c r="N931" s="16" t="s">
        <v>335</v>
      </c>
      <c r="O931" s="16" t="s">
        <v>441</v>
      </c>
      <c r="P931" s="16" t="s">
        <v>651</v>
      </c>
      <c r="Q931" s="20" t="n">
        <v>46293</v>
      </c>
      <c r="R931" s="16" t="s">
        <v>3113</v>
      </c>
      <c r="S931" s="16" t="s">
        <v>404</v>
      </c>
      <c r="T931" s="17"/>
      <c r="U931" s="21" t="n">
        <v>1</v>
      </c>
      <c r="V931" s="21" t="n">
        <v>1</v>
      </c>
      <c r="W931" s="22" t="n">
        <v>6.1</v>
      </c>
      <c r="X931" s="16" t="s">
        <v>335</v>
      </c>
      <c r="Y931" s="16" t="s">
        <v>338</v>
      </c>
      <c r="Z931" s="16" t="s">
        <v>628</v>
      </c>
      <c r="AA931" s="16"/>
      <c r="AB931" s="23"/>
      <c r="AC931" s="17"/>
      <c r="AD931" s="16" t="s">
        <v>338</v>
      </c>
      <c r="AE931" s="16"/>
      <c r="AF931" s="16" t="str">
        <f aca="false">IF(COUNTIF(لیست_سفید!$A$2:$A$21,B931)&gt;0,"بله","خیر")</f>
        <v>خیر</v>
      </c>
      <c r="AG931" s="24" t="n">
        <f aca="false">IF(H931="","",IF(AD931="فیش مفقودی",تنظیمات!$B$6,(INT(I931/1440)*تنظیمات!$B$5+IF(MOD(I931,1440)&lt;=تنظیمات!$B$2,0,MIN(تنظیمات!$B$5,تنظیمات!$B$3+MAX(0,ROUNDUP((MOD(I931,1440)-60)/60,0))*تنظیمات!$B$4)))*INDEX(تعرفه!$B$2:$B$7,MATCH(AD931,تعرفه!$A$2:$A$7,0))))</f>
        <v>0</v>
      </c>
      <c r="AH931" s="24" t="n">
        <v>0</v>
      </c>
      <c r="AI931" s="24" t="n">
        <f aca="false">IF(AG931="","",AH931-AG931)</f>
        <v>0</v>
      </c>
      <c r="AJ931" s="21" t="n">
        <v>-2</v>
      </c>
      <c r="AK931" s="21" t="n">
        <v>0</v>
      </c>
      <c r="AL931" s="16" t="s">
        <v>335</v>
      </c>
      <c r="AM931" s="16"/>
      <c r="AN931" s="16" t="s">
        <v>340</v>
      </c>
      <c r="AO931" s="16" t="s">
        <v>340</v>
      </c>
      <c r="AP931" s="16" t="s">
        <v>335</v>
      </c>
      <c r="AQ931" s="16"/>
      <c r="AR931" s="21" t="n">
        <f aca="false">IF(AND(T931&lt;&gt;"",H931&lt;&gt;""),IF(AND((T931-H931)*86400&gt;=0,(T931-H931)*86400&lt;تنظیمات!$B$13),1,0),0)</f>
        <v>0</v>
      </c>
      <c r="AS931" s="21" t="n">
        <f aca="false">IF(Z931="پوز",IF(OR(AB931="",COUNTIF(پوزها!$A$2:$A$5,AA931)=0),1,0),0)</f>
        <v>0</v>
      </c>
      <c r="AT931" s="21" t="n">
        <f aca="false">IF(AI931="",0,IF(AI931&gt;0,1,0))</f>
        <v>0</v>
      </c>
      <c r="AU931" s="21" t="n">
        <f aca="false">IF(AI931="",0,IF(AI931&lt;0,1,0))</f>
        <v>0</v>
      </c>
      <c r="AV931" s="21" t="n">
        <f aca="false">IF(U931&gt;V931,1,0)</f>
        <v>0</v>
      </c>
      <c r="AW931" s="21" t="n">
        <f aca="false">IF(OR(W931&gt;تنظیمات!$B$8,X931="بله"),1,0)</f>
        <v>0</v>
      </c>
      <c r="AX931" s="21" t="n">
        <f aca="false">IF(AND(N931="بله",L931&gt;تنظیمات!$B$9),1,0)</f>
        <v>0</v>
      </c>
      <c r="AY931" s="21" t="n">
        <f aca="false">IF(Y931="معکوس",1,0)</f>
        <v>0</v>
      </c>
      <c r="AZ931" s="21" t="n">
        <f aca="false">IF(ABS(AJ931)&gt;تنظیمات!$B$10,1,0)</f>
        <v>0</v>
      </c>
      <c r="BA931" s="21" t="n">
        <f aca="false">IF(AND(OR(AD931="رایگان/VIP",AD931="جانباز"),AF931="خیر"),1,0)</f>
        <v>0</v>
      </c>
      <c r="BB931" s="21" t="n">
        <f aca="false">IF(AE931="",0,IF(COUNTIF($AE$2:$AE$1001,AE931)&gt;1,1,0))</f>
        <v>0</v>
      </c>
      <c r="BC931" s="21" t="n">
        <f aca="false">IF(AND(H931="",I931&gt;تنظیمات!$B$12*60,AM931="خالی"),1,0)</f>
        <v>0</v>
      </c>
      <c r="BD931" s="21" t="n">
        <f aca="false">IF(AND(AP931="بله",I931&lt;تنظیمات!$B$14,AO931="خیر"),1,0)</f>
        <v>0</v>
      </c>
      <c r="BE931" s="21" t="n">
        <f aca="false">IF(AN931="خیر",1,0)</f>
        <v>0</v>
      </c>
      <c r="BF931" s="21" t="n">
        <f aca="false">IF(AND(AD931="فیش مفقودی",AQ931="بله",I931&gt;تنظیمات!$B$12*60),1,0)</f>
        <v>0</v>
      </c>
      <c r="BG931" s="21" t="n">
        <f aca="false">IF(AND(AK931&gt;تنظیمات!$B$11,AL931="بله"),1,0)</f>
        <v>0</v>
      </c>
      <c r="BH931" s="21" t="n">
        <f aca="false">MIN(100,AR931*تنظیمات!$B$21+AS931*تنظیمات!$B$22+AT931*تنظیمات!$B$23+AU931*تنظیمات!$B$24+AV931*تنظیمات!$B$25+AW931*تنظیمات!$B$26+AX931*تنظیمات!$B$27+AY931*تنظیمات!$B$28+AZ931*تنظیمات!$B$29+BA931*تنظیمات!$B$30+BB931*تنظیمات!$B$31+BC931*تنظیمات!$B$32+BD931*تنظیمات!$B$33+BE931*تنظیمات!$B$34+BF931*تنظیمات!$B$35+BG931*تنظیمات!$B$36)</f>
        <v>0</v>
      </c>
      <c r="BI931" s="16" t="str">
        <f aca="false">IF(BH931&gt;=60,"بحرانی",IF(BH931&gt;=30,"مشکوک",IF(BH931&gt;0,"هشدار","عادی")))</f>
        <v>عادی</v>
      </c>
      <c r="BJ931" s="16" t="s">
        <v>338</v>
      </c>
    </row>
    <row r="932" customFormat="false" ht="15" hidden="false" customHeight="false" outlineLevel="0" collapsed="false">
      <c r="A932" s="16" t="s">
        <v>3114</v>
      </c>
      <c r="B932" s="16" t="s">
        <v>867</v>
      </c>
      <c r="C932" s="16"/>
      <c r="D932" s="16" t="s">
        <v>331</v>
      </c>
      <c r="E932" s="16" t="s">
        <v>375</v>
      </c>
      <c r="F932" s="16" t="s">
        <v>333</v>
      </c>
      <c r="G932" s="17" t="n">
        <v>46293.9487037037</v>
      </c>
      <c r="H932" s="17" t="n">
        <v>46293.9778703704</v>
      </c>
      <c r="I932" s="18" t="n">
        <f aca="false">IF(H932="",ROUND((تنظیمات!$B$7-G932)*1440,0),ROUND((H932-G932)*1440,0))</f>
        <v>42</v>
      </c>
      <c r="J932" s="16" t="s">
        <v>346</v>
      </c>
      <c r="K932" s="16" t="s">
        <v>400</v>
      </c>
      <c r="L932" s="19" t="n">
        <v>0.906</v>
      </c>
      <c r="M932" s="19" t="n">
        <v>0.969</v>
      </c>
      <c r="N932" s="16" t="s">
        <v>335</v>
      </c>
      <c r="O932" s="16" t="s">
        <v>441</v>
      </c>
      <c r="P932" s="16" t="s">
        <v>651</v>
      </c>
      <c r="Q932" s="20" t="n">
        <v>46293</v>
      </c>
      <c r="R932" s="16" t="s">
        <v>3115</v>
      </c>
      <c r="S932" s="16" t="s">
        <v>404</v>
      </c>
      <c r="T932" s="17"/>
      <c r="U932" s="21" t="n">
        <v>1</v>
      </c>
      <c r="V932" s="21" t="n">
        <v>1</v>
      </c>
      <c r="W932" s="22" t="n">
        <v>4.4</v>
      </c>
      <c r="X932" s="16" t="s">
        <v>335</v>
      </c>
      <c r="Y932" s="16" t="s">
        <v>338</v>
      </c>
      <c r="Z932" s="16" t="s">
        <v>413</v>
      </c>
      <c r="AA932" s="16" t="s">
        <v>427</v>
      </c>
      <c r="AB932" s="23" t="s">
        <v>3116</v>
      </c>
      <c r="AC932" s="17" t="n">
        <v>46293.9768518519</v>
      </c>
      <c r="AD932" s="16" t="s">
        <v>338</v>
      </c>
      <c r="AE932" s="16"/>
      <c r="AF932" s="16" t="str">
        <f aca="false">IF(COUNTIF(لیست_سفید!$A$2:$A$21,B932)&gt;0,"بله","خیر")</f>
        <v>خیر</v>
      </c>
      <c r="AG932" s="24" t="n">
        <f aca="false">IF(H932="","",IF(AD932="فیش مفقودی",تنظیمات!$B$6,(INT(I932/1440)*تنظیمات!$B$5+IF(MOD(I932,1440)&lt;=تنظیمات!$B$2,0,MIN(تنظیمات!$B$5,تنظیمات!$B$3+MAX(0,ROUNDUP((MOD(I932,1440)-60)/60,0))*تنظیمات!$B$4)))*INDEX(تعرفه!$B$2:$B$7,MATCH(AD932,تعرفه!$A$2:$A$7,0))))</f>
        <v>20000</v>
      </c>
      <c r="AH932" s="24" t="n">
        <v>20000</v>
      </c>
      <c r="AI932" s="24" t="n">
        <f aca="false">IF(AG932="","",AH932-AG932)</f>
        <v>0</v>
      </c>
      <c r="AJ932" s="21" t="n">
        <v>-5</v>
      </c>
      <c r="AK932" s="21" t="n">
        <v>0</v>
      </c>
      <c r="AL932" s="16" t="s">
        <v>335</v>
      </c>
      <c r="AM932" s="16"/>
      <c r="AN932" s="16" t="s">
        <v>340</v>
      </c>
      <c r="AO932" s="16" t="s">
        <v>340</v>
      </c>
      <c r="AP932" s="16" t="s">
        <v>335</v>
      </c>
      <c r="AQ932" s="16"/>
      <c r="AR932" s="21" t="n">
        <f aca="false">IF(AND(T932&lt;&gt;"",H932&lt;&gt;""),IF(AND((T932-H932)*86400&gt;=0,(T932-H932)*86400&lt;تنظیمات!$B$13),1,0),0)</f>
        <v>0</v>
      </c>
      <c r="AS932" s="21" t="n">
        <f aca="false">IF(Z932="پوز",IF(OR(AB932="",COUNTIF(پوزها!$A$2:$A$5,AA932)=0),1,0),0)</f>
        <v>0</v>
      </c>
      <c r="AT932" s="21" t="n">
        <f aca="false">IF(AI932="",0,IF(AI932&gt;0,1,0))</f>
        <v>0</v>
      </c>
      <c r="AU932" s="21" t="n">
        <f aca="false">IF(AI932="",0,IF(AI932&lt;0,1,0))</f>
        <v>0</v>
      </c>
      <c r="AV932" s="21" t="n">
        <f aca="false">IF(U932&gt;V932,1,0)</f>
        <v>0</v>
      </c>
      <c r="AW932" s="21" t="n">
        <f aca="false">IF(OR(W932&gt;تنظیمات!$B$8,X932="بله"),1,0)</f>
        <v>0</v>
      </c>
      <c r="AX932" s="21" t="n">
        <f aca="false">IF(AND(N932="بله",L932&gt;تنظیمات!$B$9),1,0)</f>
        <v>0</v>
      </c>
      <c r="AY932" s="21" t="n">
        <f aca="false">IF(Y932="معکوس",1,0)</f>
        <v>0</v>
      </c>
      <c r="AZ932" s="21" t="n">
        <f aca="false">IF(ABS(AJ932)&gt;تنظیمات!$B$10,1,0)</f>
        <v>0</v>
      </c>
      <c r="BA932" s="21" t="n">
        <f aca="false">IF(AND(OR(AD932="رایگان/VIP",AD932="جانباز"),AF932="خیر"),1,0)</f>
        <v>0</v>
      </c>
      <c r="BB932" s="21" t="n">
        <f aca="false">IF(AE932="",0,IF(COUNTIF($AE$2:$AE$1001,AE932)&gt;1,1,0))</f>
        <v>0</v>
      </c>
      <c r="BC932" s="21" t="n">
        <f aca="false">IF(AND(H932="",I932&gt;تنظیمات!$B$12*60,AM932="خالی"),1,0)</f>
        <v>0</v>
      </c>
      <c r="BD932" s="21" t="n">
        <f aca="false">IF(AND(AP932="بله",I932&lt;تنظیمات!$B$14,AO932="خیر"),1,0)</f>
        <v>0</v>
      </c>
      <c r="BE932" s="21" t="n">
        <f aca="false">IF(AN932="خیر",1,0)</f>
        <v>0</v>
      </c>
      <c r="BF932" s="21" t="n">
        <f aca="false">IF(AND(AD932="فیش مفقودی",AQ932="بله",I932&gt;تنظیمات!$B$12*60),1,0)</f>
        <v>0</v>
      </c>
      <c r="BG932" s="21" t="n">
        <f aca="false">IF(AND(AK932&gt;تنظیمات!$B$11,AL932="بله"),1,0)</f>
        <v>0</v>
      </c>
      <c r="BH932" s="21" t="n">
        <f aca="false">MIN(100,AR932*تنظیمات!$B$21+AS932*تنظیمات!$B$22+AT932*تنظیمات!$B$23+AU932*تنظیمات!$B$24+AV932*تنظیمات!$B$25+AW932*تنظیمات!$B$26+AX932*تنظیمات!$B$27+AY932*تنظیمات!$B$28+AZ932*تنظیمات!$B$29+BA932*تنظیمات!$B$30+BB932*تنظیمات!$B$31+BC932*تنظیمات!$B$32+BD932*تنظیمات!$B$33+BE932*تنظیمات!$B$34+BF932*تنظیمات!$B$35+BG932*تنظیمات!$B$36)</f>
        <v>0</v>
      </c>
      <c r="BI932" s="16" t="str">
        <f aca="false">IF(BH932&gt;=60,"بحرانی",IF(BH932&gt;=30,"مشکوک",IF(BH932&gt;0,"هشدار","عادی")))</f>
        <v>عادی</v>
      </c>
      <c r="BJ932" s="16" t="s">
        <v>338</v>
      </c>
    </row>
    <row r="933" customFormat="false" ht="15" hidden="false" customHeight="false" outlineLevel="0" collapsed="false">
      <c r="A933" s="16" t="s">
        <v>3117</v>
      </c>
      <c r="B933" s="16" t="s">
        <v>1304</v>
      </c>
      <c r="C933" s="16"/>
      <c r="D933" s="16" t="s">
        <v>344</v>
      </c>
      <c r="E933" s="16" t="s">
        <v>375</v>
      </c>
      <c r="F933" s="16" t="s">
        <v>333</v>
      </c>
      <c r="G933" s="17" t="n">
        <v>46293.9891435185</v>
      </c>
      <c r="H933" s="17" t="n">
        <v>46294.0592824074</v>
      </c>
      <c r="I933" s="18" t="n">
        <f aca="false">IF(H933="",ROUND((تنظیمات!$B$7-G933)*1440,0),ROUND((H933-G933)*1440,0))</f>
        <v>101</v>
      </c>
      <c r="J933" s="16" t="s">
        <v>346</v>
      </c>
      <c r="K933" s="16" t="s">
        <v>400</v>
      </c>
      <c r="L933" s="19" t="n">
        <v>0.965</v>
      </c>
      <c r="M933" s="19" t="n">
        <v>0.912</v>
      </c>
      <c r="N933" s="16" t="s">
        <v>335</v>
      </c>
      <c r="O933" s="16" t="s">
        <v>441</v>
      </c>
      <c r="P933" s="16" t="s">
        <v>651</v>
      </c>
      <c r="Q933" s="20" t="n">
        <v>46293</v>
      </c>
      <c r="R933" s="16" t="s">
        <v>3118</v>
      </c>
      <c r="S933" s="16" t="s">
        <v>404</v>
      </c>
      <c r="T933" s="17"/>
      <c r="U933" s="21" t="n">
        <v>1</v>
      </c>
      <c r="V933" s="21" t="n">
        <v>1</v>
      </c>
      <c r="W933" s="22" t="n">
        <v>6.1</v>
      </c>
      <c r="X933" s="16" t="s">
        <v>335</v>
      </c>
      <c r="Y933" s="16" t="s">
        <v>338</v>
      </c>
      <c r="Z933" s="16" t="s">
        <v>413</v>
      </c>
      <c r="AA933" s="16" t="s">
        <v>427</v>
      </c>
      <c r="AB933" s="23" t="s">
        <v>3119</v>
      </c>
      <c r="AC933" s="17" t="n">
        <v>46294.0588078704</v>
      </c>
      <c r="AD933" s="16" t="s">
        <v>338</v>
      </c>
      <c r="AE933" s="16"/>
      <c r="AF933" s="16" t="str">
        <f aca="false">IF(COUNTIF(لیست_سفید!$A$2:$A$21,B933)&gt;0,"بله","خیر")</f>
        <v>خیر</v>
      </c>
      <c r="AG933" s="24" t="n">
        <f aca="false">IF(H933="","",IF(AD933="فیش مفقودی",تنظیمات!$B$6,(INT(I933/1440)*تنظیمات!$B$5+IF(MOD(I933,1440)&lt;=تنظیمات!$B$2,0,MIN(تنظیمات!$B$5,تنظیمات!$B$3+MAX(0,ROUNDUP((MOD(I933,1440)-60)/60,0))*تنظیمات!$B$4)))*INDEX(تعرفه!$B$2:$B$7,MATCH(AD933,تعرفه!$A$2:$A$7,0))))</f>
        <v>34000</v>
      </c>
      <c r="AH933" s="24" t="n">
        <v>34000</v>
      </c>
      <c r="AI933" s="24" t="n">
        <f aca="false">IF(AG933="","",AH933-AG933)</f>
        <v>0</v>
      </c>
      <c r="AJ933" s="21" t="n">
        <v>0</v>
      </c>
      <c r="AK933" s="21" t="n">
        <v>0</v>
      </c>
      <c r="AL933" s="16" t="s">
        <v>335</v>
      </c>
      <c r="AM933" s="16"/>
      <c r="AN933" s="16" t="s">
        <v>340</v>
      </c>
      <c r="AO933" s="16" t="s">
        <v>340</v>
      </c>
      <c r="AP933" s="16" t="s">
        <v>335</v>
      </c>
      <c r="AQ933" s="16"/>
      <c r="AR933" s="21" t="n">
        <f aca="false">IF(AND(T933&lt;&gt;"",H933&lt;&gt;""),IF(AND((T933-H933)*86400&gt;=0,(T933-H933)*86400&lt;تنظیمات!$B$13),1,0),0)</f>
        <v>0</v>
      </c>
      <c r="AS933" s="21" t="n">
        <f aca="false">IF(Z933="پوز",IF(OR(AB933="",COUNTIF(پوزها!$A$2:$A$5,AA933)=0),1,0),0)</f>
        <v>0</v>
      </c>
      <c r="AT933" s="21" t="n">
        <f aca="false">IF(AI933="",0,IF(AI933&gt;0,1,0))</f>
        <v>0</v>
      </c>
      <c r="AU933" s="21" t="n">
        <f aca="false">IF(AI933="",0,IF(AI933&lt;0,1,0))</f>
        <v>0</v>
      </c>
      <c r="AV933" s="21" t="n">
        <f aca="false">IF(U933&gt;V933,1,0)</f>
        <v>0</v>
      </c>
      <c r="AW933" s="21" t="n">
        <f aca="false">IF(OR(W933&gt;تنظیمات!$B$8,X933="بله"),1,0)</f>
        <v>0</v>
      </c>
      <c r="AX933" s="21" t="n">
        <f aca="false">IF(AND(N933="بله",L933&gt;تنظیمات!$B$9),1,0)</f>
        <v>0</v>
      </c>
      <c r="AY933" s="21" t="n">
        <f aca="false">IF(Y933="معکوس",1,0)</f>
        <v>0</v>
      </c>
      <c r="AZ933" s="21" t="n">
        <f aca="false">IF(ABS(AJ933)&gt;تنظیمات!$B$10,1,0)</f>
        <v>0</v>
      </c>
      <c r="BA933" s="21" t="n">
        <f aca="false">IF(AND(OR(AD933="رایگان/VIP",AD933="جانباز"),AF933="خیر"),1,0)</f>
        <v>0</v>
      </c>
      <c r="BB933" s="21" t="n">
        <f aca="false">IF(AE933="",0,IF(COUNTIF($AE$2:$AE$1001,AE933)&gt;1,1,0))</f>
        <v>0</v>
      </c>
      <c r="BC933" s="21" t="n">
        <f aca="false">IF(AND(H933="",I933&gt;تنظیمات!$B$12*60,AM933="خالی"),1,0)</f>
        <v>0</v>
      </c>
      <c r="BD933" s="21" t="n">
        <f aca="false">IF(AND(AP933="بله",I933&lt;تنظیمات!$B$14,AO933="خیر"),1,0)</f>
        <v>0</v>
      </c>
      <c r="BE933" s="21" t="n">
        <f aca="false">IF(AN933="خیر",1,0)</f>
        <v>0</v>
      </c>
      <c r="BF933" s="21" t="n">
        <f aca="false">IF(AND(AD933="فیش مفقودی",AQ933="بله",I933&gt;تنظیمات!$B$12*60),1,0)</f>
        <v>0</v>
      </c>
      <c r="BG933" s="21" t="n">
        <f aca="false">IF(AND(AK933&gt;تنظیمات!$B$11,AL933="بله"),1,0)</f>
        <v>0</v>
      </c>
      <c r="BH933" s="21" t="n">
        <f aca="false">MIN(100,AR933*تنظیمات!$B$21+AS933*تنظیمات!$B$22+AT933*تنظیمات!$B$23+AU933*تنظیمات!$B$24+AV933*تنظیمات!$B$25+AW933*تنظیمات!$B$26+AX933*تنظیمات!$B$27+AY933*تنظیمات!$B$28+AZ933*تنظیمات!$B$29+BA933*تنظیمات!$B$30+BB933*تنظیمات!$B$31+BC933*تنظیمات!$B$32+BD933*تنظیمات!$B$33+BE933*تنظیمات!$B$34+BF933*تنظیمات!$B$35+BG933*تنظیمات!$B$36)</f>
        <v>0</v>
      </c>
      <c r="BI933" s="16" t="str">
        <f aca="false">IF(BH933&gt;=60,"بحرانی",IF(BH933&gt;=30,"مشکوک",IF(BH933&gt;0,"هشدار","عادی")))</f>
        <v>عادی</v>
      </c>
      <c r="BJ933" s="16" t="s">
        <v>338</v>
      </c>
    </row>
    <row r="934" customFormat="false" ht="15" hidden="false" customHeight="false" outlineLevel="0" collapsed="false">
      <c r="A934" s="16" t="s">
        <v>3120</v>
      </c>
      <c r="B934" s="16" t="s">
        <v>3121</v>
      </c>
      <c r="C934" s="16"/>
      <c r="D934" s="16" t="s">
        <v>350</v>
      </c>
      <c r="E934" s="16" t="s">
        <v>332</v>
      </c>
      <c r="F934" s="16" t="s">
        <v>333</v>
      </c>
      <c r="G934" s="17" t="n">
        <v>46294.0342824074</v>
      </c>
      <c r="H934" s="17" t="n">
        <v>46294.3905324074</v>
      </c>
      <c r="I934" s="18" t="n">
        <f aca="false">IF(H934="",ROUND((تنظیمات!$B$7-G934)*1440,0),ROUND((H934-G934)*1440,0))</f>
        <v>513</v>
      </c>
      <c r="J934" s="16" t="s">
        <v>346</v>
      </c>
      <c r="K934" s="16" t="s">
        <v>400</v>
      </c>
      <c r="L934" s="19" t="n">
        <v>0.91</v>
      </c>
      <c r="M934" s="19" t="n">
        <v>0.925</v>
      </c>
      <c r="N934" s="16" t="s">
        <v>335</v>
      </c>
      <c r="O934" s="16" t="s">
        <v>411</v>
      </c>
      <c r="P934" s="16" t="s">
        <v>402</v>
      </c>
      <c r="Q934" s="20" t="n">
        <v>46294</v>
      </c>
      <c r="R934" s="16" t="s">
        <v>3122</v>
      </c>
      <c r="S934" s="16" t="s">
        <v>404</v>
      </c>
      <c r="T934" s="17"/>
      <c r="U934" s="21" t="n">
        <v>1</v>
      </c>
      <c r="V934" s="21" t="n">
        <v>1</v>
      </c>
      <c r="W934" s="22" t="n">
        <v>5.7</v>
      </c>
      <c r="X934" s="16" t="s">
        <v>335</v>
      </c>
      <c r="Y934" s="16" t="s">
        <v>338</v>
      </c>
      <c r="Z934" s="16" t="s">
        <v>443</v>
      </c>
      <c r="AA934" s="16"/>
      <c r="AB934" s="23"/>
      <c r="AC934" s="17"/>
      <c r="AD934" s="16" t="s">
        <v>444</v>
      </c>
      <c r="AE934" s="16"/>
      <c r="AF934" s="16" t="str">
        <f aca="false">IF(COUNTIF(لیست_سفید!$A$2:$A$21,B934)&gt;0,"بله","خیر")</f>
        <v>خیر</v>
      </c>
      <c r="AG934" s="24" t="n">
        <f aca="false">IF(H934="","",IF(AD934="فیش مفقودی",تنظیمات!$B$6,(INT(I934/1440)*تنظیمات!$B$5+IF(MOD(I934,1440)&lt;=تنظیمات!$B$2,0,MIN(تنظیمات!$B$5,تنظیمات!$B$3+MAX(0,ROUNDUP((MOD(I934,1440)-60)/60,0))*تنظیمات!$B$4)))*INDEX(تعرفه!$B$2:$B$7,MATCH(AD934,تعرفه!$A$2:$A$7,0))))</f>
        <v>0</v>
      </c>
      <c r="AH934" s="24" t="n">
        <v>0</v>
      </c>
      <c r="AI934" s="24" t="n">
        <f aca="false">IF(AG934="","",AH934-AG934)</f>
        <v>0</v>
      </c>
      <c r="AJ934" s="21" t="n">
        <v>0</v>
      </c>
      <c r="AK934" s="21" t="n">
        <v>0</v>
      </c>
      <c r="AL934" s="16" t="s">
        <v>335</v>
      </c>
      <c r="AM934" s="16"/>
      <c r="AN934" s="16" t="s">
        <v>340</v>
      </c>
      <c r="AO934" s="16" t="s">
        <v>340</v>
      </c>
      <c r="AP934" s="16" t="s">
        <v>335</v>
      </c>
      <c r="AQ934" s="16"/>
      <c r="AR934" s="21" t="n">
        <f aca="false">IF(AND(T934&lt;&gt;"",H934&lt;&gt;""),IF(AND((T934-H934)*86400&gt;=0,(T934-H934)*86400&lt;تنظیمات!$B$13),1,0),0)</f>
        <v>0</v>
      </c>
      <c r="AS934" s="21" t="n">
        <f aca="false">IF(Z934="پوز",IF(OR(AB934="",COUNTIF(پوزها!$A$2:$A$5,AA934)=0),1,0),0)</f>
        <v>0</v>
      </c>
      <c r="AT934" s="21" t="n">
        <f aca="false">IF(AI934="",0,IF(AI934&gt;0,1,0))</f>
        <v>0</v>
      </c>
      <c r="AU934" s="21" t="n">
        <f aca="false">IF(AI934="",0,IF(AI934&lt;0,1,0))</f>
        <v>0</v>
      </c>
      <c r="AV934" s="21" t="n">
        <f aca="false">IF(U934&gt;V934,1,0)</f>
        <v>0</v>
      </c>
      <c r="AW934" s="21" t="n">
        <f aca="false">IF(OR(W934&gt;تنظیمات!$B$8,X934="بله"),1,0)</f>
        <v>0</v>
      </c>
      <c r="AX934" s="21" t="n">
        <f aca="false">IF(AND(N934="بله",L934&gt;تنظیمات!$B$9),1,0)</f>
        <v>0</v>
      </c>
      <c r="AY934" s="21" t="n">
        <f aca="false">IF(Y934="معکوس",1,0)</f>
        <v>0</v>
      </c>
      <c r="AZ934" s="21" t="n">
        <f aca="false">IF(ABS(AJ934)&gt;تنظیمات!$B$10,1,0)</f>
        <v>0</v>
      </c>
      <c r="BA934" s="21" t="n">
        <f aca="false">IF(AND(OR(AD934="رایگان/VIP",AD934="جانباز"),AF934="خیر"),1,0)</f>
        <v>0</v>
      </c>
      <c r="BB934" s="21" t="n">
        <f aca="false">IF(AE934="",0,IF(COUNTIF($AE$2:$AE$1001,AE934)&gt;1,1,0))</f>
        <v>0</v>
      </c>
      <c r="BC934" s="21" t="n">
        <f aca="false">IF(AND(H934="",I934&gt;تنظیمات!$B$12*60,AM934="خالی"),1,0)</f>
        <v>0</v>
      </c>
      <c r="BD934" s="21" t="n">
        <f aca="false">IF(AND(AP934="بله",I934&lt;تنظیمات!$B$14,AO934="خیر"),1,0)</f>
        <v>0</v>
      </c>
      <c r="BE934" s="21" t="n">
        <f aca="false">IF(AN934="خیر",1,0)</f>
        <v>0</v>
      </c>
      <c r="BF934" s="21" t="n">
        <f aca="false">IF(AND(AD934="فیش مفقودی",AQ934="بله",I934&gt;تنظیمات!$B$12*60),1,0)</f>
        <v>0</v>
      </c>
      <c r="BG934" s="21" t="n">
        <f aca="false">IF(AND(AK934&gt;تنظیمات!$B$11,AL934="بله"),1,0)</f>
        <v>0</v>
      </c>
      <c r="BH934" s="21" t="n">
        <f aca="false">MIN(100,AR934*تنظیمات!$B$21+AS934*تنظیمات!$B$22+AT934*تنظیمات!$B$23+AU934*تنظیمات!$B$24+AV934*تنظیمات!$B$25+AW934*تنظیمات!$B$26+AX934*تنظیمات!$B$27+AY934*تنظیمات!$B$28+AZ934*تنظیمات!$B$29+BA934*تنظیمات!$B$30+BB934*تنظیمات!$B$31+BC934*تنظیمات!$B$32+BD934*تنظیمات!$B$33+BE934*تنظیمات!$B$34+BF934*تنظیمات!$B$35+BG934*تنظیمات!$B$36)</f>
        <v>0</v>
      </c>
      <c r="BI934" s="16" t="str">
        <f aca="false">IF(BH934&gt;=60,"بحرانی",IF(BH934&gt;=30,"مشکوک",IF(BH934&gt;0,"هشدار","عادی")))</f>
        <v>عادی</v>
      </c>
      <c r="BJ934" s="16" t="s">
        <v>338</v>
      </c>
    </row>
    <row r="935" customFormat="false" ht="15" hidden="false" customHeight="false" outlineLevel="0" collapsed="false">
      <c r="A935" s="16" t="s">
        <v>3123</v>
      </c>
      <c r="B935" s="16" t="s">
        <v>915</v>
      </c>
      <c r="C935" s="16"/>
      <c r="D935" s="16" t="s">
        <v>374</v>
      </c>
      <c r="E935" s="16" t="s">
        <v>332</v>
      </c>
      <c r="F935" s="16" t="s">
        <v>359</v>
      </c>
      <c r="G935" s="17" t="n">
        <v>46294.076099537</v>
      </c>
      <c r="H935" s="17" t="n">
        <v>46294.2663773148</v>
      </c>
      <c r="I935" s="18" t="n">
        <f aca="false">IF(H935="",ROUND((تنظیمات!$B$7-G935)*1440,0),ROUND((H935-G935)*1440,0))</f>
        <v>274</v>
      </c>
      <c r="J935" s="16" t="s">
        <v>346</v>
      </c>
      <c r="K935" s="16" t="s">
        <v>400</v>
      </c>
      <c r="L935" s="19" t="n">
        <v>0.969</v>
      </c>
      <c r="M935" s="19" t="n">
        <v>0.93</v>
      </c>
      <c r="N935" s="16" t="s">
        <v>335</v>
      </c>
      <c r="O935" s="16" t="s">
        <v>411</v>
      </c>
      <c r="P935" s="16" t="s">
        <v>402</v>
      </c>
      <c r="Q935" s="20" t="n">
        <v>46294</v>
      </c>
      <c r="R935" s="16" t="s">
        <v>3124</v>
      </c>
      <c r="S935" s="16" t="s">
        <v>404</v>
      </c>
      <c r="T935" s="17"/>
      <c r="U935" s="21" t="n">
        <v>1</v>
      </c>
      <c r="V935" s="21" t="n">
        <v>1</v>
      </c>
      <c r="W935" s="22" t="n">
        <v>5.7</v>
      </c>
      <c r="X935" s="16" t="s">
        <v>335</v>
      </c>
      <c r="Y935" s="16" t="s">
        <v>338</v>
      </c>
      <c r="Z935" s="16" t="s">
        <v>413</v>
      </c>
      <c r="AA935" s="16" t="s">
        <v>427</v>
      </c>
      <c r="AB935" s="23" t="s">
        <v>3125</v>
      </c>
      <c r="AC935" s="17" t="n">
        <v>46294.2657523148</v>
      </c>
      <c r="AD935" s="16" t="s">
        <v>338</v>
      </c>
      <c r="AE935" s="16"/>
      <c r="AF935" s="16" t="str">
        <f aca="false">IF(COUNTIF(لیست_سفید!$A$2:$A$21,B935)&gt;0,"بله","خیر")</f>
        <v>خیر</v>
      </c>
      <c r="AG935" s="24" t="n">
        <f aca="false">IF(H935="","",IF(AD935="فیش مفقودی",تنظیمات!$B$6,(INT(I935/1440)*تنظیمات!$B$5+IF(MOD(I935,1440)&lt;=تنظیمات!$B$2,0,MIN(تنظیمات!$B$5,تنظیمات!$B$3+MAX(0,ROUNDUP((MOD(I935,1440)-60)/60,0))*تنظیمات!$B$4)))*INDEX(تعرفه!$B$2:$B$7,MATCH(AD935,تعرفه!$A$2:$A$7,0))))</f>
        <v>76000</v>
      </c>
      <c r="AH935" s="24" t="n">
        <v>76000</v>
      </c>
      <c r="AI935" s="24" t="n">
        <f aca="false">IF(AG935="","",AH935-AG935)</f>
        <v>0</v>
      </c>
      <c r="AJ935" s="21" t="n">
        <v>5</v>
      </c>
      <c r="AK935" s="21" t="n">
        <v>0</v>
      </c>
      <c r="AL935" s="16" t="s">
        <v>335</v>
      </c>
      <c r="AM935" s="16"/>
      <c r="AN935" s="16" t="s">
        <v>340</v>
      </c>
      <c r="AO935" s="16" t="s">
        <v>340</v>
      </c>
      <c r="AP935" s="16" t="s">
        <v>335</v>
      </c>
      <c r="AQ935" s="16"/>
      <c r="AR935" s="21" t="n">
        <f aca="false">IF(AND(T935&lt;&gt;"",H935&lt;&gt;""),IF(AND((T935-H935)*86400&gt;=0,(T935-H935)*86400&lt;تنظیمات!$B$13),1,0),0)</f>
        <v>0</v>
      </c>
      <c r="AS935" s="21" t="n">
        <f aca="false">IF(Z935="پوز",IF(OR(AB935="",COUNTIF(پوزها!$A$2:$A$5,AA935)=0),1,0),0)</f>
        <v>0</v>
      </c>
      <c r="AT935" s="21" t="n">
        <f aca="false">IF(AI935="",0,IF(AI935&gt;0,1,0))</f>
        <v>0</v>
      </c>
      <c r="AU935" s="21" t="n">
        <f aca="false">IF(AI935="",0,IF(AI935&lt;0,1,0))</f>
        <v>0</v>
      </c>
      <c r="AV935" s="21" t="n">
        <f aca="false">IF(U935&gt;V935,1,0)</f>
        <v>0</v>
      </c>
      <c r="AW935" s="21" t="n">
        <f aca="false">IF(OR(W935&gt;تنظیمات!$B$8,X935="بله"),1,0)</f>
        <v>0</v>
      </c>
      <c r="AX935" s="21" t="n">
        <f aca="false">IF(AND(N935="بله",L935&gt;تنظیمات!$B$9),1,0)</f>
        <v>0</v>
      </c>
      <c r="AY935" s="21" t="n">
        <f aca="false">IF(Y935="معکوس",1,0)</f>
        <v>0</v>
      </c>
      <c r="AZ935" s="21" t="n">
        <f aca="false">IF(ABS(AJ935)&gt;تنظیمات!$B$10,1,0)</f>
        <v>0</v>
      </c>
      <c r="BA935" s="21" t="n">
        <f aca="false">IF(AND(OR(AD935="رایگان/VIP",AD935="جانباز"),AF935="خیر"),1,0)</f>
        <v>0</v>
      </c>
      <c r="BB935" s="21" t="n">
        <f aca="false">IF(AE935="",0,IF(COUNTIF($AE$2:$AE$1001,AE935)&gt;1,1,0))</f>
        <v>0</v>
      </c>
      <c r="BC935" s="21" t="n">
        <f aca="false">IF(AND(H935="",I935&gt;تنظیمات!$B$12*60,AM935="خالی"),1,0)</f>
        <v>0</v>
      </c>
      <c r="BD935" s="21" t="n">
        <f aca="false">IF(AND(AP935="بله",I935&lt;تنظیمات!$B$14,AO935="خیر"),1,0)</f>
        <v>0</v>
      </c>
      <c r="BE935" s="21" t="n">
        <f aca="false">IF(AN935="خیر",1,0)</f>
        <v>0</v>
      </c>
      <c r="BF935" s="21" t="n">
        <f aca="false">IF(AND(AD935="فیش مفقودی",AQ935="بله",I935&gt;تنظیمات!$B$12*60),1,0)</f>
        <v>0</v>
      </c>
      <c r="BG935" s="21" t="n">
        <f aca="false">IF(AND(AK935&gt;تنظیمات!$B$11,AL935="بله"),1,0)</f>
        <v>0</v>
      </c>
      <c r="BH935" s="21" t="n">
        <f aca="false">MIN(100,AR935*تنظیمات!$B$21+AS935*تنظیمات!$B$22+AT935*تنظیمات!$B$23+AU935*تنظیمات!$B$24+AV935*تنظیمات!$B$25+AW935*تنظیمات!$B$26+AX935*تنظیمات!$B$27+AY935*تنظیمات!$B$28+AZ935*تنظیمات!$B$29+BA935*تنظیمات!$B$30+BB935*تنظیمات!$B$31+BC935*تنظیمات!$B$32+BD935*تنظیمات!$B$33+BE935*تنظیمات!$B$34+BF935*تنظیمات!$B$35+BG935*تنظیمات!$B$36)</f>
        <v>0</v>
      </c>
      <c r="BI935" s="16" t="str">
        <f aca="false">IF(BH935&gt;=60,"بحرانی",IF(BH935&gt;=30,"مشکوک",IF(BH935&gt;0,"هشدار","عادی")))</f>
        <v>عادی</v>
      </c>
      <c r="BJ935" s="16" t="s">
        <v>338</v>
      </c>
    </row>
    <row r="936" customFormat="false" ht="15" hidden="false" customHeight="false" outlineLevel="0" collapsed="false">
      <c r="A936" s="16" t="s">
        <v>3126</v>
      </c>
      <c r="B936" s="16" t="s">
        <v>2759</v>
      </c>
      <c r="C936" s="16"/>
      <c r="D936" s="16" t="s">
        <v>374</v>
      </c>
      <c r="E936" s="16" t="s">
        <v>345</v>
      </c>
      <c r="F936" s="16" t="s">
        <v>359</v>
      </c>
      <c r="G936" s="17" t="n">
        <v>46294.0771759259</v>
      </c>
      <c r="H936" s="17" t="n">
        <v>46294.4153703704</v>
      </c>
      <c r="I936" s="18" t="n">
        <f aca="false">IF(H936="",ROUND((تنظیمات!$B$7-G936)*1440,0),ROUND((H936-G936)*1440,0))</f>
        <v>487</v>
      </c>
      <c r="J936" s="16" t="s">
        <v>334</v>
      </c>
      <c r="K936" s="16" t="s">
        <v>410</v>
      </c>
      <c r="L936" s="19" t="n">
        <v>0.933</v>
      </c>
      <c r="M936" s="19" t="n">
        <v>0.976</v>
      </c>
      <c r="N936" s="16" t="s">
        <v>335</v>
      </c>
      <c r="O936" s="16" t="s">
        <v>401</v>
      </c>
      <c r="P936" s="16" t="s">
        <v>402</v>
      </c>
      <c r="Q936" s="20" t="n">
        <v>46294</v>
      </c>
      <c r="R936" s="16" t="s">
        <v>3127</v>
      </c>
      <c r="S936" s="16" t="s">
        <v>404</v>
      </c>
      <c r="T936" s="17"/>
      <c r="U936" s="21" t="n">
        <v>1</v>
      </c>
      <c r="V936" s="21" t="n">
        <v>1</v>
      </c>
      <c r="W936" s="22" t="n">
        <v>4.1</v>
      </c>
      <c r="X936" s="16" t="s">
        <v>335</v>
      </c>
      <c r="Y936" s="16" t="s">
        <v>338</v>
      </c>
      <c r="Z936" s="16" t="s">
        <v>443</v>
      </c>
      <c r="AA936" s="16"/>
      <c r="AB936" s="23"/>
      <c r="AC936" s="17"/>
      <c r="AD936" s="16" t="s">
        <v>444</v>
      </c>
      <c r="AE936" s="16"/>
      <c r="AF936" s="16" t="str">
        <f aca="false">IF(COUNTIF(لیست_سفید!$A$2:$A$21,B936)&gt;0,"بله","خیر")</f>
        <v>خیر</v>
      </c>
      <c r="AG936" s="24" t="n">
        <f aca="false">IF(H936="","",IF(AD936="فیش مفقودی",تنظیمات!$B$6,(INT(I936/1440)*تنظیمات!$B$5+IF(MOD(I936,1440)&lt;=تنظیمات!$B$2,0,MIN(تنظیمات!$B$5,تنظیمات!$B$3+MAX(0,ROUNDUP((MOD(I936,1440)-60)/60,0))*تنظیمات!$B$4)))*INDEX(تعرفه!$B$2:$B$7,MATCH(AD936,تعرفه!$A$2:$A$7,0))))</f>
        <v>0</v>
      </c>
      <c r="AH936" s="24" t="n">
        <v>0</v>
      </c>
      <c r="AI936" s="24" t="n">
        <f aca="false">IF(AG936="","",AH936-AG936)</f>
        <v>0</v>
      </c>
      <c r="AJ936" s="21" t="n">
        <v>2</v>
      </c>
      <c r="AK936" s="21" t="n">
        <v>0</v>
      </c>
      <c r="AL936" s="16" t="s">
        <v>335</v>
      </c>
      <c r="AM936" s="16"/>
      <c r="AN936" s="16" t="s">
        <v>340</v>
      </c>
      <c r="AO936" s="16" t="s">
        <v>340</v>
      </c>
      <c r="AP936" s="16" t="s">
        <v>335</v>
      </c>
      <c r="AQ936" s="16"/>
      <c r="AR936" s="21" t="n">
        <f aca="false">IF(AND(T936&lt;&gt;"",H936&lt;&gt;""),IF(AND((T936-H936)*86400&gt;=0,(T936-H936)*86400&lt;تنظیمات!$B$13),1,0),0)</f>
        <v>0</v>
      </c>
      <c r="AS936" s="21" t="n">
        <f aca="false">IF(Z936="پوز",IF(OR(AB936="",COUNTIF(پوزها!$A$2:$A$5,AA936)=0),1,0),0)</f>
        <v>0</v>
      </c>
      <c r="AT936" s="21" t="n">
        <f aca="false">IF(AI936="",0,IF(AI936&gt;0,1,0))</f>
        <v>0</v>
      </c>
      <c r="AU936" s="21" t="n">
        <f aca="false">IF(AI936="",0,IF(AI936&lt;0,1,0))</f>
        <v>0</v>
      </c>
      <c r="AV936" s="21" t="n">
        <f aca="false">IF(U936&gt;V936,1,0)</f>
        <v>0</v>
      </c>
      <c r="AW936" s="21" t="n">
        <f aca="false">IF(OR(W936&gt;تنظیمات!$B$8,X936="بله"),1,0)</f>
        <v>0</v>
      </c>
      <c r="AX936" s="21" t="n">
        <f aca="false">IF(AND(N936="بله",L936&gt;تنظیمات!$B$9),1,0)</f>
        <v>0</v>
      </c>
      <c r="AY936" s="21" t="n">
        <f aca="false">IF(Y936="معکوس",1,0)</f>
        <v>0</v>
      </c>
      <c r="AZ936" s="21" t="n">
        <f aca="false">IF(ABS(AJ936)&gt;تنظیمات!$B$10,1,0)</f>
        <v>0</v>
      </c>
      <c r="BA936" s="21" t="n">
        <f aca="false">IF(AND(OR(AD936="رایگان/VIP",AD936="جانباز"),AF936="خیر"),1,0)</f>
        <v>0</v>
      </c>
      <c r="BB936" s="21" t="n">
        <f aca="false">IF(AE936="",0,IF(COUNTIF($AE$2:$AE$1001,AE936)&gt;1,1,0))</f>
        <v>0</v>
      </c>
      <c r="BC936" s="21" t="n">
        <f aca="false">IF(AND(H936="",I936&gt;تنظیمات!$B$12*60,AM936="خالی"),1,0)</f>
        <v>0</v>
      </c>
      <c r="BD936" s="21" t="n">
        <f aca="false">IF(AND(AP936="بله",I936&lt;تنظیمات!$B$14,AO936="خیر"),1,0)</f>
        <v>0</v>
      </c>
      <c r="BE936" s="21" t="n">
        <f aca="false">IF(AN936="خیر",1,0)</f>
        <v>0</v>
      </c>
      <c r="BF936" s="21" t="n">
        <f aca="false">IF(AND(AD936="فیش مفقودی",AQ936="بله",I936&gt;تنظیمات!$B$12*60),1,0)</f>
        <v>0</v>
      </c>
      <c r="BG936" s="21" t="n">
        <f aca="false">IF(AND(AK936&gt;تنظیمات!$B$11,AL936="بله"),1,0)</f>
        <v>0</v>
      </c>
      <c r="BH936" s="21" t="n">
        <f aca="false">MIN(100,AR936*تنظیمات!$B$21+AS936*تنظیمات!$B$22+AT936*تنظیمات!$B$23+AU936*تنظیمات!$B$24+AV936*تنظیمات!$B$25+AW936*تنظیمات!$B$26+AX936*تنظیمات!$B$27+AY936*تنظیمات!$B$28+AZ936*تنظیمات!$B$29+BA936*تنظیمات!$B$30+BB936*تنظیمات!$B$31+BC936*تنظیمات!$B$32+BD936*تنظیمات!$B$33+BE936*تنظیمات!$B$34+BF936*تنظیمات!$B$35+BG936*تنظیمات!$B$36)</f>
        <v>0</v>
      </c>
      <c r="BI936" s="16" t="str">
        <f aca="false">IF(BH936&gt;=60,"بحرانی",IF(BH936&gt;=30,"مشکوک",IF(BH936&gt;0,"هشدار","عادی")))</f>
        <v>عادی</v>
      </c>
      <c r="BJ936" s="16" t="s">
        <v>338</v>
      </c>
    </row>
    <row r="937" customFormat="false" ht="15" hidden="false" customHeight="false" outlineLevel="0" collapsed="false">
      <c r="A937" s="16" t="s">
        <v>3128</v>
      </c>
      <c r="B937" s="16" t="s">
        <v>3121</v>
      </c>
      <c r="C937" s="16"/>
      <c r="D937" s="16" t="s">
        <v>350</v>
      </c>
      <c r="E937" s="16" t="s">
        <v>332</v>
      </c>
      <c r="F937" s="16" t="s">
        <v>333</v>
      </c>
      <c r="G937" s="17" t="n">
        <v>46294.1507291667</v>
      </c>
      <c r="H937" s="17" t="n">
        <v>46294.5576736111</v>
      </c>
      <c r="I937" s="18" t="n">
        <f aca="false">IF(H937="",ROUND((تنظیمات!$B$7-G937)*1440,0),ROUND((H937-G937)*1440,0))</f>
        <v>586</v>
      </c>
      <c r="J937" s="16" t="s">
        <v>346</v>
      </c>
      <c r="K937" s="16" t="s">
        <v>410</v>
      </c>
      <c r="L937" s="19" t="n">
        <v>0.958</v>
      </c>
      <c r="M937" s="19" t="n">
        <v>0.96</v>
      </c>
      <c r="N937" s="16" t="s">
        <v>335</v>
      </c>
      <c r="O937" s="16" t="s">
        <v>401</v>
      </c>
      <c r="P937" s="16" t="s">
        <v>402</v>
      </c>
      <c r="Q937" s="20" t="n">
        <v>46294</v>
      </c>
      <c r="R937" s="16" t="s">
        <v>3129</v>
      </c>
      <c r="S937" s="16" t="s">
        <v>404</v>
      </c>
      <c r="T937" s="17"/>
      <c r="U937" s="21" t="n">
        <v>1</v>
      </c>
      <c r="V937" s="21" t="n">
        <v>1</v>
      </c>
      <c r="W937" s="22" t="n">
        <v>6.7</v>
      </c>
      <c r="X937" s="16" t="s">
        <v>335</v>
      </c>
      <c r="Y937" s="16" t="s">
        <v>338</v>
      </c>
      <c r="Z937" s="16" t="s">
        <v>443</v>
      </c>
      <c r="AA937" s="16"/>
      <c r="AB937" s="23"/>
      <c r="AC937" s="17"/>
      <c r="AD937" s="16" t="s">
        <v>444</v>
      </c>
      <c r="AE937" s="16"/>
      <c r="AF937" s="16" t="str">
        <f aca="false">IF(COUNTIF(لیست_سفید!$A$2:$A$21,B937)&gt;0,"بله","خیر")</f>
        <v>خیر</v>
      </c>
      <c r="AG937" s="24" t="n">
        <f aca="false">IF(H937="","",IF(AD937="فیش مفقودی",تنظیمات!$B$6,(INT(I937/1440)*تنظیمات!$B$5+IF(MOD(I937,1440)&lt;=تنظیمات!$B$2,0,MIN(تنظیمات!$B$5,تنظیمات!$B$3+MAX(0,ROUNDUP((MOD(I937,1440)-60)/60,0))*تنظیمات!$B$4)))*INDEX(تعرفه!$B$2:$B$7,MATCH(AD937,تعرفه!$A$2:$A$7,0))))</f>
        <v>0</v>
      </c>
      <c r="AH937" s="24" t="n">
        <v>0</v>
      </c>
      <c r="AI937" s="24" t="n">
        <f aca="false">IF(AG937="","",AH937-AG937)</f>
        <v>0</v>
      </c>
      <c r="AJ937" s="21" t="n">
        <v>0</v>
      </c>
      <c r="AK937" s="21" t="n">
        <v>0</v>
      </c>
      <c r="AL937" s="16" t="s">
        <v>335</v>
      </c>
      <c r="AM937" s="16"/>
      <c r="AN937" s="16" t="s">
        <v>340</v>
      </c>
      <c r="AO937" s="16" t="s">
        <v>340</v>
      </c>
      <c r="AP937" s="16" t="s">
        <v>335</v>
      </c>
      <c r="AQ937" s="16"/>
      <c r="AR937" s="21" t="n">
        <f aca="false">IF(AND(T937&lt;&gt;"",H937&lt;&gt;""),IF(AND((T937-H937)*86400&gt;=0,(T937-H937)*86400&lt;تنظیمات!$B$13),1,0),0)</f>
        <v>0</v>
      </c>
      <c r="AS937" s="21" t="n">
        <f aca="false">IF(Z937="پوز",IF(OR(AB937="",COUNTIF(پوزها!$A$2:$A$5,AA937)=0),1,0),0)</f>
        <v>0</v>
      </c>
      <c r="AT937" s="21" t="n">
        <f aca="false">IF(AI937="",0,IF(AI937&gt;0,1,0))</f>
        <v>0</v>
      </c>
      <c r="AU937" s="21" t="n">
        <f aca="false">IF(AI937="",0,IF(AI937&lt;0,1,0))</f>
        <v>0</v>
      </c>
      <c r="AV937" s="21" t="n">
        <f aca="false">IF(U937&gt;V937,1,0)</f>
        <v>0</v>
      </c>
      <c r="AW937" s="21" t="n">
        <f aca="false">IF(OR(W937&gt;تنظیمات!$B$8,X937="بله"),1,0)</f>
        <v>0</v>
      </c>
      <c r="AX937" s="21" t="n">
        <f aca="false">IF(AND(N937="بله",L937&gt;تنظیمات!$B$9),1,0)</f>
        <v>0</v>
      </c>
      <c r="AY937" s="21" t="n">
        <f aca="false">IF(Y937="معکوس",1,0)</f>
        <v>0</v>
      </c>
      <c r="AZ937" s="21" t="n">
        <f aca="false">IF(ABS(AJ937)&gt;تنظیمات!$B$10,1,0)</f>
        <v>0</v>
      </c>
      <c r="BA937" s="21" t="n">
        <f aca="false">IF(AND(OR(AD937="رایگان/VIP",AD937="جانباز"),AF937="خیر"),1,0)</f>
        <v>0</v>
      </c>
      <c r="BB937" s="21" t="n">
        <f aca="false">IF(AE937="",0,IF(COUNTIF($AE$2:$AE$1001,AE937)&gt;1,1,0))</f>
        <v>0</v>
      </c>
      <c r="BC937" s="21" t="n">
        <f aca="false">IF(AND(H937="",I937&gt;تنظیمات!$B$12*60,AM937="خالی"),1,0)</f>
        <v>0</v>
      </c>
      <c r="BD937" s="21" t="n">
        <f aca="false">IF(AND(AP937="بله",I937&lt;تنظیمات!$B$14,AO937="خیر"),1,0)</f>
        <v>0</v>
      </c>
      <c r="BE937" s="21" t="n">
        <f aca="false">IF(AN937="خیر",1,0)</f>
        <v>0</v>
      </c>
      <c r="BF937" s="21" t="n">
        <f aca="false">IF(AND(AD937="فیش مفقودی",AQ937="بله",I937&gt;تنظیمات!$B$12*60),1,0)</f>
        <v>0</v>
      </c>
      <c r="BG937" s="21" t="n">
        <f aca="false">IF(AND(AK937&gt;تنظیمات!$B$11,AL937="بله"),1,0)</f>
        <v>0</v>
      </c>
      <c r="BH937" s="21" t="n">
        <f aca="false">MIN(100,AR937*تنظیمات!$B$21+AS937*تنظیمات!$B$22+AT937*تنظیمات!$B$23+AU937*تنظیمات!$B$24+AV937*تنظیمات!$B$25+AW937*تنظیمات!$B$26+AX937*تنظیمات!$B$27+AY937*تنظیمات!$B$28+AZ937*تنظیمات!$B$29+BA937*تنظیمات!$B$30+BB937*تنظیمات!$B$31+BC937*تنظیمات!$B$32+BD937*تنظیمات!$B$33+BE937*تنظیمات!$B$34+BF937*تنظیمات!$B$35+BG937*تنظیمات!$B$36)</f>
        <v>0</v>
      </c>
      <c r="BI937" s="16" t="str">
        <f aca="false">IF(BH937&gt;=60,"بحرانی",IF(BH937&gt;=30,"مشکوک",IF(BH937&gt;0,"هشدار","عادی")))</f>
        <v>عادی</v>
      </c>
      <c r="BJ937" s="16" t="s">
        <v>338</v>
      </c>
    </row>
    <row r="938" customFormat="false" ht="15" hidden="false" customHeight="false" outlineLevel="0" collapsed="false">
      <c r="A938" s="16" t="s">
        <v>3130</v>
      </c>
      <c r="B938" s="16" t="s">
        <v>705</v>
      </c>
      <c r="C938" s="16"/>
      <c r="D938" s="16" t="s">
        <v>418</v>
      </c>
      <c r="E938" s="16" t="s">
        <v>345</v>
      </c>
      <c r="F938" s="16" t="s">
        <v>333</v>
      </c>
      <c r="G938" s="17" t="n">
        <v>46294.2066319444</v>
      </c>
      <c r="H938" s="17" t="n">
        <v>46294.3559375</v>
      </c>
      <c r="I938" s="18" t="n">
        <f aca="false">IF(H938="",ROUND((تنظیمات!$B$7-G938)*1440,0),ROUND((H938-G938)*1440,0))</f>
        <v>215</v>
      </c>
      <c r="J938" s="16" t="s">
        <v>346</v>
      </c>
      <c r="K938" s="16" t="s">
        <v>410</v>
      </c>
      <c r="L938" s="19" t="n">
        <v>0.936</v>
      </c>
      <c r="M938" s="19" t="n">
        <v>0.893</v>
      </c>
      <c r="N938" s="16" t="s">
        <v>335</v>
      </c>
      <c r="O938" s="16" t="s">
        <v>401</v>
      </c>
      <c r="P938" s="16" t="s">
        <v>402</v>
      </c>
      <c r="Q938" s="20" t="n">
        <v>46294</v>
      </c>
      <c r="R938" s="16" t="s">
        <v>3131</v>
      </c>
      <c r="S938" s="16" t="s">
        <v>404</v>
      </c>
      <c r="T938" s="17"/>
      <c r="U938" s="21" t="n">
        <v>1</v>
      </c>
      <c r="V938" s="21" t="n">
        <v>1</v>
      </c>
      <c r="W938" s="22" t="n">
        <v>4.5</v>
      </c>
      <c r="X938" s="16" t="s">
        <v>335</v>
      </c>
      <c r="Y938" s="16" t="s">
        <v>338</v>
      </c>
      <c r="Z938" s="16" t="s">
        <v>405</v>
      </c>
      <c r="AA938" s="16"/>
      <c r="AB938" s="23"/>
      <c r="AC938" s="17"/>
      <c r="AD938" s="16" t="s">
        <v>338</v>
      </c>
      <c r="AE938" s="16"/>
      <c r="AF938" s="16" t="str">
        <f aca="false">IF(COUNTIF(لیست_سفید!$A$2:$A$21,B938)&gt;0,"بله","خیر")</f>
        <v>خیر</v>
      </c>
      <c r="AG938" s="24" t="n">
        <f aca="false">IF(H938="","",IF(AD938="فیش مفقودی",تنظیمات!$B$6,(INT(I938/1440)*تنظیمات!$B$5+IF(MOD(I938,1440)&lt;=تنظیمات!$B$2,0,MIN(تنظیمات!$B$5,تنظیمات!$B$3+MAX(0,ROUNDUP((MOD(I938,1440)-60)/60,0))*تنظیمات!$B$4)))*INDEX(تعرفه!$B$2:$B$7,MATCH(AD938,تعرفه!$A$2:$A$7,0))))</f>
        <v>62000</v>
      </c>
      <c r="AH938" s="24" t="n">
        <v>27000</v>
      </c>
      <c r="AI938" s="24" t="n">
        <f aca="false">IF(AG938="","",AH938-AG938)</f>
        <v>-35000</v>
      </c>
      <c r="AJ938" s="21" t="n">
        <v>2</v>
      </c>
      <c r="AK938" s="21" t="n">
        <v>0</v>
      </c>
      <c r="AL938" s="16" t="s">
        <v>335</v>
      </c>
      <c r="AM938" s="16"/>
      <c r="AN938" s="16" t="s">
        <v>340</v>
      </c>
      <c r="AO938" s="16" t="s">
        <v>340</v>
      </c>
      <c r="AP938" s="16" t="s">
        <v>335</v>
      </c>
      <c r="AQ938" s="16"/>
      <c r="AR938" s="21" t="n">
        <f aca="false">IF(AND(T938&lt;&gt;"",H938&lt;&gt;""),IF(AND((T938-H938)*86400&gt;=0,(T938-H938)*86400&lt;تنظیمات!$B$13),1,0),0)</f>
        <v>0</v>
      </c>
      <c r="AS938" s="21" t="n">
        <f aca="false">IF(Z938="پوز",IF(OR(AB938="",COUNTIF(پوزها!$A$2:$A$5,AA938)=0),1,0),0)</f>
        <v>0</v>
      </c>
      <c r="AT938" s="21" t="n">
        <f aca="false">IF(AI938="",0,IF(AI938&gt;0,1,0))</f>
        <v>0</v>
      </c>
      <c r="AU938" s="21" t="n">
        <f aca="false">IF(AI938="",0,IF(AI938&lt;0,1,0))</f>
        <v>1</v>
      </c>
      <c r="AV938" s="21" t="n">
        <f aca="false">IF(U938&gt;V938,1,0)</f>
        <v>0</v>
      </c>
      <c r="AW938" s="21" t="n">
        <f aca="false">IF(OR(W938&gt;تنظیمات!$B$8,X938="بله"),1,0)</f>
        <v>0</v>
      </c>
      <c r="AX938" s="21" t="n">
        <f aca="false">IF(AND(N938="بله",L938&gt;تنظیمات!$B$9),1,0)</f>
        <v>0</v>
      </c>
      <c r="AY938" s="21" t="n">
        <f aca="false">IF(Y938="معکوس",1,0)</f>
        <v>0</v>
      </c>
      <c r="AZ938" s="21" t="n">
        <f aca="false">IF(ABS(AJ938)&gt;تنظیمات!$B$10,1,0)</f>
        <v>0</v>
      </c>
      <c r="BA938" s="21" t="n">
        <f aca="false">IF(AND(OR(AD938="رایگان/VIP",AD938="جانباز"),AF938="خیر"),1,0)</f>
        <v>0</v>
      </c>
      <c r="BB938" s="21" t="n">
        <f aca="false">IF(AE938="",0,IF(COUNTIF($AE$2:$AE$1001,AE938)&gt;1,1,0))</f>
        <v>0</v>
      </c>
      <c r="BC938" s="21" t="n">
        <f aca="false">IF(AND(H938="",I938&gt;تنظیمات!$B$12*60,AM938="خالی"),1,0)</f>
        <v>0</v>
      </c>
      <c r="BD938" s="21" t="n">
        <f aca="false">IF(AND(AP938="بله",I938&lt;تنظیمات!$B$14,AO938="خیر"),1,0)</f>
        <v>0</v>
      </c>
      <c r="BE938" s="21" t="n">
        <f aca="false">IF(AN938="خیر",1,0)</f>
        <v>0</v>
      </c>
      <c r="BF938" s="21" t="n">
        <f aca="false">IF(AND(AD938="فیش مفقودی",AQ938="بله",I938&gt;تنظیمات!$B$12*60),1,0)</f>
        <v>0</v>
      </c>
      <c r="BG938" s="21" t="n">
        <f aca="false">IF(AND(AK938&gt;تنظیمات!$B$11,AL938="بله"),1,0)</f>
        <v>0</v>
      </c>
      <c r="BH938" s="21" t="n">
        <f aca="false">MIN(100,AR938*تنظیمات!$B$21+AS938*تنظیمات!$B$22+AT938*تنظیمات!$B$23+AU938*تنظیمات!$B$24+AV938*تنظیمات!$B$25+AW938*تنظیمات!$B$26+AX938*تنظیمات!$B$27+AY938*تنظیمات!$B$28+AZ938*تنظیمات!$B$29+BA938*تنظیمات!$B$30+BB938*تنظیمات!$B$31+BC938*تنظیمات!$B$32+BD938*تنظیمات!$B$33+BE938*تنظیمات!$B$34+BF938*تنظیمات!$B$35+BG938*تنظیمات!$B$36)</f>
        <v>25</v>
      </c>
      <c r="BI938" s="16" t="str">
        <f aca="false">IF(BH938&gt;=60,"بحرانی",IF(BH938&gt;=30,"مشکوک",IF(BH938&gt;0,"هشدار","عادی")))</f>
        <v>هشدار</v>
      </c>
      <c r="BJ938" s="16" t="s">
        <v>610</v>
      </c>
    </row>
    <row r="939" customFormat="false" ht="15" hidden="false" customHeight="false" outlineLevel="0" collapsed="false">
      <c r="A939" s="16" t="s">
        <v>3132</v>
      </c>
      <c r="B939" s="16" t="s">
        <v>718</v>
      </c>
      <c r="C939" s="16"/>
      <c r="D939" s="16" t="s">
        <v>418</v>
      </c>
      <c r="E939" s="16" t="s">
        <v>390</v>
      </c>
      <c r="F939" s="16" t="s">
        <v>333</v>
      </c>
      <c r="G939" s="17" t="n">
        <v>46294.2082523148</v>
      </c>
      <c r="H939" s="17" t="n">
        <v>46294.3693634259</v>
      </c>
      <c r="I939" s="18" t="n">
        <f aca="false">IF(H939="",ROUND((تنظیمات!$B$7-G939)*1440,0),ROUND((H939-G939)*1440,0))</f>
        <v>232</v>
      </c>
      <c r="J939" s="16" t="s">
        <v>346</v>
      </c>
      <c r="K939" s="16" t="s">
        <v>400</v>
      </c>
      <c r="L939" s="19" t="n">
        <v>0.965</v>
      </c>
      <c r="M939" s="19" t="n">
        <v>0.934</v>
      </c>
      <c r="N939" s="16" t="s">
        <v>335</v>
      </c>
      <c r="O939" s="16" t="s">
        <v>411</v>
      </c>
      <c r="P939" s="16" t="s">
        <v>402</v>
      </c>
      <c r="Q939" s="20" t="n">
        <v>46294</v>
      </c>
      <c r="R939" s="16" t="s">
        <v>3133</v>
      </c>
      <c r="S939" s="16" t="s">
        <v>404</v>
      </c>
      <c r="T939" s="17"/>
      <c r="U939" s="21" t="n">
        <v>1</v>
      </c>
      <c r="V939" s="21" t="n">
        <v>1</v>
      </c>
      <c r="W939" s="22" t="n">
        <v>5.1</v>
      </c>
      <c r="X939" s="16" t="s">
        <v>335</v>
      </c>
      <c r="Y939" s="16" t="s">
        <v>338</v>
      </c>
      <c r="Z939" s="16" t="s">
        <v>413</v>
      </c>
      <c r="AA939" s="16" t="s">
        <v>427</v>
      </c>
      <c r="AB939" s="23" t="s">
        <v>3134</v>
      </c>
      <c r="AC939" s="17" t="n">
        <v>46294.3683449074</v>
      </c>
      <c r="AD939" s="16" t="s">
        <v>338</v>
      </c>
      <c r="AE939" s="16"/>
      <c r="AF939" s="16" t="str">
        <f aca="false">IF(COUNTIF(لیست_سفید!$A$2:$A$21,B939)&gt;0,"بله","خیر")</f>
        <v>خیر</v>
      </c>
      <c r="AG939" s="24" t="n">
        <f aca="false">IF(H939="","",IF(AD939="فیش مفقودی",تنظیمات!$B$6,(INT(I939/1440)*تنظیمات!$B$5+IF(MOD(I939,1440)&lt;=تنظیمات!$B$2,0,MIN(تنظیمات!$B$5,تنظیمات!$B$3+MAX(0,ROUNDUP((MOD(I939,1440)-60)/60,0))*تنظیمات!$B$4)))*INDEX(تعرفه!$B$2:$B$7,MATCH(AD939,تعرفه!$A$2:$A$7,0))))</f>
        <v>62000</v>
      </c>
      <c r="AH939" s="24" t="n">
        <v>62000</v>
      </c>
      <c r="AI939" s="24" t="n">
        <f aca="false">IF(AG939="","",AH939-AG939)</f>
        <v>0</v>
      </c>
      <c r="AJ939" s="21" t="n">
        <v>0</v>
      </c>
      <c r="AK939" s="21" t="n">
        <v>0</v>
      </c>
      <c r="AL939" s="16" t="s">
        <v>335</v>
      </c>
      <c r="AM939" s="16"/>
      <c r="AN939" s="16" t="s">
        <v>340</v>
      </c>
      <c r="AO939" s="16" t="s">
        <v>340</v>
      </c>
      <c r="AP939" s="16" t="s">
        <v>335</v>
      </c>
      <c r="AQ939" s="16"/>
      <c r="AR939" s="21" t="n">
        <f aca="false">IF(AND(T939&lt;&gt;"",H939&lt;&gt;""),IF(AND((T939-H939)*86400&gt;=0,(T939-H939)*86400&lt;تنظیمات!$B$13),1,0),0)</f>
        <v>0</v>
      </c>
      <c r="AS939" s="21" t="n">
        <f aca="false">IF(Z939="پوز",IF(OR(AB939="",COUNTIF(پوزها!$A$2:$A$5,AA939)=0),1,0),0)</f>
        <v>0</v>
      </c>
      <c r="AT939" s="21" t="n">
        <f aca="false">IF(AI939="",0,IF(AI939&gt;0,1,0))</f>
        <v>0</v>
      </c>
      <c r="AU939" s="21" t="n">
        <f aca="false">IF(AI939="",0,IF(AI939&lt;0,1,0))</f>
        <v>0</v>
      </c>
      <c r="AV939" s="21" t="n">
        <f aca="false">IF(U939&gt;V939,1,0)</f>
        <v>0</v>
      </c>
      <c r="AW939" s="21" t="n">
        <f aca="false">IF(OR(W939&gt;تنظیمات!$B$8,X939="بله"),1,0)</f>
        <v>0</v>
      </c>
      <c r="AX939" s="21" t="n">
        <f aca="false">IF(AND(N939="بله",L939&gt;تنظیمات!$B$9),1,0)</f>
        <v>0</v>
      </c>
      <c r="AY939" s="21" t="n">
        <f aca="false">IF(Y939="معکوس",1,0)</f>
        <v>0</v>
      </c>
      <c r="AZ939" s="21" t="n">
        <f aca="false">IF(ABS(AJ939)&gt;تنظیمات!$B$10,1,0)</f>
        <v>0</v>
      </c>
      <c r="BA939" s="21" t="n">
        <f aca="false">IF(AND(OR(AD939="رایگان/VIP",AD939="جانباز"),AF939="خیر"),1,0)</f>
        <v>0</v>
      </c>
      <c r="BB939" s="21" t="n">
        <f aca="false">IF(AE939="",0,IF(COUNTIF($AE$2:$AE$1001,AE939)&gt;1,1,0))</f>
        <v>0</v>
      </c>
      <c r="BC939" s="21" t="n">
        <f aca="false">IF(AND(H939="",I939&gt;تنظیمات!$B$12*60,AM939="خالی"),1,0)</f>
        <v>0</v>
      </c>
      <c r="BD939" s="21" t="n">
        <f aca="false">IF(AND(AP939="بله",I939&lt;تنظیمات!$B$14,AO939="خیر"),1,0)</f>
        <v>0</v>
      </c>
      <c r="BE939" s="21" t="n">
        <f aca="false">IF(AN939="خیر",1,0)</f>
        <v>0</v>
      </c>
      <c r="BF939" s="21" t="n">
        <f aca="false">IF(AND(AD939="فیش مفقودی",AQ939="بله",I939&gt;تنظیمات!$B$12*60),1,0)</f>
        <v>0</v>
      </c>
      <c r="BG939" s="21" t="n">
        <f aca="false">IF(AND(AK939&gt;تنظیمات!$B$11,AL939="بله"),1,0)</f>
        <v>0</v>
      </c>
      <c r="BH939" s="21" t="n">
        <f aca="false">MIN(100,AR939*تنظیمات!$B$21+AS939*تنظیمات!$B$22+AT939*تنظیمات!$B$23+AU939*تنظیمات!$B$24+AV939*تنظیمات!$B$25+AW939*تنظیمات!$B$26+AX939*تنظیمات!$B$27+AY939*تنظیمات!$B$28+AZ939*تنظیمات!$B$29+BA939*تنظیمات!$B$30+BB939*تنظیمات!$B$31+BC939*تنظیمات!$B$32+BD939*تنظیمات!$B$33+BE939*تنظیمات!$B$34+BF939*تنظیمات!$B$35+BG939*تنظیمات!$B$36)</f>
        <v>0</v>
      </c>
      <c r="BI939" s="16" t="str">
        <f aca="false">IF(BH939&gt;=60,"بحرانی",IF(BH939&gt;=30,"مشکوک",IF(BH939&gt;0,"هشدار","عادی")))</f>
        <v>عادی</v>
      </c>
      <c r="BJ939" s="16" t="s">
        <v>338</v>
      </c>
    </row>
    <row r="940" customFormat="false" ht="15" hidden="false" customHeight="false" outlineLevel="0" collapsed="false">
      <c r="A940" s="16" t="s">
        <v>3135</v>
      </c>
      <c r="B940" s="16" t="s">
        <v>1069</v>
      </c>
      <c r="C940" s="16"/>
      <c r="D940" s="16" t="s">
        <v>344</v>
      </c>
      <c r="E940" s="16" t="s">
        <v>390</v>
      </c>
      <c r="F940" s="16" t="s">
        <v>333</v>
      </c>
      <c r="G940" s="17" t="n">
        <v>46294.2246643519</v>
      </c>
      <c r="H940" s="17" t="n">
        <v>46294.3454976852</v>
      </c>
      <c r="I940" s="18" t="n">
        <f aca="false">IF(H940="",ROUND((تنظیمات!$B$7-G940)*1440,0),ROUND((H940-G940)*1440,0))</f>
        <v>174</v>
      </c>
      <c r="J940" s="16" t="s">
        <v>346</v>
      </c>
      <c r="K940" s="16" t="s">
        <v>410</v>
      </c>
      <c r="L940" s="19" t="n">
        <v>0.944</v>
      </c>
      <c r="M940" s="19" t="n">
        <v>0.967</v>
      </c>
      <c r="N940" s="16" t="s">
        <v>335</v>
      </c>
      <c r="O940" s="16" t="s">
        <v>401</v>
      </c>
      <c r="P940" s="16" t="s">
        <v>402</v>
      </c>
      <c r="Q940" s="20" t="n">
        <v>46294</v>
      </c>
      <c r="R940" s="16" t="s">
        <v>3136</v>
      </c>
      <c r="S940" s="16" t="s">
        <v>404</v>
      </c>
      <c r="T940" s="17"/>
      <c r="U940" s="21" t="n">
        <v>1</v>
      </c>
      <c r="V940" s="21" t="n">
        <v>1</v>
      </c>
      <c r="W940" s="22" t="n">
        <v>5.2</v>
      </c>
      <c r="X940" s="16" t="s">
        <v>335</v>
      </c>
      <c r="Y940" s="16" t="s">
        <v>338</v>
      </c>
      <c r="Z940" s="16" t="s">
        <v>405</v>
      </c>
      <c r="AA940" s="16"/>
      <c r="AB940" s="23"/>
      <c r="AC940" s="17"/>
      <c r="AD940" s="16" t="s">
        <v>338</v>
      </c>
      <c r="AE940" s="16"/>
      <c r="AF940" s="16" t="str">
        <f aca="false">IF(COUNTIF(لیست_سفید!$A$2:$A$21,B940)&gt;0,"بله","خیر")</f>
        <v>خیر</v>
      </c>
      <c r="AG940" s="24" t="n">
        <f aca="false">IF(H940="","",IF(AD940="فیش مفقودی",تنظیمات!$B$6,(INT(I940/1440)*تنظیمات!$B$5+IF(MOD(I940,1440)&lt;=تنظیمات!$B$2,0,MIN(تنظیمات!$B$5,تنظیمات!$B$3+MAX(0,ROUNDUP((MOD(I940,1440)-60)/60,0))*تنظیمات!$B$4)))*INDEX(تعرفه!$B$2:$B$7,MATCH(AD940,تعرفه!$A$2:$A$7,0))))</f>
        <v>48000</v>
      </c>
      <c r="AH940" s="24" t="n">
        <v>17000</v>
      </c>
      <c r="AI940" s="24" t="n">
        <f aca="false">IF(AG940="","",AH940-AG940)</f>
        <v>-31000</v>
      </c>
      <c r="AJ940" s="21" t="n">
        <v>4</v>
      </c>
      <c r="AK940" s="21" t="n">
        <v>0</v>
      </c>
      <c r="AL940" s="16" t="s">
        <v>335</v>
      </c>
      <c r="AM940" s="16"/>
      <c r="AN940" s="16" t="s">
        <v>340</v>
      </c>
      <c r="AO940" s="16" t="s">
        <v>340</v>
      </c>
      <c r="AP940" s="16" t="s">
        <v>335</v>
      </c>
      <c r="AQ940" s="16"/>
      <c r="AR940" s="21" t="n">
        <f aca="false">IF(AND(T940&lt;&gt;"",H940&lt;&gt;""),IF(AND((T940-H940)*86400&gt;=0,(T940-H940)*86400&lt;تنظیمات!$B$13),1,0),0)</f>
        <v>0</v>
      </c>
      <c r="AS940" s="21" t="n">
        <f aca="false">IF(Z940="پوز",IF(OR(AB940="",COUNTIF(پوزها!$A$2:$A$5,AA940)=0),1,0),0)</f>
        <v>0</v>
      </c>
      <c r="AT940" s="21" t="n">
        <f aca="false">IF(AI940="",0,IF(AI940&gt;0,1,0))</f>
        <v>0</v>
      </c>
      <c r="AU940" s="21" t="n">
        <f aca="false">IF(AI940="",0,IF(AI940&lt;0,1,0))</f>
        <v>1</v>
      </c>
      <c r="AV940" s="21" t="n">
        <f aca="false">IF(U940&gt;V940,1,0)</f>
        <v>0</v>
      </c>
      <c r="AW940" s="21" t="n">
        <f aca="false">IF(OR(W940&gt;تنظیمات!$B$8,X940="بله"),1,0)</f>
        <v>0</v>
      </c>
      <c r="AX940" s="21" t="n">
        <f aca="false">IF(AND(N940="بله",L940&gt;تنظیمات!$B$9),1,0)</f>
        <v>0</v>
      </c>
      <c r="AY940" s="21" t="n">
        <f aca="false">IF(Y940="معکوس",1,0)</f>
        <v>0</v>
      </c>
      <c r="AZ940" s="21" t="n">
        <f aca="false">IF(ABS(AJ940)&gt;تنظیمات!$B$10,1,0)</f>
        <v>0</v>
      </c>
      <c r="BA940" s="21" t="n">
        <f aca="false">IF(AND(OR(AD940="رایگان/VIP",AD940="جانباز"),AF940="خیر"),1,0)</f>
        <v>0</v>
      </c>
      <c r="BB940" s="21" t="n">
        <f aca="false">IF(AE940="",0,IF(COUNTIF($AE$2:$AE$1001,AE940)&gt;1,1,0))</f>
        <v>0</v>
      </c>
      <c r="BC940" s="21" t="n">
        <f aca="false">IF(AND(H940="",I940&gt;تنظیمات!$B$12*60,AM940="خالی"),1,0)</f>
        <v>0</v>
      </c>
      <c r="BD940" s="21" t="n">
        <f aca="false">IF(AND(AP940="بله",I940&lt;تنظیمات!$B$14,AO940="خیر"),1,0)</f>
        <v>0</v>
      </c>
      <c r="BE940" s="21" t="n">
        <f aca="false">IF(AN940="خیر",1,0)</f>
        <v>0</v>
      </c>
      <c r="BF940" s="21" t="n">
        <f aca="false">IF(AND(AD940="فیش مفقودی",AQ940="بله",I940&gt;تنظیمات!$B$12*60),1,0)</f>
        <v>0</v>
      </c>
      <c r="BG940" s="21" t="n">
        <f aca="false">IF(AND(AK940&gt;تنظیمات!$B$11,AL940="بله"),1,0)</f>
        <v>0</v>
      </c>
      <c r="BH940" s="21" t="n">
        <f aca="false">MIN(100,AR940*تنظیمات!$B$21+AS940*تنظیمات!$B$22+AT940*تنظیمات!$B$23+AU940*تنظیمات!$B$24+AV940*تنظیمات!$B$25+AW940*تنظیمات!$B$26+AX940*تنظیمات!$B$27+AY940*تنظیمات!$B$28+AZ940*تنظیمات!$B$29+BA940*تنظیمات!$B$30+BB940*تنظیمات!$B$31+BC940*تنظیمات!$B$32+BD940*تنظیمات!$B$33+BE940*تنظیمات!$B$34+BF940*تنظیمات!$B$35+BG940*تنظیمات!$B$36)</f>
        <v>25</v>
      </c>
      <c r="BI940" s="16" t="str">
        <f aca="false">IF(BH940&gt;=60,"بحرانی",IF(BH940&gt;=30,"مشکوک",IF(BH940&gt;0,"هشدار","عادی")))</f>
        <v>هشدار</v>
      </c>
      <c r="BJ940" s="16" t="s">
        <v>610</v>
      </c>
    </row>
    <row r="941" customFormat="false" ht="15" hidden="false" customHeight="false" outlineLevel="0" collapsed="false">
      <c r="A941" s="16" t="s">
        <v>3137</v>
      </c>
      <c r="B941" s="16" t="s">
        <v>1038</v>
      </c>
      <c r="C941" s="16"/>
      <c r="D941" s="16" t="s">
        <v>431</v>
      </c>
      <c r="E941" s="16" t="s">
        <v>375</v>
      </c>
      <c r="F941" s="16" t="s">
        <v>333</v>
      </c>
      <c r="G941" s="17" t="n">
        <v>46294.2419907407</v>
      </c>
      <c r="H941" s="17" t="n">
        <v>46294.4315740741</v>
      </c>
      <c r="I941" s="18" t="n">
        <f aca="false">IF(H941="",ROUND((تنظیمات!$B$7-G941)*1440,0),ROUND((H941-G941)*1440,0))</f>
        <v>273</v>
      </c>
      <c r="J941" s="16" t="s">
        <v>346</v>
      </c>
      <c r="K941" s="16" t="s">
        <v>410</v>
      </c>
      <c r="L941" s="19" t="n">
        <v>0.85</v>
      </c>
      <c r="M941" s="19" t="n">
        <v>0.89</v>
      </c>
      <c r="N941" s="16" t="s">
        <v>335</v>
      </c>
      <c r="O941" s="16" t="s">
        <v>401</v>
      </c>
      <c r="P941" s="16" t="s">
        <v>402</v>
      </c>
      <c r="Q941" s="20" t="n">
        <v>46294</v>
      </c>
      <c r="R941" s="16" t="s">
        <v>3138</v>
      </c>
      <c r="S941" s="16" t="s">
        <v>404</v>
      </c>
      <c r="T941" s="17"/>
      <c r="U941" s="21" t="n">
        <v>1</v>
      </c>
      <c r="V941" s="21" t="n">
        <v>1</v>
      </c>
      <c r="W941" s="22" t="n">
        <v>5.6</v>
      </c>
      <c r="X941" s="16" t="s">
        <v>335</v>
      </c>
      <c r="Y941" s="16" t="s">
        <v>338</v>
      </c>
      <c r="Z941" s="16" t="s">
        <v>413</v>
      </c>
      <c r="AA941" s="16" t="s">
        <v>414</v>
      </c>
      <c r="AB941" s="23" t="s">
        <v>3139</v>
      </c>
      <c r="AC941" s="17" t="n">
        <v>46294.4311458333</v>
      </c>
      <c r="AD941" s="16" t="s">
        <v>338</v>
      </c>
      <c r="AE941" s="16"/>
      <c r="AF941" s="16" t="str">
        <f aca="false">IF(COUNTIF(لیست_سفید!$A$2:$A$21,B941)&gt;0,"بله","خیر")</f>
        <v>خیر</v>
      </c>
      <c r="AG941" s="24" t="n">
        <f aca="false">IF(H941="","",IF(AD941="فیش مفقودی",تنظیمات!$B$6,(INT(I941/1440)*تنظیمات!$B$5+IF(MOD(I941,1440)&lt;=تنظیمات!$B$2,0,MIN(تنظیمات!$B$5,تنظیمات!$B$3+MAX(0,ROUNDUP((MOD(I941,1440)-60)/60,0))*تنظیمات!$B$4)))*INDEX(تعرفه!$B$2:$B$7,MATCH(AD941,تعرفه!$A$2:$A$7,0))))</f>
        <v>76000</v>
      </c>
      <c r="AH941" s="24" t="n">
        <v>76000</v>
      </c>
      <c r="AI941" s="24" t="n">
        <f aca="false">IF(AG941="","",AH941-AG941)</f>
        <v>0</v>
      </c>
      <c r="AJ941" s="21" t="n">
        <v>4</v>
      </c>
      <c r="AK941" s="21" t="n">
        <v>0</v>
      </c>
      <c r="AL941" s="16" t="s">
        <v>335</v>
      </c>
      <c r="AM941" s="16"/>
      <c r="AN941" s="16" t="s">
        <v>340</v>
      </c>
      <c r="AO941" s="16" t="s">
        <v>340</v>
      </c>
      <c r="AP941" s="16" t="s">
        <v>335</v>
      </c>
      <c r="AQ941" s="16"/>
      <c r="AR941" s="21" t="n">
        <f aca="false">IF(AND(T941&lt;&gt;"",H941&lt;&gt;""),IF(AND((T941-H941)*86400&gt;=0,(T941-H941)*86400&lt;تنظیمات!$B$13),1,0),0)</f>
        <v>0</v>
      </c>
      <c r="AS941" s="21" t="n">
        <f aca="false">IF(Z941="پوز",IF(OR(AB941="",COUNTIF(پوزها!$A$2:$A$5,AA941)=0),1,0),0)</f>
        <v>0</v>
      </c>
      <c r="AT941" s="21" t="n">
        <f aca="false">IF(AI941="",0,IF(AI941&gt;0,1,0))</f>
        <v>0</v>
      </c>
      <c r="AU941" s="21" t="n">
        <f aca="false">IF(AI941="",0,IF(AI941&lt;0,1,0))</f>
        <v>0</v>
      </c>
      <c r="AV941" s="21" t="n">
        <f aca="false">IF(U941&gt;V941,1,0)</f>
        <v>0</v>
      </c>
      <c r="AW941" s="21" t="n">
        <f aca="false">IF(OR(W941&gt;تنظیمات!$B$8,X941="بله"),1,0)</f>
        <v>0</v>
      </c>
      <c r="AX941" s="21" t="n">
        <f aca="false">IF(AND(N941="بله",L941&gt;تنظیمات!$B$9),1,0)</f>
        <v>0</v>
      </c>
      <c r="AY941" s="21" t="n">
        <f aca="false">IF(Y941="معکوس",1,0)</f>
        <v>0</v>
      </c>
      <c r="AZ941" s="21" t="n">
        <f aca="false">IF(ABS(AJ941)&gt;تنظیمات!$B$10,1,0)</f>
        <v>0</v>
      </c>
      <c r="BA941" s="21" t="n">
        <f aca="false">IF(AND(OR(AD941="رایگان/VIP",AD941="جانباز"),AF941="خیر"),1,0)</f>
        <v>0</v>
      </c>
      <c r="BB941" s="21" t="n">
        <f aca="false">IF(AE941="",0,IF(COUNTIF($AE$2:$AE$1001,AE941)&gt;1,1,0))</f>
        <v>0</v>
      </c>
      <c r="BC941" s="21" t="n">
        <f aca="false">IF(AND(H941="",I941&gt;تنظیمات!$B$12*60,AM941="خالی"),1,0)</f>
        <v>0</v>
      </c>
      <c r="BD941" s="21" t="n">
        <f aca="false">IF(AND(AP941="بله",I941&lt;تنظیمات!$B$14,AO941="خیر"),1,0)</f>
        <v>0</v>
      </c>
      <c r="BE941" s="21" t="n">
        <f aca="false">IF(AN941="خیر",1,0)</f>
        <v>0</v>
      </c>
      <c r="BF941" s="21" t="n">
        <f aca="false">IF(AND(AD941="فیش مفقودی",AQ941="بله",I941&gt;تنظیمات!$B$12*60),1,0)</f>
        <v>0</v>
      </c>
      <c r="BG941" s="21" t="n">
        <f aca="false">IF(AND(AK941&gt;تنظیمات!$B$11,AL941="بله"),1,0)</f>
        <v>0</v>
      </c>
      <c r="BH941" s="21" t="n">
        <f aca="false">MIN(100,AR941*تنظیمات!$B$21+AS941*تنظیمات!$B$22+AT941*تنظیمات!$B$23+AU941*تنظیمات!$B$24+AV941*تنظیمات!$B$25+AW941*تنظیمات!$B$26+AX941*تنظیمات!$B$27+AY941*تنظیمات!$B$28+AZ941*تنظیمات!$B$29+BA941*تنظیمات!$B$30+BB941*تنظیمات!$B$31+BC941*تنظیمات!$B$32+BD941*تنظیمات!$B$33+BE941*تنظیمات!$B$34+BF941*تنظیمات!$B$35+BG941*تنظیمات!$B$36)</f>
        <v>0</v>
      </c>
      <c r="BI941" s="16" t="str">
        <f aca="false">IF(BH941&gt;=60,"بحرانی",IF(BH941&gt;=30,"مشکوک",IF(BH941&gt;0,"هشدار","عادی")))</f>
        <v>عادی</v>
      </c>
      <c r="BJ941" s="16" t="s">
        <v>338</v>
      </c>
    </row>
    <row r="942" customFormat="false" ht="15" hidden="false" customHeight="false" outlineLevel="0" collapsed="false">
      <c r="A942" s="16" t="s">
        <v>3140</v>
      </c>
      <c r="B942" s="16" t="s">
        <v>659</v>
      </c>
      <c r="C942" s="16"/>
      <c r="D942" s="16" t="s">
        <v>418</v>
      </c>
      <c r="E942" s="16" t="s">
        <v>345</v>
      </c>
      <c r="F942" s="16" t="s">
        <v>333</v>
      </c>
      <c r="G942" s="17" t="n">
        <v>46294.2476273148</v>
      </c>
      <c r="H942" s="17" t="n">
        <v>46294.3052662037</v>
      </c>
      <c r="I942" s="18" t="n">
        <f aca="false">IF(H942="",ROUND((تنظیمات!$B$7-G942)*1440,0),ROUND((H942-G942)*1440,0))</f>
        <v>83</v>
      </c>
      <c r="J942" s="16" t="s">
        <v>346</v>
      </c>
      <c r="K942" s="16" t="s">
        <v>410</v>
      </c>
      <c r="L942" s="19" t="n">
        <v>0.954</v>
      </c>
      <c r="M942" s="19" t="n">
        <v>0.958</v>
      </c>
      <c r="N942" s="16" t="s">
        <v>335</v>
      </c>
      <c r="O942" s="16" t="s">
        <v>401</v>
      </c>
      <c r="P942" s="16" t="s">
        <v>402</v>
      </c>
      <c r="Q942" s="20" t="n">
        <v>46294</v>
      </c>
      <c r="R942" s="16" t="s">
        <v>3141</v>
      </c>
      <c r="S942" s="16" t="s">
        <v>404</v>
      </c>
      <c r="T942" s="17"/>
      <c r="U942" s="21" t="n">
        <v>1</v>
      </c>
      <c r="V942" s="21" t="n">
        <v>1</v>
      </c>
      <c r="W942" s="22" t="n">
        <v>4.3</v>
      </c>
      <c r="X942" s="16" t="s">
        <v>335</v>
      </c>
      <c r="Y942" s="16" t="s">
        <v>338</v>
      </c>
      <c r="Z942" s="16" t="s">
        <v>465</v>
      </c>
      <c r="AA942" s="16"/>
      <c r="AB942" s="23"/>
      <c r="AC942" s="17"/>
      <c r="AD942" s="16" t="s">
        <v>466</v>
      </c>
      <c r="AE942" s="16"/>
      <c r="AF942" s="16" t="str">
        <f aca="false">IF(COUNTIF(لیست_سفید!$A$2:$A$21,B942)&gt;0,"بله","خیر")</f>
        <v>خیر</v>
      </c>
      <c r="AG942" s="24" t="n">
        <f aca="false">IF(H942="","",IF(AD942="فیش مفقودی",تنظیمات!$B$6,(INT(I942/1440)*تنظیمات!$B$5+IF(MOD(I942,1440)&lt;=تنظیمات!$B$2,0,MIN(تنظیمات!$B$5,تنظیمات!$B$3+MAX(0,ROUNDUP((MOD(I942,1440)-60)/60,0))*تنظیمات!$B$4)))*INDEX(تعرفه!$B$2:$B$7,MATCH(AD942,تعرفه!$A$2:$A$7,0))))</f>
        <v>0</v>
      </c>
      <c r="AH942" s="24" t="n">
        <v>0</v>
      </c>
      <c r="AI942" s="24" t="n">
        <f aca="false">IF(AG942="","",AH942-AG942)</f>
        <v>0</v>
      </c>
      <c r="AJ942" s="21" t="n">
        <v>0</v>
      </c>
      <c r="AK942" s="21" t="n">
        <v>0</v>
      </c>
      <c r="AL942" s="16" t="s">
        <v>335</v>
      </c>
      <c r="AM942" s="16"/>
      <c r="AN942" s="16" t="s">
        <v>340</v>
      </c>
      <c r="AO942" s="16" t="s">
        <v>340</v>
      </c>
      <c r="AP942" s="16" t="s">
        <v>335</v>
      </c>
      <c r="AQ942" s="16"/>
      <c r="AR942" s="21" t="n">
        <f aca="false">IF(AND(T942&lt;&gt;"",H942&lt;&gt;""),IF(AND((T942-H942)*86400&gt;=0,(T942-H942)*86400&lt;تنظیمات!$B$13),1,0),0)</f>
        <v>0</v>
      </c>
      <c r="AS942" s="21" t="n">
        <f aca="false">IF(Z942="پوز",IF(OR(AB942="",COUNTIF(پوزها!$A$2:$A$5,AA942)=0),1,0),0)</f>
        <v>0</v>
      </c>
      <c r="AT942" s="21" t="n">
        <f aca="false">IF(AI942="",0,IF(AI942&gt;0,1,0))</f>
        <v>0</v>
      </c>
      <c r="AU942" s="21" t="n">
        <f aca="false">IF(AI942="",0,IF(AI942&lt;0,1,0))</f>
        <v>0</v>
      </c>
      <c r="AV942" s="21" t="n">
        <f aca="false">IF(U942&gt;V942,1,0)</f>
        <v>0</v>
      </c>
      <c r="AW942" s="21" t="n">
        <f aca="false">IF(OR(W942&gt;تنظیمات!$B$8,X942="بله"),1,0)</f>
        <v>0</v>
      </c>
      <c r="AX942" s="21" t="n">
        <f aca="false">IF(AND(N942="بله",L942&gt;تنظیمات!$B$9),1,0)</f>
        <v>0</v>
      </c>
      <c r="AY942" s="21" t="n">
        <f aca="false">IF(Y942="معکوس",1,0)</f>
        <v>0</v>
      </c>
      <c r="AZ942" s="21" t="n">
        <f aca="false">IF(ABS(AJ942)&gt;تنظیمات!$B$10,1,0)</f>
        <v>0</v>
      </c>
      <c r="BA942" s="21" t="n">
        <f aca="false">IF(AND(OR(AD942="رایگان/VIP",AD942="جانباز"),AF942="خیر"),1,0)</f>
        <v>1</v>
      </c>
      <c r="BB942" s="21" t="n">
        <f aca="false">IF(AE942="",0,IF(COUNTIF($AE$2:$AE$1001,AE942)&gt;1,1,0))</f>
        <v>0</v>
      </c>
      <c r="BC942" s="21" t="n">
        <f aca="false">IF(AND(H942="",I942&gt;تنظیمات!$B$12*60,AM942="خالی"),1,0)</f>
        <v>0</v>
      </c>
      <c r="BD942" s="21" t="n">
        <f aca="false">IF(AND(AP942="بله",I942&lt;تنظیمات!$B$14,AO942="خیر"),1,0)</f>
        <v>0</v>
      </c>
      <c r="BE942" s="21" t="n">
        <f aca="false">IF(AN942="خیر",1,0)</f>
        <v>0</v>
      </c>
      <c r="BF942" s="21" t="n">
        <f aca="false">IF(AND(AD942="فیش مفقودی",AQ942="بله",I942&gt;تنظیمات!$B$12*60),1,0)</f>
        <v>0</v>
      </c>
      <c r="BG942" s="21" t="n">
        <f aca="false">IF(AND(AK942&gt;تنظیمات!$B$11,AL942="بله"),1,0)</f>
        <v>0</v>
      </c>
      <c r="BH942" s="21" t="n">
        <f aca="false">MIN(100,AR942*تنظیمات!$B$21+AS942*تنظیمات!$B$22+AT942*تنظیمات!$B$23+AU942*تنظیمات!$B$24+AV942*تنظیمات!$B$25+AW942*تنظیمات!$B$26+AX942*تنظیمات!$B$27+AY942*تنظیمات!$B$28+AZ942*تنظیمات!$B$29+BA942*تنظیمات!$B$30+BB942*تنظیمات!$B$31+BC942*تنظیمات!$B$32+BD942*تنظیمات!$B$33+BE942*تنظیمات!$B$34+BF942*تنظیمات!$B$35+BG942*تنظیمات!$B$36)</f>
        <v>35</v>
      </c>
      <c r="BI942" s="16" t="str">
        <f aca="false">IF(BH942&gt;=60,"بحرانی",IF(BH942&gt;=30,"مشکوک",IF(BH942&gt;0,"هشدار","عادی")))</f>
        <v>مشکوک</v>
      </c>
      <c r="BJ942" s="16" t="s">
        <v>745</v>
      </c>
    </row>
    <row r="943" customFormat="false" ht="15" hidden="false" customHeight="false" outlineLevel="0" collapsed="false">
      <c r="A943" s="16" t="s">
        <v>3142</v>
      </c>
      <c r="B943" s="16" t="s">
        <v>727</v>
      </c>
      <c r="C943" s="16"/>
      <c r="D943" s="16" t="s">
        <v>450</v>
      </c>
      <c r="E943" s="16" t="s">
        <v>363</v>
      </c>
      <c r="F943" s="16" t="s">
        <v>333</v>
      </c>
      <c r="G943" s="17" t="n">
        <v>46294.2480439815</v>
      </c>
      <c r="H943" s="17" t="n">
        <v>46294.3105439815</v>
      </c>
      <c r="I943" s="18" t="n">
        <f aca="false">IF(H943="",ROUND((تنظیمات!$B$7-G943)*1440,0),ROUND((H943-G943)*1440,0))</f>
        <v>90</v>
      </c>
      <c r="J943" s="16" t="s">
        <v>346</v>
      </c>
      <c r="K943" s="16" t="s">
        <v>400</v>
      </c>
      <c r="L943" s="19" t="n">
        <v>0.939</v>
      </c>
      <c r="M943" s="19" t="n">
        <v>0.923</v>
      </c>
      <c r="N943" s="16" t="s">
        <v>335</v>
      </c>
      <c r="O943" s="16" t="s">
        <v>411</v>
      </c>
      <c r="P943" s="16" t="s">
        <v>402</v>
      </c>
      <c r="Q943" s="20" t="n">
        <v>46294</v>
      </c>
      <c r="R943" s="16" t="s">
        <v>3143</v>
      </c>
      <c r="S943" s="16" t="s">
        <v>404</v>
      </c>
      <c r="T943" s="17"/>
      <c r="U943" s="21" t="n">
        <v>1</v>
      </c>
      <c r="V943" s="21" t="n">
        <v>1</v>
      </c>
      <c r="W943" s="22" t="n">
        <v>4.6</v>
      </c>
      <c r="X943" s="16" t="s">
        <v>335</v>
      </c>
      <c r="Y943" s="16" t="s">
        <v>338</v>
      </c>
      <c r="Z943" s="16" t="s">
        <v>413</v>
      </c>
      <c r="AA943" s="16" t="s">
        <v>427</v>
      </c>
      <c r="AB943" s="23" t="s">
        <v>3144</v>
      </c>
      <c r="AC943" s="17" t="n">
        <v>46294.3098263889</v>
      </c>
      <c r="AD943" s="16" t="s">
        <v>481</v>
      </c>
      <c r="AE943" s="16" t="s">
        <v>3145</v>
      </c>
      <c r="AF943" s="16" t="str">
        <f aca="false">IF(COUNTIF(لیست_سفید!$A$2:$A$21,B943)&gt;0,"بله","خیر")</f>
        <v>خیر</v>
      </c>
      <c r="AG943" s="24" t="n">
        <f aca="false">IF(H943="","",IF(AD943="فیش مفقودی",تنظیمات!$B$6,(INT(I943/1440)*تنظیمات!$B$5+IF(MOD(I943,1440)&lt;=تنظیمات!$B$2,0,MIN(تنظیمات!$B$5,تنظیمات!$B$3+MAX(0,ROUNDUP((MOD(I943,1440)-60)/60,0))*تنظیمات!$B$4)))*INDEX(تعرفه!$B$2:$B$7,MATCH(AD943,تعرفه!$A$2:$A$7,0))))</f>
        <v>17000</v>
      </c>
      <c r="AH943" s="24" t="n">
        <v>17000</v>
      </c>
      <c r="AI943" s="24" t="n">
        <f aca="false">IF(AG943="","",AH943-AG943)</f>
        <v>0</v>
      </c>
      <c r="AJ943" s="21" t="n">
        <v>-1</v>
      </c>
      <c r="AK943" s="21" t="n">
        <v>0</v>
      </c>
      <c r="AL943" s="16" t="s">
        <v>335</v>
      </c>
      <c r="AM943" s="16"/>
      <c r="AN943" s="16" t="s">
        <v>340</v>
      </c>
      <c r="AO943" s="16" t="s">
        <v>340</v>
      </c>
      <c r="AP943" s="16" t="s">
        <v>335</v>
      </c>
      <c r="AQ943" s="16"/>
      <c r="AR943" s="21" t="n">
        <f aca="false">IF(AND(T943&lt;&gt;"",H943&lt;&gt;""),IF(AND((T943-H943)*86400&gt;=0,(T943-H943)*86400&lt;تنظیمات!$B$13),1,0),0)</f>
        <v>0</v>
      </c>
      <c r="AS943" s="21" t="n">
        <f aca="false">IF(Z943="پوز",IF(OR(AB943="",COUNTIF(پوزها!$A$2:$A$5,AA943)=0),1,0),0)</f>
        <v>0</v>
      </c>
      <c r="AT943" s="21" t="n">
        <f aca="false">IF(AI943="",0,IF(AI943&gt;0,1,0))</f>
        <v>0</v>
      </c>
      <c r="AU943" s="21" t="n">
        <f aca="false">IF(AI943="",0,IF(AI943&lt;0,1,0))</f>
        <v>0</v>
      </c>
      <c r="AV943" s="21" t="n">
        <f aca="false">IF(U943&gt;V943,1,0)</f>
        <v>0</v>
      </c>
      <c r="AW943" s="21" t="n">
        <f aca="false">IF(OR(W943&gt;تنظیمات!$B$8,X943="بله"),1,0)</f>
        <v>0</v>
      </c>
      <c r="AX943" s="21" t="n">
        <f aca="false">IF(AND(N943="بله",L943&gt;تنظیمات!$B$9),1,0)</f>
        <v>0</v>
      </c>
      <c r="AY943" s="21" t="n">
        <f aca="false">IF(Y943="معکوس",1,0)</f>
        <v>0</v>
      </c>
      <c r="AZ943" s="21" t="n">
        <f aca="false">IF(ABS(AJ943)&gt;تنظیمات!$B$10,1,0)</f>
        <v>0</v>
      </c>
      <c r="BA943" s="21" t="n">
        <f aca="false">IF(AND(OR(AD943="رایگان/VIP",AD943="جانباز"),AF943="خیر"),1,0)</f>
        <v>0</v>
      </c>
      <c r="BB943" s="21" t="n">
        <f aca="false">IF(AE943="",0,IF(COUNTIF($AE$2:$AE$1001,AE943)&gt;1,1,0))</f>
        <v>0</v>
      </c>
      <c r="BC943" s="21" t="n">
        <f aca="false">IF(AND(H943="",I943&gt;تنظیمات!$B$12*60,AM943="خالی"),1,0)</f>
        <v>0</v>
      </c>
      <c r="BD943" s="21" t="n">
        <f aca="false">IF(AND(AP943="بله",I943&lt;تنظیمات!$B$14,AO943="خیر"),1,0)</f>
        <v>0</v>
      </c>
      <c r="BE943" s="21" t="n">
        <f aca="false">IF(AN943="خیر",1,0)</f>
        <v>0</v>
      </c>
      <c r="BF943" s="21" t="n">
        <f aca="false">IF(AND(AD943="فیش مفقودی",AQ943="بله",I943&gt;تنظیمات!$B$12*60),1,0)</f>
        <v>0</v>
      </c>
      <c r="BG943" s="21" t="n">
        <f aca="false">IF(AND(AK943&gt;تنظیمات!$B$11,AL943="بله"),1,0)</f>
        <v>0</v>
      </c>
      <c r="BH943" s="21" t="n">
        <f aca="false">MIN(100,AR943*تنظیمات!$B$21+AS943*تنظیمات!$B$22+AT943*تنظیمات!$B$23+AU943*تنظیمات!$B$24+AV943*تنظیمات!$B$25+AW943*تنظیمات!$B$26+AX943*تنظیمات!$B$27+AY943*تنظیمات!$B$28+AZ943*تنظیمات!$B$29+BA943*تنظیمات!$B$30+BB943*تنظیمات!$B$31+BC943*تنظیمات!$B$32+BD943*تنظیمات!$B$33+BE943*تنظیمات!$B$34+BF943*تنظیمات!$B$35+BG943*تنظیمات!$B$36)</f>
        <v>0</v>
      </c>
      <c r="BI943" s="16" t="str">
        <f aca="false">IF(BH943&gt;=60,"بحرانی",IF(BH943&gt;=30,"مشکوک",IF(BH943&gt;0,"هشدار","عادی")))</f>
        <v>عادی</v>
      </c>
      <c r="BJ943" s="16" t="s">
        <v>338</v>
      </c>
    </row>
    <row r="944" customFormat="false" ht="15" hidden="false" customHeight="false" outlineLevel="0" collapsed="false">
      <c r="A944" s="16" t="s">
        <v>3146</v>
      </c>
      <c r="B944" s="16" t="s">
        <v>740</v>
      </c>
      <c r="C944" s="16"/>
      <c r="D944" s="16" t="s">
        <v>431</v>
      </c>
      <c r="E944" s="16" t="s">
        <v>351</v>
      </c>
      <c r="F944" s="16" t="s">
        <v>333</v>
      </c>
      <c r="G944" s="17" t="n">
        <v>46294.2532407407</v>
      </c>
      <c r="H944" s="17" t="n">
        <v>46294.4094907407</v>
      </c>
      <c r="I944" s="18" t="n">
        <f aca="false">IF(H944="",ROUND((تنظیمات!$B$7-G944)*1440,0),ROUND((H944-G944)*1440,0))</f>
        <v>225</v>
      </c>
      <c r="J944" s="16" t="s">
        <v>346</v>
      </c>
      <c r="K944" s="16" t="s">
        <v>410</v>
      </c>
      <c r="L944" s="19" t="n">
        <v>0.87</v>
      </c>
      <c r="M944" s="19"/>
      <c r="N944" s="16" t="s">
        <v>335</v>
      </c>
      <c r="O944" s="16" t="s">
        <v>401</v>
      </c>
      <c r="P944" s="16" t="s">
        <v>402</v>
      </c>
      <c r="Q944" s="20" t="n">
        <v>46294</v>
      </c>
      <c r="R944" s="16" t="s">
        <v>3147</v>
      </c>
      <c r="S944" s="16" t="s">
        <v>404</v>
      </c>
      <c r="T944" s="17"/>
      <c r="U944" s="21" t="n">
        <v>1</v>
      </c>
      <c r="V944" s="21" t="n">
        <v>1</v>
      </c>
      <c r="W944" s="22" t="n">
        <v>5.4</v>
      </c>
      <c r="X944" s="16" t="s">
        <v>335</v>
      </c>
      <c r="Y944" s="16" t="s">
        <v>338</v>
      </c>
      <c r="Z944" s="16" t="s">
        <v>405</v>
      </c>
      <c r="AA944" s="16"/>
      <c r="AB944" s="23"/>
      <c r="AC944" s="17"/>
      <c r="AD944" s="16" t="s">
        <v>338</v>
      </c>
      <c r="AE944" s="16"/>
      <c r="AF944" s="16" t="str">
        <f aca="false">IF(COUNTIF(لیست_سفید!$A$2:$A$21,B944)&gt;0,"بله","خیر")</f>
        <v>خیر</v>
      </c>
      <c r="AG944" s="24" t="n">
        <f aca="false">IF(H944="","",IF(AD944="فیش مفقودی",تنظیمات!$B$6,(INT(I944/1440)*تنظیمات!$B$5+IF(MOD(I944,1440)&lt;=تنظیمات!$B$2,0,MIN(تنظیمات!$B$5,تنظیمات!$B$3+MAX(0,ROUNDUP((MOD(I944,1440)-60)/60,0))*تنظیمات!$B$4)))*INDEX(تعرفه!$B$2:$B$7,MATCH(AD944,تعرفه!$A$2:$A$7,0))))</f>
        <v>62000</v>
      </c>
      <c r="AH944" s="24" t="n">
        <v>62000</v>
      </c>
      <c r="AI944" s="24" t="n">
        <f aca="false">IF(AG944="","",AH944-AG944)</f>
        <v>0</v>
      </c>
      <c r="AJ944" s="21" t="n">
        <v>3</v>
      </c>
      <c r="AK944" s="21" t="n">
        <v>329</v>
      </c>
      <c r="AL944" s="16" t="s">
        <v>340</v>
      </c>
      <c r="AM944" s="16"/>
      <c r="AN944" s="16" t="s">
        <v>340</v>
      </c>
      <c r="AO944" s="16" t="s">
        <v>340</v>
      </c>
      <c r="AP944" s="16" t="s">
        <v>335</v>
      </c>
      <c r="AQ944" s="16"/>
      <c r="AR944" s="21" t="n">
        <f aca="false">IF(AND(T944&lt;&gt;"",H944&lt;&gt;""),IF(AND((T944-H944)*86400&gt;=0,(T944-H944)*86400&lt;تنظیمات!$B$13),1,0),0)</f>
        <v>0</v>
      </c>
      <c r="AS944" s="21" t="n">
        <f aca="false">IF(Z944="پوز",IF(OR(AB944="",COUNTIF(پوزها!$A$2:$A$5,AA944)=0),1,0),0)</f>
        <v>0</v>
      </c>
      <c r="AT944" s="21" t="n">
        <f aca="false">IF(AI944="",0,IF(AI944&gt;0,1,0))</f>
        <v>0</v>
      </c>
      <c r="AU944" s="21" t="n">
        <f aca="false">IF(AI944="",0,IF(AI944&lt;0,1,0))</f>
        <v>0</v>
      </c>
      <c r="AV944" s="21" t="n">
        <f aca="false">IF(U944&gt;V944,1,0)</f>
        <v>0</v>
      </c>
      <c r="AW944" s="21" t="n">
        <f aca="false">IF(OR(W944&gt;تنظیمات!$B$8,X944="بله"),1,0)</f>
        <v>0</v>
      </c>
      <c r="AX944" s="21" t="n">
        <f aca="false">IF(AND(N944="بله",L944&gt;تنظیمات!$B$9),1,0)</f>
        <v>0</v>
      </c>
      <c r="AY944" s="21" t="n">
        <f aca="false">IF(Y944="معکوس",1,0)</f>
        <v>0</v>
      </c>
      <c r="AZ944" s="21" t="n">
        <f aca="false">IF(ABS(AJ944)&gt;تنظیمات!$B$10,1,0)</f>
        <v>0</v>
      </c>
      <c r="BA944" s="21" t="n">
        <f aca="false">IF(AND(OR(AD944="رایگان/VIP",AD944="جانباز"),AF944="خیر"),1,0)</f>
        <v>0</v>
      </c>
      <c r="BB944" s="21" t="n">
        <f aca="false">IF(AE944="",0,IF(COUNTIF($AE$2:$AE$1001,AE944)&gt;1,1,0))</f>
        <v>0</v>
      </c>
      <c r="BC944" s="21" t="n">
        <f aca="false">IF(AND(H944="",I944&gt;تنظیمات!$B$12*60,AM944="خالی"),1,0)</f>
        <v>0</v>
      </c>
      <c r="BD944" s="21" t="n">
        <f aca="false">IF(AND(AP944="بله",I944&lt;تنظیمات!$B$14,AO944="خیر"),1,0)</f>
        <v>0</v>
      </c>
      <c r="BE944" s="21" t="n">
        <f aca="false">IF(AN944="خیر",1,0)</f>
        <v>0</v>
      </c>
      <c r="BF944" s="21" t="n">
        <f aca="false">IF(AND(AD944="فیش مفقودی",AQ944="بله",I944&gt;تنظیمات!$B$12*60),1,0)</f>
        <v>0</v>
      </c>
      <c r="BG944" s="21" t="n">
        <f aca="false">IF(AND(AK944&gt;تنظیمات!$B$11,AL944="بله"),1,0)</f>
        <v>1</v>
      </c>
      <c r="BH944" s="21" t="n">
        <f aca="false">MIN(100,AR944*تنظیمات!$B$21+AS944*تنظیمات!$B$22+AT944*تنظیمات!$B$23+AU944*تنظیمات!$B$24+AV944*تنظیمات!$B$25+AW944*تنظیمات!$B$26+AX944*تنظیمات!$B$27+AY944*تنظیمات!$B$28+AZ944*تنظیمات!$B$29+BA944*تنظیمات!$B$30+BB944*تنظیمات!$B$31+BC944*تنظیمات!$B$32+BD944*تنظیمات!$B$33+BE944*تنظیمات!$B$34+BF944*تنظیمات!$B$35+BG944*تنظیمات!$B$36)</f>
        <v>15</v>
      </c>
      <c r="BI944" s="16" t="str">
        <f aca="false">IF(BH944&gt;=60,"بحرانی",IF(BH944&gt;=30,"مشکوک",IF(BH944&gt;0,"هشدار","عادی")))</f>
        <v>هشدار</v>
      </c>
      <c r="BJ944" s="16" t="s">
        <v>918</v>
      </c>
    </row>
    <row r="945" customFormat="false" ht="15" hidden="false" customHeight="false" outlineLevel="0" collapsed="false">
      <c r="A945" s="16" t="s">
        <v>3148</v>
      </c>
      <c r="B945" s="16" t="s">
        <v>459</v>
      </c>
      <c r="C945" s="16"/>
      <c r="D945" s="16" t="s">
        <v>440</v>
      </c>
      <c r="E945" s="16" t="s">
        <v>345</v>
      </c>
      <c r="F945" s="16" t="s">
        <v>359</v>
      </c>
      <c r="G945" s="17" t="n">
        <v>46294.2640625</v>
      </c>
      <c r="H945" s="17" t="n">
        <v>46294.3536458333</v>
      </c>
      <c r="I945" s="18" t="n">
        <f aca="false">IF(H945="",ROUND((تنظیمات!$B$7-G945)*1440,0),ROUND((H945-G945)*1440,0))</f>
        <v>129</v>
      </c>
      <c r="J945" s="16" t="s">
        <v>346</v>
      </c>
      <c r="K945" s="16" t="s">
        <v>410</v>
      </c>
      <c r="L945" s="19" t="n">
        <v>0.989</v>
      </c>
      <c r="M945" s="19" t="n">
        <v>0.98</v>
      </c>
      <c r="N945" s="16" t="s">
        <v>335</v>
      </c>
      <c r="O945" s="16" t="s">
        <v>401</v>
      </c>
      <c r="P945" s="16" t="s">
        <v>402</v>
      </c>
      <c r="Q945" s="20" t="n">
        <v>46294</v>
      </c>
      <c r="R945" s="16" t="s">
        <v>3149</v>
      </c>
      <c r="S945" s="16" t="s">
        <v>404</v>
      </c>
      <c r="T945" s="17"/>
      <c r="U945" s="21" t="n">
        <v>1</v>
      </c>
      <c r="V945" s="21" t="n">
        <v>1</v>
      </c>
      <c r="W945" s="22" t="n">
        <v>5.3</v>
      </c>
      <c r="X945" s="16" t="s">
        <v>335</v>
      </c>
      <c r="Y945" s="16" t="s">
        <v>338</v>
      </c>
      <c r="Z945" s="16" t="s">
        <v>413</v>
      </c>
      <c r="AA945" s="16" t="s">
        <v>414</v>
      </c>
      <c r="AB945" s="23" t="s">
        <v>3150</v>
      </c>
      <c r="AC945" s="17" t="n">
        <v>46294.3530671296</v>
      </c>
      <c r="AD945" s="16" t="s">
        <v>338</v>
      </c>
      <c r="AE945" s="16"/>
      <c r="AF945" s="16" t="str">
        <f aca="false">IF(COUNTIF(لیست_سفید!$A$2:$A$21,B945)&gt;0,"بله","خیر")</f>
        <v>خیر</v>
      </c>
      <c r="AG945" s="24" t="n">
        <f aca="false">IF(H945="","",IF(AD945="فیش مفقودی",تنظیمات!$B$6,(INT(I945/1440)*تنظیمات!$B$5+IF(MOD(I945,1440)&lt;=تنظیمات!$B$2,0,MIN(تنظیمات!$B$5,تنظیمات!$B$3+MAX(0,ROUNDUP((MOD(I945,1440)-60)/60,0))*تنظیمات!$B$4)))*INDEX(تعرفه!$B$2:$B$7,MATCH(AD945,تعرفه!$A$2:$A$7,0))))</f>
        <v>48000</v>
      </c>
      <c r="AH945" s="24" t="n">
        <v>78000</v>
      </c>
      <c r="AI945" s="24" t="n">
        <f aca="false">IF(AG945="","",AH945-AG945)</f>
        <v>30000</v>
      </c>
      <c r="AJ945" s="21" t="n">
        <v>1</v>
      </c>
      <c r="AK945" s="21" t="n">
        <v>0</v>
      </c>
      <c r="AL945" s="16" t="s">
        <v>335</v>
      </c>
      <c r="AM945" s="16"/>
      <c r="AN945" s="16" t="s">
        <v>340</v>
      </c>
      <c r="AO945" s="16" t="s">
        <v>340</v>
      </c>
      <c r="AP945" s="16" t="s">
        <v>335</v>
      </c>
      <c r="AQ945" s="16"/>
      <c r="AR945" s="21" t="n">
        <f aca="false">IF(AND(T945&lt;&gt;"",H945&lt;&gt;""),IF(AND((T945-H945)*86400&gt;=0,(T945-H945)*86400&lt;تنظیمات!$B$13),1,0),0)</f>
        <v>0</v>
      </c>
      <c r="AS945" s="21" t="n">
        <f aca="false">IF(Z945="پوز",IF(OR(AB945="",COUNTIF(پوزها!$A$2:$A$5,AA945)=0),1,0),0)</f>
        <v>0</v>
      </c>
      <c r="AT945" s="21" t="n">
        <f aca="false">IF(AI945="",0,IF(AI945&gt;0,1,0))</f>
        <v>1</v>
      </c>
      <c r="AU945" s="21" t="n">
        <f aca="false">IF(AI945="",0,IF(AI945&lt;0,1,0))</f>
        <v>0</v>
      </c>
      <c r="AV945" s="21" t="n">
        <f aca="false">IF(U945&gt;V945,1,0)</f>
        <v>0</v>
      </c>
      <c r="AW945" s="21" t="n">
        <f aca="false">IF(OR(W945&gt;تنظیمات!$B$8,X945="بله"),1,0)</f>
        <v>0</v>
      </c>
      <c r="AX945" s="21" t="n">
        <f aca="false">IF(AND(N945="بله",L945&gt;تنظیمات!$B$9),1,0)</f>
        <v>0</v>
      </c>
      <c r="AY945" s="21" t="n">
        <f aca="false">IF(Y945="معکوس",1,0)</f>
        <v>0</v>
      </c>
      <c r="AZ945" s="21" t="n">
        <f aca="false">IF(ABS(AJ945)&gt;تنظیمات!$B$10,1,0)</f>
        <v>0</v>
      </c>
      <c r="BA945" s="21" t="n">
        <f aca="false">IF(AND(OR(AD945="رایگان/VIP",AD945="جانباز"),AF945="خیر"),1,0)</f>
        <v>0</v>
      </c>
      <c r="BB945" s="21" t="n">
        <f aca="false">IF(AE945="",0,IF(COUNTIF($AE$2:$AE$1001,AE945)&gt;1,1,0))</f>
        <v>0</v>
      </c>
      <c r="BC945" s="21" t="n">
        <f aca="false">IF(AND(H945="",I945&gt;تنظیمات!$B$12*60,AM945="خالی"),1,0)</f>
        <v>0</v>
      </c>
      <c r="BD945" s="21" t="n">
        <f aca="false">IF(AND(AP945="بله",I945&lt;تنظیمات!$B$14,AO945="خیر"),1,0)</f>
        <v>0</v>
      </c>
      <c r="BE945" s="21" t="n">
        <f aca="false">IF(AN945="خیر",1,0)</f>
        <v>0</v>
      </c>
      <c r="BF945" s="21" t="n">
        <f aca="false">IF(AND(AD945="فیش مفقودی",AQ945="بله",I945&gt;تنظیمات!$B$12*60),1,0)</f>
        <v>0</v>
      </c>
      <c r="BG945" s="21" t="n">
        <f aca="false">IF(AND(AK945&gt;تنظیمات!$B$11,AL945="بله"),1,0)</f>
        <v>0</v>
      </c>
      <c r="BH945" s="21" t="n">
        <f aca="false">MIN(100,AR945*تنظیمات!$B$21+AS945*تنظیمات!$B$22+AT945*تنظیمات!$B$23+AU945*تنظیمات!$B$24+AV945*تنظیمات!$B$25+AW945*تنظیمات!$B$26+AX945*تنظیمات!$B$27+AY945*تنظیمات!$B$28+AZ945*تنظیمات!$B$29+BA945*تنظیمات!$B$30+BB945*تنظیمات!$B$31+BC945*تنظیمات!$B$32+BD945*تنظیمات!$B$33+BE945*تنظیمات!$B$34+BF945*تنظیمات!$B$35+BG945*تنظیمات!$B$36)</f>
        <v>25</v>
      </c>
      <c r="BI945" s="16" t="str">
        <f aca="false">IF(BH945&gt;=60,"بحرانی",IF(BH945&gt;=30,"مشکوک",IF(BH945&gt;0,"هشدار","عادی")))</f>
        <v>هشدار</v>
      </c>
      <c r="BJ945" s="16" t="s">
        <v>922</v>
      </c>
    </row>
    <row r="946" customFormat="false" ht="15" hidden="false" customHeight="false" outlineLevel="0" collapsed="false">
      <c r="A946" s="16" t="s">
        <v>3151</v>
      </c>
      <c r="B946" s="16" t="s">
        <v>1596</v>
      </c>
      <c r="C946" s="16"/>
      <c r="D946" s="16" t="s">
        <v>508</v>
      </c>
      <c r="E946" s="16" t="s">
        <v>390</v>
      </c>
      <c r="F946" s="16" t="s">
        <v>333</v>
      </c>
      <c r="G946" s="17" t="n">
        <v>46294.2883564815</v>
      </c>
      <c r="H946" s="17" t="n">
        <v>46294.5362731482</v>
      </c>
      <c r="I946" s="18" t="n">
        <f aca="false">IF(H946="",ROUND((تنظیمات!$B$7-G946)*1440,0),ROUND((H946-G946)*1440,0))</f>
        <v>357</v>
      </c>
      <c r="J946" s="16" t="s">
        <v>334</v>
      </c>
      <c r="K946" s="16" t="s">
        <v>410</v>
      </c>
      <c r="L946" s="19" t="n">
        <v>0.995</v>
      </c>
      <c r="M946" s="19" t="n">
        <v>0.994</v>
      </c>
      <c r="N946" s="16" t="s">
        <v>335</v>
      </c>
      <c r="O946" s="16" t="s">
        <v>401</v>
      </c>
      <c r="P946" s="16" t="s">
        <v>402</v>
      </c>
      <c r="Q946" s="20" t="n">
        <v>46294</v>
      </c>
      <c r="R946" s="16" t="s">
        <v>3152</v>
      </c>
      <c r="S946" s="16" t="s">
        <v>404</v>
      </c>
      <c r="T946" s="17"/>
      <c r="U946" s="21" t="n">
        <v>1</v>
      </c>
      <c r="V946" s="21" t="n">
        <v>1</v>
      </c>
      <c r="W946" s="22" t="n">
        <v>5.5</v>
      </c>
      <c r="X946" s="16" t="s">
        <v>335</v>
      </c>
      <c r="Y946" s="16" t="s">
        <v>338</v>
      </c>
      <c r="Z946" s="16" t="s">
        <v>443</v>
      </c>
      <c r="AA946" s="16"/>
      <c r="AB946" s="23"/>
      <c r="AC946" s="17"/>
      <c r="AD946" s="16" t="s">
        <v>444</v>
      </c>
      <c r="AE946" s="16"/>
      <c r="AF946" s="16" t="str">
        <f aca="false">IF(COUNTIF(لیست_سفید!$A$2:$A$21,B946)&gt;0,"بله","خیر")</f>
        <v>خیر</v>
      </c>
      <c r="AG946" s="24" t="n">
        <f aca="false">IF(H946="","",IF(AD946="فیش مفقودی",تنظیمات!$B$6,(INT(I946/1440)*تنظیمات!$B$5+IF(MOD(I946,1440)&lt;=تنظیمات!$B$2,0,MIN(تنظیمات!$B$5,تنظیمات!$B$3+MAX(0,ROUNDUP((MOD(I946,1440)-60)/60,0))*تنظیمات!$B$4)))*INDEX(تعرفه!$B$2:$B$7,MATCH(AD946,تعرفه!$A$2:$A$7,0))))</f>
        <v>0</v>
      </c>
      <c r="AH946" s="24" t="n">
        <v>0</v>
      </c>
      <c r="AI946" s="24" t="n">
        <f aca="false">IF(AG946="","",AH946-AG946)</f>
        <v>0</v>
      </c>
      <c r="AJ946" s="21" t="n">
        <v>6</v>
      </c>
      <c r="AK946" s="21" t="n">
        <v>0</v>
      </c>
      <c r="AL946" s="16" t="s">
        <v>335</v>
      </c>
      <c r="AM946" s="16"/>
      <c r="AN946" s="16" t="s">
        <v>340</v>
      </c>
      <c r="AO946" s="16" t="s">
        <v>340</v>
      </c>
      <c r="AP946" s="16" t="s">
        <v>335</v>
      </c>
      <c r="AQ946" s="16"/>
      <c r="AR946" s="21" t="n">
        <f aca="false">IF(AND(T946&lt;&gt;"",H946&lt;&gt;""),IF(AND((T946-H946)*86400&gt;=0,(T946-H946)*86400&lt;تنظیمات!$B$13),1,0),0)</f>
        <v>0</v>
      </c>
      <c r="AS946" s="21" t="n">
        <f aca="false">IF(Z946="پوز",IF(OR(AB946="",COUNTIF(پوزها!$A$2:$A$5,AA946)=0),1,0),0)</f>
        <v>0</v>
      </c>
      <c r="AT946" s="21" t="n">
        <f aca="false">IF(AI946="",0,IF(AI946&gt;0,1,0))</f>
        <v>0</v>
      </c>
      <c r="AU946" s="21" t="n">
        <f aca="false">IF(AI946="",0,IF(AI946&lt;0,1,0))</f>
        <v>0</v>
      </c>
      <c r="AV946" s="21" t="n">
        <f aca="false">IF(U946&gt;V946,1,0)</f>
        <v>0</v>
      </c>
      <c r="AW946" s="21" t="n">
        <f aca="false">IF(OR(W946&gt;تنظیمات!$B$8,X946="بله"),1,0)</f>
        <v>0</v>
      </c>
      <c r="AX946" s="21" t="n">
        <f aca="false">IF(AND(N946="بله",L946&gt;تنظیمات!$B$9),1,0)</f>
        <v>0</v>
      </c>
      <c r="AY946" s="21" t="n">
        <f aca="false">IF(Y946="معکوس",1,0)</f>
        <v>0</v>
      </c>
      <c r="AZ946" s="21" t="n">
        <f aca="false">IF(ABS(AJ946)&gt;تنظیمات!$B$10,1,0)</f>
        <v>0</v>
      </c>
      <c r="BA946" s="21" t="n">
        <f aca="false">IF(AND(OR(AD946="رایگان/VIP",AD946="جانباز"),AF946="خیر"),1,0)</f>
        <v>0</v>
      </c>
      <c r="BB946" s="21" t="n">
        <f aca="false">IF(AE946="",0,IF(COUNTIF($AE$2:$AE$1001,AE946)&gt;1,1,0))</f>
        <v>0</v>
      </c>
      <c r="BC946" s="21" t="n">
        <f aca="false">IF(AND(H946="",I946&gt;تنظیمات!$B$12*60,AM946="خالی"),1,0)</f>
        <v>0</v>
      </c>
      <c r="BD946" s="21" t="n">
        <f aca="false">IF(AND(AP946="بله",I946&lt;تنظیمات!$B$14,AO946="خیر"),1,0)</f>
        <v>0</v>
      </c>
      <c r="BE946" s="21" t="n">
        <f aca="false">IF(AN946="خیر",1,0)</f>
        <v>0</v>
      </c>
      <c r="BF946" s="21" t="n">
        <f aca="false">IF(AND(AD946="فیش مفقودی",AQ946="بله",I946&gt;تنظیمات!$B$12*60),1,0)</f>
        <v>0</v>
      </c>
      <c r="BG946" s="21" t="n">
        <f aca="false">IF(AND(AK946&gt;تنظیمات!$B$11,AL946="بله"),1,0)</f>
        <v>0</v>
      </c>
      <c r="BH946" s="21" t="n">
        <f aca="false">MIN(100,AR946*تنظیمات!$B$21+AS946*تنظیمات!$B$22+AT946*تنظیمات!$B$23+AU946*تنظیمات!$B$24+AV946*تنظیمات!$B$25+AW946*تنظیمات!$B$26+AX946*تنظیمات!$B$27+AY946*تنظیمات!$B$28+AZ946*تنظیمات!$B$29+BA946*تنظیمات!$B$30+BB946*تنظیمات!$B$31+BC946*تنظیمات!$B$32+BD946*تنظیمات!$B$33+BE946*تنظیمات!$B$34+BF946*تنظیمات!$B$35+BG946*تنظیمات!$B$36)</f>
        <v>0</v>
      </c>
      <c r="BI946" s="16" t="str">
        <f aca="false">IF(BH946&gt;=60,"بحرانی",IF(BH946&gt;=30,"مشکوک",IF(BH946&gt;0,"هشدار","عادی")))</f>
        <v>عادی</v>
      </c>
      <c r="BJ946" s="16" t="s">
        <v>338</v>
      </c>
    </row>
    <row r="947" customFormat="false" ht="15" hidden="false" customHeight="false" outlineLevel="0" collapsed="false">
      <c r="A947" s="16" t="s">
        <v>3153</v>
      </c>
      <c r="B947" s="16" t="s">
        <v>2210</v>
      </c>
      <c r="C947" s="16"/>
      <c r="D947" s="16" t="s">
        <v>386</v>
      </c>
      <c r="E947" s="16" t="s">
        <v>332</v>
      </c>
      <c r="F947" s="16" t="s">
        <v>333</v>
      </c>
      <c r="G947" s="17" t="n">
        <v>46294.2959375</v>
      </c>
      <c r="H947" s="17" t="n">
        <v>46294.4542708333</v>
      </c>
      <c r="I947" s="18" t="n">
        <f aca="false">IF(H947="",ROUND((تنظیمات!$B$7-G947)*1440,0),ROUND((H947-G947)*1440,0))</f>
        <v>228</v>
      </c>
      <c r="J947" s="16" t="s">
        <v>334</v>
      </c>
      <c r="K947" s="16" t="s">
        <v>400</v>
      </c>
      <c r="L947" s="19" t="n">
        <v>0.95</v>
      </c>
      <c r="M947" s="19" t="n">
        <v>0.902</v>
      </c>
      <c r="N947" s="16" t="s">
        <v>335</v>
      </c>
      <c r="O947" s="16" t="s">
        <v>411</v>
      </c>
      <c r="P947" s="16" t="s">
        <v>402</v>
      </c>
      <c r="Q947" s="20" t="n">
        <v>46294</v>
      </c>
      <c r="R947" s="16" t="s">
        <v>3154</v>
      </c>
      <c r="S947" s="16" t="s">
        <v>404</v>
      </c>
      <c r="T947" s="17"/>
      <c r="U947" s="21" t="n">
        <v>1</v>
      </c>
      <c r="V947" s="21" t="n">
        <v>1</v>
      </c>
      <c r="W947" s="22" t="n">
        <v>5.7</v>
      </c>
      <c r="X947" s="16" t="s">
        <v>335</v>
      </c>
      <c r="Y947" s="16" t="s">
        <v>338</v>
      </c>
      <c r="Z947" s="16" t="s">
        <v>413</v>
      </c>
      <c r="AA947" s="16" t="s">
        <v>427</v>
      </c>
      <c r="AB947" s="23" t="s">
        <v>3155</v>
      </c>
      <c r="AC947" s="17" t="n">
        <v>46294.4538773148</v>
      </c>
      <c r="AD947" s="16" t="s">
        <v>338</v>
      </c>
      <c r="AE947" s="16"/>
      <c r="AF947" s="16" t="str">
        <f aca="false">IF(COUNTIF(لیست_سفید!$A$2:$A$21,B947)&gt;0,"بله","خیر")</f>
        <v>خیر</v>
      </c>
      <c r="AG947" s="24" t="n">
        <f aca="false">IF(H947="","",IF(AD947="فیش مفقودی",تنظیمات!$B$6,(INT(I947/1440)*تنظیمات!$B$5+IF(MOD(I947,1440)&lt;=تنظیمات!$B$2,0,MIN(تنظیمات!$B$5,تنظیمات!$B$3+MAX(0,ROUNDUP((MOD(I947,1440)-60)/60,0))*تنظیمات!$B$4)))*INDEX(تعرفه!$B$2:$B$7,MATCH(AD947,تعرفه!$A$2:$A$7,0))))</f>
        <v>62000</v>
      </c>
      <c r="AH947" s="24" t="n">
        <v>62000</v>
      </c>
      <c r="AI947" s="24" t="n">
        <f aca="false">IF(AG947="","",AH947-AG947)</f>
        <v>0</v>
      </c>
      <c r="AJ947" s="21" t="n">
        <v>2</v>
      </c>
      <c r="AK947" s="21" t="n">
        <v>0</v>
      </c>
      <c r="AL947" s="16" t="s">
        <v>335</v>
      </c>
      <c r="AM947" s="16"/>
      <c r="AN947" s="16" t="s">
        <v>340</v>
      </c>
      <c r="AO947" s="16" t="s">
        <v>340</v>
      </c>
      <c r="AP947" s="16" t="s">
        <v>335</v>
      </c>
      <c r="AQ947" s="16"/>
      <c r="AR947" s="21" t="n">
        <f aca="false">IF(AND(T947&lt;&gt;"",H947&lt;&gt;""),IF(AND((T947-H947)*86400&gt;=0,(T947-H947)*86400&lt;تنظیمات!$B$13),1,0),0)</f>
        <v>0</v>
      </c>
      <c r="AS947" s="21" t="n">
        <f aca="false">IF(Z947="پوز",IF(OR(AB947="",COUNTIF(پوزها!$A$2:$A$5,AA947)=0),1,0),0)</f>
        <v>0</v>
      </c>
      <c r="AT947" s="21" t="n">
        <f aca="false">IF(AI947="",0,IF(AI947&gt;0,1,0))</f>
        <v>0</v>
      </c>
      <c r="AU947" s="21" t="n">
        <f aca="false">IF(AI947="",0,IF(AI947&lt;0,1,0))</f>
        <v>0</v>
      </c>
      <c r="AV947" s="21" t="n">
        <f aca="false">IF(U947&gt;V947,1,0)</f>
        <v>0</v>
      </c>
      <c r="AW947" s="21" t="n">
        <f aca="false">IF(OR(W947&gt;تنظیمات!$B$8,X947="بله"),1,0)</f>
        <v>0</v>
      </c>
      <c r="AX947" s="21" t="n">
        <f aca="false">IF(AND(N947="بله",L947&gt;تنظیمات!$B$9),1,0)</f>
        <v>0</v>
      </c>
      <c r="AY947" s="21" t="n">
        <f aca="false">IF(Y947="معکوس",1,0)</f>
        <v>0</v>
      </c>
      <c r="AZ947" s="21" t="n">
        <f aca="false">IF(ABS(AJ947)&gt;تنظیمات!$B$10,1,0)</f>
        <v>0</v>
      </c>
      <c r="BA947" s="21" t="n">
        <f aca="false">IF(AND(OR(AD947="رایگان/VIP",AD947="جانباز"),AF947="خیر"),1,0)</f>
        <v>0</v>
      </c>
      <c r="BB947" s="21" t="n">
        <f aca="false">IF(AE947="",0,IF(COUNTIF($AE$2:$AE$1001,AE947)&gt;1,1,0))</f>
        <v>0</v>
      </c>
      <c r="BC947" s="21" t="n">
        <f aca="false">IF(AND(H947="",I947&gt;تنظیمات!$B$12*60,AM947="خالی"),1,0)</f>
        <v>0</v>
      </c>
      <c r="BD947" s="21" t="n">
        <f aca="false">IF(AND(AP947="بله",I947&lt;تنظیمات!$B$14,AO947="خیر"),1,0)</f>
        <v>0</v>
      </c>
      <c r="BE947" s="21" t="n">
        <f aca="false">IF(AN947="خیر",1,0)</f>
        <v>0</v>
      </c>
      <c r="BF947" s="21" t="n">
        <f aca="false">IF(AND(AD947="فیش مفقودی",AQ947="بله",I947&gt;تنظیمات!$B$12*60),1,0)</f>
        <v>0</v>
      </c>
      <c r="BG947" s="21" t="n">
        <f aca="false">IF(AND(AK947&gt;تنظیمات!$B$11,AL947="بله"),1,0)</f>
        <v>0</v>
      </c>
      <c r="BH947" s="21" t="n">
        <f aca="false">MIN(100,AR947*تنظیمات!$B$21+AS947*تنظیمات!$B$22+AT947*تنظیمات!$B$23+AU947*تنظیمات!$B$24+AV947*تنظیمات!$B$25+AW947*تنظیمات!$B$26+AX947*تنظیمات!$B$27+AY947*تنظیمات!$B$28+AZ947*تنظیمات!$B$29+BA947*تنظیمات!$B$30+BB947*تنظیمات!$B$31+BC947*تنظیمات!$B$32+BD947*تنظیمات!$B$33+BE947*تنظیمات!$B$34+BF947*تنظیمات!$B$35+BG947*تنظیمات!$B$36)</f>
        <v>0</v>
      </c>
      <c r="BI947" s="16" t="str">
        <f aca="false">IF(BH947&gt;=60,"بحرانی",IF(BH947&gt;=30,"مشکوک",IF(BH947&gt;0,"هشدار","عادی")))</f>
        <v>عادی</v>
      </c>
      <c r="BJ947" s="16" t="s">
        <v>338</v>
      </c>
    </row>
    <row r="948" customFormat="false" ht="15" hidden="false" customHeight="false" outlineLevel="0" collapsed="false">
      <c r="A948" s="16" t="s">
        <v>3156</v>
      </c>
      <c r="B948" s="16" t="s">
        <v>682</v>
      </c>
      <c r="C948" s="16"/>
      <c r="D948" s="16" t="s">
        <v>531</v>
      </c>
      <c r="E948" s="16" t="s">
        <v>375</v>
      </c>
      <c r="F948" s="16" t="s">
        <v>333</v>
      </c>
      <c r="G948" s="17" t="n">
        <v>46294.3050578704</v>
      </c>
      <c r="H948" s="17" t="n">
        <v>46294.346724537</v>
      </c>
      <c r="I948" s="18" t="n">
        <f aca="false">IF(H948="",ROUND((تنظیمات!$B$7-G948)*1440,0),ROUND((H948-G948)*1440,0))</f>
        <v>60</v>
      </c>
      <c r="J948" s="16" t="s">
        <v>346</v>
      </c>
      <c r="K948" s="16" t="s">
        <v>400</v>
      </c>
      <c r="L948" s="19" t="n">
        <v>0.961</v>
      </c>
      <c r="M948" s="19" t="n">
        <v>0.948</v>
      </c>
      <c r="N948" s="16" t="s">
        <v>335</v>
      </c>
      <c r="O948" s="16" t="s">
        <v>411</v>
      </c>
      <c r="P948" s="16" t="s">
        <v>402</v>
      </c>
      <c r="Q948" s="20" t="n">
        <v>46294</v>
      </c>
      <c r="R948" s="16" t="s">
        <v>3157</v>
      </c>
      <c r="S948" s="16" t="s">
        <v>404</v>
      </c>
      <c r="T948" s="17"/>
      <c r="U948" s="21" t="n">
        <v>1</v>
      </c>
      <c r="V948" s="21" t="n">
        <v>1</v>
      </c>
      <c r="W948" s="22" t="n">
        <v>4.9</v>
      </c>
      <c r="X948" s="16" t="s">
        <v>335</v>
      </c>
      <c r="Y948" s="16" t="s">
        <v>338</v>
      </c>
      <c r="Z948" s="16" t="s">
        <v>413</v>
      </c>
      <c r="AA948" s="16" t="s">
        <v>427</v>
      </c>
      <c r="AB948" s="23" t="s">
        <v>3158</v>
      </c>
      <c r="AC948" s="17" t="n">
        <v>46294.3462962963</v>
      </c>
      <c r="AD948" s="16" t="s">
        <v>338</v>
      </c>
      <c r="AE948" s="16"/>
      <c r="AF948" s="16" t="str">
        <f aca="false">IF(COUNTIF(لیست_سفید!$A$2:$A$21,B948)&gt;0,"بله","خیر")</f>
        <v>خیر</v>
      </c>
      <c r="AG948" s="24" t="n">
        <f aca="false">IF(H948="","",IF(AD948="فیش مفقودی",تنظیمات!$B$6,(INT(I948/1440)*تنظیمات!$B$5+IF(MOD(I948,1440)&lt;=تنظیمات!$B$2,0,MIN(تنظیمات!$B$5,تنظیمات!$B$3+MAX(0,ROUNDUP((MOD(I948,1440)-60)/60,0))*تنظیمات!$B$4)))*INDEX(تعرفه!$B$2:$B$7,MATCH(AD948,تعرفه!$A$2:$A$7,0))))</f>
        <v>20000</v>
      </c>
      <c r="AH948" s="24" t="n">
        <v>20000</v>
      </c>
      <c r="AI948" s="24" t="n">
        <f aca="false">IF(AG948="","",AH948-AG948)</f>
        <v>0</v>
      </c>
      <c r="AJ948" s="21" t="n">
        <v>-4</v>
      </c>
      <c r="AK948" s="21" t="n">
        <v>0</v>
      </c>
      <c r="AL948" s="16" t="s">
        <v>335</v>
      </c>
      <c r="AM948" s="16"/>
      <c r="AN948" s="16" t="s">
        <v>340</v>
      </c>
      <c r="AO948" s="16" t="s">
        <v>340</v>
      </c>
      <c r="AP948" s="16" t="s">
        <v>335</v>
      </c>
      <c r="AQ948" s="16"/>
      <c r="AR948" s="21" t="n">
        <f aca="false">IF(AND(T948&lt;&gt;"",H948&lt;&gt;""),IF(AND((T948-H948)*86400&gt;=0,(T948-H948)*86400&lt;تنظیمات!$B$13),1,0),0)</f>
        <v>0</v>
      </c>
      <c r="AS948" s="21" t="n">
        <f aca="false">IF(Z948="پوز",IF(OR(AB948="",COUNTIF(پوزها!$A$2:$A$5,AA948)=0),1,0),0)</f>
        <v>0</v>
      </c>
      <c r="AT948" s="21" t="n">
        <f aca="false">IF(AI948="",0,IF(AI948&gt;0,1,0))</f>
        <v>0</v>
      </c>
      <c r="AU948" s="21" t="n">
        <f aca="false">IF(AI948="",0,IF(AI948&lt;0,1,0))</f>
        <v>0</v>
      </c>
      <c r="AV948" s="21" t="n">
        <f aca="false">IF(U948&gt;V948,1,0)</f>
        <v>0</v>
      </c>
      <c r="AW948" s="21" t="n">
        <f aca="false">IF(OR(W948&gt;تنظیمات!$B$8,X948="بله"),1,0)</f>
        <v>0</v>
      </c>
      <c r="AX948" s="21" t="n">
        <f aca="false">IF(AND(N948="بله",L948&gt;تنظیمات!$B$9),1,0)</f>
        <v>0</v>
      </c>
      <c r="AY948" s="21" t="n">
        <f aca="false">IF(Y948="معکوس",1,0)</f>
        <v>0</v>
      </c>
      <c r="AZ948" s="21" t="n">
        <f aca="false">IF(ABS(AJ948)&gt;تنظیمات!$B$10,1,0)</f>
        <v>0</v>
      </c>
      <c r="BA948" s="21" t="n">
        <f aca="false">IF(AND(OR(AD948="رایگان/VIP",AD948="جانباز"),AF948="خیر"),1,0)</f>
        <v>0</v>
      </c>
      <c r="BB948" s="21" t="n">
        <f aca="false">IF(AE948="",0,IF(COUNTIF($AE$2:$AE$1001,AE948)&gt;1,1,0))</f>
        <v>0</v>
      </c>
      <c r="BC948" s="21" t="n">
        <f aca="false">IF(AND(H948="",I948&gt;تنظیمات!$B$12*60,AM948="خالی"),1,0)</f>
        <v>0</v>
      </c>
      <c r="BD948" s="21" t="n">
        <f aca="false">IF(AND(AP948="بله",I948&lt;تنظیمات!$B$14,AO948="خیر"),1,0)</f>
        <v>0</v>
      </c>
      <c r="BE948" s="21" t="n">
        <f aca="false">IF(AN948="خیر",1,0)</f>
        <v>0</v>
      </c>
      <c r="BF948" s="21" t="n">
        <f aca="false">IF(AND(AD948="فیش مفقودی",AQ948="بله",I948&gt;تنظیمات!$B$12*60),1,0)</f>
        <v>0</v>
      </c>
      <c r="BG948" s="21" t="n">
        <f aca="false">IF(AND(AK948&gt;تنظیمات!$B$11,AL948="بله"),1,0)</f>
        <v>0</v>
      </c>
      <c r="BH948" s="21" t="n">
        <f aca="false">MIN(100,AR948*تنظیمات!$B$21+AS948*تنظیمات!$B$22+AT948*تنظیمات!$B$23+AU948*تنظیمات!$B$24+AV948*تنظیمات!$B$25+AW948*تنظیمات!$B$26+AX948*تنظیمات!$B$27+AY948*تنظیمات!$B$28+AZ948*تنظیمات!$B$29+BA948*تنظیمات!$B$30+BB948*تنظیمات!$B$31+BC948*تنظیمات!$B$32+BD948*تنظیمات!$B$33+BE948*تنظیمات!$B$34+BF948*تنظیمات!$B$35+BG948*تنظیمات!$B$36)</f>
        <v>0</v>
      </c>
      <c r="BI948" s="16" t="str">
        <f aca="false">IF(BH948&gt;=60,"بحرانی",IF(BH948&gt;=30,"مشکوک",IF(BH948&gt;0,"هشدار","عادی")))</f>
        <v>عادی</v>
      </c>
      <c r="BJ948" s="16" t="s">
        <v>338</v>
      </c>
    </row>
    <row r="949" customFormat="false" ht="15" hidden="false" customHeight="false" outlineLevel="0" collapsed="false">
      <c r="A949" s="16" t="s">
        <v>3159</v>
      </c>
      <c r="B949" s="16" t="s">
        <v>1079</v>
      </c>
      <c r="C949" s="16"/>
      <c r="D949" s="16" t="s">
        <v>508</v>
      </c>
      <c r="E949" s="16" t="s">
        <v>332</v>
      </c>
      <c r="F949" s="16" t="s">
        <v>333</v>
      </c>
      <c r="G949" s="17" t="n">
        <v>46294.3409027778</v>
      </c>
      <c r="H949" s="17" t="n">
        <v>46294.406875</v>
      </c>
      <c r="I949" s="18" t="n">
        <f aca="false">IF(H949="",ROUND((تنظیمات!$B$7-G949)*1440,0),ROUND((H949-G949)*1440,0))</f>
        <v>95</v>
      </c>
      <c r="J949" s="16" t="s">
        <v>346</v>
      </c>
      <c r="K949" s="16" t="s">
        <v>410</v>
      </c>
      <c r="L949" s="19" t="n">
        <v>0.946</v>
      </c>
      <c r="M949" s="19" t="n">
        <v>0.995</v>
      </c>
      <c r="N949" s="16" t="s">
        <v>335</v>
      </c>
      <c r="O949" s="16" t="s">
        <v>401</v>
      </c>
      <c r="P949" s="16" t="s">
        <v>402</v>
      </c>
      <c r="Q949" s="20" t="n">
        <v>46294</v>
      </c>
      <c r="R949" s="16" t="s">
        <v>3160</v>
      </c>
      <c r="S949" s="16" t="s">
        <v>404</v>
      </c>
      <c r="T949" s="17"/>
      <c r="U949" s="21" t="n">
        <v>1</v>
      </c>
      <c r="V949" s="21" t="n">
        <v>1</v>
      </c>
      <c r="W949" s="22" t="n">
        <v>4.1</v>
      </c>
      <c r="X949" s="16" t="s">
        <v>335</v>
      </c>
      <c r="Y949" s="16" t="s">
        <v>338</v>
      </c>
      <c r="Z949" s="16" t="s">
        <v>405</v>
      </c>
      <c r="AA949" s="16"/>
      <c r="AB949" s="23"/>
      <c r="AC949" s="17"/>
      <c r="AD949" s="16" t="s">
        <v>338</v>
      </c>
      <c r="AE949" s="16"/>
      <c r="AF949" s="16" t="str">
        <f aca="false">IF(COUNTIF(لیست_سفید!$A$2:$A$21,B949)&gt;0,"بله","خیر")</f>
        <v>خیر</v>
      </c>
      <c r="AG949" s="24" t="n">
        <f aca="false">IF(H949="","",IF(AD949="فیش مفقودی",تنظیمات!$B$6,(INT(I949/1440)*تنظیمات!$B$5+IF(MOD(I949,1440)&lt;=تنظیمات!$B$2,0,MIN(تنظیمات!$B$5,تنظیمات!$B$3+MAX(0,ROUNDUP((MOD(I949,1440)-60)/60,0))*تنظیمات!$B$4)))*INDEX(تعرفه!$B$2:$B$7,MATCH(AD949,تعرفه!$A$2:$A$7,0))))</f>
        <v>34000</v>
      </c>
      <c r="AH949" s="24" t="n">
        <v>34000</v>
      </c>
      <c r="AI949" s="24" t="n">
        <f aca="false">IF(AG949="","",AH949-AG949)</f>
        <v>0</v>
      </c>
      <c r="AJ949" s="21" t="n">
        <v>0</v>
      </c>
      <c r="AK949" s="21" t="n">
        <v>0</v>
      </c>
      <c r="AL949" s="16" t="s">
        <v>335</v>
      </c>
      <c r="AM949" s="16"/>
      <c r="AN949" s="16" t="s">
        <v>340</v>
      </c>
      <c r="AO949" s="16" t="s">
        <v>340</v>
      </c>
      <c r="AP949" s="16" t="s">
        <v>335</v>
      </c>
      <c r="AQ949" s="16"/>
      <c r="AR949" s="21" t="n">
        <f aca="false">IF(AND(T949&lt;&gt;"",H949&lt;&gt;""),IF(AND((T949-H949)*86400&gt;=0,(T949-H949)*86400&lt;تنظیمات!$B$13),1,0),0)</f>
        <v>0</v>
      </c>
      <c r="AS949" s="21" t="n">
        <f aca="false">IF(Z949="پوز",IF(OR(AB949="",COUNTIF(پوزها!$A$2:$A$5,AA949)=0),1,0),0)</f>
        <v>0</v>
      </c>
      <c r="AT949" s="21" t="n">
        <f aca="false">IF(AI949="",0,IF(AI949&gt;0,1,0))</f>
        <v>0</v>
      </c>
      <c r="AU949" s="21" t="n">
        <f aca="false">IF(AI949="",0,IF(AI949&lt;0,1,0))</f>
        <v>0</v>
      </c>
      <c r="AV949" s="21" t="n">
        <f aca="false">IF(U949&gt;V949,1,0)</f>
        <v>0</v>
      </c>
      <c r="AW949" s="21" t="n">
        <f aca="false">IF(OR(W949&gt;تنظیمات!$B$8,X949="بله"),1,0)</f>
        <v>0</v>
      </c>
      <c r="AX949" s="21" t="n">
        <f aca="false">IF(AND(N949="بله",L949&gt;تنظیمات!$B$9),1,0)</f>
        <v>0</v>
      </c>
      <c r="AY949" s="21" t="n">
        <f aca="false">IF(Y949="معکوس",1,0)</f>
        <v>0</v>
      </c>
      <c r="AZ949" s="21" t="n">
        <f aca="false">IF(ABS(AJ949)&gt;تنظیمات!$B$10,1,0)</f>
        <v>0</v>
      </c>
      <c r="BA949" s="21" t="n">
        <f aca="false">IF(AND(OR(AD949="رایگان/VIP",AD949="جانباز"),AF949="خیر"),1,0)</f>
        <v>0</v>
      </c>
      <c r="BB949" s="21" t="n">
        <f aca="false">IF(AE949="",0,IF(COUNTIF($AE$2:$AE$1001,AE949)&gt;1,1,0))</f>
        <v>0</v>
      </c>
      <c r="BC949" s="21" t="n">
        <f aca="false">IF(AND(H949="",I949&gt;تنظیمات!$B$12*60,AM949="خالی"),1,0)</f>
        <v>0</v>
      </c>
      <c r="BD949" s="21" t="n">
        <f aca="false">IF(AND(AP949="بله",I949&lt;تنظیمات!$B$14,AO949="خیر"),1,0)</f>
        <v>0</v>
      </c>
      <c r="BE949" s="21" t="n">
        <f aca="false">IF(AN949="خیر",1,0)</f>
        <v>0</v>
      </c>
      <c r="BF949" s="21" t="n">
        <f aca="false">IF(AND(AD949="فیش مفقودی",AQ949="بله",I949&gt;تنظیمات!$B$12*60),1,0)</f>
        <v>0</v>
      </c>
      <c r="BG949" s="21" t="n">
        <f aca="false">IF(AND(AK949&gt;تنظیمات!$B$11,AL949="بله"),1,0)</f>
        <v>0</v>
      </c>
      <c r="BH949" s="21" t="n">
        <f aca="false">MIN(100,AR949*تنظیمات!$B$21+AS949*تنظیمات!$B$22+AT949*تنظیمات!$B$23+AU949*تنظیمات!$B$24+AV949*تنظیمات!$B$25+AW949*تنظیمات!$B$26+AX949*تنظیمات!$B$27+AY949*تنظیمات!$B$28+AZ949*تنظیمات!$B$29+BA949*تنظیمات!$B$30+BB949*تنظیمات!$B$31+BC949*تنظیمات!$B$32+BD949*تنظیمات!$B$33+BE949*تنظیمات!$B$34+BF949*تنظیمات!$B$35+BG949*تنظیمات!$B$36)</f>
        <v>0</v>
      </c>
      <c r="BI949" s="16" t="str">
        <f aca="false">IF(BH949&gt;=60,"بحرانی",IF(BH949&gt;=30,"مشکوک",IF(BH949&gt;0,"هشدار","عادی")))</f>
        <v>عادی</v>
      </c>
      <c r="BJ949" s="16" t="s">
        <v>338</v>
      </c>
    </row>
    <row r="950" customFormat="false" ht="15" hidden="false" customHeight="false" outlineLevel="0" collapsed="false">
      <c r="A950" s="16" t="s">
        <v>3161</v>
      </c>
      <c r="B950" s="16" t="s">
        <v>1083</v>
      </c>
      <c r="C950" s="16"/>
      <c r="D950" s="16" t="s">
        <v>331</v>
      </c>
      <c r="E950" s="16" t="s">
        <v>390</v>
      </c>
      <c r="F950" s="16" t="s">
        <v>333</v>
      </c>
      <c r="G950" s="17" t="n">
        <v>46294.4083912037</v>
      </c>
      <c r="H950" s="17" t="n">
        <v>46294.4778356482</v>
      </c>
      <c r="I950" s="18" t="n">
        <f aca="false">IF(H950="",ROUND((تنظیمات!$B$7-G950)*1440,0),ROUND((H950-G950)*1440,0))</f>
        <v>100</v>
      </c>
      <c r="J950" s="16" t="s">
        <v>346</v>
      </c>
      <c r="K950" s="16" t="s">
        <v>410</v>
      </c>
      <c r="L950" s="19" t="n">
        <v>0.892</v>
      </c>
      <c r="M950" s="19" t="n">
        <v>0.929</v>
      </c>
      <c r="N950" s="16" t="s">
        <v>335</v>
      </c>
      <c r="O950" s="16" t="s">
        <v>401</v>
      </c>
      <c r="P950" s="16" t="s">
        <v>402</v>
      </c>
      <c r="Q950" s="20" t="n">
        <v>46294</v>
      </c>
      <c r="R950" s="16" t="s">
        <v>3162</v>
      </c>
      <c r="S950" s="16" t="s">
        <v>404</v>
      </c>
      <c r="T950" s="17"/>
      <c r="U950" s="21" t="n">
        <v>1</v>
      </c>
      <c r="V950" s="21" t="n">
        <v>1</v>
      </c>
      <c r="W950" s="22" t="n">
        <v>4.9</v>
      </c>
      <c r="X950" s="16" t="s">
        <v>335</v>
      </c>
      <c r="Y950" s="16" t="s">
        <v>338</v>
      </c>
      <c r="Z950" s="16" t="s">
        <v>405</v>
      </c>
      <c r="AA950" s="16"/>
      <c r="AB950" s="23"/>
      <c r="AC950" s="17"/>
      <c r="AD950" s="16" t="s">
        <v>338</v>
      </c>
      <c r="AE950" s="16"/>
      <c r="AF950" s="16" t="str">
        <f aca="false">IF(COUNTIF(لیست_سفید!$A$2:$A$21,B950)&gt;0,"بله","خیر")</f>
        <v>خیر</v>
      </c>
      <c r="AG950" s="24" t="n">
        <f aca="false">IF(H950="","",IF(AD950="فیش مفقودی",تنظیمات!$B$6,(INT(I950/1440)*تنظیمات!$B$5+IF(MOD(I950,1440)&lt;=تنظیمات!$B$2,0,MIN(تنظیمات!$B$5,تنظیمات!$B$3+MAX(0,ROUNDUP((MOD(I950,1440)-60)/60,0))*تنظیمات!$B$4)))*INDEX(تعرفه!$B$2:$B$7,MATCH(AD950,تعرفه!$A$2:$A$7,0))))</f>
        <v>34000</v>
      </c>
      <c r="AH950" s="24" t="n">
        <v>34000</v>
      </c>
      <c r="AI950" s="24" t="n">
        <f aca="false">IF(AG950="","",AH950-AG950)</f>
        <v>0</v>
      </c>
      <c r="AJ950" s="21" t="n">
        <v>-2</v>
      </c>
      <c r="AK950" s="21" t="n">
        <v>0</v>
      </c>
      <c r="AL950" s="16" t="s">
        <v>335</v>
      </c>
      <c r="AM950" s="16"/>
      <c r="AN950" s="16" t="s">
        <v>340</v>
      </c>
      <c r="AO950" s="16" t="s">
        <v>340</v>
      </c>
      <c r="AP950" s="16" t="s">
        <v>335</v>
      </c>
      <c r="AQ950" s="16"/>
      <c r="AR950" s="21" t="n">
        <f aca="false">IF(AND(T950&lt;&gt;"",H950&lt;&gt;""),IF(AND((T950-H950)*86400&gt;=0,(T950-H950)*86400&lt;تنظیمات!$B$13),1,0),0)</f>
        <v>0</v>
      </c>
      <c r="AS950" s="21" t="n">
        <f aca="false">IF(Z950="پوز",IF(OR(AB950="",COUNTIF(پوزها!$A$2:$A$5,AA950)=0),1,0),0)</f>
        <v>0</v>
      </c>
      <c r="AT950" s="21" t="n">
        <f aca="false">IF(AI950="",0,IF(AI950&gt;0,1,0))</f>
        <v>0</v>
      </c>
      <c r="AU950" s="21" t="n">
        <f aca="false">IF(AI950="",0,IF(AI950&lt;0,1,0))</f>
        <v>0</v>
      </c>
      <c r="AV950" s="21" t="n">
        <f aca="false">IF(U950&gt;V950,1,0)</f>
        <v>0</v>
      </c>
      <c r="AW950" s="21" t="n">
        <f aca="false">IF(OR(W950&gt;تنظیمات!$B$8,X950="بله"),1,0)</f>
        <v>0</v>
      </c>
      <c r="AX950" s="21" t="n">
        <f aca="false">IF(AND(N950="بله",L950&gt;تنظیمات!$B$9),1,0)</f>
        <v>0</v>
      </c>
      <c r="AY950" s="21" t="n">
        <f aca="false">IF(Y950="معکوس",1,0)</f>
        <v>0</v>
      </c>
      <c r="AZ950" s="21" t="n">
        <f aca="false">IF(ABS(AJ950)&gt;تنظیمات!$B$10,1,0)</f>
        <v>0</v>
      </c>
      <c r="BA950" s="21" t="n">
        <f aca="false">IF(AND(OR(AD950="رایگان/VIP",AD950="جانباز"),AF950="خیر"),1,0)</f>
        <v>0</v>
      </c>
      <c r="BB950" s="21" t="n">
        <f aca="false">IF(AE950="",0,IF(COUNTIF($AE$2:$AE$1001,AE950)&gt;1,1,0))</f>
        <v>0</v>
      </c>
      <c r="BC950" s="21" t="n">
        <f aca="false">IF(AND(H950="",I950&gt;تنظیمات!$B$12*60,AM950="خالی"),1,0)</f>
        <v>0</v>
      </c>
      <c r="BD950" s="21" t="n">
        <f aca="false">IF(AND(AP950="بله",I950&lt;تنظیمات!$B$14,AO950="خیر"),1,0)</f>
        <v>0</v>
      </c>
      <c r="BE950" s="21" t="n">
        <f aca="false">IF(AN950="خیر",1,0)</f>
        <v>0</v>
      </c>
      <c r="BF950" s="21" t="n">
        <f aca="false">IF(AND(AD950="فیش مفقودی",AQ950="بله",I950&gt;تنظیمات!$B$12*60),1,0)</f>
        <v>0</v>
      </c>
      <c r="BG950" s="21" t="n">
        <f aca="false">IF(AND(AK950&gt;تنظیمات!$B$11,AL950="بله"),1,0)</f>
        <v>0</v>
      </c>
      <c r="BH950" s="21" t="n">
        <f aca="false">MIN(100,AR950*تنظیمات!$B$21+AS950*تنظیمات!$B$22+AT950*تنظیمات!$B$23+AU950*تنظیمات!$B$24+AV950*تنظیمات!$B$25+AW950*تنظیمات!$B$26+AX950*تنظیمات!$B$27+AY950*تنظیمات!$B$28+AZ950*تنظیمات!$B$29+BA950*تنظیمات!$B$30+BB950*تنظیمات!$B$31+BC950*تنظیمات!$B$32+BD950*تنظیمات!$B$33+BE950*تنظیمات!$B$34+BF950*تنظیمات!$B$35+BG950*تنظیمات!$B$36)</f>
        <v>0</v>
      </c>
      <c r="BI950" s="16" t="str">
        <f aca="false">IF(BH950&gt;=60,"بحرانی",IF(BH950&gt;=30,"مشکوک",IF(BH950&gt;0,"هشدار","عادی")))</f>
        <v>عادی</v>
      </c>
      <c r="BJ950" s="16" t="s">
        <v>338</v>
      </c>
    </row>
    <row r="951" customFormat="false" ht="15" hidden="false" customHeight="false" outlineLevel="0" collapsed="false">
      <c r="A951" s="16" t="s">
        <v>3163</v>
      </c>
      <c r="B951" s="16" t="s">
        <v>1227</v>
      </c>
      <c r="C951" s="16"/>
      <c r="D951" s="16" t="s">
        <v>386</v>
      </c>
      <c r="E951" s="16" t="s">
        <v>363</v>
      </c>
      <c r="F951" s="16" t="s">
        <v>333</v>
      </c>
      <c r="G951" s="17" t="n">
        <v>46294.4085763889</v>
      </c>
      <c r="H951" s="17" t="n">
        <v>46294.4141319445</v>
      </c>
      <c r="I951" s="18" t="n">
        <f aca="false">IF(H951="",ROUND((تنظیمات!$B$7-G951)*1440,0),ROUND((H951-G951)*1440,0))</f>
        <v>8</v>
      </c>
      <c r="J951" s="16" t="s">
        <v>334</v>
      </c>
      <c r="K951" s="16" t="s">
        <v>410</v>
      </c>
      <c r="L951" s="19" t="n">
        <v>0.889</v>
      </c>
      <c r="M951" s="19" t="n">
        <v>0.981</v>
      </c>
      <c r="N951" s="16" t="s">
        <v>335</v>
      </c>
      <c r="O951" s="16" t="s">
        <v>401</v>
      </c>
      <c r="P951" s="16" t="s">
        <v>402</v>
      </c>
      <c r="Q951" s="20" t="n">
        <v>46294</v>
      </c>
      <c r="R951" s="16" t="s">
        <v>3164</v>
      </c>
      <c r="S951" s="16" t="s">
        <v>404</v>
      </c>
      <c r="T951" s="17"/>
      <c r="U951" s="21" t="n">
        <v>1</v>
      </c>
      <c r="V951" s="21" t="n">
        <v>1</v>
      </c>
      <c r="W951" s="22" t="n">
        <v>6.6</v>
      </c>
      <c r="X951" s="16" t="s">
        <v>335</v>
      </c>
      <c r="Y951" s="16" t="s">
        <v>338</v>
      </c>
      <c r="Z951" s="16" t="s">
        <v>628</v>
      </c>
      <c r="AA951" s="16"/>
      <c r="AB951" s="23"/>
      <c r="AC951" s="17"/>
      <c r="AD951" s="16" t="s">
        <v>338</v>
      </c>
      <c r="AE951" s="16"/>
      <c r="AF951" s="16" t="str">
        <f aca="false">IF(COUNTIF(لیست_سفید!$A$2:$A$21,B951)&gt;0,"بله","خیر")</f>
        <v>خیر</v>
      </c>
      <c r="AG951" s="24" t="n">
        <f aca="false">IF(H951="","",IF(AD951="فیش مفقودی",تنظیمات!$B$6,(INT(I951/1440)*تنظیمات!$B$5+IF(MOD(I951,1440)&lt;=تنظیمات!$B$2,0,MIN(تنظیمات!$B$5,تنظیمات!$B$3+MAX(0,ROUNDUP((MOD(I951,1440)-60)/60,0))*تنظیمات!$B$4)))*INDEX(تعرفه!$B$2:$B$7,MATCH(AD951,تعرفه!$A$2:$A$7,0))))</f>
        <v>0</v>
      </c>
      <c r="AH951" s="24" t="n">
        <v>0</v>
      </c>
      <c r="AI951" s="24" t="n">
        <f aca="false">IF(AG951="","",AH951-AG951)</f>
        <v>0</v>
      </c>
      <c r="AJ951" s="21" t="n">
        <v>0</v>
      </c>
      <c r="AK951" s="21" t="n">
        <v>0</v>
      </c>
      <c r="AL951" s="16" t="s">
        <v>335</v>
      </c>
      <c r="AM951" s="16"/>
      <c r="AN951" s="16" t="s">
        <v>340</v>
      </c>
      <c r="AO951" s="16" t="s">
        <v>340</v>
      </c>
      <c r="AP951" s="16" t="s">
        <v>335</v>
      </c>
      <c r="AQ951" s="16"/>
      <c r="AR951" s="21" t="n">
        <f aca="false">IF(AND(T951&lt;&gt;"",H951&lt;&gt;""),IF(AND((T951-H951)*86400&gt;=0,(T951-H951)*86400&lt;تنظیمات!$B$13),1,0),0)</f>
        <v>0</v>
      </c>
      <c r="AS951" s="21" t="n">
        <f aca="false">IF(Z951="پوز",IF(OR(AB951="",COUNTIF(پوزها!$A$2:$A$5,AA951)=0),1,0),0)</f>
        <v>0</v>
      </c>
      <c r="AT951" s="21" t="n">
        <f aca="false">IF(AI951="",0,IF(AI951&gt;0,1,0))</f>
        <v>0</v>
      </c>
      <c r="AU951" s="21" t="n">
        <f aca="false">IF(AI951="",0,IF(AI951&lt;0,1,0))</f>
        <v>0</v>
      </c>
      <c r="AV951" s="21" t="n">
        <f aca="false">IF(U951&gt;V951,1,0)</f>
        <v>0</v>
      </c>
      <c r="AW951" s="21" t="n">
        <f aca="false">IF(OR(W951&gt;تنظیمات!$B$8,X951="بله"),1,0)</f>
        <v>0</v>
      </c>
      <c r="AX951" s="21" t="n">
        <f aca="false">IF(AND(N951="بله",L951&gt;تنظیمات!$B$9),1,0)</f>
        <v>0</v>
      </c>
      <c r="AY951" s="21" t="n">
        <f aca="false">IF(Y951="معکوس",1,0)</f>
        <v>0</v>
      </c>
      <c r="AZ951" s="21" t="n">
        <f aca="false">IF(ABS(AJ951)&gt;تنظیمات!$B$10,1,0)</f>
        <v>0</v>
      </c>
      <c r="BA951" s="21" t="n">
        <f aca="false">IF(AND(OR(AD951="رایگان/VIP",AD951="جانباز"),AF951="خیر"),1,0)</f>
        <v>0</v>
      </c>
      <c r="BB951" s="21" t="n">
        <f aca="false">IF(AE951="",0,IF(COUNTIF($AE$2:$AE$1001,AE951)&gt;1,1,0))</f>
        <v>0</v>
      </c>
      <c r="BC951" s="21" t="n">
        <f aca="false">IF(AND(H951="",I951&gt;تنظیمات!$B$12*60,AM951="خالی"),1,0)</f>
        <v>0</v>
      </c>
      <c r="BD951" s="21" t="n">
        <f aca="false">IF(AND(AP951="بله",I951&lt;تنظیمات!$B$14,AO951="خیر"),1,0)</f>
        <v>0</v>
      </c>
      <c r="BE951" s="21" t="n">
        <f aca="false">IF(AN951="خیر",1,0)</f>
        <v>0</v>
      </c>
      <c r="BF951" s="21" t="n">
        <f aca="false">IF(AND(AD951="فیش مفقودی",AQ951="بله",I951&gt;تنظیمات!$B$12*60),1,0)</f>
        <v>0</v>
      </c>
      <c r="BG951" s="21" t="n">
        <f aca="false">IF(AND(AK951&gt;تنظیمات!$B$11,AL951="بله"),1,0)</f>
        <v>0</v>
      </c>
      <c r="BH951" s="21" t="n">
        <f aca="false">MIN(100,AR951*تنظیمات!$B$21+AS951*تنظیمات!$B$22+AT951*تنظیمات!$B$23+AU951*تنظیمات!$B$24+AV951*تنظیمات!$B$25+AW951*تنظیمات!$B$26+AX951*تنظیمات!$B$27+AY951*تنظیمات!$B$28+AZ951*تنظیمات!$B$29+BA951*تنظیمات!$B$30+BB951*تنظیمات!$B$31+BC951*تنظیمات!$B$32+BD951*تنظیمات!$B$33+BE951*تنظیمات!$B$34+BF951*تنظیمات!$B$35+BG951*تنظیمات!$B$36)</f>
        <v>0</v>
      </c>
      <c r="BI951" s="16" t="str">
        <f aca="false">IF(BH951&gt;=60,"بحرانی",IF(BH951&gt;=30,"مشکوک",IF(BH951&gt;0,"هشدار","عادی")))</f>
        <v>عادی</v>
      </c>
      <c r="BJ951" s="16" t="s">
        <v>629</v>
      </c>
    </row>
    <row r="952" customFormat="false" ht="15" hidden="false" customHeight="false" outlineLevel="0" collapsed="false">
      <c r="A952" s="16" t="s">
        <v>3165</v>
      </c>
      <c r="B952" s="16" t="s">
        <v>575</v>
      </c>
      <c r="C952" s="16"/>
      <c r="D952" s="16" t="s">
        <v>370</v>
      </c>
      <c r="E952" s="16" t="s">
        <v>363</v>
      </c>
      <c r="F952" s="16" t="s">
        <v>333</v>
      </c>
      <c r="G952" s="17" t="n">
        <v>46294.4303472222</v>
      </c>
      <c r="H952" s="17" t="n">
        <v>46294.5997916667</v>
      </c>
      <c r="I952" s="18" t="n">
        <f aca="false">IF(H952="",ROUND((تنظیمات!$B$7-G952)*1440,0),ROUND((H952-G952)*1440,0))</f>
        <v>244</v>
      </c>
      <c r="J952" s="16" t="s">
        <v>334</v>
      </c>
      <c r="K952" s="16" t="s">
        <v>400</v>
      </c>
      <c r="L952" s="19" t="n">
        <v>0.887</v>
      </c>
      <c r="M952" s="19" t="n">
        <v>0.945</v>
      </c>
      <c r="N952" s="16" t="s">
        <v>335</v>
      </c>
      <c r="O952" s="16" t="s">
        <v>419</v>
      </c>
      <c r="P952" s="16" t="s">
        <v>420</v>
      </c>
      <c r="Q952" s="20" t="n">
        <v>46294</v>
      </c>
      <c r="R952" s="16" t="s">
        <v>3166</v>
      </c>
      <c r="S952" s="16" t="s">
        <v>404</v>
      </c>
      <c r="T952" s="17"/>
      <c r="U952" s="21" t="n">
        <v>1</v>
      </c>
      <c r="V952" s="21" t="n">
        <v>1</v>
      </c>
      <c r="W952" s="22" t="n">
        <v>4.7</v>
      </c>
      <c r="X952" s="16" t="s">
        <v>335</v>
      </c>
      <c r="Y952" s="16" t="s">
        <v>338</v>
      </c>
      <c r="Z952" s="16" t="s">
        <v>405</v>
      </c>
      <c r="AA952" s="16"/>
      <c r="AB952" s="23"/>
      <c r="AC952" s="17"/>
      <c r="AD952" s="16" t="s">
        <v>481</v>
      </c>
      <c r="AE952" s="16" t="s">
        <v>3167</v>
      </c>
      <c r="AF952" s="16" t="str">
        <f aca="false">IF(COUNTIF(لیست_سفید!$A$2:$A$21,B952)&gt;0,"بله","خیر")</f>
        <v>خیر</v>
      </c>
      <c r="AG952" s="24" t="n">
        <f aca="false">IF(H952="","",IF(AD952="فیش مفقودی",تنظیمات!$B$6,(INT(I952/1440)*تنظیمات!$B$5+IF(MOD(I952,1440)&lt;=تنظیمات!$B$2,0,MIN(تنظیمات!$B$5,تنظیمات!$B$3+MAX(0,ROUNDUP((MOD(I952,1440)-60)/60,0))*تنظیمات!$B$4)))*INDEX(تعرفه!$B$2:$B$7,MATCH(AD952,تعرفه!$A$2:$A$7,0))))</f>
        <v>38000</v>
      </c>
      <c r="AH952" s="24" t="n">
        <v>38000</v>
      </c>
      <c r="AI952" s="24" t="n">
        <f aca="false">IF(AG952="","",AH952-AG952)</f>
        <v>0</v>
      </c>
      <c r="AJ952" s="21" t="n">
        <v>1</v>
      </c>
      <c r="AK952" s="21" t="n">
        <v>0</v>
      </c>
      <c r="AL952" s="16" t="s">
        <v>335</v>
      </c>
      <c r="AM952" s="16"/>
      <c r="AN952" s="16" t="s">
        <v>340</v>
      </c>
      <c r="AO952" s="16" t="s">
        <v>340</v>
      </c>
      <c r="AP952" s="16" t="s">
        <v>335</v>
      </c>
      <c r="AQ952" s="16"/>
      <c r="AR952" s="21" t="n">
        <f aca="false">IF(AND(T952&lt;&gt;"",H952&lt;&gt;""),IF(AND((T952-H952)*86400&gt;=0,(T952-H952)*86400&lt;تنظیمات!$B$13),1,0),0)</f>
        <v>0</v>
      </c>
      <c r="AS952" s="21" t="n">
        <f aca="false">IF(Z952="پوز",IF(OR(AB952="",COUNTIF(پوزها!$A$2:$A$5,AA952)=0),1,0),0)</f>
        <v>0</v>
      </c>
      <c r="AT952" s="21" t="n">
        <f aca="false">IF(AI952="",0,IF(AI952&gt;0,1,0))</f>
        <v>0</v>
      </c>
      <c r="AU952" s="21" t="n">
        <f aca="false">IF(AI952="",0,IF(AI952&lt;0,1,0))</f>
        <v>0</v>
      </c>
      <c r="AV952" s="21" t="n">
        <f aca="false">IF(U952&gt;V952,1,0)</f>
        <v>0</v>
      </c>
      <c r="AW952" s="21" t="n">
        <f aca="false">IF(OR(W952&gt;تنظیمات!$B$8,X952="بله"),1,0)</f>
        <v>0</v>
      </c>
      <c r="AX952" s="21" t="n">
        <f aca="false">IF(AND(N952="بله",L952&gt;تنظیمات!$B$9),1,0)</f>
        <v>0</v>
      </c>
      <c r="AY952" s="21" t="n">
        <f aca="false">IF(Y952="معکوس",1,0)</f>
        <v>0</v>
      </c>
      <c r="AZ952" s="21" t="n">
        <f aca="false">IF(ABS(AJ952)&gt;تنظیمات!$B$10,1,0)</f>
        <v>0</v>
      </c>
      <c r="BA952" s="21" t="n">
        <f aca="false">IF(AND(OR(AD952="رایگان/VIP",AD952="جانباز"),AF952="خیر"),1,0)</f>
        <v>0</v>
      </c>
      <c r="BB952" s="21" t="n">
        <f aca="false">IF(AE952="",0,IF(COUNTIF($AE$2:$AE$1001,AE952)&gt;1,1,0))</f>
        <v>0</v>
      </c>
      <c r="BC952" s="21" t="n">
        <f aca="false">IF(AND(H952="",I952&gt;تنظیمات!$B$12*60,AM952="خالی"),1,0)</f>
        <v>0</v>
      </c>
      <c r="BD952" s="21" t="n">
        <f aca="false">IF(AND(AP952="بله",I952&lt;تنظیمات!$B$14,AO952="خیر"),1,0)</f>
        <v>0</v>
      </c>
      <c r="BE952" s="21" t="n">
        <f aca="false">IF(AN952="خیر",1,0)</f>
        <v>0</v>
      </c>
      <c r="BF952" s="21" t="n">
        <f aca="false">IF(AND(AD952="فیش مفقودی",AQ952="بله",I952&gt;تنظیمات!$B$12*60),1,0)</f>
        <v>0</v>
      </c>
      <c r="BG952" s="21" t="n">
        <f aca="false">IF(AND(AK952&gt;تنظیمات!$B$11,AL952="بله"),1,0)</f>
        <v>0</v>
      </c>
      <c r="BH952" s="21" t="n">
        <f aca="false">MIN(100,AR952*تنظیمات!$B$21+AS952*تنظیمات!$B$22+AT952*تنظیمات!$B$23+AU952*تنظیمات!$B$24+AV952*تنظیمات!$B$25+AW952*تنظیمات!$B$26+AX952*تنظیمات!$B$27+AY952*تنظیمات!$B$28+AZ952*تنظیمات!$B$29+BA952*تنظیمات!$B$30+BB952*تنظیمات!$B$31+BC952*تنظیمات!$B$32+BD952*تنظیمات!$B$33+BE952*تنظیمات!$B$34+BF952*تنظیمات!$B$35+BG952*تنظیمات!$B$36)</f>
        <v>0</v>
      </c>
      <c r="BI952" s="16" t="str">
        <f aca="false">IF(BH952&gt;=60,"بحرانی",IF(BH952&gt;=30,"مشکوک",IF(BH952&gt;0,"هشدار","عادی")))</f>
        <v>عادی</v>
      </c>
      <c r="BJ952" s="16" t="s">
        <v>338</v>
      </c>
    </row>
    <row r="953" customFormat="false" ht="15" hidden="false" customHeight="false" outlineLevel="0" collapsed="false">
      <c r="A953" s="16" t="s">
        <v>3168</v>
      </c>
      <c r="B953" s="16" t="s">
        <v>2416</v>
      </c>
      <c r="C953" s="16"/>
      <c r="D953" s="16" t="s">
        <v>382</v>
      </c>
      <c r="E953" s="16" t="s">
        <v>363</v>
      </c>
      <c r="F953" s="16" t="s">
        <v>333</v>
      </c>
      <c r="G953" s="17" t="n">
        <v>46294.433587963</v>
      </c>
      <c r="H953" s="17" t="n">
        <v>46294.5071990741</v>
      </c>
      <c r="I953" s="18" t="n">
        <f aca="false">IF(H953="",ROUND((تنظیمات!$B$7-G953)*1440,0),ROUND((H953-G953)*1440,0))</f>
        <v>106</v>
      </c>
      <c r="J953" s="16" t="s">
        <v>346</v>
      </c>
      <c r="K953" s="16" t="s">
        <v>410</v>
      </c>
      <c r="L953" s="19" t="n">
        <v>0.916</v>
      </c>
      <c r="M953" s="19" t="n">
        <v>0.93</v>
      </c>
      <c r="N953" s="16" t="s">
        <v>335</v>
      </c>
      <c r="O953" s="16" t="s">
        <v>401</v>
      </c>
      <c r="P953" s="16" t="s">
        <v>402</v>
      </c>
      <c r="Q953" s="20" t="n">
        <v>46294</v>
      </c>
      <c r="R953" s="16" t="s">
        <v>3169</v>
      </c>
      <c r="S953" s="16" t="s">
        <v>404</v>
      </c>
      <c r="T953" s="17"/>
      <c r="U953" s="21" t="n">
        <v>1</v>
      </c>
      <c r="V953" s="21" t="n">
        <v>1</v>
      </c>
      <c r="W953" s="22" t="n">
        <v>5.4</v>
      </c>
      <c r="X953" s="16" t="s">
        <v>335</v>
      </c>
      <c r="Y953" s="16" t="s">
        <v>338</v>
      </c>
      <c r="Z953" s="16" t="s">
        <v>413</v>
      </c>
      <c r="AA953" s="16" t="s">
        <v>414</v>
      </c>
      <c r="AB953" s="23"/>
      <c r="AC953" s="17" t="n">
        <v>46294.5066087963</v>
      </c>
      <c r="AD953" s="16" t="s">
        <v>338</v>
      </c>
      <c r="AE953" s="16"/>
      <c r="AF953" s="16" t="str">
        <f aca="false">IF(COUNTIF(لیست_سفید!$A$2:$A$21,B953)&gt;0,"بله","خیر")</f>
        <v>خیر</v>
      </c>
      <c r="AG953" s="24" t="n">
        <f aca="false">IF(H953="","",IF(AD953="فیش مفقودی",تنظیمات!$B$6,(INT(I953/1440)*تنظیمات!$B$5+IF(MOD(I953,1440)&lt;=تنظیمات!$B$2,0,MIN(تنظیمات!$B$5,تنظیمات!$B$3+MAX(0,ROUNDUP((MOD(I953,1440)-60)/60,0))*تنظیمات!$B$4)))*INDEX(تعرفه!$B$2:$B$7,MATCH(AD953,تعرفه!$A$2:$A$7,0))))</f>
        <v>34000</v>
      </c>
      <c r="AH953" s="24" t="n">
        <v>34000</v>
      </c>
      <c r="AI953" s="24" t="n">
        <f aca="false">IF(AG953="","",AH953-AG953)</f>
        <v>0</v>
      </c>
      <c r="AJ953" s="21" t="n">
        <v>-4</v>
      </c>
      <c r="AK953" s="21" t="n">
        <v>0</v>
      </c>
      <c r="AL953" s="16" t="s">
        <v>335</v>
      </c>
      <c r="AM953" s="16"/>
      <c r="AN953" s="16" t="s">
        <v>340</v>
      </c>
      <c r="AO953" s="16" t="s">
        <v>340</v>
      </c>
      <c r="AP953" s="16" t="s">
        <v>335</v>
      </c>
      <c r="AQ953" s="16"/>
      <c r="AR953" s="21" t="n">
        <f aca="false">IF(AND(T953&lt;&gt;"",H953&lt;&gt;""),IF(AND((T953-H953)*86400&gt;=0,(T953-H953)*86400&lt;تنظیمات!$B$13),1,0),0)</f>
        <v>0</v>
      </c>
      <c r="AS953" s="21" t="n">
        <f aca="false">IF(Z953="پوز",IF(OR(AB953="",COUNTIF(پوزها!$A$2:$A$5,AA953)=0),1,0),0)</f>
        <v>1</v>
      </c>
      <c r="AT953" s="21" t="n">
        <f aca="false">IF(AI953="",0,IF(AI953&gt;0,1,0))</f>
        <v>0</v>
      </c>
      <c r="AU953" s="21" t="n">
        <f aca="false">IF(AI953="",0,IF(AI953&lt;0,1,0))</f>
        <v>0</v>
      </c>
      <c r="AV953" s="21" t="n">
        <f aca="false">IF(U953&gt;V953,1,0)</f>
        <v>0</v>
      </c>
      <c r="AW953" s="21" t="n">
        <f aca="false">IF(OR(W953&gt;تنظیمات!$B$8,X953="بله"),1,0)</f>
        <v>0</v>
      </c>
      <c r="AX953" s="21" t="n">
        <f aca="false">IF(AND(N953="بله",L953&gt;تنظیمات!$B$9),1,0)</f>
        <v>0</v>
      </c>
      <c r="AY953" s="21" t="n">
        <f aca="false">IF(Y953="معکوس",1,0)</f>
        <v>0</v>
      </c>
      <c r="AZ953" s="21" t="n">
        <f aca="false">IF(ABS(AJ953)&gt;تنظیمات!$B$10,1,0)</f>
        <v>0</v>
      </c>
      <c r="BA953" s="21" t="n">
        <f aca="false">IF(AND(OR(AD953="رایگان/VIP",AD953="جانباز"),AF953="خیر"),1,0)</f>
        <v>0</v>
      </c>
      <c r="BB953" s="21" t="n">
        <f aca="false">IF(AE953="",0,IF(COUNTIF($AE$2:$AE$1001,AE953)&gt;1,1,0))</f>
        <v>0</v>
      </c>
      <c r="BC953" s="21" t="n">
        <f aca="false">IF(AND(H953="",I953&gt;تنظیمات!$B$12*60,AM953="خالی"),1,0)</f>
        <v>0</v>
      </c>
      <c r="BD953" s="21" t="n">
        <f aca="false">IF(AND(AP953="بله",I953&lt;تنظیمات!$B$14,AO953="خیر"),1,0)</f>
        <v>0</v>
      </c>
      <c r="BE953" s="21" t="n">
        <f aca="false">IF(AN953="خیر",1,0)</f>
        <v>0</v>
      </c>
      <c r="BF953" s="21" t="n">
        <f aca="false">IF(AND(AD953="فیش مفقودی",AQ953="بله",I953&gt;تنظیمات!$B$12*60),1,0)</f>
        <v>0</v>
      </c>
      <c r="BG953" s="21" t="n">
        <f aca="false">IF(AND(AK953&gt;تنظیمات!$B$11,AL953="بله"),1,0)</f>
        <v>0</v>
      </c>
      <c r="BH953" s="21" t="n">
        <f aca="false">MIN(100,AR953*تنظیمات!$B$21+AS953*تنظیمات!$B$22+AT953*تنظیمات!$B$23+AU953*تنظیمات!$B$24+AV953*تنظیمات!$B$25+AW953*تنظیمات!$B$26+AX953*تنظیمات!$B$27+AY953*تنظیمات!$B$28+AZ953*تنظیمات!$B$29+BA953*تنظیمات!$B$30+BB953*تنظیمات!$B$31+BC953*تنظیمات!$B$32+BD953*تنظیمات!$B$33+BE953*تنظیمات!$B$34+BF953*تنظیمات!$B$35+BG953*تنظیمات!$B$36)</f>
        <v>35</v>
      </c>
      <c r="BI953" s="16" t="str">
        <f aca="false">IF(BH953&gt;=60,"بحرانی",IF(BH953&gt;=30,"مشکوک",IF(BH953&gt;0,"هشدار","عادی")))</f>
        <v>مشکوک</v>
      </c>
      <c r="BJ953" s="16" t="s">
        <v>722</v>
      </c>
    </row>
    <row r="954" customFormat="false" ht="15" hidden="false" customHeight="false" outlineLevel="0" collapsed="false">
      <c r="A954" s="16" t="s">
        <v>3170</v>
      </c>
      <c r="B954" s="16" t="s">
        <v>2153</v>
      </c>
      <c r="C954" s="16"/>
      <c r="D954" s="16" t="s">
        <v>508</v>
      </c>
      <c r="E954" s="16" t="s">
        <v>375</v>
      </c>
      <c r="F954" s="16" t="s">
        <v>333</v>
      </c>
      <c r="G954" s="17" t="n">
        <v>46294.4349189815</v>
      </c>
      <c r="H954" s="17" t="n">
        <v>46294.5411689815</v>
      </c>
      <c r="I954" s="18" t="n">
        <f aca="false">IF(H954="",ROUND((تنظیمات!$B$7-G954)*1440,0),ROUND((H954-G954)*1440,0))</f>
        <v>153</v>
      </c>
      <c r="J954" s="16" t="s">
        <v>346</v>
      </c>
      <c r="K954" s="16" t="s">
        <v>410</v>
      </c>
      <c r="L954" s="19" t="n">
        <v>0.938</v>
      </c>
      <c r="M954" s="19" t="n">
        <v>0.96</v>
      </c>
      <c r="N954" s="16" t="s">
        <v>335</v>
      </c>
      <c r="O954" s="16" t="s">
        <v>401</v>
      </c>
      <c r="P954" s="16" t="s">
        <v>402</v>
      </c>
      <c r="Q954" s="20" t="n">
        <v>46294</v>
      </c>
      <c r="R954" s="16" t="s">
        <v>3171</v>
      </c>
      <c r="S954" s="16" t="s">
        <v>404</v>
      </c>
      <c r="T954" s="17"/>
      <c r="U954" s="21" t="n">
        <v>1</v>
      </c>
      <c r="V954" s="21" t="n">
        <v>1</v>
      </c>
      <c r="W954" s="22" t="n">
        <v>4.5</v>
      </c>
      <c r="X954" s="16" t="s">
        <v>335</v>
      </c>
      <c r="Y954" s="16" t="s">
        <v>338</v>
      </c>
      <c r="Z954" s="16" t="s">
        <v>405</v>
      </c>
      <c r="AA954" s="16"/>
      <c r="AB954" s="23"/>
      <c r="AC954" s="17"/>
      <c r="AD954" s="16" t="s">
        <v>338</v>
      </c>
      <c r="AE954" s="16"/>
      <c r="AF954" s="16" t="str">
        <f aca="false">IF(COUNTIF(لیست_سفید!$A$2:$A$21,B954)&gt;0,"بله","خیر")</f>
        <v>خیر</v>
      </c>
      <c r="AG954" s="24" t="n">
        <f aca="false">IF(H954="","",IF(AD954="فیش مفقودی",تنظیمات!$B$6,(INT(I954/1440)*تنظیمات!$B$5+IF(MOD(I954,1440)&lt;=تنظیمات!$B$2,0,MIN(تنظیمات!$B$5,تنظیمات!$B$3+MAX(0,ROUNDUP((MOD(I954,1440)-60)/60,0))*تنظیمات!$B$4)))*INDEX(تعرفه!$B$2:$B$7,MATCH(AD954,تعرفه!$A$2:$A$7,0))))</f>
        <v>48000</v>
      </c>
      <c r="AH954" s="24" t="n">
        <v>48000</v>
      </c>
      <c r="AI954" s="24" t="n">
        <f aca="false">IF(AG954="","",AH954-AG954)</f>
        <v>0</v>
      </c>
      <c r="AJ954" s="21" t="n">
        <v>-1</v>
      </c>
      <c r="AK954" s="21" t="n">
        <v>0</v>
      </c>
      <c r="AL954" s="16" t="s">
        <v>335</v>
      </c>
      <c r="AM954" s="16"/>
      <c r="AN954" s="16" t="s">
        <v>340</v>
      </c>
      <c r="AO954" s="16" t="s">
        <v>340</v>
      </c>
      <c r="AP954" s="16" t="s">
        <v>335</v>
      </c>
      <c r="AQ954" s="16"/>
      <c r="AR954" s="21" t="n">
        <f aca="false">IF(AND(T954&lt;&gt;"",H954&lt;&gt;""),IF(AND((T954-H954)*86400&gt;=0,(T954-H954)*86400&lt;تنظیمات!$B$13),1,0),0)</f>
        <v>0</v>
      </c>
      <c r="AS954" s="21" t="n">
        <f aca="false">IF(Z954="پوز",IF(OR(AB954="",COUNTIF(پوزها!$A$2:$A$5,AA954)=0),1,0),0)</f>
        <v>0</v>
      </c>
      <c r="AT954" s="21" t="n">
        <f aca="false">IF(AI954="",0,IF(AI954&gt;0,1,0))</f>
        <v>0</v>
      </c>
      <c r="AU954" s="21" t="n">
        <f aca="false">IF(AI954="",0,IF(AI954&lt;0,1,0))</f>
        <v>0</v>
      </c>
      <c r="AV954" s="21" t="n">
        <f aca="false">IF(U954&gt;V954,1,0)</f>
        <v>0</v>
      </c>
      <c r="AW954" s="21" t="n">
        <f aca="false">IF(OR(W954&gt;تنظیمات!$B$8,X954="بله"),1,0)</f>
        <v>0</v>
      </c>
      <c r="AX954" s="21" t="n">
        <f aca="false">IF(AND(N954="بله",L954&gt;تنظیمات!$B$9),1,0)</f>
        <v>0</v>
      </c>
      <c r="AY954" s="21" t="n">
        <f aca="false">IF(Y954="معکوس",1,0)</f>
        <v>0</v>
      </c>
      <c r="AZ954" s="21" t="n">
        <f aca="false">IF(ABS(AJ954)&gt;تنظیمات!$B$10,1,0)</f>
        <v>0</v>
      </c>
      <c r="BA954" s="21" t="n">
        <f aca="false">IF(AND(OR(AD954="رایگان/VIP",AD954="جانباز"),AF954="خیر"),1,0)</f>
        <v>0</v>
      </c>
      <c r="BB954" s="21" t="n">
        <f aca="false">IF(AE954="",0,IF(COUNTIF($AE$2:$AE$1001,AE954)&gt;1,1,0))</f>
        <v>0</v>
      </c>
      <c r="BC954" s="21" t="n">
        <f aca="false">IF(AND(H954="",I954&gt;تنظیمات!$B$12*60,AM954="خالی"),1,0)</f>
        <v>0</v>
      </c>
      <c r="BD954" s="21" t="n">
        <f aca="false">IF(AND(AP954="بله",I954&lt;تنظیمات!$B$14,AO954="خیر"),1,0)</f>
        <v>0</v>
      </c>
      <c r="BE954" s="21" t="n">
        <f aca="false">IF(AN954="خیر",1,0)</f>
        <v>0</v>
      </c>
      <c r="BF954" s="21" t="n">
        <f aca="false">IF(AND(AD954="فیش مفقودی",AQ954="بله",I954&gt;تنظیمات!$B$12*60),1,0)</f>
        <v>0</v>
      </c>
      <c r="BG954" s="21" t="n">
        <f aca="false">IF(AND(AK954&gt;تنظیمات!$B$11,AL954="بله"),1,0)</f>
        <v>0</v>
      </c>
      <c r="BH954" s="21" t="n">
        <f aca="false">MIN(100,AR954*تنظیمات!$B$21+AS954*تنظیمات!$B$22+AT954*تنظیمات!$B$23+AU954*تنظیمات!$B$24+AV954*تنظیمات!$B$25+AW954*تنظیمات!$B$26+AX954*تنظیمات!$B$27+AY954*تنظیمات!$B$28+AZ954*تنظیمات!$B$29+BA954*تنظیمات!$B$30+BB954*تنظیمات!$B$31+BC954*تنظیمات!$B$32+BD954*تنظیمات!$B$33+BE954*تنظیمات!$B$34+BF954*تنظیمات!$B$35+BG954*تنظیمات!$B$36)</f>
        <v>0</v>
      </c>
      <c r="BI954" s="16" t="str">
        <f aca="false">IF(BH954&gt;=60,"بحرانی",IF(BH954&gt;=30,"مشکوک",IF(BH954&gt;0,"هشدار","عادی")))</f>
        <v>عادی</v>
      </c>
      <c r="BJ954" s="16" t="s">
        <v>338</v>
      </c>
    </row>
    <row r="955" customFormat="false" ht="15" hidden="false" customHeight="false" outlineLevel="0" collapsed="false">
      <c r="A955" s="16" t="s">
        <v>3172</v>
      </c>
      <c r="B955" s="16" t="s">
        <v>2062</v>
      </c>
      <c r="C955" s="16"/>
      <c r="D955" s="16" t="s">
        <v>508</v>
      </c>
      <c r="E955" s="16" t="s">
        <v>390</v>
      </c>
      <c r="F955" s="16" t="s">
        <v>333</v>
      </c>
      <c r="G955" s="17" t="n">
        <v>46294.4365509259</v>
      </c>
      <c r="H955" s="17" t="n">
        <v>46294.4761342593</v>
      </c>
      <c r="I955" s="18" t="n">
        <f aca="false">IF(H955="",ROUND((تنظیمات!$B$7-G955)*1440,0),ROUND((H955-G955)*1440,0))</f>
        <v>57</v>
      </c>
      <c r="J955" s="16" t="s">
        <v>334</v>
      </c>
      <c r="K955" s="16" t="s">
        <v>410</v>
      </c>
      <c r="L955" s="19" t="n">
        <v>0.921</v>
      </c>
      <c r="M955" s="19" t="n">
        <v>0.919</v>
      </c>
      <c r="N955" s="16" t="s">
        <v>335</v>
      </c>
      <c r="O955" s="16" t="s">
        <v>401</v>
      </c>
      <c r="P955" s="16" t="s">
        <v>402</v>
      </c>
      <c r="Q955" s="20" t="n">
        <v>46294</v>
      </c>
      <c r="R955" s="16" t="s">
        <v>3173</v>
      </c>
      <c r="S955" s="16" t="s">
        <v>404</v>
      </c>
      <c r="T955" s="17"/>
      <c r="U955" s="21" t="n">
        <v>1</v>
      </c>
      <c r="V955" s="21" t="n">
        <v>1</v>
      </c>
      <c r="W955" s="22" t="n">
        <v>5.4</v>
      </c>
      <c r="X955" s="16" t="s">
        <v>335</v>
      </c>
      <c r="Y955" s="16" t="s">
        <v>338</v>
      </c>
      <c r="Z955" s="16" t="s">
        <v>413</v>
      </c>
      <c r="AA955" s="16" t="s">
        <v>414</v>
      </c>
      <c r="AB955" s="23" t="s">
        <v>3174</v>
      </c>
      <c r="AC955" s="17" t="n">
        <v>46294.475462963</v>
      </c>
      <c r="AD955" s="16" t="s">
        <v>338</v>
      </c>
      <c r="AE955" s="16"/>
      <c r="AF955" s="16" t="str">
        <f aca="false">IF(COUNTIF(لیست_سفید!$A$2:$A$21,B955)&gt;0,"بله","خیر")</f>
        <v>خیر</v>
      </c>
      <c r="AG955" s="24" t="n">
        <f aca="false">IF(H955="","",IF(AD955="فیش مفقودی",تنظیمات!$B$6,(INT(I955/1440)*تنظیمات!$B$5+IF(MOD(I955,1440)&lt;=تنظیمات!$B$2,0,MIN(تنظیمات!$B$5,تنظیمات!$B$3+MAX(0,ROUNDUP((MOD(I955,1440)-60)/60,0))*تنظیمات!$B$4)))*INDEX(تعرفه!$B$2:$B$7,MATCH(AD955,تعرفه!$A$2:$A$7,0))))</f>
        <v>20000</v>
      </c>
      <c r="AH955" s="24" t="n">
        <v>20000</v>
      </c>
      <c r="AI955" s="24" t="n">
        <f aca="false">IF(AG955="","",AH955-AG955)</f>
        <v>0</v>
      </c>
      <c r="AJ955" s="21" t="n">
        <v>0</v>
      </c>
      <c r="AK955" s="21" t="n">
        <v>0</v>
      </c>
      <c r="AL955" s="16" t="s">
        <v>335</v>
      </c>
      <c r="AM955" s="16"/>
      <c r="AN955" s="16" t="s">
        <v>340</v>
      </c>
      <c r="AO955" s="16" t="s">
        <v>340</v>
      </c>
      <c r="AP955" s="16" t="s">
        <v>335</v>
      </c>
      <c r="AQ955" s="16"/>
      <c r="AR955" s="21" t="n">
        <f aca="false">IF(AND(T955&lt;&gt;"",H955&lt;&gt;""),IF(AND((T955-H955)*86400&gt;=0,(T955-H955)*86400&lt;تنظیمات!$B$13),1,0),0)</f>
        <v>0</v>
      </c>
      <c r="AS955" s="21" t="n">
        <f aca="false">IF(Z955="پوز",IF(OR(AB955="",COUNTIF(پوزها!$A$2:$A$5,AA955)=0),1,0),0)</f>
        <v>0</v>
      </c>
      <c r="AT955" s="21" t="n">
        <f aca="false">IF(AI955="",0,IF(AI955&gt;0,1,0))</f>
        <v>0</v>
      </c>
      <c r="AU955" s="21" t="n">
        <f aca="false">IF(AI955="",0,IF(AI955&lt;0,1,0))</f>
        <v>0</v>
      </c>
      <c r="AV955" s="21" t="n">
        <f aca="false">IF(U955&gt;V955,1,0)</f>
        <v>0</v>
      </c>
      <c r="AW955" s="21" t="n">
        <f aca="false">IF(OR(W955&gt;تنظیمات!$B$8,X955="بله"),1,0)</f>
        <v>0</v>
      </c>
      <c r="AX955" s="21" t="n">
        <f aca="false">IF(AND(N955="بله",L955&gt;تنظیمات!$B$9),1,0)</f>
        <v>0</v>
      </c>
      <c r="AY955" s="21" t="n">
        <f aca="false">IF(Y955="معکوس",1,0)</f>
        <v>0</v>
      </c>
      <c r="AZ955" s="21" t="n">
        <f aca="false">IF(ABS(AJ955)&gt;تنظیمات!$B$10,1,0)</f>
        <v>0</v>
      </c>
      <c r="BA955" s="21" t="n">
        <f aca="false">IF(AND(OR(AD955="رایگان/VIP",AD955="جانباز"),AF955="خیر"),1,0)</f>
        <v>0</v>
      </c>
      <c r="BB955" s="21" t="n">
        <f aca="false">IF(AE955="",0,IF(COUNTIF($AE$2:$AE$1001,AE955)&gt;1,1,0))</f>
        <v>0</v>
      </c>
      <c r="BC955" s="21" t="n">
        <f aca="false">IF(AND(H955="",I955&gt;تنظیمات!$B$12*60,AM955="خالی"),1,0)</f>
        <v>0</v>
      </c>
      <c r="BD955" s="21" t="n">
        <f aca="false">IF(AND(AP955="بله",I955&lt;تنظیمات!$B$14,AO955="خیر"),1,0)</f>
        <v>0</v>
      </c>
      <c r="BE955" s="21" t="n">
        <f aca="false">IF(AN955="خیر",1,0)</f>
        <v>0</v>
      </c>
      <c r="BF955" s="21" t="n">
        <f aca="false">IF(AND(AD955="فیش مفقودی",AQ955="بله",I955&gt;تنظیمات!$B$12*60),1,0)</f>
        <v>0</v>
      </c>
      <c r="BG955" s="21" t="n">
        <f aca="false">IF(AND(AK955&gt;تنظیمات!$B$11,AL955="بله"),1,0)</f>
        <v>0</v>
      </c>
      <c r="BH955" s="21" t="n">
        <f aca="false">MIN(100,AR955*تنظیمات!$B$21+AS955*تنظیمات!$B$22+AT955*تنظیمات!$B$23+AU955*تنظیمات!$B$24+AV955*تنظیمات!$B$25+AW955*تنظیمات!$B$26+AX955*تنظیمات!$B$27+AY955*تنظیمات!$B$28+AZ955*تنظیمات!$B$29+BA955*تنظیمات!$B$30+BB955*تنظیمات!$B$31+BC955*تنظیمات!$B$32+BD955*تنظیمات!$B$33+BE955*تنظیمات!$B$34+BF955*تنظیمات!$B$35+BG955*تنظیمات!$B$36)</f>
        <v>0</v>
      </c>
      <c r="BI955" s="16" t="str">
        <f aca="false">IF(BH955&gt;=60,"بحرانی",IF(BH955&gt;=30,"مشکوک",IF(BH955&gt;0,"هشدار","عادی")))</f>
        <v>عادی</v>
      </c>
      <c r="BJ955" s="16" t="s">
        <v>338</v>
      </c>
    </row>
    <row r="956" customFormat="false" ht="15" hidden="false" customHeight="false" outlineLevel="0" collapsed="false">
      <c r="A956" s="16" t="s">
        <v>3175</v>
      </c>
      <c r="B956" s="16" t="s">
        <v>1161</v>
      </c>
      <c r="C956" s="16"/>
      <c r="D956" s="16" t="s">
        <v>386</v>
      </c>
      <c r="E956" s="16" t="s">
        <v>375</v>
      </c>
      <c r="F956" s="16" t="s">
        <v>333</v>
      </c>
      <c r="G956" s="17" t="n">
        <v>46294.4384375</v>
      </c>
      <c r="H956" s="17" t="n">
        <v>46294.4474652778</v>
      </c>
      <c r="I956" s="18" t="n">
        <f aca="false">IF(H956="",ROUND((تنظیمات!$B$7-G956)*1440,0),ROUND((H956-G956)*1440,0))</f>
        <v>13</v>
      </c>
      <c r="J956" s="16" t="s">
        <v>346</v>
      </c>
      <c r="K956" s="16" t="s">
        <v>400</v>
      </c>
      <c r="L956" s="19" t="n">
        <v>0.938</v>
      </c>
      <c r="M956" s="19" t="n">
        <v>0.917</v>
      </c>
      <c r="N956" s="16" t="s">
        <v>335</v>
      </c>
      <c r="O956" s="16" t="s">
        <v>411</v>
      </c>
      <c r="P956" s="16" t="s">
        <v>402</v>
      </c>
      <c r="Q956" s="20" t="n">
        <v>46294</v>
      </c>
      <c r="R956" s="16" t="s">
        <v>3176</v>
      </c>
      <c r="S956" s="16" t="s">
        <v>404</v>
      </c>
      <c r="T956" s="17"/>
      <c r="U956" s="21" t="n">
        <v>1</v>
      </c>
      <c r="V956" s="21" t="n">
        <v>1</v>
      </c>
      <c r="W956" s="22" t="n">
        <v>5.7</v>
      </c>
      <c r="X956" s="16" t="s">
        <v>335</v>
      </c>
      <c r="Y956" s="16" t="s">
        <v>338</v>
      </c>
      <c r="Z956" s="16" t="s">
        <v>413</v>
      </c>
      <c r="AA956" s="16" t="s">
        <v>427</v>
      </c>
      <c r="AB956" s="23" t="s">
        <v>3177</v>
      </c>
      <c r="AC956" s="17" t="n">
        <v>46294.4467939815</v>
      </c>
      <c r="AD956" s="16" t="s">
        <v>338</v>
      </c>
      <c r="AE956" s="16"/>
      <c r="AF956" s="16" t="str">
        <f aca="false">IF(COUNTIF(لیست_سفید!$A$2:$A$21,B956)&gt;0,"بله","خیر")</f>
        <v>خیر</v>
      </c>
      <c r="AG956" s="24" t="n">
        <f aca="false">IF(H956="","",IF(AD956="فیش مفقودی",تنظیمات!$B$6,(INT(I956/1440)*تنظیمات!$B$5+IF(MOD(I956,1440)&lt;=تنظیمات!$B$2,0,MIN(تنظیمات!$B$5,تنظیمات!$B$3+MAX(0,ROUNDUP((MOD(I956,1440)-60)/60,0))*تنظیمات!$B$4)))*INDEX(تعرفه!$B$2:$B$7,MATCH(AD956,تعرفه!$A$2:$A$7,0))))</f>
        <v>20000</v>
      </c>
      <c r="AH956" s="24" t="n">
        <v>20000</v>
      </c>
      <c r="AI956" s="24" t="n">
        <f aca="false">IF(AG956="","",AH956-AG956)</f>
        <v>0</v>
      </c>
      <c r="AJ956" s="21" t="n">
        <v>0</v>
      </c>
      <c r="AK956" s="21" t="n">
        <v>0</v>
      </c>
      <c r="AL956" s="16" t="s">
        <v>335</v>
      </c>
      <c r="AM956" s="16"/>
      <c r="AN956" s="16" t="s">
        <v>340</v>
      </c>
      <c r="AO956" s="16" t="s">
        <v>340</v>
      </c>
      <c r="AP956" s="16" t="s">
        <v>335</v>
      </c>
      <c r="AQ956" s="16"/>
      <c r="AR956" s="21" t="n">
        <f aca="false">IF(AND(T956&lt;&gt;"",H956&lt;&gt;""),IF(AND((T956-H956)*86400&gt;=0,(T956-H956)*86400&lt;تنظیمات!$B$13),1,0),0)</f>
        <v>0</v>
      </c>
      <c r="AS956" s="21" t="n">
        <f aca="false">IF(Z956="پوز",IF(OR(AB956="",COUNTIF(پوزها!$A$2:$A$5,AA956)=0),1,0),0)</f>
        <v>0</v>
      </c>
      <c r="AT956" s="21" t="n">
        <f aca="false">IF(AI956="",0,IF(AI956&gt;0,1,0))</f>
        <v>0</v>
      </c>
      <c r="AU956" s="21" t="n">
        <f aca="false">IF(AI956="",0,IF(AI956&lt;0,1,0))</f>
        <v>0</v>
      </c>
      <c r="AV956" s="21" t="n">
        <f aca="false">IF(U956&gt;V956,1,0)</f>
        <v>0</v>
      </c>
      <c r="AW956" s="21" t="n">
        <f aca="false">IF(OR(W956&gt;تنظیمات!$B$8,X956="بله"),1,0)</f>
        <v>0</v>
      </c>
      <c r="AX956" s="21" t="n">
        <f aca="false">IF(AND(N956="بله",L956&gt;تنظیمات!$B$9),1,0)</f>
        <v>0</v>
      </c>
      <c r="AY956" s="21" t="n">
        <f aca="false">IF(Y956="معکوس",1,0)</f>
        <v>0</v>
      </c>
      <c r="AZ956" s="21" t="n">
        <f aca="false">IF(ABS(AJ956)&gt;تنظیمات!$B$10,1,0)</f>
        <v>0</v>
      </c>
      <c r="BA956" s="21" t="n">
        <f aca="false">IF(AND(OR(AD956="رایگان/VIP",AD956="جانباز"),AF956="خیر"),1,0)</f>
        <v>0</v>
      </c>
      <c r="BB956" s="21" t="n">
        <f aca="false">IF(AE956="",0,IF(COUNTIF($AE$2:$AE$1001,AE956)&gt;1,1,0))</f>
        <v>0</v>
      </c>
      <c r="BC956" s="21" t="n">
        <f aca="false">IF(AND(H956="",I956&gt;تنظیمات!$B$12*60,AM956="خالی"),1,0)</f>
        <v>0</v>
      </c>
      <c r="BD956" s="21" t="n">
        <f aca="false">IF(AND(AP956="بله",I956&lt;تنظیمات!$B$14,AO956="خیر"),1,0)</f>
        <v>0</v>
      </c>
      <c r="BE956" s="21" t="n">
        <f aca="false">IF(AN956="خیر",1,0)</f>
        <v>0</v>
      </c>
      <c r="BF956" s="21" t="n">
        <f aca="false">IF(AND(AD956="فیش مفقودی",AQ956="بله",I956&gt;تنظیمات!$B$12*60),1,0)</f>
        <v>0</v>
      </c>
      <c r="BG956" s="21" t="n">
        <f aca="false">IF(AND(AK956&gt;تنظیمات!$B$11,AL956="بله"),1,0)</f>
        <v>0</v>
      </c>
      <c r="BH956" s="21" t="n">
        <f aca="false">MIN(100,AR956*تنظیمات!$B$21+AS956*تنظیمات!$B$22+AT956*تنظیمات!$B$23+AU956*تنظیمات!$B$24+AV956*تنظیمات!$B$25+AW956*تنظیمات!$B$26+AX956*تنظیمات!$B$27+AY956*تنظیمات!$B$28+AZ956*تنظیمات!$B$29+BA956*تنظیمات!$B$30+BB956*تنظیمات!$B$31+BC956*تنظیمات!$B$32+BD956*تنظیمات!$B$33+BE956*تنظیمات!$B$34+BF956*تنظیمات!$B$35+BG956*تنظیمات!$B$36)</f>
        <v>0</v>
      </c>
      <c r="BI956" s="16" t="str">
        <f aca="false">IF(BH956&gt;=60,"بحرانی",IF(BH956&gt;=30,"مشکوک",IF(BH956&gt;0,"هشدار","عادی")))</f>
        <v>عادی</v>
      </c>
      <c r="BJ956" s="16" t="s">
        <v>338</v>
      </c>
    </row>
    <row r="957" customFormat="false" ht="15" hidden="false" customHeight="false" outlineLevel="0" collapsed="false">
      <c r="A957" s="16" t="s">
        <v>3178</v>
      </c>
      <c r="B957" s="16" t="s">
        <v>1020</v>
      </c>
      <c r="C957" s="16"/>
      <c r="D957" s="16" t="s">
        <v>370</v>
      </c>
      <c r="E957" s="16" t="s">
        <v>363</v>
      </c>
      <c r="F957" s="16" t="s">
        <v>333</v>
      </c>
      <c r="G957" s="17" t="n">
        <v>46294.4473958333</v>
      </c>
      <c r="H957" s="17" t="n">
        <v>46294.4918402778</v>
      </c>
      <c r="I957" s="18" t="n">
        <f aca="false">IF(H957="",ROUND((تنظیمات!$B$7-G957)*1440,0),ROUND((H957-G957)*1440,0))</f>
        <v>64</v>
      </c>
      <c r="J957" s="16" t="s">
        <v>346</v>
      </c>
      <c r="K957" s="16" t="s">
        <v>410</v>
      </c>
      <c r="L957" s="19" t="n">
        <v>0.877</v>
      </c>
      <c r="M957" s="19" t="n">
        <v>0.924</v>
      </c>
      <c r="N957" s="16" t="s">
        <v>335</v>
      </c>
      <c r="O957" s="16" t="s">
        <v>401</v>
      </c>
      <c r="P957" s="16" t="s">
        <v>402</v>
      </c>
      <c r="Q957" s="20" t="n">
        <v>46294</v>
      </c>
      <c r="R957" s="16" t="s">
        <v>3179</v>
      </c>
      <c r="S957" s="16" t="s">
        <v>404</v>
      </c>
      <c r="T957" s="17"/>
      <c r="U957" s="21" t="n">
        <v>1</v>
      </c>
      <c r="V957" s="21" t="n">
        <v>1</v>
      </c>
      <c r="W957" s="22" t="n">
        <v>5.9</v>
      </c>
      <c r="X957" s="16" t="s">
        <v>335</v>
      </c>
      <c r="Y957" s="16" t="s">
        <v>338</v>
      </c>
      <c r="Z957" s="16" t="s">
        <v>413</v>
      </c>
      <c r="AA957" s="16" t="s">
        <v>414</v>
      </c>
      <c r="AB957" s="23" t="s">
        <v>3180</v>
      </c>
      <c r="AC957" s="17" t="n">
        <v>46294.4912037037</v>
      </c>
      <c r="AD957" s="16" t="s">
        <v>338</v>
      </c>
      <c r="AE957" s="16"/>
      <c r="AF957" s="16" t="str">
        <f aca="false">IF(COUNTIF(لیست_سفید!$A$2:$A$21,B957)&gt;0,"بله","خیر")</f>
        <v>خیر</v>
      </c>
      <c r="AG957" s="24" t="n">
        <f aca="false">IF(H957="","",IF(AD957="فیش مفقودی",تنظیمات!$B$6,(INT(I957/1440)*تنظیمات!$B$5+IF(MOD(I957,1440)&lt;=تنظیمات!$B$2,0,MIN(تنظیمات!$B$5,تنظیمات!$B$3+MAX(0,ROUNDUP((MOD(I957,1440)-60)/60,0))*تنظیمات!$B$4)))*INDEX(تعرفه!$B$2:$B$7,MATCH(AD957,تعرفه!$A$2:$A$7,0))))</f>
        <v>34000</v>
      </c>
      <c r="AH957" s="24" t="n">
        <v>34000</v>
      </c>
      <c r="AI957" s="24" t="n">
        <f aca="false">IF(AG957="","",AH957-AG957)</f>
        <v>0</v>
      </c>
      <c r="AJ957" s="21" t="n">
        <v>0</v>
      </c>
      <c r="AK957" s="21" t="n">
        <v>0</v>
      </c>
      <c r="AL957" s="16" t="s">
        <v>335</v>
      </c>
      <c r="AM957" s="16"/>
      <c r="AN957" s="16" t="s">
        <v>340</v>
      </c>
      <c r="AO957" s="16" t="s">
        <v>340</v>
      </c>
      <c r="AP957" s="16" t="s">
        <v>335</v>
      </c>
      <c r="AQ957" s="16"/>
      <c r="AR957" s="21" t="n">
        <f aca="false">IF(AND(T957&lt;&gt;"",H957&lt;&gt;""),IF(AND((T957-H957)*86400&gt;=0,(T957-H957)*86400&lt;تنظیمات!$B$13),1,0),0)</f>
        <v>0</v>
      </c>
      <c r="AS957" s="21" t="n">
        <f aca="false">IF(Z957="پوز",IF(OR(AB957="",COUNTIF(پوزها!$A$2:$A$5,AA957)=0),1,0),0)</f>
        <v>0</v>
      </c>
      <c r="AT957" s="21" t="n">
        <f aca="false">IF(AI957="",0,IF(AI957&gt;0,1,0))</f>
        <v>0</v>
      </c>
      <c r="AU957" s="21" t="n">
        <f aca="false">IF(AI957="",0,IF(AI957&lt;0,1,0))</f>
        <v>0</v>
      </c>
      <c r="AV957" s="21" t="n">
        <f aca="false">IF(U957&gt;V957,1,0)</f>
        <v>0</v>
      </c>
      <c r="AW957" s="21" t="n">
        <f aca="false">IF(OR(W957&gt;تنظیمات!$B$8,X957="بله"),1,0)</f>
        <v>0</v>
      </c>
      <c r="AX957" s="21" t="n">
        <f aca="false">IF(AND(N957="بله",L957&gt;تنظیمات!$B$9),1,0)</f>
        <v>0</v>
      </c>
      <c r="AY957" s="21" t="n">
        <f aca="false">IF(Y957="معکوس",1,0)</f>
        <v>0</v>
      </c>
      <c r="AZ957" s="21" t="n">
        <f aca="false">IF(ABS(AJ957)&gt;تنظیمات!$B$10,1,0)</f>
        <v>0</v>
      </c>
      <c r="BA957" s="21" t="n">
        <f aca="false">IF(AND(OR(AD957="رایگان/VIP",AD957="جانباز"),AF957="خیر"),1,0)</f>
        <v>0</v>
      </c>
      <c r="BB957" s="21" t="n">
        <f aca="false">IF(AE957="",0,IF(COUNTIF($AE$2:$AE$1001,AE957)&gt;1,1,0))</f>
        <v>0</v>
      </c>
      <c r="BC957" s="21" t="n">
        <f aca="false">IF(AND(H957="",I957&gt;تنظیمات!$B$12*60,AM957="خالی"),1,0)</f>
        <v>0</v>
      </c>
      <c r="BD957" s="21" t="n">
        <f aca="false">IF(AND(AP957="بله",I957&lt;تنظیمات!$B$14,AO957="خیر"),1,0)</f>
        <v>0</v>
      </c>
      <c r="BE957" s="21" t="n">
        <f aca="false">IF(AN957="خیر",1,0)</f>
        <v>0</v>
      </c>
      <c r="BF957" s="21" t="n">
        <f aca="false">IF(AND(AD957="فیش مفقودی",AQ957="بله",I957&gt;تنظیمات!$B$12*60),1,0)</f>
        <v>0</v>
      </c>
      <c r="BG957" s="21" t="n">
        <f aca="false">IF(AND(AK957&gt;تنظیمات!$B$11,AL957="بله"),1,0)</f>
        <v>0</v>
      </c>
      <c r="BH957" s="21" t="n">
        <f aca="false">MIN(100,AR957*تنظیمات!$B$21+AS957*تنظیمات!$B$22+AT957*تنظیمات!$B$23+AU957*تنظیمات!$B$24+AV957*تنظیمات!$B$25+AW957*تنظیمات!$B$26+AX957*تنظیمات!$B$27+AY957*تنظیمات!$B$28+AZ957*تنظیمات!$B$29+BA957*تنظیمات!$B$30+BB957*تنظیمات!$B$31+BC957*تنظیمات!$B$32+BD957*تنظیمات!$B$33+BE957*تنظیمات!$B$34+BF957*تنظیمات!$B$35+BG957*تنظیمات!$B$36)</f>
        <v>0</v>
      </c>
      <c r="BI957" s="16" t="str">
        <f aca="false">IF(BH957&gt;=60,"بحرانی",IF(BH957&gt;=30,"مشکوک",IF(BH957&gt;0,"هشدار","عادی")))</f>
        <v>عادی</v>
      </c>
      <c r="BJ957" s="16" t="s">
        <v>338</v>
      </c>
    </row>
    <row r="958" customFormat="false" ht="15" hidden="false" customHeight="false" outlineLevel="0" collapsed="false">
      <c r="A958" s="16" t="s">
        <v>3181</v>
      </c>
      <c r="B958" s="16" t="s">
        <v>2066</v>
      </c>
      <c r="C958" s="16"/>
      <c r="D958" s="16" t="s">
        <v>523</v>
      </c>
      <c r="E958" s="16" t="s">
        <v>345</v>
      </c>
      <c r="F958" s="16" t="s">
        <v>333</v>
      </c>
      <c r="G958" s="17" t="n">
        <v>46294.4546990741</v>
      </c>
      <c r="H958" s="17" t="n">
        <v>46294.5637268519</v>
      </c>
      <c r="I958" s="18" t="n">
        <f aca="false">IF(H958="",ROUND((تنظیمات!$B$7-G958)*1440,0),ROUND((H958-G958)*1440,0))</f>
        <v>157</v>
      </c>
      <c r="J958" s="16" t="s">
        <v>346</v>
      </c>
      <c r="K958" s="16" t="s">
        <v>410</v>
      </c>
      <c r="L958" s="19" t="n">
        <v>0.948</v>
      </c>
      <c r="M958" s="19" t="n">
        <v>0.881</v>
      </c>
      <c r="N958" s="16" t="s">
        <v>335</v>
      </c>
      <c r="O958" s="16" t="s">
        <v>401</v>
      </c>
      <c r="P958" s="16" t="s">
        <v>402</v>
      </c>
      <c r="Q958" s="20" t="n">
        <v>46294</v>
      </c>
      <c r="R958" s="16" t="s">
        <v>3182</v>
      </c>
      <c r="S958" s="16" t="s">
        <v>404</v>
      </c>
      <c r="T958" s="17"/>
      <c r="U958" s="21" t="n">
        <v>1</v>
      </c>
      <c r="V958" s="21" t="n">
        <v>1</v>
      </c>
      <c r="W958" s="22" t="n">
        <v>3.9</v>
      </c>
      <c r="X958" s="16" t="s">
        <v>335</v>
      </c>
      <c r="Y958" s="16" t="s">
        <v>338</v>
      </c>
      <c r="Z958" s="16" t="s">
        <v>465</v>
      </c>
      <c r="AA958" s="16"/>
      <c r="AB958" s="23"/>
      <c r="AC958" s="17"/>
      <c r="AD958" s="16" t="s">
        <v>466</v>
      </c>
      <c r="AE958" s="16"/>
      <c r="AF958" s="16" t="str">
        <f aca="false">IF(COUNTIF(لیست_سفید!$A$2:$A$21,B958)&gt;0,"بله","خیر")</f>
        <v>بله</v>
      </c>
      <c r="AG958" s="24" t="n">
        <f aca="false">IF(H958="","",IF(AD958="فیش مفقودی",تنظیمات!$B$6,(INT(I958/1440)*تنظیمات!$B$5+IF(MOD(I958,1440)&lt;=تنظیمات!$B$2,0,MIN(تنظیمات!$B$5,تنظیمات!$B$3+MAX(0,ROUNDUP((MOD(I958,1440)-60)/60,0))*تنظیمات!$B$4)))*INDEX(تعرفه!$B$2:$B$7,MATCH(AD958,تعرفه!$A$2:$A$7,0))))</f>
        <v>0</v>
      </c>
      <c r="AH958" s="24" t="n">
        <v>0</v>
      </c>
      <c r="AI958" s="24" t="n">
        <f aca="false">IF(AG958="","",AH958-AG958)</f>
        <v>0</v>
      </c>
      <c r="AJ958" s="21" t="n">
        <v>1</v>
      </c>
      <c r="AK958" s="21" t="n">
        <v>0</v>
      </c>
      <c r="AL958" s="16" t="s">
        <v>335</v>
      </c>
      <c r="AM958" s="16"/>
      <c r="AN958" s="16" t="s">
        <v>340</v>
      </c>
      <c r="AO958" s="16" t="s">
        <v>340</v>
      </c>
      <c r="AP958" s="16" t="s">
        <v>335</v>
      </c>
      <c r="AQ958" s="16"/>
      <c r="AR958" s="21" t="n">
        <f aca="false">IF(AND(T958&lt;&gt;"",H958&lt;&gt;""),IF(AND((T958-H958)*86400&gt;=0,(T958-H958)*86400&lt;تنظیمات!$B$13),1,0),0)</f>
        <v>0</v>
      </c>
      <c r="AS958" s="21" t="n">
        <f aca="false">IF(Z958="پوز",IF(OR(AB958="",COUNTIF(پوزها!$A$2:$A$5,AA958)=0),1,0),0)</f>
        <v>0</v>
      </c>
      <c r="AT958" s="21" t="n">
        <f aca="false">IF(AI958="",0,IF(AI958&gt;0,1,0))</f>
        <v>0</v>
      </c>
      <c r="AU958" s="21" t="n">
        <f aca="false">IF(AI958="",0,IF(AI958&lt;0,1,0))</f>
        <v>0</v>
      </c>
      <c r="AV958" s="21" t="n">
        <f aca="false">IF(U958&gt;V958,1,0)</f>
        <v>0</v>
      </c>
      <c r="AW958" s="21" t="n">
        <f aca="false">IF(OR(W958&gt;تنظیمات!$B$8,X958="بله"),1,0)</f>
        <v>0</v>
      </c>
      <c r="AX958" s="21" t="n">
        <f aca="false">IF(AND(N958="بله",L958&gt;تنظیمات!$B$9),1,0)</f>
        <v>0</v>
      </c>
      <c r="AY958" s="21" t="n">
        <f aca="false">IF(Y958="معکوس",1,0)</f>
        <v>0</v>
      </c>
      <c r="AZ958" s="21" t="n">
        <f aca="false">IF(ABS(AJ958)&gt;تنظیمات!$B$10,1,0)</f>
        <v>0</v>
      </c>
      <c r="BA958" s="21" t="n">
        <f aca="false">IF(AND(OR(AD958="رایگان/VIP",AD958="جانباز"),AF958="خیر"),1,0)</f>
        <v>0</v>
      </c>
      <c r="BB958" s="21" t="n">
        <f aca="false">IF(AE958="",0,IF(COUNTIF($AE$2:$AE$1001,AE958)&gt;1,1,0))</f>
        <v>0</v>
      </c>
      <c r="BC958" s="21" t="n">
        <f aca="false">IF(AND(H958="",I958&gt;تنظیمات!$B$12*60,AM958="خالی"),1,0)</f>
        <v>0</v>
      </c>
      <c r="BD958" s="21" t="n">
        <f aca="false">IF(AND(AP958="بله",I958&lt;تنظیمات!$B$14,AO958="خیر"),1,0)</f>
        <v>0</v>
      </c>
      <c r="BE958" s="21" t="n">
        <f aca="false">IF(AN958="خیر",1,0)</f>
        <v>0</v>
      </c>
      <c r="BF958" s="21" t="n">
        <f aca="false">IF(AND(AD958="فیش مفقودی",AQ958="بله",I958&gt;تنظیمات!$B$12*60),1,0)</f>
        <v>0</v>
      </c>
      <c r="BG958" s="21" t="n">
        <f aca="false">IF(AND(AK958&gt;تنظیمات!$B$11,AL958="بله"),1,0)</f>
        <v>0</v>
      </c>
      <c r="BH958" s="21" t="n">
        <f aca="false">MIN(100,AR958*تنظیمات!$B$21+AS958*تنظیمات!$B$22+AT958*تنظیمات!$B$23+AU958*تنظیمات!$B$24+AV958*تنظیمات!$B$25+AW958*تنظیمات!$B$26+AX958*تنظیمات!$B$27+AY958*تنظیمات!$B$28+AZ958*تنظیمات!$B$29+BA958*تنظیمات!$B$30+BB958*تنظیمات!$B$31+BC958*تنظیمات!$B$32+BD958*تنظیمات!$B$33+BE958*تنظیمات!$B$34+BF958*تنظیمات!$B$35+BG958*تنظیمات!$B$36)</f>
        <v>0</v>
      </c>
      <c r="BI958" s="16" t="str">
        <f aca="false">IF(BH958&gt;=60,"بحرانی",IF(BH958&gt;=30,"مشکوک",IF(BH958&gt;0,"هشدار","عادی")))</f>
        <v>عادی</v>
      </c>
      <c r="BJ958" s="16" t="s">
        <v>338</v>
      </c>
    </row>
    <row r="959" customFormat="false" ht="15" hidden="false" customHeight="false" outlineLevel="0" collapsed="false">
      <c r="A959" s="16" t="s">
        <v>3183</v>
      </c>
      <c r="B959" s="16" t="s">
        <v>798</v>
      </c>
      <c r="C959" s="16"/>
      <c r="D959" s="16" t="s">
        <v>508</v>
      </c>
      <c r="E959" s="16" t="s">
        <v>363</v>
      </c>
      <c r="F959" s="16" t="s">
        <v>333</v>
      </c>
      <c r="G959" s="17" t="n">
        <v>46294.4637037037</v>
      </c>
      <c r="H959" s="17" t="n">
        <v>46294.5067592593</v>
      </c>
      <c r="I959" s="18" t="n">
        <f aca="false">IF(H959="",ROUND((تنظیمات!$B$7-G959)*1440,0),ROUND((H959-G959)*1440,0))</f>
        <v>62</v>
      </c>
      <c r="J959" s="16" t="s">
        <v>334</v>
      </c>
      <c r="K959" s="16" t="s">
        <v>400</v>
      </c>
      <c r="L959" s="19" t="n">
        <v>0.917</v>
      </c>
      <c r="M959" s="19" t="n">
        <v>0.938</v>
      </c>
      <c r="N959" s="16" t="s">
        <v>335</v>
      </c>
      <c r="O959" s="16" t="s">
        <v>411</v>
      </c>
      <c r="P959" s="16" t="s">
        <v>402</v>
      </c>
      <c r="Q959" s="20" t="n">
        <v>46294</v>
      </c>
      <c r="R959" s="16" t="s">
        <v>3184</v>
      </c>
      <c r="S959" s="16" t="s">
        <v>404</v>
      </c>
      <c r="T959" s="17"/>
      <c r="U959" s="21" t="n">
        <v>3</v>
      </c>
      <c r="V959" s="21" t="n">
        <v>1</v>
      </c>
      <c r="W959" s="22" t="n">
        <v>11</v>
      </c>
      <c r="X959" s="16" t="s">
        <v>335</v>
      </c>
      <c r="Y959" s="16" t="s">
        <v>338</v>
      </c>
      <c r="Z959" s="16" t="s">
        <v>413</v>
      </c>
      <c r="AA959" s="16" t="s">
        <v>427</v>
      </c>
      <c r="AB959" s="23" t="s">
        <v>3185</v>
      </c>
      <c r="AC959" s="17" t="n">
        <v>46294.5064351852</v>
      </c>
      <c r="AD959" s="16" t="s">
        <v>338</v>
      </c>
      <c r="AE959" s="16"/>
      <c r="AF959" s="16" t="str">
        <f aca="false">IF(COUNTIF(لیست_سفید!$A$2:$A$21,B959)&gt;0,"بله","خیر")</f>
        <v>خیر</v>
      </c>
      <c r="AG959" s="24" t="n">
        <f aca="false">IF(H959="","",IF(AD959="فیش مفقودی",تنظیمات!$B$6,(INT(I959/1440)*تنظیمات!$B$5+IF(MOD(I959,1440)&lt;=تنظیمات!$B$2,0,MIN(تنظیمات!$B$5,تنظیمات!$B$3+MAX(0,ROUNDUP((MOD(I959,1440)-60)/60,0))*تنظیمات!$B$4)))*INDEX(تعرفه!$B$2:$B$7,MATCH(AD959,تعرفه!$A$2:$A$7,0))))</f>
        <v>34000</v>
      </c>
      <c r="AH959" s="24" t="n">
        <v>34000</v>
      </c>
      <c r="AI959" s="24" t="n">
        <f aca="false">IF(AG959="","",AH959-AG959)</f>
        <v>0</v>
      </c>
      <c r="AJ959" s="21" t="n">
        <v>2</v>
      </c>
      <c r="AK959" s="21" t="n">
        <v>0</v>
      </c>
      <c r="AL959" s="16" t="s">
        <v>335</v>
      </c>
      <c r="AM959" s="16"/>
      <c r="AN959" s="16" t="s">
        <v>340</v>
      </c>
      <c r="AO959" s="16" t="s">
        <v>340</v>
      </c>
      <c r="AP959" s="16" t="s">
        <v>335</v>
      </c>
      <c r="AQ959" s="16"/>
      <c r="AR959" s="21" t="n">
        <f aca="false">IF(AND(T959&lt;&gt;"",H959&lt;&gt;""),IF(AND((T959-H959)*86400&gt;=0,(T959-H959)*86400&lt;تنظیمات!$B$13),1,0),0)</f>
        <v>0</v>
      </c>
      <c r="AS959" s="21" t="n">
        <f aca="false">IF(Z959="پوز",IF(OR(AB959="",COUNTIF(پوزها!$A$2:$A$5,AA959)=0),1,0),0)</f>
        <v>0</v>
      </c>
      <c r="AT959" s="21" t="n">
        <f aca="false">IF(AI959="",0,IF(AI959&gt;0,1,0))</f>
        <v>0</v>
      </c>
      <c r="AU959" s="21" t="n">
        <f aca="false">IF(AI959="",0,IF(AI959&lt;0,1,0))</f>
        <v>0</v>
      </c>
      <c r="AV959" s="21" t="n">
        <f aca="false">IF(U959&gt;V959,1,0)</f>
        <v>1</v>
      </c>
      <c r="AW959" s="21" t="n">
        <f aca="false">IF(OR(W959&gt;تنظیمات!$B$8,X959="بله"),1,0)</f>
        <v>0</v>
      </c>
      <c r="AX959" s="21" t="n">
        <f aca="false">IF(AND(N959="بله",L959&gt;تنظیمات!$B$9),1,0)</f>
        <v>0</v>
      </c>
      <c r="AY959" s="21" t="n">
        <f aca="false">IF(Y959="معکوس",1,0)</f>
        <v>0</v>
      </c>
      <c r="AZ959" s="21" t="n">
        <f aca="false">IF(ABS(AJ959)&gt;تنظیمات!$B$10,1,0)</f>
        <v>0</v>
      </c>
      <c r="BA959" s="21" t="n">
        <f aca="false">IF(AND(OR(AD959="رایگان/VIP",AD959="جانباز"),AF959="خیر"),1,0)</f>
        <v>0</v>
      </c>
      <c r="BB959" s="21" t="n">
        <f aca="false">IF(AE959="",0,IF(COUNTIF($AE$2:$AE$1001,AE959)&gt;1,1,0))</f>
        <v>0</v>
      </c>
      <c r="BC959" s="21" t="n">
        <f aca="false">IF(AND(H959="",I959&gt;تنظیمات!$B$12*60,AM959="خالی"),1,0)</f>
        <v>0</v>
      </c>
      <c r="BD959" s="21" t="n">
        <f aca="false">IF(AND(AP959="بله",I959&lt;تنظیمات!$B$14,AO959="خیر"),1,0)</f>
        <v>0</v>
      </c>
      <c r="BE959" s="21" t="n">
        <f aca="false">IF(AN959="خیر",1,0)</f>
        <v>0</v>
      </c>
      <c r="BF959" s="21" t="n">
        <f aca="false">IF(AND(AD959="فیش مفقودی",AQ959="بله",I959&gt;تنظیمات!$B$12*60),1,0)</f>
        <v>0</v>
      </c>
      <c r="BG959" s="21" t="n">
        <f aca="false">IF(AND(AK959&gt;تنظیمات!$B$11,AL959="بله"),1,0)</f>
        <v>0</v>
      </c>
      <c r="BH959" s="21" t="n">
        <f aca="false">MIN(100,AR959*تنظیمات!$B$21+AS959*تنظیمات!$B$22+AT959*تنظیمات!$B$23+AU959*تنظیمات!$B$24+AV959*تنظیمات!$B$25+AW959*تنظیمات!$B$26+AX959*تنظیمات!$B$27+AY959*تنظیمات!$B$28+AZ959*تنظیمات!$B$29+BA959*تنظیمات!$B$30+BB959*تنظیمات!$B$31+BC959*تنظیمات!$B$32+BD959*تنظیمات!$B$33+BE959*تنظیمات!$B$34+BF959*تنظیمات!$B$35+BG959*تنظیمات!$B$36)</f>
        <v>30</v>
      </c>
      <c r="BI959" s="16" t="str">
        <f aca="false">IF(BH959&gt;=60,"بحرانی",IF(BH959&gt;=30,"مشکوک",IF(BH959&gt;0,"هشدار","عادی")))</f>
        <v>مشکوک</v>
      </c>
      <c r="BJ959" s="16" t="s">
        <v>516</v>
      </c>
    </row>
    <row r="960" customFormat="false" ht="15" hidden="false" customHeight="false" outlineLevel="0" collapsed="false">
      <c r="A960" s="16" t="s">
        <v>3186</v>
      </c>
      <c r="B960" s="16" t="s">
        <v>1442</v>
      </c>
      <c r="C960" s="16"/>
      <c r="D960" s="16" t="s">
        <v>386</v>
      </c>
      <c r="E960" s="16" t="s">
        <v>345</v>
      </c>
      <c r="F960" s="16" t="s">
        <v>333</v>
      </c>
      <c r="G960" s="17" t="n">
        <v>46294.4812037037</v>
      </c>
      <c r="H960" s="17" t="n">
        <v>46294.8999537037</v>
      </c>
      <c r="I960" s="18" t="n">
        <f aca="false">IF(H960="",ROUND((تنظیمات!$B$7-G960)*1440,0),ROUND((H960-G960)*1440,0))</f>
        <v>603</v>
      </c>
      <c r="J960" s="16" t="s">
        <v>346</v>
      </c>
      <c r="K960" s="16" t="s">
        <v>400</v>
      </c>
      <c r="L960" s="19" t="n">
        <v>0.937</v>
      </c>
      <c r="M960" s="19" t="n">
        <v>0.875</v>
      </c>
      <c r="N960" s="16" t="s">
        <v>335</v>
      </c>
      <c r="O960" s="16" t="s">
        <v>419</v>
      </c>
      <c r="P960" s="16" t="s">
        <v>420</v>
      </c>
      <c r="Q960" s="20" t="n">
        <v>46294</v>
      </c>
      <c r="R960" s="16" t="s">
        <v>3187</v>
      </c>
      <c r="S960" s="16" t="s">
        <v>404</v>
      </c>
      <c r="T960" s="17"/>
      <c r="U960" s="21" t="n">
        <v>1</v>
      </c>
      <c r="V960" s="21" t="n">
        <v>1</v>
      </c>
      <c r="W960" s="22" t="n">
        <v>7</v>
      </c>
      <c r="X960" s="16" t="s">
        <v>335</v>
      </c>
      <c r="Y960" s="16" t="s">
        <v>338</v>
      </c>
      <c r="Z960" s="16" t="s">
        <v>413</v>
      </c>
      <c r="AA960" s="16" t="s">
        <v>427</v>
      </c>
      <c r="AB960" s="23" t="s">
        <v>3188</v>
      </c>
      <c r="AC960" s="17" t="n">
        <v>46294.8990856482</v>
      </c>
      <c r="AD960" s="16" t="s">
        <v>338</v>
      </c>
      <c r="AE960" s="16"/>
      <c r="AF960" s="16" t="str">
        <f aca="false">IF(COUNTIF(لیست_سفید!$A$2:$A$21,B960)&gt;0,"بله","خیر")</f>
        <v>خیر</v>
      </c>
      <c r="AG960" s="24" t="n">
        <f aca="false">IF(H960="","",IF(AD960="فیش مفقودی",تنظیمات!$B$6,(INT(I960/1440)*تنظیمات!$B$5+IF(MOD(I960,1440)&lt;=تنظیمات!$B$2,0,MIN(تنظیمات!$B$5,تنظیمات!$B$3+MAX(0,ROUNDUP((MOD(I960,1440)-60)/60,0))*تنظیمات!$B$4)))*INDEX(تعرفه!$B$2:$B$7,MATCH(AD960,تعرفه!$A$2:$A$7,0))))</f>
        <v>160000</v>
      </c>
      <c r="AH960" s="24" t="n">
        <v>160000</v>
      </c>
      <c r="AI960" s="24" t="n">
        <f aca="false">IF(AG960="","",AH960-AG960)</f>
        <v>0</v>
      </c>
      <c r="AJ960" s="21" t="n">
        <v>-2</v>
      </c>
      <c r="AK960" s="21" t="n">
        <v>0</v>
      </c>
      <c r="AL960" s="16" t="s">
        <v>335</v>
      </c>
      <c r="AM960" s="16"/>
      <c r="AN960" s="16" t="s">
        <v>340</v>
      </c>
      <c r="AO960" s="16" t="s">
        <v>340</v>
      </c>
      <c r="AP960" s="16" t="s">
        <v>335</v>
      </c>
      <c r="AQ960" s="16"/>
      <c r="AR960" s="21" t="n">
        <f aca="false">IF(AND(T960&lt;&gt;"",H960&lt;&gt;""),IF(AND((T960-H960)*86400&gt;=0,(T960-H960)*86400&lt;تنظیمات!$B$13),1,0),0)</f>
        <v>0</v>
      </c>
      <c r="AS960" s="21" t="n">
        <f aca="false">IF(Z960="پوز",IF(OR(AB960="",COUNTIF(پوزها!$A$2:$A$5,AA960)=0),1,0),0)</f>
        <v>0</v>
      </c>
      <c r="AT960" s="21" t="n">
        <f aca="false">IF(AI960="",0,IF(AI960&gt;0,1,0))</f>
        <v>0</v>
      </c>
      <c r="AU960" s="21" t="n">
        <f aca="false">IF(AI960="",0,IF(AI960&lt;0,1,0))</f>
        <v>0</v>
      </c>
      <c r="AV960" s="21" t="n">
        <f aca="false">IF(U960&gt;V960,1,0)</f>
        <v>0</v>
      </c>
      <c r="AW960" s="21" t="n">
        <f aca="false">IF(OR(W960&gt;تنظیمات!$B$8,X960="بله"),1,0)</f>
        <v>0</v>
      </c>
      <c r="AX960" s="21" t="n">
        <f aca="false">IF(AND(N960="بله",L960&gt;تنظیمات!$B$9),1,0)</f>
        <v>0</v>
      </c>
      <c r="AY960" s="21" t="n">
        <f aca="false">IF(Y960="معکوس",1,0)</f>
        <v>0</v>
      </c>
      <c r="AZ960" s="21" t="n">
        <f aca="false">IF(ABS(AJ960)&gt;تنظیمات!$B$10,1,0)</f>
        <v>0</v>
      </c>
      <c r="BA960" s="21" t="n">
        <f aca="false">IF(AND(OR(AD960="رایگان/VIP",AD960="جانباز"),AF960="خیر"),1,0)</f>
        <v>0</v>
      </c>
      <c r="BB960" s="21" t="n">
        <f aca="false">IF(AE960="",0,IF(COUNTIF($AE$2:$AE$1001,AE960)&gt;1,1,0))</f>
        <v>0</v>
      </c>
      <c r="BC960" s="21" t="n">
        <f aca="false">IF(AND(H960="",I960&gt;تنظیمات!$B$12*60,AM960="خالی"),1,0)</f>
        <v>0</v>
      </c>
      <c r="BD960" s="21" t="n">
        <f aca="false">IF(AND(AP960="بله",I960&lt;تنظیمات!$B$14,AO960="خیر"),1,0)</f>
        <v>0</v>
      </c>
      <c r="BE960" s="21" t="n">
        <f aca="false">IF(AN960="خیر",1,0)</f>
        <v>0</v>
      </c>
      <c r="BF960" s="21" t="n">
        <f aca="false">IF(AND(AD960="فیش مفقودی",AQ960="بله",I960&gt;تنظیمات!$B$12*60),1,0)</f>
        <v>0</v>
      </c>
      <c r="BG960" s="21" t="n">
        <f aca="false">IF(AND(AK960&gt;تنظیمات!$B$11,AL960="بله"),1,0)</f>
        <v>0</v>
      </c>
      <c r="BH960" s="21" t="n">
        <f aca="false">MIN(100,AR960*تنظیمات!$B$21+AS960*تنظیمات!$B$22+AT960*تنظیمات!$B$23+AU960*تنظیمات!$B$24+AV960*تنظیمات!$B$25+AW960*تنظیمات!$B$26+AX960*تنظیمات!$B$27+AY960*تنظیمات!$B$28+AZ960*تنظیمات!$B$29+BA960*تنظیمات!$B$30+BB960*تنظیمات!$B$31+BC960*تنظیمات!$B$32+BD960*تنظیمات!$B$33+BE960*تنظیمات!$B$34+BF960*تنظیمات!$B$35+BG960*تنظیمات!$B$36)</f>
        <v>0</v>
      </c>
      <c r="BI960" s="16" t="str">
        <f aca="false">IF(BH960&gt;=60,"بحرانی",IF(BH960&gt;=30,"مشکوک",IF(BH960&gt;0,"هشدار","عادی")))</f>
        <v>عادی</v>
      </c>
      <c r="BJ960" s="16" t="s">
        <v>338</v>
      </c>
    </row>
    <row r="961" customFormat="false" ht="15" hidden="false" customHeight="false" outlineLevel="0" collapsed="false">
      <c r="A961" s="16" t="s">
        <v>3189</v>
      </c>
      <c r="B961" s="16" t="s">
        <v>3190</v>
      </c>
      <c r="C961" s="16"/>
      <c r="D961" s="16" t="s">
        <v>450</v>
      </c>
      <c r="E961" s="16" t="s">
        <v>375</v>
      </c>
      <c r="F961" s="16" t="s">
        <v>333</v>
      </c>
      <c r="G961" s="17" t="n">
        <v>46294.4984259259</v>
      </c>
      <c r="H961" s="17" t="n">
        <v>46294.5928703704</v>
      </c>
      <c r="I961" s="18" t="n">
        <f aca="false">IF(H961="",ROUND((تنظیمات!$B$7-G961)*1440,0),ROUND((H961-G961)*1440,0))</f>
        <v>136</v>
      </c>
      <c r="J961" s="16" t="s">
        <v>334</v>
      </c>
      <c r="K961" s="16" t="s">
        <v>400</v>
      </c>
      <c r="L961" s="19" t="n">
        <v>0.992</v>
      </c>
      <c r="M961" s="19" t="n">
        <v>0.995</v>
      </c>
      <c r="N961" s="16" t="s">
        <v>335</v>
      </c>
      <c r="O961" s="16" t="s">
        <v>419</v>
      </c>
      <c r="P961" s="16" t="s">
        <v>420</v>
      </c>
      <c r="Q961" s="20" t="n">
        <v>46294</v>
      </c>
      <c r="R961" s="16" t="s">
        <v>3191</v>
      </c>
      <c r="S961" s="16" t="s">
        <v>404</v>
      </c>
      <c r="T961" s="17"/>
      <c r="U961" s="21" t="n">
        <v>1</v>
      </c>
      <c r="V961" s="21" t="n">
        <v>1</v>
      </c>
      <c r="W961" s="22" t="n">
        <v>4.2</v>
      </c>
      <c r="X961" s="16" t="s">
        <v>335</v>
      </c>
      <c r="Y961" s="16" t="s">
        <v>338</v>
      </c>
      <c r="Z961" s="16" t="s">
        <v>413</v>
      </c>
      <c r="AA961" s="16" t="s">
        <v>427</v>
      </c>
      <c r="AB961" s="23" t="s">
        <v>3192</v>
      </c>
      <c r="AC961" s="17" t="n">
        <v>46294.5921990741</v>
      </c>
      <c r="AD961" s="16" t="s">
        <v>338</v>
      </c>
      <c r="AE961" s="16"/>
      <c r="AF961" s="16" t="str">
        <f aca="false">IF(COUNTIF(لیست_سفید!$A$2:$A$21,B961)&gt;0,"بله","خیر")</f>
        <v>خیر</v>
      </c>
      <c r="AG961" s="24" t="n">
        <f aca="false">IF(H961="","",IF(AD961="فیش مفقودی",تنظیمات!$B$6,(INT(I961/1440)*تنظیمات!$B$5+IF(MOD(I961,1440)&lt;=تنظیمات!$B$2,0,MIN(تنظیمات!$B$5,تنظیمات!$B$3+MAX(0,ROUNDUP((MOD(I961,1440)-60)/60,0))*تنظیمات!$B$4)))*INDEX(تعرفه!$B$2:$B$7,MATCH(AD961,تعرفه!$A$2:$A$7,0))))</f>
        <v>48000</v>
      </c>
      <c r="AH961" s="24" t="n">
        <v>48000</v>
      </c>
      <c r="AI961" s="24" t="n">
        <f aca="false">IF(AG961="","",AH961-AG961)</f>
        <v>0</v>
      </c>
      <c r="AJ961" s="21" t="n">
        <v>1</v>
      </c>
      <c r="AK961" s="21" t="n">
        <v>0</v>
      </c>
      <c r="AL961" s="16" t="s">
        <v>335</v>
      </c>
      <c r="AM961" s="16"/>
      <c r="AN961" s="16" t="s">
        <v>340</v>
      </c>
      <c r="AO961" s="16" t="s">
        <v>340</v>
      </c>
      <c r="AP961" s="16" t="s">
        <v>335</v>
      </c>
      <c r="AQ961" s="16"/>
      <c r="AR961" s="21" t="n">
        <f aca="false">IF(AND(T961&lt;&gt;"",H961&lt;&gt;""),IF(AND((T961-H961)*86400&gt;=0,(T961-H961)*86400&lt;تنظیمات!$B$13),1,0),0)</f>
        <v>0</v>
      </c>
      <c r="AS961" s="21" t="n">
        <f aca="false">IF(Z961="پوز",IF(OR(AB961="",COUNTIF(پوزها!$A$2:$A$5,AA961)=0),1,0),0)</f>
        <v>0</v>
      </c>
      <c r="AT961" s="21" t="n">
        <f aca="false">IF(AI961="",0,IF(AI961&gt;0,1,0))</f>
        <v>0</v>
      </c>
      <c r="AU961" s="21" t="n">
        <f aca="false">IF(AI961="",0,IF(AI961&lt;0,1,0))</f>
        <v>0</v>
      </c>
      <c r="AV961" s="21" t="n">
        <f aca="false">IF(U961&gt;V961,1,0)</f>
        <v>0</v>
      </c>
      <c r="AW961" s="21" t="n">
        <f aca="false">IF(OR(W961&gt;تنظیمات!$B$8,X961="بله"),1,0)</f>
        <v>0</v>
      </c>
      <c r="AX961" s="21" t="n">
        <f aca="false">IF(AND(N961="بله",L961&gt;تنظیمات!$B$9),1,0)</f>
        <v>0</v>
      </c>
      <c r="AY961" s="21" t="n">
        <f aca="false">IF(Y961="معکوس",1,0)</f>
        <v>0</v>
      </c>
      <c r="AZ961" s="21" t="n">
        <f aca="false">IF(ABS(AJ961)&gt;تنظیمات!$B$10,1,0)</f>
        <v>0</v>
      </c>
      <c r="BA961" s="21" t="n">
        <f aca="false">IF(AND(OR(AD961="رایگان/VIP",AD961="جانباز"),AF961="خیر"),1,0)</f>
        <v>0</v>
      </c>
      <c r="BB961" s="21" t="n">
        <f aca="false">IF(AE961="",0,IF(COUNTIF($AE$2:$AE$1001,AE961)&gt;1,1,0))</f>
        <v>0</v>
      </c>
      <c r="BC961" s="21" t="n">
        <f aca="false">IF(AND(H961="",I961&gt;تنظیمات!$B$12*60,AM961="خالی"),1,0)</f>
        <v>0</v>
      </c>
      <c r="BD961" s="21" t="n">
        <f aca="false">IF(AND(AP961="بله",I961&lt;تنظیمات!$B$14,AO961="خیر"),1,0)</f>
        <v>0</v>
      </c>
      <c r="BE961" s="21" t="n">
        <f aca="false">IF(AN961="خیر",1,0)</f>
        <v>0</v>
      </c>
      <c r="BF961" s="21" t="n">
        <f aca="false">IF(AND(AD961="فیش مفقودی",AQ961="بله",I961&gt;تنظیمات!$B$12*60),1,0)</f>
        <v>0</v>
      </c>
      <c r="BG961" s="21" t="n">
        <f aca="false">IF(AND(AK961&gt;تنظیمات!$B$11,AL961="بله"),1,0)</f>
        <v>0</v>
      </c>
      <c r="BH961" s="21" t="n">
        <f aca="false">MIN(100,AR961*تنظیمات!$B$21+AS961*تنظیمات!$B$22+AT961*تنظیمات!$B$23+AU961*تنظیمات!$B$24+AV961*تنظیمات!$B$25+AW961*تنظیمات!$B$26+AX961*تنظیمات!$B$27+AY961*تنظیمات!$B$28+AZ961*تنظیمات!$B$29+BA961*تنظیمات!$B$30+BB961*تنظیمات!$B$31+BC961*تنظیمات!$B$32+BD961*تنظیمات!$B$33+BE961*تنظیمات!$B$34+BF961*تنظیمات!$B$35+BG961*تنظیمات!$B$36)</f>
        <v>0</v>
      </c>
      <c r="BI961" s="16" t="str">
        <f aca="false">IF(BH961&gt;=60,"بحرانی",IF(BH961&gt;=30,"مشکوک",IF(BH961&gt;0,"هشدار","عادی")))</f>
        <v>عادی</v>
      </c>
      <c r="BJ961" s="16" t="s">
        <v>338</v>
      </c>
    </row>
    <row r="962" customFormat="false" ht="15" hidden="false" customHeight="false" outlineLevel="0" collapsed="false">
      <c r="A962" s="16" t="s">
        <v>3193</v>
      </c>
      <c r="B962" s="16" t="s">
        <v>3194</v>
      </c>
      <c r="C962" s="16"/>
      <c r="D962" s="16" t="s">
        <v>523</v>
      </c>
      <c r="E962" s="16" t="s">
        <v>351</v>
      </c>
      <c r="F962" s="16" t="s">
        <v>333</v>
      </c>
      <c r="G962" s="17" t="n">
        <v>46294.5133217593</v>
      </c>
      <c r="H962" s="17" t="n">
        <v>46294.5640162037</v>
      </c>
      <c r="I962" s="18" t="n">
        <f aca="false">IF(H962="",ROUND((تنظیمات!$B$7-G962)*1440,0),ROUND((H962-G962)*1440,0))</f>
        <v>73</v>
      </c>
      <c r="J962" s="16" t="s">
        <v>334</v>
      </c>
      <c r="K962" s="16" t="s">
        <v>410</v>
      </c>
      <c r="L962" s="19" t="n">
        <v>0.995</v>
      </c>
      <c r="M962" s="19" t="n">
        <v>0.919</v>
      </c>
      <c r="N962" s="16" t="s">
        <v>335</v>
      </c>
      <c r="O962" s="16" t="s">
        <v>401</v>
      </c>
      <c r="P962" s="16" t="s">
        <v>402</v>
      </c>
      <c r="Q962" s="20" t="n">
        <v>46294</v>
      </c>
      <c r="R962" s="16" t="s">
        <v>3195</v>
      </c>
      <c r="S962" s="16" t="s">
        <v>404</v>
      </c>
      <c r="T962" s="17"/>
      <c r="U962" s="21" t="n">
        <v>1</v>
      </c>
      <c r="V962" s="21" t="n">
        <v>1</v>
      </c>
      <c r="W962" s="22" t="n">
        <v>6.8</v>
      </c>
      <c r="X962" s="16" t="s">
        <v>335</v>
      </c>
      <c r="Y962" s="16" t="s">
        <v>338</v>
      </c>
      <c r="Z962" s="16" t="s">
        <v>413</v>
      </c>
      <c r="AA962" s="16" t="s">
        <v>414</v>
      </c>
      <c r="AB962" s="23" t="s">
        <v>3196</v>
      </c>
      <c r="AC962" s="17" t="n">
        <v>46294.5631712963</v>
      </c>
      <c r="AD962" s="16" t="s">
        <v>338</v>
      </c>
      <c r="AE962" s="16"/>
      <c r="AF962" s="16" t="str">
        <f aca="false">IF(COUNTIF(لیست_سفید!$A$2:$A$21,B962)&gt;0,"بله","خیر")</f>
        <v>خیر</v>
      </c>
      <c r="AG962" s="24" t="n">
        <f aca="false">IF(H962="","",IF(AD962="فیش مفقودی",تنظیمات!$B$6,(INT(I962/1440)*تنظیمات!$B$5+IF(MOD(I962,1440)&lt;=تنظیمات!$B$2,0,MIN(تنظیمات!$B$5,تنظیمات!$B$3+MAX(0,ROUNDUP((MOD(I962,1440)-60)/60,0))*تنظیمات!$B$4)))*INDEX(تعرفه!$B$2:$B$7,MATCH(AD962,تعرفه!$A$2:$A$7,0))))</f>
        <v>34000</v>
      </c>
      <c r="AH962" s="24" t="n">
        <v>34000</v>
      </c>
      <c r="AI962" s="24" t="n">
        <f aca="false">IF(AG962="","",AH962-AG962)</f>
        <v>0</v>
      </c>
      <c r="AJ962" s="21" t="n">
        <v>0</v>
      </c>
      <c r="AK962" s="21" t="n">
        <v>0</v>
      </c>
      <c r="AL962" s="16" t="s">
        <v>335</v>
      </c>
      <c r="AM962" s="16"/>
      <c r="AN962" s="16" t="s">
        <v>340</v>
      </c>
      <c r="AO962" s="16" t="s">
        <v>340</v>
      </c>
      <c r="AP962" s="16" t="s">
        <v>335</v>
      </c>
      <c r="AQ962" s="16"/>
      <c r="AR962" s="21" t="n">
        <f aca="false">IF(AND(T962&lt;&gt;"",H962&lt;&gt;""),IF(AND((T962-H962)*86400&gt;=0,(T962-H962)*86400&lt;تنظیمات!$B$13),1,0),0)</f>
        <v>0</v>
      </c>
      <c r="AS962" s="21" t="n">
        <f aca="false">IF(Z962="پوز",IF(OR(AB962="",COUNTIF(پوزها!$A$2:$A$5,AA962)=0),1,0),0)</f>
        <v>0</v>
      </c>
      <c r="AT962" s="21" t="n">
        <f aca="false">IF(AI962="",0,IF(AI962&gt;0,1,0))</f>
        <v>0</v>
      </c>
      <c r="AU962" s="21" t="n">
        <f aca="false">IF(AI962="",0,IF(AI962&lt;0,1,0))</f>
        <v>0</v>
      </c>
      <c r="AV962" s="21" t="n">
        <f aca="false">IF(U962&gt;V962,1,0)</f>
        <v>0</v>
      </c>
      <c r="AW962" s="21" t="n">
        <f aca="false">IF(OR(W962&gt;تنظیمات!$B$8,X962="بله"),1,0)</f>
        <v>0</v>
      </c>
      <c r="AX962" s="21" t="n">
        <f aca="false">IF(AND(N962="بله",L962&gt;تنظیمات!$B$9),1,0)</f>
        <v>0</v>
      </c>
      <c r="AY962" s="21" t="n">
        <f aca="false">IF(Y962="معکوس",1,0)</f>
        <v>0</v>
      </c>
      <c r="AZ962" s="21" t="n">
        <f aca="false">IF(ABS(AJ962)&gt;تنظیمات!$B$10,1,0)</f>
        <v>0</v>
      </c>
      <c r="BA962" s="21" t="n">
        <f aca="false">IF(AND(OR(AD962="رایگان/VIP",AD962="جانباز"),AF962="خیر"),1,0)</f>
        <v>0</v>
      </c>
      <c r="BB962" s="21" t="n">
        <f aca="false">IF(AE962="",0,IF(COUNTIF($AE$2:$AE$1001,AE962)&gt;1,1,0))</f>
        <v>0</v>
      </c>
      <c r="BC962" s="21" t="n">
        <f aca="false">IF(AND(H962="",I962&gt;تنظیمات!$B$12*60,AM962="خالی"),1,0)</f>
        <v>0</v>
      </c>
      <c r="BD962" s="21" t="n">
        <f aca="false">IF(AND(AP962="بله",I962&lt;تنظیمات!$B$14,AO962="خیر"),1,0)</f>
        <v>0</v>
      </c>
      <c r="BE962" s="21" t="n">
        <f aca="false">IF(AN962="خیر",1,0)</f>
        <v>0</v>
      </c>
      <c r="BF962" s="21" t="n">
        <f aca="false">IF(AND(AD962="فیش مفقودی",AQ962="بله",I962&gt;تنظیمات!$B$12*60),1,0)</f>
        <v>0</v>
      </c>
      <c r="BG962" s="21" t="n">
        <f aca="false">IF(AND(AK962&gt;تنظیمات!$B$11,AL962="بله"),1,0)</f>
        <v>0</v>
      </c>
      <c r="BH962" s="21" t="n">
        <f aca="false">MIN(100,AR962*تنظیمات!$B$21+AS962*تنظیمات!$B$22+AT962*تنظیمات!$B$23+AU962*تنظیمات!$B$24+AV962*تنظیمات!$B$25+AW962*تنظیمات!$B$26+AX962*تنظیمات!$B$27+AY962*تنظیمات!$B$28+AZ962*تنظیمات!$B$29+BA962*تنظیمات!$B$30+BB962*تنظیمات!$B$31+BC962*تنظیمات!$B$32+BD962*تنظیمات!$B$33+BE962*تنظیمات!$B$34+BF962*تنظیمات!$B$35+BG962*تنظیمات!$B$36)</f>
        <v>0</v>
      </c>
      <c r="BI962" s="16" t="str">
        <f aca="false">IF(BH962&gt;=60,"بحرانی",IF(BH962&gt;=30,"مشکوک",IF(BH962&gt;0,"هشدار","عادی")))</f>
        <v>عادی</v>
      </c>
      <c r="BJ962" s="16" t="s">
        <v>338</v>
      </c>
    </row>
    <row r="963" customFormat="false" ht="15" hidden="false" customHeight="false" outlineLevel="0" collapsed="false">
      <c r="A963" s="16" t="s">
        <v>3197</v>
      </c>
      <c r="B963" s="16" t="s">
        <v>498</v>
      </c>
      <c r="C963" s="16"/>
      <c r="D963" s="16" t="s">
        <v>344</v>
      </c>
      <c r="E963" s="16" t="s">
        <v>390</v>
      </c>
      <c r="F963" s="16" t="s">
        <v>333</v>
      </c>
      <c r="G963" s="17" t="n">
        <v>46294.5133449074</v>
      </c>
      <c r="H963" s="17" t="n">
        <v>46294.518900463</v>
      </c>
      <c r="I963" s="18" t="n">
        <f aca="false">IF(H963="",ROUND((تنظیمات!$B$7-G963)*1440,0),ROUND((H963-G963)*1440,0))</f>
        <v>8</v>
      </c>
      <c r="J963" s="16" t="s">
        <v>346</v>
      </c>
      <c r="K963" s="16" t="s">
        <v>410</v>
      </c>
      <c r="L963" s="19" t="n">
        <v>0.963</v>
      </c>
      <c r="M963" s="19" t="n">
        <v>0.96</v>
      </c>
      <c r="N963" s="16" t="s">
        <v>335</v>
      </c>
      <c r="O963" s="16" t="s">
        <v>401</v>
      </c>
      <c r="P963" s="16" t="s">
        <v>402</v>
      </c>
      <c r="Q963" s="20" t="n">
        <v>46294</v>
      </c>
      <c r="R963" s="16" t="s">
        <v>3198</v>
      </c>
      <c r="S963" s="16" t="s">
        <v>404</v>
      </c>
      <c r="T963" s="17"/>
      <c r="U963" s="21" t="n">
        <v>1</v>
      </c>
      <c r="V963" s="21" t="n">
        <v>1</v>
      </c>
      <c r="W963" s="22" t="n">
        <v>5.6</v>
      </c>
      <c r="X963" s="16" t="s">
        <v>335</v>
      </c>
      <c r="Y963" s="16" t="s">
        <v>338</v>
      </c>
      <c r="Z963" s="16" t="s">
        <v>628</v>
      </c>
      <c r="AA963" s="16"/>
      <c r="AB963" s="23"/>
      <c r="AC963" s="17"/>
      <c r="AD963" s="16" t="s">
        <v>338</v>
      </c>
      <c r="AE963" s="16"/>
      <c r="AF963" s="16" t="str">
        <f aca="false">IF(COUNTIF(لیست_سفید!$A$2:$A$21,B963)&gt;0,"بله","خیر")</f>
        <v>خیر</v>
      </c>
      <c r="AG963" s="24" t="n">
        <f aca="false">IF(H963="","",IF(AD963="فیش مفقودی",تنظیمات!$B$6,(INT(I963/1440)*تنظیمات!$B$5+IF(MOD(I963,1440)&lt;=تنظیمات!$B$2,0,MIN(تنظیمات!$B$5,تنظیمات!$B$3+MAX(0,ROUNDUP((MOD(I963,1440)-60)/60,0))*تنظیمات!$B$4)))*INDEX(تعرفه!$B$2:$B$7,MATCH(AD963,تعرفه!$A$2:$A$7,0))))</f>
        <v>0</v>
      </c>
      <c r="AH963" s="24" t="n">
        <v>0</v>
      </c>
      <c r="AI963" s="24" t="n">
        <f aca="false">IF(AG963="","",AH963-AG963)</f>
        <v>0</v>
      </c>
      <c r="AJ963" s="21" t="n">
        <v>0</v>
      </c>
      <c r="AK963" s="21" t="n">
        <v>0</v>
      </c>
      <c r="AL963" s="16" t="s">
        <v>335</v>
      </c>
      <c r="AM963" s="16"/>
      <c r="AN963" s="16" t="s">
        <v>340</v>
      </c>
      <c r="AO963" s="16" t="s">
        <v>340</v>
      </c>
      <c r="AP963" s="16" t="s">
        <v>335</v>
      </c>
      <c r="AQ963" s="16"/>
      <c r="AR963" s="21" t="n">
        <f aca="false">IF(AND(T963&lt;&gt;"",H963&lt;&gt;""),IF(AND((T963-H963)*86400&gt;=0,(T963-H963)*86400&lt;تنظیمات!$B$13),1,0),0)</f>
        <v>0</v>
      </c>
      <c r="AS963" s="21" t="n">
        <f aca="false">IF(Z963="پوز",IF(OR(AB963="",COUNTIF(پوزها!$A$2:$A$5,AA963)=0),1,0),0)</f>
        <v>0</v>
      </c>
      <c r="AT963" s="21" t="n">
        <f aca="false">IF(AI963="",0,IF(AI963&gt;0,1,0))</f>
        <v>0</v>
      </c>
      <c r="AU963" s="21" t="n">
        <f aca="false">IF(AI963="",0,IF(AI963&lt;0,1,0))</f>
        <v>0</v>
      </c>
      <c r="AV963" s="21" t="n">
        <f aca="false">IF(U963&gt;V963,1,0)</f>
        <v>0</v>
      </c>
      <c r="AW963" s="21" t="n">
        <f aca="false">IF(OR(W963&gt;تنظیمات!$B$8,X963="بله"),1,0)</f>
        <v>0</v>
      </c>
      <c r="AX963" s="21" t="n">
        <f aca="false">IF(AND(N963="بله",L963&gt;تنظیمات!$B$9),1,0)</f>
        <v>0</v>
      </c>
      <c r="AY963" s="21" t="n">
        <f aca="false">IF(Y963="معکوس",1,0)</f>
        <v>0</v>
      </c>
      <c r="AZ963" s="21" t="n">
        <f aca="false">IF(ABS(AJ963)&gt;تنظیمات!$B$10,1,0)</f>
        <v>0</v>
      </c>
      <c r="BA963" s="21" t="n">
        <f aca="false">IF(AND(OR(AD963="رایگان/VIP",AD963="جانباز"),AF963="خیر"),1,0)</f>
        <v>0</v>
      </c>
      <c r="BB963" s="21" t="n">
        <f aca="false">IF(AE963="",0,IF(COUNTIF($AE$2:$AE$1001,AE963)&gt;1,1,0))</f>
        <v>0</v>
      </c>
      <c r="BC963" s="21" t="n">
        <f aca="false">IF(AND(H963="",I963&gt;تنظیمات!$B$12*60,AM963="خالی"),1,0)</f>
        <v>0</v>
      </c>
      <c r="BD963" s="21" t="n">
        <f aca="false">IF(AND(AP963="بله",I963&lt;تنظیمات!$B$14,AO963="خیر"),1,0)</f>
        <v>0</v>
      </c>
      <c r="BE963" s="21" t="n">
        <f aca="false">IF(AN963="خیر",1,0)</f>
        <v>0</v>
      </c>
      <c r="BF963" s="21" t="n">
        <f aca="false">IF(AND(AD963="فیش مفقودی",AQ963="بله",I963&gt;تنظیمات!$B$12*60),1,0)</f>
        <v>0</v>
      </c>
      <c r="BG963" s="21" t="n">
        <f aca="false">IF(AND(AK963&gt;تنظیمات!$B$11,AL963="بله"),1,0)</f>
        <v>0</v>
      </c>
      <c r="BH963" s="21" t="n">
        <f aca="false">MIN(100,AR963*تنظیمات!$B$21+AS963*تنظیمات!$B$22+AT963*تنظیمات!$B$23+AU963*تنظیمات!$B$24+AV963*تنظیمات!$B$25+AW963*تنظیمات!$B$26+AX963*تنظیمات!$B$27+AY963*تنظیمات!$B$28+AZ963*تنظیمات!$B$29+BA963*تنظیمات!$B$30+BB963*تنظیمات!$B$31+BC963*تنظیمات!$B$32+BD963*تنظیمات!$B$33+BE963*تنظیمات!$B$34+BF963*تنظیمات!$B$35+BG963*تنظیمات!$B$36)</f>
        <v>0</v>
      </c>
      <c r="BI963" s="16" t="str">
        <f aca="false">IF(BH963&gt;=60,"بحرانی",IF(BH963&gt;=30,"مشکوک",IF(BH963&gt;0,"هشدار","عادی")))</f>
        <v>عادی</v>
      </c>
      <c r="BJ963" s="16" t="s">
        <v>629</v>
      </c>
    </row>
    <row r="964" customFormat="false" ht="15" hidden="false" customHeight="false" outlineLevel="0" collapsed="false">
      <c r="A964" s="16" t="s">
        <v>3199</v>
      </c>
      <c r="B964" s="16" t="s">
        <v>373</v>
      </c>
      <c r="C964" s="16"/>
      <c r="D964" s="16" t="s">
        <v>374</v>
      </c>
      <c r="E964" s="16" t="s">
        <v>375</v>
      </c>
      <c r="F964" s="16" t="s">
        <v>359</v>
      </c>
      <c r="G964" s="17" t="n">
        <v>46294.5360532407</v>
      </c>
      <c r="H964" s="17" t="n">
        <v>46294.6054976852</v>
      </c>
      <c r="I964" s="18" t="n">
        <f aca="false">IF(H964="",ROUND((تنظیمات!$B$7-G964)*1440,0),ROUND((H964-G964)*1440,0))</f>
        <v>100</v>
      </c>
      <c r="J964" s="16" t="s">
        <v>346</v>
      </c>
      <c r="K964" s="16" t="s">
        <v>400</v>
      </c>
      <c r="L964" s="19" t="n">
        <v>0.995</v>
      </c>
      <c r="M964" s="19" t="n">
        <v>0.956</v>
      </c>
      <c r="N964" s="16" t="s">
        <v>335</v>
      </c>
      <c r="O964" s="16" t="s">
        <v>419</v>
      </c>
      <c r="P964" s="16" t="s">
        <v>420</v>
      </c>
      <c r="Q964" s="20" t="n">
        <v>46294</v>
      </c>
      <c r="R964" s="16" t="s">
        <v>3200</v>
      </c>
      <c r="S964" s="16" t="s">
        <v>404</v>
      </c>
      <c r="T964" s="17"/>
      <c r="U964" s="21" t="n">
        <v>1</v>
      </c>
      <c r="V964" s="21" t="n">
        <v>1</v>
      </c>
      <c r="W964" s="22" t="n">
        <v>6.4</v>
      </c>
      <c r="X964" s="16" t="s">
        <v>335</v>
      </c>
      <c r="Y964" s="16" t="s">
        <v>338</v>
      </c>
      <c r="Z964" s="16" t="s">
        <v>413</v>
      </c>
      <c r="AA964" s="16" t="s">
        <v>427</v>
      </c>
      <c r="AB964" s="23" t="s">
        <v>3201</v>
      </c>
      <c r="AC964" s="17" t="n">
        <v>46294.6051157407</v>
      </c>
      <c r="AD964" s="16" t="s">
        <v>338</v>
      </c>
      <c r="AE964" s="16"/>
      <c r="AF964" s="16" t="str">
        <f aca="false">IF(COUNTIF(لیست_سفید!$A$2:$A$21,B964)&gt;0,"بله","خیر")</f>
        <v>خیر</v>
      </c>
      <c r="AG964" s="24" t="n">
        <f aca="false">IF(H964="","",IF(AD964="فیش مفقودی",تنظیمات!$B$6,(INT(I964/1440)*تنظیمات!$B$5+IF(MOD(I964,1440)&lt;=تنظیمات!$B$2,0,MIN(تنظیمات!$B$5,تنظیمات!$B$3+MAX(0,ROUNDUP((MOD(I964,1440)-60)/60,0))*تنظیمات!$B$4)))*INDEX(تعرفه!$B$2:$B$7,MATCH(AD964,تعرفه!$A$2:$A$7,0))))</f>
        <v>34000</v>
      </c>
      <c r="AH964" s="24" t="n">
        <v>34000</v>
      </c>
      <c r="AI964" s="24" t="n">
        <f aca="false">IF(AG964="","",AH964-AG964)</f>
        <v>0</v>
      </c>
      <c r="AJ964" s="21" t="n">
        <v>3</v>
      </c>
      <c r="AK964" s="21" t="n">
        <v>0</v>
      </c>
      <c r="AL964" s="16" t="s">
        <v>335</v>
      </c>
      <c r="AM964" s="16"/>
      <c r="AN964" s="16" t="s">
        <v>340</v>
      </c>
      <c r="AO964" s="16" t="s">
        <v>340</v>
      </c>
      <c r="AP964" s="16" t="s">
        <v>335</v>
      </c>
      <c r="AQ964" s="16"/>
      <c r="AR964" s="21" t="n">
        <f aca="false">IF(AND(T964&lt;&gt;"",H964&lt;&gt;""),IF(AND((T964-H964)*86400&gt;=0,(T964-H964)*86400&lt;تنظیمات!$B$13),1,0),0)</f>
        <v>0</v>
      </c>
      <c r="AS964" s="21" t="n">
        <f aca="false">IF(Z964="پوز",IF(OR(AB964="",COUNTIF(پوزها!$A$2:$A$5,AA964)=0),1,0),0)</f>
        <v>0</v>
      </c>
      <c r="AT964" s="21" t="n">
        <f aca="false">IF(AI964="",0,IF(AI964&gt;0,1,0))</f>
        <v>0</v>
      </c>
      <c r="AU964" s="21" t="n">
        <f aca="false">IF(AI964="",0,IF(AI964&lt;0,1,0))</f>
        <v>0</v>
      </c>
      <c r="AV964" s="21" t="n">
        <f aca="false">IF(U964&gt;V964,1,0)</f>
        <v>0</v>
      </c>
      <c r="AW964" s="21" t="n">
        <f aca="false">IF(OR(W964&gt;تنظیمات!$B$8,X964="بله"),1,0)</f>
        <v>0</v>
      </c>
      <c r="AX964" s="21" t="n">
        <f aca="false">IF(AND(N964="بله",L964&gt;تنظیمات!$B$9),1,0)</f>
        <v>0</v>
      </c>
      <c r="AY964" s="21" t="n">
        <f aca="false">IF(Y964="معکوس",1,0)</f>
        <v>0</v>
      </c>
      <c r="AZ964" s="21" t="n">
        <f aca="false">IF(ABS(AJ964)&gt;تنظیمات!$B$10,1,0)</f>
        <v>0</v>
      </c>
      <c r="BA964" s="21" t="n">
        <f aca="false">IF(AND(OR(AD964="رایگان/VIP",AD964="جانباز"),AF964="خیر"),1,0)</f>
        <v>0</v>
      </c>
      <c r="BB964" s="21" t="n">
        <f aca="false">IF(AE964="",0,IF(COUNTIF($AE$2:$AE$1001,AE964)&gt;1,1,0))</f>
        <v>0</v>
      </c>
      <c r="BC964" s="21" t="n">
        <f aca="false">IF(AND(H964="",I964&gt;تنظیمات!$B$12*60,AM964="خالی"),1,0)</f>
        <v>0</v>
      </c>
      <c r="BD964" s="21" t="n">
        <f aca="false">IF(AND(AP964="بله",I964&lt;تنظیمات!$B$14,AO964="خیر"),1,0)</f>
        <v>0</v>
      </c>
      <c r="BE964" s="21" t="n">
        <f aca="false">IF(AN964="خیر",1,0)</f>
        <v>0</v>
      </c>
      <c r="BF964" s="21" t="n">
        <f aca="false">IF(AND(AD964="فیش مفقودی",AQ964="بله",I964&gt;تنظیمات!$B$12*60),1,0)</f>
        <v>0</v>
      </c>
      <c r="BG964" s="21" t="n">
        <f aca="false">IF(AND(AK964&gt;تنظیمات!$B$11,AL964="بله"),1,0)</f>
        <v>0</v>
      </c>
      <c r="BH964" s="21" t="n">
        <f aca="false">MIN(100,AR964*تنظیمات!$B$21+AS964*تنظیمات!$B$22+AT964*تنظیمات!$B$23+AU964*تنظیمات!$B$24+AV964*تنظیمات!$B$25+AW964*تنظیمات!$B$26+AX964*تنظیمات!$B$27+AY964*تنظیمات!$B$28+AZ964*تنظیمات!$B$29+BA964*تنظیمات!$B$30+BB964*تنظیمات!$B$31+BC964*تنظیمات!$B$32+BD964*تنظیمات!$B$33+BE964*تنظیمات!$B$34+BF964*تنظیمات!$B$35+BG964*تنظیمات!$B$36)</f>
        <v>0</v>
      </c>
      <c r="BI964" s="16" t="str">
        <f aca="false">IF(BH964&gt;=60,"بحرانی",IF(BH964&gt;=30,"مشکوک",IF(BH964&gt;0,"هشدار","عادی")))</f>
        <v>عادی</v>
      </c>
      <c r="BJ964" s="16" t="s">
        <v>338</v>
      </c>
    </row>
    <row r="965" customFormat="false" ht="15" hidden="false" customHeight="false" outlineLevel="0" collapsed="false">
      <c r="A965" s="16" t="s">
        <v>3202</v>
      </c>
      <c r="B965" s="16" t="s">
        <v>892</v>
      </c>
      <c r="C965" s="16"/>
      <c r="D965" s="16" t="s">
        <v>382</v>
      </c>
      <c r="E965" s="16" t="s">
        <v>332</v>
      </c>
      <c r="F965" s="16" t="s">
        <v>333</v>
      </c>
      <c r="G965" s="17" t="n">
        <v>46294.5483564815</v>
      </c>
      <c r="H965" s="17" t="n">
        <v>46294.5622453704</v>
      </c>
      <c r="I965" s="18" t="n">
        <f aca="false">IF(H965="",ROUND((تنظیمات!$B$7-G965)*1440,0),ROUND((H965-G965)*1440,0))</f>
        <v>20</v>
      </c>
      <c r="J965" s="16" t="s">
        <v>346</v>
      </c>
      <c r="K965" s="16" t="s">
        <v>410</v>
      </c>
      <c r="L965" s="19" t="n">
        <v>0.957</v>
      </c>
      <c r="M965" s="19" t="n">
        <v>0.918</v>
      </c>
      <c r="N965" s="16" t="s">
        <v>335</v>
      </c>
      <c r="O965" s="16" t="s">
        <v>401</v>
      </c>
      <c r="P965" s="16" t="s">
        <v>402</v>
      </c>
      <c r="Q965" s="20" t="n">
        <v>46294</v>
      </c>
      <c r="R965" s="16" t="s">
        <v>3203</v>
      </c>
      <c r="S965" s="16" t="s">
        <v>404</v>
      </c>
      <c r="T965" s="17"/>
      <c r="U965" s="21" t="n">
        <v>1</v>
      </c>
      <c r="V965" s="21" t="n">
        <v>1</v>
      </c>
      <c r="W965" s="22" t="n">
        <v>4.9</v>
      </c>
      <c r="X965" s="16" t="s">
        <v>335</v>
      </c>
      <c r="Y965" s="16" t="s">
        <v>338</v>
      </c>
      <c r="Z965" s="16" t="s">
        <v>405</v>
      </c>
      <c r="AA965" s="16"/>
      <c r="AB965" s="23"/>
      <c r="AC965" s="17"/>
      <c r="AD965" s="16" t="s">
        <v>338</v>
      </c>
      <c r="AE965" s="16"/>
      <c r="AF965" s="16" t="str">
        <f aca="false">IF(COUNTIF(لیست_سفید!$A$2:$A$21,B965)&gt;0,"بله","خیر")</f>
        <v>خیر</v>
      </c>
      <c r="AG965" s="24" t="n">
        <f aca="false">IF(H965="","",IF(AD965="فیش مفقودی",تنظیمات!$B$6,(INT(I965/1440)*تنظیمات!$B$5+IF(MOD(I965,1440)&lt;=تنظیمات!$B$2,0,MIN(تنظیمات!$B$5,تنظیمات!$B$3+MAX(0,ROUNDUP((MOD(I965,1440)-60)/60,0))*تنظیمات!$B$4)))*INDEX(تعرفه!$B$2:$B$7,MATCH(AD965,تعرفه!$A$2:$A$7,0))))</f>
        <v>20000</v>
      </c>
      <c r="AH965" s="24" t="n">
        <v>20000</v>
      </c>
      <c r="AI965" s="24" t="n">
        <f aca="false">IF(AG965="","",AH965-AG965)</f>
        <v>0</v>
      </c>
      <c r="AJ965" s="21" t="n">
        <v>3</v>
      </c>
      <c r="AK965" s="21" t="n">
        <v>0</v>
      </c>
      <c r="AL965" s="16" t="s">
        <v>335</v>
      </c>
      <c r="AM965" s="16"/>
      <c r="AN965" s="16" t="s">
        <v>340</v>
      </c>
      <c r="AO965" s="16" t="s">
        <v>340</v>
      </c>
      <c r="AP965" s="16" t="s">
        <v>335</v>
      </c>
      <c r="AQ965" s="16"/>
      <c r="AR965" s="21" t="n">
        <f aca="false">IF(AND(T965&lt;&gt;"",H965&lt;&gt;""),IF(AND((T965-H965)*86400&gt;=0,(T965-H965)*86400&lt;تنظیمات!$B$13),1,0),0)</f>
        <v>0</v>
      </c>
      <c r="AS965" s="21" t="n">
        <f aca="false">IF(Z965="پوز",IF(OR(AB965="",COUNTIF(پوزها!$A$2:$A$5,AA965)=0),1,0),0)</f>
        <v>0</v>
      </c>
      <c r="AT965" s="21" t="n">
        <f aca="false">IF(AI965="",0,IF(AI965&gt;0,1,0))</f>
        <v>0</v>
      </c>
      <c r="AU965" s="21" t="n">
        <f aca="false">IF(AI965="",0,IF(AI965&lt;0,1,0))</f>
        <v>0</v>
      </c>
      <c r="AV965" s="21" t="n">
        <f aca="false">IF(U965&gt;V965,1,0)</f>
        <v>0</v>
      </c>
      <c r="AW965" s="21" t="n">
        <f aca="false">IF(OR(W965&gt;تنظیمات!$B$8,X965="بله"),1,0)</f>
        <v>0</v>
      </c>
      <c r="AX965" s="21" t="n">
        <f aca="false">IF(AND(N965="بله",L965&gt;تنظیمات!$B$9),1,0)</f>
        <v>0</v>
      </c>
      <c r="AY965" s="21" t="n">
        <f aca="false">IF(Y965="معکوس",1,0)</f>
        <v>0</v>
      </c>
      <c r="AZ965" s="21" t="n">
        <f aca="false">IF(ABS(AJ965)&gt;تنظیمات!$B$10,1,0)</f>
        <v>0</v>
      </c>
      <c r="BA965" s="21" t="n">
        <f aca="false">IF(AND(OR(AD965="رایگان/VIP",AD965="جانباز"),AF965="خیر"),1,0)</f>
        <v>0</v>
      </c>
      <c r="BB965" s="21" t="n">
        <f aca="false">IF(AE965="",0,IF(COUNTIF($AE$2:$AE$1001,AE965)&gt;1,1,0))</f>
        <v>0</v>
      </c>
      <c r="BC965" s="21" t="n">
        <f aca="false">IF(AND(H965="",I965&gt;تنظیمات!$B$12*60,AM965="خالی"),1,0)</f>
        <v>0</v>
      </c>
      <c r="BD965" s="21" t="n">
        <f aca="false">IF(AND(AP965="بله",I965&lt;تنظیمات!$B$14,AO965="خیر"),1,0)</f>
        <v>0</v>
      </c>
      <c r="BE965" s="21" t="n">
        <f aca="false">IF(AN965="خیر",1,0)</f>
        <v>0</v>
      </c>
      <c r="BF965" s="21" t="n">
        <f aca="false">IF(AND(AD965="فیش مفقودی",AQ965="بله",I965&gt;تنظیمات!$B$12*60),1,0)</f>
        <v>0</v>
      </c>
      <c r="BG965" s="21" t="n">
        <f aca="false">IF(AND(AK965&gt;تنظیمات!$B$11,AL965="بله"),1,0)</f>
        <v>0</v>
      </c>
      <c r="BH965" s="21" t="n">
        <f aca="false">MIN(100,AR965*تنظیمات!$B$21+AS965*تنظیمات!$B$22+AT965*تنظیمات!$B$23+AU965*تنظیمات!$B$24+AV965*تنظیمات!$B$25+AW965*تنظیمات!$B$26+AX965*تنظیمات!$B$27+AY965*تنظیمات!$B$28+AZ965*تنظیمات!$B$29+BA965*تنظیمات!$B$30+BB965*تنظیمات!$B$31+BC965*تنظیمات!$B$32+BD965*تنظیمات!$B$33+BE965*تنظیمات!$B$34+BF965*تنظیمات!$B$35+BG965*تنظیمات!$B$36)</f>
        <v>0</v>
      </c>
      <c r="BI965" s="16" t="str">
        <f aca="false">IF(BH965&gt;=60,"بحرانی",IF(BH965&gt;=30,"مشکوک",IF(BH965&gt;0,"هشدار","عادی")))</f>
        <v>عادی</v>
      </c>
      <c r="BJ965" s="16" t="s">
        <v>338</v>
      </c>
    </row>
    <row r="966" customFormat="false" ht="15" hidden="false" customHeight="false" outlineLevel="0" collapsed="false">
      <c r="A966" s="16" t="s">
        <v>3204</v>
      </c>
      <c r="B966" s="16" t="s">
        <v>892</v>
      </c>
      <c r="C966" s="16"/>
      <c r="D966" s="16" t="s">
        <v>382</v>
      </c>
      <c r="E966" s="16" t="s">
        <v>332</v>
      </c>
      <c r="F966" s="16" t="s">
        <v>333</v>
      </c>
      <c r="G966" s="17" t="n">
        <v>46294.551712963</v>
      </c>
      <c r="H966" s="17" t="n">
        <v>46294.6197685185</v>
      </c>
      <c r="I966" s="18" t="n">
        <f aca="false">IF(H966="",ROUND((تنظیمات!$B$7-G966)*1440,0),ROUND((H966-G966)*1440,0))</f>
        <v>98</v>
      </c>
      <c r="J966" s="16" t="s">
        <v>334</v>
      </c>
      <c r="K966" s="16" t="s">
        <v>400</v>
      </c>
      <c r="L966" s="19" t="n">
        <v>0.949</v>
      </c>
      <c r="M966" s="19" t="n">
        <v>0.995</v>
      </c>
      <c r="N966" s="16" t="s">
        <v>335</v>
      </c>
      <c r="O966" s="16" t="s">
        <v>419</v>
      </c>
      <c r="P966" s="16" t="s">
        <v>420</v>
      </c>
      <c r="Q966" s="20" t="n">
        <v>46294</v>
      </c>
      <c r="R966" s="16" t="s">
        <v>3205</v>
      </c>
      <c r="S966" s="16" t="s">
        <v>404</v>
      </c>
      <c r="T966" s="17"/>
      <c r="U966" s="21" t="n">
        <v>1</v>
      </c>
      <c r="V966" s="21" t="n">
        <v>1</v>
      </c>
      <c r="W966" s="22" t="n">
        <v>7</v>
      </c>
      <c r="X966" s="16" t="s">
        <v>335</v>
      </c>
      <c r="Y966" s="16" t="s">
        <v>338</v>
      </c>
      <c r="Z966" s="16" t="s">
        <v>413</v>
      </c>
      <c r="AA966" s="16" t="s">
        <v>427</v>
      </c>
      <c r="AB966" s="23" t="s">
        <v>3206</v>
      </c>
      <c r="AC966" s="17" t="n">
        <v>46294.6187268519</v>
      </c>
      <c r="AD966" s="16" t="s">
        <v>338</v>
      </c>
      <c r="AE966" s="16"/>
      <c r="AF966" s="16" t="str">
        <f aca="false">IF(COUNTIF(لیست_سفید!$A$2:$A$21,B966)&gt;0,"بله","خیر")</f>
        <v>خیر</v>
      </c>
      <c r="AG966" s="24" t="n">
        <f aca="false">IF(H966="","",IF(AD966="فیش مفقودی",تنظیمات!$B$6,(INT(I966/1440)*تنظیمات!$B$5+IF(MOD(I966,1440)&lt;=تنظیمات!$B$2,0,MIN(تنظیمات!$B$5,تنظیمات!$B$3+MAX(0,ROUNDUP((MOD(I966,1440)-60)/60,0))*تنظیمات!$B$4)))*INDEX(تعرفه!$B$2:$B$7,MATCH(AD966,تعرفه!$A$2:$A$7,0))))</f>
        <v>34000</v>
      </c>
      <c r="AH966" s="24" t="n">
        <v>34000</v>
      </c>
      <c r="AI966" s="24" t="n">
        <f aca="false">IF(AG966="","",AH966-AG966)</f>
        <v>0</v>
      </c>
      <c r="AJ966" s="21" t="n">
        <v>0</v>
      </c>
      <c r="AK966" s="21" t="n">
        <v>0</v>
      </c>
      <c r="AL966" s="16" t="s">
        <v>335</v>
      </c>
      <c r="AM966" s="16"/>
      <c r="AN966" s="16" t="s">
        <v>340</v>
      </c>
      <c r="AO966" s="16" t="s">
        <v>340</v>
      </c>
      <c r="AP966" s="16" t="s">
        <v>335</v>
      </c>
      <c r="AQ966" s="16"/>
      <c r="AR966" s="21" t="n">
        <f aca="false">IF(AND(T966&lt;&gt;"",H966&lt;&gt;""),IF(AND((T966-H966)*86400&gt;=0,(T966-H966)*86400&lt;تنظیمات!$B$13),1,0),0)</f>
        <v>0</v>
      </c>
      <c r="AS966" s="21" t="n">
        <f aca="false">IF(Z966="پوز",IF(OR(AB966="",COUNTIF(پوزها!$A$2:$A$5,AA966)=0),1,0),0)</f>
        <v>0</v>
      </c>
      <c r="AT966" s="21" t="n">
        <f aca="false">IF(AI966="",0,IF(AI966&gt;0,1,0))</f>
        <v>0</v>
      </c>
      <c r="AU966" s="21" t="n">
        <f aca="false">IF(AI966="",0,IF(AI966&lt;0,1,0))</f>
        <v>0</v>
      </c>
      <c r="AV966" s="21" t="n">
        <f aca="false">IF(U966&gt;V966,1,0)</f>
        <v>0</v>
      </c>
      <c r="AW966" s="21" t="n">
        <f aca="false">IF(OR(W966&gt;تنظیمات!$B$8,X966="بله"),1,0)</f>
        <v>0</v>
      </c>
      <c r="AX966" s="21" t="n">
        <f aca="false">IF(AND(N966="بله",L966&gt;تنظیمات!$B$9),1,0)</f>
        <v>0</v>
      </c>
      <c r="AY966" s="21" t="n">
        <f aca="false">IF(Y966="معکوس",1,0)</f>
        <v>0</v>
      </c>
      <c r="AZ966" s="21" t="n">
        <f aca="false">IF(ABS(AJ966)&gt;تنظیمات!$B$10,1,0)</f>
        <v>0</v>
      </c>
      <c r="BA966" s="21" t="n">
        <f aca="false">IF(AND(OR(AD966="رایگان/VIP",AD966="جانباز"),AF966="خیر"),1,0)</f>
        <v>0</v>
      </c>
      <c r="BB966" s="21" t="n">
        <f aca="false">IF(AE966="",0,IF(COUNTIF($AE$2:$AE$1001,AE966)&gt;1,1,0))</f>
        <v>0</v>
      </c>
      <c r="BC966" s="21" t="n">
        <f aca="false">IF(AND(H966="",I966&gt;تنظیمات!$B$12*60,AM966="خالی"),1,0)</f>
        <v>0</v>
      </c>
      <c r="BD966" s="21" t="n">
        <f aca="false">IF(AND(AP966="بله",I966&lt;تنظیمات!$B$14,AO966="خیر"),1,0)</f>
        <v>0</v>
      </c>
      <c r="BE966" s="21" t="n">
        <f aca="false">IF(AN966="خیر",1,0)</f>
        <v>0</v>
      </c>
      <c r="BF966" s="21" t="n">
        <f aca="false">IF(AND(AD966="فیش مفقودی",AQ966="بله",I966&gt;تنظیمات!$B$12*60),1,0)</f>
        <v>0</v>
      </c>
      <c r="BG966" s="21" t="n">
        <f aca="false">IF(AND(AK966&gt;تنظیمات!$B$11,AL966="بله"),1,0)</f>
        <v>0</v>
      </c>
      <c r="BH966" s="21" t="n">
        <f aca="false">MIN(100,AR966*تنظیمات!$B$21+AS966*تنظیمات!$B$22+AT966*تنظیمات!$B$23+AU966*تنظیمات!$B$24+AV966*تنظیمات!$B$25+AW966*تنظیمات!$B$26+AX966*تنظیمات!$B$27+AY966*تنظیمات!$B$28+AZ966*تنظیمات!$B$29+BA966*تنظیمات!$B$30+BB966*تنظیمات!$B$31+BC966*تنظیمات!$B$32+BD966*تنظیمات!$B$33+BE966*تنظیمات!$B$34+BF966*تنظیمات!$B$35+BG966*تنظیمات!$B$36)</f>
        <v>0</v>
      </c>
      <c r="BI966" s="16" t="str">
        <f aca="false">IF(BH966&gt;=60,"بحرانی",IF(BH966&gt;=30,"مشکوک",IF(BH966&gt;0,"هشدار","عادی")))</f>
        <v>عادی</v>
      </c>
      <c r="BJ966" s="16" t="s">
        <v>338</v>
      </c>
    </row>
    <row r="967" customFormat="false" ht="15" hidden="false" customHeight="false" outlineLevel="0" collapsed="false">
      <c r="A967" s="16" t="s">
        <v>3207</v>
      </c>
      <c r="B967" s="16" t="s">
        <v>1355</v>
      </c>
      <c r="C967" s="16"/>
      <c r="D967" s="16" t="s">
        <v>382</v>
      </c>
      <c r="E967" s="16" t="s">
        <v>351</v>
      </c>
      <c r="F967" s="16" t="s">
        <v>333</v>
      </c>
      <c r="G967" s="17" t="n">
        <v>46294.5569560185</v>
      </c>
      <c r="H967" s="17" t="n">
        <v>46294.8604282407</v>
      </c>
      <c r="I967" s="18" t="n">
        <f aca="false">IF(H967="",ROUND((تنظیمات!$B$7-G967)*1440,0),ROUND((H967-G967)*1440,0))</f>
        <v>437</v>
      </c>
      <c r="J967" s="16" t="s">
        <v>346</v>
      </c>
      <c r="K967" s="16" t="s">
        <v>400</v>
      </c>
      <c r="L967" s="19" t="n">
        <v>0.925</v>
      </c>
      <c r="M967" s="19" t="n">
        <v>0.923</v>
      </c>
      <c r="N967" s="16" t="s">
        <v>335</v>
      </c>
      <c r="O967" s="16" t="s">
        <v>419</v>
      </c>
      <c r="P967" s="16" t="s">
        <v>420</v>
      </c>
      <c r="Q967" s="20" t="n">
        <v>46294</v>
      </c>
      <c r="R967" s="16" t="s">
        <v>3208</v>
      </c>
      <c r="S967" s="16" t="s">
        <v>404</v>
      </c>
      <c r="T967" s="17"/>
      <c r="U967" s="21" t="n">
        <v>1</v>
      </c>
      <c r="V967" s="21" t="n">
        <v>1</v>
      </c>
      <c r="W967" s="22" t="n">
        <v>5.5</v>
      </c>
      <c r="X967" s="16" t="s">
        <v>335</v>
      </c>
      <c r="Y967" s="16" t="s">
        <v>338</v>
      </c>
      <c r="Z967" s="16" t="s">
        <v>465</v>
      </c>
      <c r="AA967" s="16"/>
      <c r="AB967" s="23"/>
      <c r="AC967" s="17"/>
      <c r="AD967" s="16" t="s">
        <v>466</v>
      </c>
      <c r="AE967" s="16"/>
      <c r="AF967" s="16" t="str">
        <f aca="false">IF(COUNTIF(لیست_سفید!$A$2:$A$21,B967)&gt;0,"بله","خیر")</f>
        <v>بله</v>
      </c>
      <c r="AG967" s="24" t="n">
        <f aca="false">IF(H967="","",IF(AD967="فیش مفقودی",تنظیمات!$B$6,(INT(I967/1440)*تنظیمات!$B$5+IF(MOD(I967,1440)&lt;=تنظیمات!$B$2,0,MIN(تنظیمات!$B$5,تنظیمات!$B$3+MAX(0,ROUNDUP((MOD(I967,1440)-60)/60,0))*تنظیمات!$B$4)))*INDEX(تعرفه!$B$2:$B$7,MATCH(AD967,تعرفه!$A$2:$A$7,0))))</f>
        <v>0</v>
      </c>
      <c r="AH967" s="24" t="n">
        <v>0</v>
      </c>
      <c r="AI967" s="24" t="n">
        <f aca="false">IF(AG967="","",AH967-AG967)</f>
        <v>0</v>
      </c>
      <c r="AJ967" s="21" t="n">
        <v>-3</v>
      </c>
      <c r="AK967" s="21" t="n">
        <v>0</v>
      </c>
      <c r="AL967" s="16" t="s">
        <v>335</v>
      </c>
      <c r="AM967" s="16"/>
      <c r="AN967" s="16" t="s">
        <v>340</v>
      </c>
      <c r="AO967" s="16" t="s">
        <v>340</v>
      </c>
      <c r="AP967" s="16" t="s">
        <v>335</v>
      </c>
      <c r="AQ967" s="16"/>
      <c r="AR967" s="21" t="n">
        <f aca="false">IF(AND(T967&lt;&gt;"",H967&lt;&gt;""),IF(AND((T967-H967)*86400&gt;=0,(T967-H967)*86400&lt;تنظیمات!$B$13),1,0),0)</f>
        <v>0</v>
      </c>
      <c r="AS967" s="21" t="n">
        <f aca="false">IF(Z967="پوز",IF(OR(AB967="",COUNTIF(پوزها!$A$2:$A$5,AA967)=0),1,0),0)</f>
        <v>0</v>
      </c>
      <c r="AT967" s="21" t="n">
        <f aca="false">IF(AI967="",0,IF(AI967&gt;0,1,0))</f>
        <v>0</v>
      </c>
      <c r="AU967" s="21" t="n">
        <f aca="false">IF(AI967="",0,IF(AI967&lt;0,1,0))</f>
        <v>0</v>
      </c>
      <c r="AV967" s="21" t="n">
        <f aca="false">IF(U967&gt;V967,1,0)</f>
        <v>0</v>
      </c>
      <c r="AW967" s="21" t="n">
        <f aca="false">IF(OR(W967&gt;تنظیمات!$B$8,X967="بله"),1,0)</f>
        <v>0</v>
      </c>
      <c r="AX967" s="21" t="n">
        <f aca="false">IF(AND(N967="بله",L967&gt;تنظیمات!$B$9),1,0)</f>
        <v>0</v>
      </c>
      <c r="AY967" s="21" t="n">
        <f aca="false">IF(Y967="معکوس",1,0)</f>
        <v>0</v>
      </c>
      <c r="AZ967" s="21" t="n">
        <f aca="false">IF(ABS(AJ967)&gt;تنظیمات!$B$10,1,0)</f>
        <v>0</v>
      </c>
      <c r="BA967" s="21" t="n">
        <f aca="false">IF(AND(OR(AD967="رایگان/VIP",AD967="جانباز"),AF967="خیر"),1,0)</f>
        <v>0</v>
      </c>
      <c r="BB967" s="21" t="n">
        <f aca="false">IF(AE967="",0,IF(COUNTIF($AE$2:$AE$1001,AE967)&gt;1,1,0))</f>
        <v>0</v>
      </c>
      <c r="BC967" s="21" t="n">
        <f aca="false">IF(AND(H967="",I967&gt;تنظیمات!$B$12*60,AM967="خالی"),1,0)</f>
        <v>0</v>
      </c>
      <c r="BD967" s="21" t="n">
        <f aca="false">IF(AND(AP967="بله",I967&lt;تنظیمات!$B$14,AO967="خیر"),1,0)</f>
        <v>0</v>
      </c>
      <c r="BE967" s="21" t="n">
        <f aca="false">IF(AN967="خیر",1,0)</f>
        <v>0</v>
      </c>
      <c r="BF967" s="21" t="n">
        <f aca="false">IF(AND(AD967="فیش مفقودی",AQ967="بله",I967&gt;تنظیمات!$B$12*60),1,0)</f>
        <v>0</v>
      </c>
      <c r="BG967" s="21" t="n">
        <f aca="false">IF(AND(AK967&gt;تنظیمات!$B$11,AL967="بله"),1,0)</f>
        <v>0</v>
      </c>
      <c r="BH967" s="21" t="n">
        <f aca="false">MIN(100,AR967*تنظیمات!$B$21+AS967*تنظیمات!$B$22+AT967*تنظیمات!$B$23+AU967*تنظیمات!$B$24+AV967*تنظیمات!$B$25+AW967*تنظیمات!$B$26+AX967*تنظیمات!$B$27+AY967*تنظیمات!$B$28+AZ967*تنظیمات!$B$29+BA967*تنظیمات!$B$30+BB967*تنظیمات!$B$31+BC967*تنظیمات!$B$32+BD967*تنظیمات!$B$33+BE967*تنظیمات!$B$34+BF967*تنظیمات!$B$35+BG967*تنظیمات!$B$36)</f>
        <v>0</v>
      </c>
      <c r="BI967" s="16" t="str">
        <f aca="false">IF(BH967&gt;=60,"بحرانی",IF(BH967&gt;=30,"مشکوک",IF(BH967&gt;0,"هشدار","عادی")))</f>
        <v>عادی</v>
      </c>
      <c r="BJ967" s="16" t="s">
        <v>338</v>
      </c>
    </row>
    <row r="968" customFormat="false" ht="15" hidden="false" customHeight="false" outlineLevel="0" collapsed="false">
      <c r="A968" s="16" t="s">
        <v>3209</v>
      </c>
      <c r="B968" s="16" t="s">
        <v>1457</v>
      </c>
      <c r="C968" s="16"/>
      <c r="D968" s="16" t="s">
        <v>450</v>
      </c>
      <c r="E968" s="16" t="s">
        <v>363</v>
      </c>
      <c r="F968" s="16" t="s">
        <v>333</v>
      </c>
      <c r="G968" s="17" t="n">
        <v>46294.5570833333</v>
      </c>
      <c r="H968" s="17" t="n">
        <v>46294.7404166667</v>
      </c>
      <c r="I968" s="18" t="n">
        <f aca="false">IF(H968="",ROUND((تنظیمات!$B$7-G968)*1440,0),ROUND((H968-G968)*1440,0))</f>
        <v>264</v>
      </c>
      <c r="J968" s="16" t="s">
        <v>346</v>
      </c>
      <c r="K968" s="16" t="s">
        <v>410</v>
      </c>
      <c r="L968" s="19" t="n">
        <v>0.957</v>
      </c>
      <c r="M968" s="19" t="n">
        <v>0.932</v>
      </c>
      <c r="N968" s="16" t="s">
        <v>335</v>
      </c>
      <c r="O968" s="16" t="s">
        <v>650</v>
      </c>
      <c r="P968" s="16" t="s">
        <v>420</v>
      </c>
      <c r="Q968" s="20" t="n">
        <v>46294</v>
      </c>
      <c r="R968" s="16" t="s">
        <v>3210</v>
      </c>
      <c r="S968" s="16" t="s">
        <v>404</v>
      </c>
      <c r="T968" s="17"/>
      <c r="U968" s="21" t="n">
        <v>1</v>
      </c>
      <c r="V968" s="21" t="n">
        <v>1</v>
      </c>
      <c r="W968" s="22" t="n">
        <v>5.5</v>
      </c>
      <c r="X968" s="16" t="s">
        <v>335</v>
      </c>
      <c r="Y968" s="16" t="s">
        <v>338</v>
      </c>
      <c r="Z968" s="16" t="s">
        <v>413</v>
      </c>
      <c r="AA968" s="16" t="s">
        <v>414</v>
      </c>
      <c r="AB968" s="23" t="s">
        <v>3211</v>
      </c>
      <c r="AC968" s="17" t="n">
        <v>46294.7397569444</v>
      </c>
      <c r="AD968" s="16" t="s">
        <v>338</v>
      </c>
      <c r="AE968" s="16"/>
      <c r="AF968" s="16" t="str">
        <f aca="false">IF(COUNTIF(لیست_سفید!$A$2:$A$21,B968)&gt;0,"بله","خیر")</f>
        <v>خیر</v>
      </c>
      <c r="AG968" s="24" t="n">
        <f aca="false">IF(H968="","",IF(AD968="فیش مفقودی",تنظیمات!$B$6,(INT(I968/1440)*تنظیمات!$B$5+IF(MOD(I968,1440)&lt;=تنظیمات!$B$2,0,MIN(تنظیمات!$B$5,تنظیمات!$B$3+MAX(0,ROUNDUP((MOD(I968,1440)-60)/60,0))*تنظیمات!$B$4)))*INDEX(تعرفه!$B$2:$B$7,MATCH(AD968,تعرفه!$A$2:$A$7,0))))</f>
        <v>76000</v>
      </c>
      <c r="AH968" s="24" t="n">
        <v>76000</v>
      </c>
      <c r="AI968" s="24" t="n">
        <f aca="false">IF(AG968="","",AH968-AG968)</f>
        <v>0</v>
      </c>
      <c r="AJ968" s="21" t="n">
        <v>3</v>
      </c>
      <c r="AK968" s="21" t="n">
        <v>0</v>
      </c>
      <c r="AL968" s="16" t="s">
        <v>335</v>
      </c>
      <c r="AM968" s="16"/>
      <c r="AN968" s="16" t="s">
        <v>340</v>
      </c>
      <c r="AO968" s="16" t="s">
        <v>340</v>
      </c>
      <c r="AP968" s="16" t="s">
        <v>335</v>
      </c>
      <c r="AQ968" s="16"/>
      <c r="AR968" s="21" t="n">
        <f aca="false">IF(AND(T968&lt;&gt;"",H968&lt;&gt;""),IF(AND((T968-H968)*86400&gt;=0,(T968-H968)*86400&lt;تنظیمات!$B$13),1,0),0)</f>
        <v>0</v>
      </c>
      <c r="AS968" s="21" t="n">
        <f aca="false">IF(Z968="پوز",IF(OR(AB968="",COUNTIF(پوزها!$A$2:$A$5,AA968)=0),1,0),0)</f>
        <v>0</v>
      </c>
      <c r="AT968" s="21" t="n">
        <f aca="false">IF(AI968="",0,IF(AI968&gt;0,1,0))</f>
        <v>0</v>
      </c>
      <c r="AU968" s="21" t="n">
        <f aca="false">IF(AI968="",0,IF(AI968&lt;0,1,0))</f>
        <v>0</v>
      </c>
      <c r="AV968" s="21" t="n">
        <f aca="false">IF(U968&gt;V968,1,0)</f>
        <v>0</v>
      </c>
      <c r="AW968" s="21" t="n">
        <f aca="false">IF(OR(W968&gt;تنظیمات!$B$8,X968="بله"),1,0)</f>
        <v>0</v>
      </c>
      <c r="AX968" s="21" t="n">
        <f aca="false">IF(AND(N968="بله",L968&gt;تنظیمات!$B$9),1,0)</f>
        <v>0</v>
      </c>
      <c r="AY968" s="21" t="n">
        <f aca="false">IF(Y968="معکوس",1,0)</f>
        <v>0</v>
      </c>
      <c r="AZ968" s="21" t="n">
        <f aca="false">IF(ABS(AJ968)&gt;تنظیمات!$B$10,1,0)</f>
        <v>0</v>
      </c>
      <c r="BA968" s="21" t="n">
        <f aca="false">IF(AND(OR(AD968="رایگان/VIP",AD968="جانباز"),AF968="خیر"),1,0)</f>
        <v>0</v>
      </c>
      <c r="BB968" s="21" t="n">
        <f aca="false">IF(AE968="",0,IF(COUNTIF($AE$2:$AE$1001,AE968)&gt;1,1,0))</f>
        <v>0</v>
      </c>
      <c r="BC968" s="21" t="n">
        <f aca="false">IF(AND(H968="",I968&gt;تنظیمات!$B$12*60,AM968="خالی"),1,0)</f>
        <v>0</v>
      </c>
      <c r="BD968" s="21" t="n">
        <f aca="false">IF(AND(AP968="بله",I968&lt;تنظیمات!$B$14,AO968="خیر"),1,0)</f>
        <v>0</v>
      </c>
      <c r="BE968" s="21" t="n">
        <f aca="false">IF(AN968="خیر",1,0)</f>
        <v>0</v>
      </c>
      <c r="BF968" s="21" t="n">
        <f aca="false">IF(AND(AD968="فیش مفقودی",AQ968="بله",I968&gt;تنظیمات!$B$12*60),1,0)</f>
        <v>0</v>
      </c>
      <c r="BG968" s="21" t="n">
        <f aca="false">IF(AND(AK968&gt;تنظیمات!$B$11,AL968="بله"),1,0)</f>
        <v>0</v>
      </c>
      <c r="BH968" s="21" t="n">
        <f aca="false">MIN(100,AR968*تنظیمات!$B$21+AS968*تنظیمات!$B$22+AT968*تنظیمات!$B$23+AU968*تنظیمات!$B$24+AV968*تنظیمات!$B$25+AW968*تنظیمات!$B$26+AX968*تنظیمات!$B$27+AY968*تنظیمات!$B$28+AZ968*تنظیمات!$B$29+BA968*تنظیمات!$B$30+BB968*تنظیمات!$B$31+BC968*تنظیمات!$B$32+BD968*تنظیمات!$B$33+BE968*تنظیمات!$B$34+BF968*تنظیمات!$B$35+BG968*تنظیمات!$B$36)</f>
        <v>0</v>
      </c>
      <c r="BI968" s="16" t="str">
        <f aca="false">IF(BH968&gt;=60,"بحرانی",IF(BH968&gt;=30,"مشکوک",IF(BH968&gt;0,"هشدار","عادی")))</f>
        <v>عادی</v>
      </c>
      <c r="BJ968" s="16" t="s">
        <v>338</v>
      </c>
    </row>
    <row r="969" customFormat="false" ht="15" hidden="false" customHeight="false" outlineLevel="0" collapsed="false">
      <c r="A969" s="16" t="s">
        <v>3212</v>
      </c>
      <c r="B969" s="16" t="s">
        <v>378</v>
      </c>
      <c r="C969" s="16"/>
      <c r="D969" s="16" t="s">
        <v>350</v>
      </c>
      <c r="E969" s="16" t="s">
        <v>351</v>
      </c>
      <c r="F969" s="16" t="s">
        <v>333</v>
      </c>
      <c r="G969" s="17" t="n">
        <v>46294.5630671296</v>
      </c>
      <c r="H969" s="17" t="n">
        <v>46294.7373726852</v>
      </c>
      <c r="I969" s="18" t="n">
        <f aca="false">IF(H969="",ROUND((تنظیمات!$B$7-G969)*1440,0),ROUND((H969-G969)*1440,0))</f>
        <v>251</v>
      </c>
      <c r="J969" s="16" t="s">
        <v>346</v>
      </c>
      <c r="K969" s="16" t="s">
        <v>400</v>
      </c>
      <c r="L969" s="19" t="n">
        <v>0.98</v>
      </c>
      <c r="M969" s="19" t="n">
        <v>0.936</v>
      </c>
      <c r="N969" s="16" t="s">
        <v>335</v>
      </c>
      <c r="O969" s="16" t="s">
        <v>419</v>
      </c>
      <c r="P969" s="16" t="s">
        <v>420</v>
      </c>
      <c r="Q969" s="20" t="n">
        <v>46294</v>
      </c>
      <c r="R969" s="16" t="s">
        <v>3213</v>
      </c>
      <c r="S969" s="16" t="s">
        <v>404</v>
      </c>
      <c r="T969" s="17"/>
      <c r="U969" s="21" t="n">
        <v>1</v>
      </c>
      <c r="V969" s="21" t="n">
        <v>1</v>
      </c>
      <c r="W969" s="22" t="n">
        <v>6.3</v>
      </c>
      <c r="X969" s="16" t="s">
        <v>335</v>
      </c>
      <c r="Y969" s="16" t="s">
        <v>338</v>
      </c>
      <c r="Z969" s="16" t="s">
        <v>413</v>
      </c>
      <c r="AA969" s="16" t="s">
        <v>427</v>
      </c>
      <c r="AB969" s="23" t="s">
        <v>3214</v>
      </c>
      <c r="AC969" s="17" t="n">
        <v>46294.7370833333</v>
      </c>
      <c r="AD969" s="16" t="s">
        <v>338</v>
      </c>
      <c r="AE969" s="16"/>
      <c r="AF969" s="16" t="str">
        <f aca="false">IF(COUNTIF(لیست_سفید!$A$2:$A$21,B969)&gt;0,"بله","خیر")</f>
        <v>خیر</v>
      </c>
      <c r="AG969" s="24" t="n">
        <f aca="false">IF(H969="","",IF(AD969="فیش مفقودی",تنظیمات!$B$6,(INT(I969/1440)*تنظیمات!$B$5+IF(MOD(I969,1440)&lt;=تنظیمات!$B$2,0,MIN(تنظیمات!$B$5,تنظیمات!$B$3+MAX(0,ROUNDUP((MOD(I969,1440)-60)/60,0))*تنظیمات!$B$4)))*INDEX(تعرفه!$B$2:$B$7,MATCH(AD969,تعرفه!$A$2:$A$7,0))))</f>
        <v>76000</v>
      </c>
      <c r="AH969" s="24" t="n">
        <v>76000</v>
      </c>
      <c r="AI969" s="24" t="n">
        <f aca="false">IF(AG969="","",AH969-AG969)</f>
        <v>0</v>
      </c>
      <c r="AJ969" s="21" t="n">
        <v>-1</v>
      </c>
      <c r="AK969" s="21" t="n">
        <v>0</v>
      </c>
      <c r="AL969" s="16" t="s">
        <v>335</v>
      </c>
      <c r="AM969" s="16"/>
      <c r="AN969" s="16" t="s">
        <v>340</v>
      </c>
      <c r="AO969" s="16" t="s">
        <v>340</v>
      </c>
      <c r="AP969" s="16" t="s">
        <v>335</v>
      </c>
      <c r="AQ969" s="16"/>
      <c r="AR969" s="21" t="n">
        <f aca="false">IF(AND(T969&lt;&gt;"",H969&lt;&gt;""),IF(AND((T969-H969)*86400&gt;=0,(T969-H969)*86400&lt;تنظیمات!$B$13),1,0),0)</f>
        <v>0</v>
      </c>
      <c r="AS969" s="21" t="n">
        <f aca="false">IF(Z969="پوز",IF(OR(AB969="",COUNTIF(پوزها!$A$2:$A$5,AA969)=0),1,0),0)</f>
        <v>0</v>
      </c>
      <c r="AT969" s="21" t="n">
        <f aca="false">IF(AI969="",0,IF(AI969&gt;0,1,0))</f>
        <v>0</v>
      </c>
      <c r="AU969" s="21" t="n">
        <f aca="false">IF(AI969="",0,IF(AI969&lt;0,1,0))</f>
        <v>0</v>
      </c>
      <c r="AV969" s="21" t="n">
        <f aca="false">IF(U969&gt;V969,1,0)</f>
        <v>0</v>
      </c>
      <c r="AW969" s="21" t="n">
        <f aca="false">IF(OR(W969&gt;تنظیمات!$B$8,X969="بله"),1,0)</f>
        <v>0</v>
      </c>
      <c r="AX969" s="21" t="n">
        <f aca="false">IF(AND(N969="بله",L969&gt;تنظیمات!$B$9),1,0)</f>
        <v>0</v>
      </c>
      <c r="AY969" s="21" t="n">
        <f aca="false">IF(Y969="معکوس",1,0)</f>
        <v>0</v>
      </c>
      <c r="AZ969" s="21" t="n">
        <f aca="false">IF(ABS(AJ969)&gt;تنظیمات!$B$10,1,0)</f>
        <v>0</v>
      </c>
      <c r="BA969" s="21" t="n">
        <f aca="false">IF(AND(OR(AD969="رایگان/VIP",AD969="جانباز"),AF969="خیر"),1,0)</f>
        <v>0</v>
      </c>
      <c r="BB969" s="21" t="n">
        <f aca="false">IF(AE969="",0,IF(COUNTIF($AE$2:$AE$1001,AE969)&gt;1,1,0))</f>
        <v>0</v>
      </c>
      <c r="BC969" s="21" t="n">
        <f aca="false">IF(AND(H969="",I969&gt;تنظیمات!$B$12*60,AM969="خالی"),1,0)</f>
        <v>0</v>
      </c>
      <c r="BD969" s="21" t="n">
        <f aca="false">IF(AND(AP969="بله",I969&lt;تنظیمات!$B$14,AO969="خیر"),1,0)</f>
        <v>0</v>
      </c>
      <c r="BE969" s="21" t="n">
        <f aca="false">IF(AN969="خیر",1,0)</f>
        <v>0</v>
      </c>
      <c r="BF969" s="21" t="n">
        <f aca="false">IF(AND(AD969="فیش مفقودی",AQ969="بله",I969&gt;تنظیمات!$B$12*60),1,0)</f>
        <v>0</v>
      </c>
      <c r="BG969" s="21" t="n">
        <f aca="false">IF(AND(AK969&gt;تنظیمات!$B$11,AL969="بله"),1,0)</f>
        <v>0</v>
      </c>
      <c r="BH969" s="21" t="n">
        <f aca="false">MIN(100,AR969*تنظیمات!$B$21+AS969*تنظیمات!$B$22+AT969*تنظیمات!$B$23+AU969*تنظیمات!$B$24+AV969*تنظیمات!$B$25+AW969*تنظیمات!$B$26+AX969*تنظیمات!$B$27+AY969*تنظیمات!$B$28+AZ969*تنظیمات!$B$29+BA969*تنظیمات!$B$30+BB969*تنظیمات!$B$31+BC969*تنظیمات!$B$32+BD969*تنظیمات!$B$33+BE969*تنظیمات!$B$34+BF969*تنظیمات!$B$35+BG969*تنظیمات!$B$36)</f>
        <v>0</v>
      </c>
      <c r="BI969" s="16" t="str">
        <f aca="false">IF(BH969&gt;=60,"بحرانی",IF(BH969&gt;=30,"مشکوک",IF(BH969&gt;0,"هشدار","عادی")))</f>
        <v>عادی</v>
      </c>
      <c r="BJ969" s="16" t="s">
        <v>338</v>
      </c>
    </row>
    <row r="970" customFormat="false" ht="15" hidden="false" customHeight="false" outlineLevel="0" collapsed="false">
      <c r="A970" s="16" t="s">
        <v>3215</v>
      </c>
      <c r="B970" s="16" t="s">
        <v>1721</v>
      </c>
      <c r="C970" s="16"/>
      <c r="D970" s="16" t="s">
        <v>331</v>
      </c>
      <c r="E970" s="16" t="s">
        <v>351</v>
      </c>
      <c r="F970" s="16" t="s">
        <v>333</v>
      </c>
      <c r="G970" s="17" t="n">
        <v>46294.5631134259</v>
      </c>
      <c r="H970" s="17" t="n">
        <v>46294.674224537</v>
      </c>
      <c r="I970" s="18" t="n">
        <f aca="false">IF(H970="",ROUND((تنظیمات!$B$7-G970)*1440,0),ROUND((H970-G970)*1440,0))</f>
        <v>160</v>
      </c>
      <c r="J970" s="16" t="s">
        <v>334</v>
      </c>
      <c r="K970" s="16" t="s">
        <v>400</v>
      </c>
      <c r="L970" s="19" t="n">
        <v>0.94</v>
      </c>
      <c r="M970" s="19" t="n">
        <v>0.971</v>
      </c>
      <c r="N970" s="16" t="s">
        <v>335</v>
      </c>
      <c r="O970" s="16" t="s">
        <v>419</v>
      </c>
      <c r="P970" s="16" t="s">
        <v>420</v>
      </c>
      <c r="Q970" s="20" t="n">
        <v>46294</v>
      </c>
      <c r="R970" s="16" t="s">
        <v>3216</v>
      </c>
      <c r="S970" s="16" t="s">
        <v>404</v>
      </c>
      <c r="T970" s="17"/>
      <c r="U970" s="21" t="n">
        <v>1</v>
      </c>
      <c r="V970" s="21" t="n">
        <v>1</v>
      </c>
      <c r="W970" s="22" t="n">
        <v>3.2</v>
      </c>
      <c r="X970" s="16" t="s">
        <v>335</v>
      </c>
      <c r="Y970" s="16" t="s">
        <v>338</v>
      </c>
      <c r="Z970" s="16" t="s">
        <v>413</v>
      </c>
      <c r="AA970" s="16" t="s">
        <v>427</v>
      </c>
      <c r="AB970" s="23" t="s">
        <v>3217</v>
      </c>
      <c r="AC970" s="17" t="n">
        <v>46294.6738657407</v>
      </c>
      <c r="AD970" s="16" t="s">
        <v>338</v>
      </c>
      <c r="AE970" s="16"/>
      <c r="AF970" s="16" t="str">
        <f aca="false">IF(COUNTIF(لیست_سفید!$A$2:$A$21,B970)&gt;0,"بله","خیر")</f>
        <v>خیر</v>
      </c>
      <c r="AG970" s="24" t="n">
        <f aca="false">IF(H970="","",IF(AD970="فیش مفقودی",تنظیمات!$B$6,(INT(I970/1440)*تنظیمات!$B$5+IF(MOD(I970,1440)&lt;=تنظیمات!$B$2,0,MIN(تنظیمات!$B$5,تنظیمات!$B$3+MAX(0,ROUNDUP((MOD(I970,1440)-60)/60,0))*تنظیمات!$B$4)))*INDEX(تعرفه!$B$2:$B$7,MATCH(AD970,تعرفه!$A$2:$A$7,0))))</f>
        <v>48000</v>
      </c>
      <c r="AH970" s="24" t="n">
        <v>48000</v>
      </c>
      <c r="AI970" s="24" t="n">
        <f aca="false">IF(AG970="","",AH970-AG970)</f>
        <v>0</v>
      </c>
      <c r="AJ970" s="21" t="n">
        <v>0</v>
      </c>
      <c r="AK970" s="21" t="n">
        <v>0</v>
      </c>
      <c r="AL970" s="16" t="s">
        <v>335</v>
      </c>
      <c r="AM970" s="16"/>
      <c r="AN970" s="16" t="s">
        <v>340</v>
      </c>
      <c r="AO970" s="16" t="s">
        <v>340</v>
      </c>
      <c r="AP970" s="16" t="s">
        <v>335</v>
      </c>
      <c r="AQ970" s="16"/>
      <c r="AR970" s="21" t="n">
        <f aca="false">IF(AND(T970&lt;&gt;"",H970&lt;&gt;""),IF(AND((T970-H970)*86400&gt;=0,(T970-H970)*86400&lt;تنظیمات!$B$13),1,0),0)</f>
        <v>0</v>
      </c>
      <c r="AS970" s="21" t="n">
        <f aca="false">IF(Z970="پوز",IF(OR(AB970="",COUNTIF(پوزها!$A$2:$A$5,AA970)=0),1,0),0)</f>
        <v>0</v>
      </c>
      <c r="AT970" s="21" t="n">
        <f aca="false">IF(AI970="",0,IF(AI970&gt;0,1,0))</f>
        <v>0</v>
      </c>
      <c r="AU970" s="21" t="n">
        <f aca="false">IF(AI970="",0,IF(AI970&lt;0,1,0))</f>
        <v>0</v>
      </c>
      <c r="AV970" s="21" t="n">
        <f aca="false">IF(U970&gt;V970,1,0)</f>
        <v>0</v>
      </c>
      <c r="AW970" s="21" t="n">
        <f aca="false">IF(OR(W970&gt;تنظیمات!$B$8,X970="بله"),1,0)</f>
        <v>0</v>
      </c>
      <c r="AX970" s="21" t="n">
        <f aca="false">IF(AND(N970="بله",L970&gt;تنظیمات!$B$9),1,0)</f>
        <v>0</v>
      </c>
      <c r="AY970" s="21" t="n">
        <f aca="false">IF(Y970="معکوس",1,0)</f>
        <v>0</v>
      </c>
      <c r="AZ970" s="21" t="n">
        <f aca="false">IF(ABS(AJ970)&gt;تنظیمات!$B$10,1,0)</f>
        <v>0</v>
      </c>
      <c r="BA970" s="21" t="n">
        <f aca="false">IF(AND(OR(AD970="رایگان/VIP",AD970="جانباز"),AF970="خیر"),1,0)</f>
        <v>0</v>
      </c>
      <c r="BB970" s="21" t="n">
        <f aca="false">IF(AE970="",0,IF(COUNTIF($AE$2:$AE$1001,AE970)&gt;1,1,0))</f>
        <v>0</v>
      </c>
      <c r="BC970" s="21" t="n">
        <f aca="false">IF(AND(H970="",I970&gt;تنظیمات!$B$12*60,AM970="خالی"),1,0)</f>
        <v>0</v>
      </c>
      <c r="BD970" s="21" t="n">
        <f aca="false">IF(AND(AP970="بله",I970&lt;تنظیمات!$B$14,AO970="خیر"),1,0)</f>
        <v>0</v>
      </c>
      <c r="BE970" s="21" t="n">
        <f aca="false">IF(AN970="خیر",1,0)</f>
        <v>0</v>
      </c>
      <c r="BF970" s="21" t="n">
        <f aca="false">IF(AND(AD970="فیش مفقودی",AQ970="بله",I970&gt;تنظیمات!$B$12*60),1,0)</f>
        <v>0</v>
      </c>
      <c r="BG970" s="21" t="n">
        <f aca="false">IF(AND(AK970&gt;تنظیمات!$B$11,AL970="بله"),1,0)</f>
        <v>0</v>
      </c>
      <c r="BH970" s="21" t="n">
        <f aca="false">MIN(100,AR970*تنظیمات!$B$21+AS970*تنظیمات!$B$22+AT970*تنظیمات!$B$23+AU970*تنظیمات!$B$24+AV970*تنظیمات!$B$25+AW970*تنظیمات!$B$26+AX970*تنظیمات!$B$27+AY970*تنظیمات!$B$28+AZ970*تنظیمات!$B$29+BA970*تنظیمات!$B$30+BB970*تنظیمات!$B$31+BC970*تنظیمات!$B$32+BD970*تنظیمات!$B$33+BE970*تنظیمات!$B$34+BF970*تنظیمات!$B$35+BG970*تنظیمات!$B$36)</f>
        <v>0</v>
      </c>
      <c r="BI970" s="16" t="str">
        <f aca="false">IF(BH970&gt;=60,"بحرانی",IF(BH970&gt;=30,"مشکوک",IF(BH970&gt;0,"هشدار","عادی")))</f>
        <v>عادی</v>
      </c>
      <c r="BJ970" s="16" t="s">
        <v>338</v>
      </c>
    </row>
    <row r="971" customFormat="false" ht="15" hidden="false" customHeight="false" outlineLevel="0" collapsed="false">
      <c r="A971" s="16" t="s">
        <v>3218</v>
      </c>
      <c r="B971" s="16" t="s">
        <v>1117</v>
      </c>
      <c r="C971" s="16"/>
      <c r="D971" s="16" t="s">
        <v>344</v>
      </c>
      <c r="E971" s="16" t="s">
        <v>351</v>
      </c>
      <c r="F971" s="16" t="s">
        <v>333</v>
      </c>
      <c r="G971" s="17" t="n">
        <v>46294.5654976852</v>
      </c>
      <c r="H971" s="17" t="n">
        <v>46294.6148032407</v>
      </c>
      <c r="I971" s="18" t="n">
        <f aca="false">IF(H971="",ROUND((تنظیمات!$B$7-G971)*1440,0),ROUND((H971-G971)*1440,0))</f>
        <v>71</v>
      </c>
      <c r="J971" s="16" t="s">
        <v>334</v>
      </c>
      <c r="K971" s="16" t="s">
        <v>400</v>
      </c>
      <c r="L971" s="19" t="n">
        <v>0.978</v>
      </c>
      <c r="M971" s="19" t="n">
        <v>0.957</v>
      </c>
      <c r="N971" s="16" t="s">
        <v>335</v>
      </c>
      <c r="O971" s="16" t="s">
        <v>419</v>
      </c>
      <c r="P971" s="16" t="s">
        <v>420</v>
      </c>
      <c r="Q971" s="20" t="n">
        <v>46294</v>
      </c>
      <c r="R971" s="16" t="s">
        <v>3219</v>
      </c>
      <c r="S971" s="16" t="s">
        <v>404</v>
      </c>
      <c r="T971" s="17"/>
      <c r="U971" s="21" t="n">
        <v>1</v>
      </c>
      <c r="V971" s="21" t="n">
        <v>1</v>
      </c>
      <c r="W971" s="22" t="n">
        <v>4.3</v>
      </c>
      <c r="X971" s="16" t="s">
        <v>335</v>
      </c>
      <c r="Y971" s="16" t="s">
        <v>338</v>
      </c>
      <c r="Z971" s="16" t="s">
        <v>413</v>
      </c>
      <c r="AA971" s="16" t="s">
        <v>427</v>
      </c>
      <c r="AB971" s="23" t="s">
        <v>3220</v>
      </c>
      <c r="AC971" s="17" t="n">
        <v>46294.6143981482</v>
      </c>
      <c r="AD971" s="16" t="s">
        <v>338</v>
      </c>
      <c r="AE971" s="16"/>
      <c r="AF971" s="16" t="str">
        <f aca="false">IF(COUNTIF(لیست_سفید!$A$2:$A$21,B971)&gt;0,"بله","خیر")</f>
        <v>خیر</v>
      </c>
      <c r="AG971" s="24" t="n">
        <f aca="false">IF(H971="","",IF(AD971="فیش مفقودی",تنظیمات!$B$6,(INT(I971/1440)*تنظیمات!$B$5+IF(MOD(I971,1440)&lt;=تنظیمات!$B$2,0,MIN(تنظیمات!$B$5,تنظیمات!$B$3+MAX(0,ROUNDUP((MOD(I971,1440)-60)/60,0))*تنظیمات!$B$4)))*INDEX(تعرفه!$B$2:$B$7,MATCH(AD971,تعرفه!$A$2:$A$7,0))))</f>
        <v>34000</v>
      </c>
      <c r="AH971" s="24" t="n">
        <v>34000</v>
      </c>
      <c r="AI971" s="24" t="n">
        <f aca="false">IF(AG971="","",AH971-AG971)</f>
        <v>0</v>
      </c>
      <c r="AJ971" s="21" t="n">
        <v>1</v>
      </c>
      <c r="AK971" s="21" t="n">
        <v>0</v>
      </c>
      <c r="AL971" s="16" t="s">
        <v>335</v>
      </c>
      <c r="AM971" s="16"/>
      <c r="AN971" s="16" t="s">
        <v>340</v>
      </c>
      <c r="AO971" s="16" t="s">
        <v>340</v>
      </c>
      <c r="AP971" s="16" t="s">
        <v>335</v>
      </c>
      <c r="AQ971" s="16"/>
      <c r="AR971" s="21" t="n">
        <f aca="false">IF(AND(T971&lt;&gt;"",H971&lt;&gt;""),IF(AND((T971-H971)*86400&gt;=0,(T971-H971)*86400&lt;تنظیمات!$B$13),1,0),0)</f>
        <v>0</v>
      </c>
      <c r="AS971" s="21" t="n">
        <f aca="false">IF(Z971="پوز",IF(OR(AB971="",COUNTIF(پوزها!$A$2:$A$5,AA971)=0),1,0),0)</f>
        <v>0</v>
      </c>
      <c r="AT971" s="21" t="n">
        <f aca="false">IF(AI971="",0,IF(AI971&gt;0,1,0))</f>
        <v>0</v>
      </c>
      <c r="AU971" s="21" t="n">
        <f aca="false">IF(AI971="",0,IF(AI971&lt;0,1,0))</f>
        <v>0</v>
      </c>
      <c r="AV971" s="21" t="n">
        <f aca="false">IF(U971&gt;V971,1,0)</f>
        <v>0</v>
      </c>
      <c r="AW971" s="21" t="n">
        <f aca="false">IF(OR(W971&gt;تنظیمات!$B$8,X971="بله"),1,0)</f>
        <v>0</v>
      </c>
      <c r="AX971" s="21" t="n">
        <f aca="false">IF(AND(N971="بله",L971&gt;تنظیمات!$B$9),1,0)</f>
        <v>0</v>
      </c>
      <c r="AY971" s="21" t="n">
        <f aca="false">IF(Y971="معکوس",1,0)</f>
        <v>0</v>
      </c>
      <c r="AZ971" s="21" t="n">
        <f aca="false">IF(ABS(AJ971)&gt;تنظیمات!$B$10,1,0)</f>
        <v>0</v>
      </c>
      <c r="BA971" s="21" t="n">
        <f aca="false">IF(AND(OR(AD971="رایگان/VIP",AD971="جانباز"),AF971="خیر"),1,0)</f>
        <v>0</v>
      </c>
      <c r="BB971" s="21" t="n">
        <f aca="false">IF(AE971="",0,IF(COUNTIF($AE$2:$AE$1001,AE971)&gt;1,1,0))</f>
        <v>0</v>
      </c>
      <c r="BC971" s="21" t="n">
        <f aca="false">IF(AND(H971="",I971&gt;تنظیمات!$B$12*60,AM971="خالی"),1,0)</f>
        <v>0</v>
      </c>
      <c r="BD971" s="21" t="n">
        <f aca="false">IF(AND(AP971="بله",I971&lt;تنظیمات!$B$14,AO971="خیر"),1,0)</f>
        <v>0</v>
      </c>
      <c r="BE971" s="21" t="n">
        <f aca="false">IF(AN971="خیر",1,0)</f>
        <v>0</v>
      </c>
      <c r="BF971" s="21" t="n">
        <f aca="false">IF(AND(AD971="فیش مفقودی",AQ971="بله",I971&gt;تنظیمات!$B$12*60),1,0)</f>
        <v>0</v>
      </c>
      <c r="BG971" s="21" t="n">
        <f aca="false">IF(AND(AK971&gt;تنظیمات!$B$11,AL971="بله"),1,0)</f>
        <v>0</v>
      </c>
      <c r="BH971" s="21" t="n">
        <f aca="false">MIN(100,AR971*تنظیمات!$B$21+AS971*تنظیمات!$B$22+AT971*تنظیمات!$B$23+AU971*تنظیمات!$B$24+AV971*تنظیمات!$B$25+AW971*تنظیمات!$B$26+AX971*تنظیمات!$B$27+AY971*تنظیمات!$B$28+AZ971*تنظیمات!$B$29+BA971*تنظیمات!$B$30+BB971*تنظیمات!$B$31+BC971*تنظیمات!$B$32+BD971*تنظیمات!$B$33+BE971*تنظیمات!$B$34+BF971*تنظیمات!$B$35+BG971*تنظیمات!$B$36)</f>
        <v>0</v>
      </c>
      <c r="BI971" s="16" t="str">
        <f aca="false">IF(BH971&gt;=60,"بحرانی",IF(BH971&gt;=30,"مشکوک",IF(BH971&gt;0,"هشدار","عادی")))</f>
        <v>عادی</v>
      </c>
      <c r="BJ971" s="16" t="s">
        <v>338</v>
      </c>
    </row>
    <row r="972" customFormat="false" ht="15" hidden="false" customHeight="false" outlineLevel="0" collapsed="false">
      <c r="A972" s="16" t="s">
        <v>3221</v>
      </c>
      <c r="B972" s="16" t="s">
        <v>3222</v>
      </c>
      <c r="C972" s="16"/>
      <c r="D972" s="16" t="s">
        <v>508</v>
      </c>
      <c r="E972" s="16" t="s">
        <v>351</v>
      </c>
      <c r="F972" s="16" t="s">
        <v>333</v>
      </c>
      <c r="G972" s="17" t="n">
        <v>46294.598587963</v>
      </c>
      <c r="H972" s="17" t="n">
        <v>46294.6145601852</v>
      </c>
      <c r="I972" s="18" t="n">
        <f aca="false">IF(H972="",ROUND((تنظیمات!$B$7-G972)*1440,0),ROUND((H972-G972)*1440,0))</f>
        <v>23</v>
      </c>
      <c r="J972" s="16" t="s">
        <v>346</v>
      </c>
      <c r="K972" s="16" t="s">
        <v>410</v>
      </c>
      <c r="L972" s="19" t="n">
        <v>0.909</v>
      </c>
      <c r="M972" s="19" t="n">
        <v>0.941</v>
      </c>
      <c r="N972" s="16" t="s">
        <v>335</v>
      </c>
      <c r="O972" s="16" t="s">
        <v>650</v>
      </c>
      <c r="P972" s="16" t="s">
        <v>420</v>
      </c>
      <c r="Q972" s="20" t="n">
        <v>46294</v>
      </c>
      <c r="R972" s="16" t="s">
        <v>3223</v>
      </c>
      <c r="S972" s="16" t="s">
        <v>404</v>
      </c>
      <c r="T972" s="17"/>
      <c r="U972" s="21" t="n">
        <v>1</v>
      </c>
      <c r="V972" s="21" t="n">
        <v>1</v>
      </c>
      <c r="W972" s="22" t="n">
        <v>6.3</v>
      </c>
      <c r="X972" s="16" t="s">
        <v>335</v>
      </c>
      <c r="Y972" s="16" t="s">
        <v>338</v>
      </c>
      <c r="Z972" s="16" t="s">
        <v>405</v>
      </c>
      <c r="AA972" s="16"/>
      <c r="AB972" s="23"/>
      <c r="AC972" s="17"/>
      <c r="AD972" s="16" t="s">
        <v>338</v>
      </c>
      <c r="AE972" s="16"/>
      <c r="AF972" s="16" t="str">
        <f aca="false">IF(COUNTIF(لیست_سفید!$A$2:$A$21,B972)&gt;0,"بله","خیر")</f>
        <v>خیر</v>
      </c>
      <c r="AG972" s="24" t="n">
        <f aca="false">IF(H972="","",IF(AD972="فیش مفقودی",تنظیمات!$B$6,(INT(I972/1440)*تنظیمات!$B$5+IF(MOD(I972,1440)&lt;=تنظیمات!$B$2,0,MIN(تنظیمات!$B$5,تنظیمات!$B$3+MAX(0,ROUNDUP((MOD(I972,1440)-60)/60,0))*تنظیمات!$B$4)))*INDEX(تعرفه!$B$2:$B$7,MATCH(AD972,تعرفه!$A$2:$A$7,0))))</f>
        <v>20000</v>
      </c>
      <c r="AH972" s="24" t="n">
        <v>20000</v>
      </c>
      <c r="AI972" s="24" t="n">
        <f aca="false">IF(AG972="","",AH972-AG972)</f>
        <v>0</v>
      </c>
      <c r="AJ972" s="21" t="n">
        <v>3</v>
      </c>
      <c r="AK972" s="21" t="n">
        <v>0</v>
      </c>
      <c r="AL972" s="16" t="s">
        <v>335</v>
      </c>
      <c r="AM972" s="16"/>
      <c r="AN972" s="16" t="s">
        <v>340</v>
      </c>
      <c r="AO972" s="16" t="s">
        <v>340</v>
      </c>
      <c r="AP972" s="16" t="s">
        <v>335</v>
      </c>
      <c r="AQ972" s="16"/>
      <c r="AR972" s="21" t="n">
        <f aca="false">IF(AND(T972&lt;&gt;"",H972&lt;&gt;""),IF(AND((T972-H972)*86400&gt;=0,(T972-H972)*86400&lt;تنظیمات!$B$13),1,0),0)</f>
        <v>0</v>
      </c>
      <c r="AS972" s="21" t="n">
        <f aca="false">IF(Z972="پوز",IF(OR(AB972="",COUNTIF(پوزها!$A$2:$A$5,AA972)=0),1,0),0)</f>
        <v>0</v>
      </c>
      <c r="AT972" s="21" t="n">
        <f aca="false">IF(AI972="",0,IF(AI972&gt;0,1,0))</f>
        <v>0</v>
      </c>
      <c r="AU972" s="21" t="n">
        <f aca="false">IF(AI972="",0,IF(AI972&lt;0,1,0))</f>
        <v>0</v>
      </c>
      <c r="AV972" s="21" t="n">
        <f aca="false">IF(U972&gt;V972,1,0)</f>
        <v>0</v>
      </c>
      <c r="AW972" s="21" t="n">
        <f aca="false">IF(OR(W972&gt;تنظیمات!$B$8,X972="بله"),1,0)</f>
        <v>0</v>
      </c>
      <c r="AX972" s="21" t="n">
        <f aca="false">IF(AND(N972="بله",L972&gt;تنظیمات!$B$9),1,0)</f>
        <v>0</v>
      </c>
      <c r="AY972" s="21" t="n">
        <f aca="false">IF(Y972="معکوس",1,0)</f>
        <v>0</v>
      </c>
      <c r="AZ972" s="21" t="n">
        <f aca="false">IF(ABS(AJ972)&gt;تنظیمات!$B$10,1,0)</f>
        <v>0</v>
      </c>
      <c r="BA972" s="21" t="n">
        <f aca="false">IF(AND(OR(AD972="رایگان/VIP",AD972="جانباز"),AF972="خیر"),1,0)</f>
        <v>0</v>
      </c>
      <c r="BB972" s="21" t="n">
        <f aca="false">IF(AE972="",0,IF(COUNTIF($AE$2:$AE$1001,AE972)&gt;1,1,0))</f>
        <v>0</v>
      </c>
      <c r="BC972" s="21" t="n">
        <f aca="false">IF(AND(H972="",I972&gt;تنظیمات!$B$12*60,AM972="خالی"),1,0)</f>
        <v>0</v>
      </c>
      <c r="BD972" s="21" t="n">
        <f aca="false">IF(AND(AP972="بله",I972&lt;تنظیمات!$B$14,AO972="خیر"),1,0)</f>
        <v>0</v>
      </c>
      <c r="BE972" s="21" t="n">
        <f aca="false">IF(AN972="خیر",1,0)</f>
        <v>0</v>
      </c>
      <c r="BF972" s="21" t="n">
        <f aca="false">IF(AND(AD972="فیش مفقودی",AQ972="بله",I972&gt;تنظیمات!$B$12*60),1,0)</f>
        <v>0</v>
      </c>
      <c r="BG972" s="21" t="n">
        <f aca="false">IF(AND(AK972&gt;تنظیمات!$B$11,AL972="بله"),1,0)</f>
        <v>0</v>
      </c>
      <c r="BH972" s="21" t="n">
        <f aca="false">MIN(100,AR972*تنظیمات!$B$21+AS972*تنظیمات!$B$22+AT972*تنظیمات!$B$23+AU972*تنظیمات!$B$24+AV972*تنظیمات!$B$25+AW972*تنظیمات!$B$26+AX972*تنظیمات!$B$27+AY972*تنظیمات!$B$28+AZ972*تنظیمات!$B$29+BA972*تنظیمات!$B$30+BB972*تنظیمات!$B$31+BC972*تنظیمات!$B$32+BD972*تنظیمات!$B$33+BE972*تنظیمات!$B$34+BF972*تنظیمات!$B$35+BG972*تنظیمات!$B$36)</f>
        <v>0</v>
      </c>
      <c r="BI972" s="16" t="str">
        <f aca="false">IF(BH972&gt;=60,"بحرانی",IF(BH972&gt;=30,"مشکوک",IF(BH972&gt;0,"هشدار","عادی")))</f>
        <v>عادی</v>
      </c>
      <c r="BJ972" s="16" t="s">
        <v>338</v>
      </c>
    </row>
    <row r="973" customFormat="false" ht="15" hidden="false" customHeight="false" outlineLevel="0" collapsed="false">
      <c r="A973" s="16" t="s">
        <v>3224</v>
      </c>
      <c r="B973" s="16" t="s">
        <v>753</v>
      </c>
      <c r="C973" s="16"/>
      <c r="D973" s="16" t="s">
        <v>508</v>
      </c>
      <c r="E973" s="16" t="s">
        <v>363</v>
      </c>
      <c r="F973" s="16" t="s">
        <v>333</v>
      </c>
      <c r="G973" s="17" t="n">
        <v>46294.6029282407</v>
      </c>
      <c r="H973" s="17" t="n">
        <v>46294.650150463</v>
      </c>
      <c r="I973" s="18" t="n">
        <f aca="false">IF(H973="",ROUND((تنظیمات!$B$7-G973)*1440,0),ROUND((H973-G973)*1440,0))</f>
        <v>68</v>
      </c>
      <c r="J973" s="16" t="s">
        <v>334</v>
      </c>
      <c r="K973" s="16" t="s">
        <v>400</v>
      </c>
      <c r="L973" s="19" t="n">
        <v>0.988</v>
      </c>
      <c r="M973" s="19" t="n">
        <v>0.995</v>
      </c>
      <c r="N973" s="16" t="s">
        <v>335</v>
      </c>
      <c r="O973" s="16" t="s">
        <v>419</v>
      </c>
      <c r="P973" s="16" t="s">
        <v>420</v>
      </c>
      <c r="Q973" s="20" t="n">
        <v>46294</v>
      </c>
      <c r="R973" s="16" t="s">
        <v>3225</v>
      </c>
      <c r="S973" s="16" t="s">
        <v>404</v>
      </c>
      <c r="T973" s="17"/>
      <c r="U973" s="21" t="n">
        <v>1</v>
      </c>
      <c r="V973" s="21" t="n">
        <v>1</v>
      </c>
      <c r="W973" s="22" t="n">
        <v>5.6</v>
      </c>
      <c r="X973" s="16" t="s">
        <v>335</v>
      </c>
      <c r="Y973" s="16" t="s">
        <v>338</v>
      </c>
      <c r="Z973" s="16" t="s">
        <v>413</v>
      </c>
      <c r="AA973" s="16" t="s">
        <v>427</v>
      </c>
      <c r="AB973" s="23" t="s">
        <v>3226</v>
      </c>
      <c r="AC973" s="17" t="n">
        <v>46294.6491898148</v>
      </c>
      <c r="AD973" s="16" t="s">
        <v>338</v>
      </c>
      <c r="AE973" s="16"/>
      <c r="AF973" s="16" t="str">
        <f aca="false">IF(COUNTIF(لیست_سفید!$A$2:$A$21,B973)&gt;0,"بله","خیر")</f>
        <v>خیر</v>
      </c>
      <c r="AG973" s="24" t="n">
        <f aca="false">IF(H973="","",IF(AD973="فیش مفقودی",تنظیمات!$B$6,(INT(I973/1440)*تنظیمات!$B$5+IF(MOD(I973,1440)&lt;=تنظیمات!$B$2,0,MIN(تنظیمات!$B$5,تنظیمات!$B$3+MAX(0,ROUNDUP((MOD(I973,1440)-60)/60,0))*تنظیمات!$B$4)))*INDEX(تعرفه!$B$2:$B$7,MATCH(AD973,تعرفه!$A$2:$A$7,0))))</f>
        <v>34000</v>
      </c>
      <c r="AH973" s="24" t="n">
        <v>34000</v>
      </c>
      <c r="AI973" s="24" t="n">
        <f aca="false">IF(AG973="","",AH973-AG973)</f>
        <v>0</v>
      </c>
      <c r="AJ973" s="21" t="n">
        <v>0</v>
      </c>
      <c r="AK973" s="21" t="n">
        <v>0</v>
      </c>
      <c r="AL973" s="16" t="s">
        <v>335</v>
      </c>
      <c r="AM973" s="16"/>
      <c r="AN973" s="16" t="s">
        <v>340</v>
      </c>
      <c r="AO973" s="16" t="s">
        <v>340</v>
      </c>
      <c r="AP973" s="16" t="s">
        <v>335</v>
      </c>
      <c r="AQ973" s="16"/>
      <c r="AR973" s="21" t="n">
        <f aca="false">IF(AND(T973&lt;&gt;"",H973&lt;&gt;""),IF(AND((T973-H973)*86400&gt;=0,(T973-H973)*86400&lt;تنظیمات!$B$13),1,0),0)</f>
        <v>0</v>
      </c>
      <c r="AS973" s="21" t="n">
        <f aca="false">IF(Z973="پوز",IF(OR(AB973="",COUNTIF(پوزها!$A$2:$A$5,AA973)=0),1,0),0)</f>
        <v>0</v>
      </c>
      <c r="AT973" s="21" t="n">
        <f aca="false">IF(AI973="",0,IF(AI973&gt;0,1,0))</f>
        <v>0</v>
      </c>
      <c r="AU973" s="21" t="n">
        <f aca="false">IF(AI973="",0,IF(AI973&lt;0,1,0))</f>
        <v>0</v>
      </c>
      <c r="AV973" s="21" t="n">
        <f aca="false">IF(U973&gt;V973,1,0)</f>
        <v>0</v>
      </c>
      <c r="AW973" s="21" t="n">
        <f aca="false">IF(OR(W973&gt;تنظیمات!$B$8,X973="بله"),1,0)</f>
        <v>0</v>
      </c>
      <c r="AX973" s="21" t="n">
        <f aca="false">IF(AND(N973="بله",L973&gt;تنظیمات!$B$9),1,0)</f>
        <v>0</v>
      </c>
      <c r="AY973" s="21" t="n">
        <f aca="false">IF(Y973="معکوس",1,0)</f>
        <v>0</v>
      </c>
      <c r="AZ973" s="21" t="n">
        <f aca="false">IF(ABS(AJ973)&gt;تنظیمات!$B$10,1,0)</f>
        <v>0</v>
      </c>
      <c r="BA973" s="21" t="n">
        <f aca="false">IF(AND(OR(AD973="رایگان/VIP",AD973="جانباز"),AF973="خیر"),1,0)</f>
        <v>0</v>
      </c>
      <c r="BB973" s="21" t="n">
        <f aca="false">IF(AE973="",0,IF(COUNTIF($AE$2:$AE$1001,AE973)&gt;1,1,0))</f>
        <v>0</v>
      </c>
      <c r="BC973" s="21" t="n">
        <f aca="false">IF(AND(H973="",I973&gt;تنظیمات!$B$12*60,AM973="خالی"),1,0)</f>
        <v>0</v>
      </c>
      <c r="BD973" s="21" t="n">
        <f aca="false">IF(AND(AP973="بله",I973&lt;تنظیمات!$B$14,AO973="خیر"),1,0)</f>
        <v>0</v>
      </c>
      <c r="BE973" s="21" t="n">
        <f aca="false">IF(AN973="خیر",1,0)</f>
        <v>0</v>
      </c>
      <c r="BF973" s="21" t="n">
        <f aca="false">IF(AND(AD973="فیش مفقودی",AQ973="بله",I973&gt;تنظیمات!$B$12*60),1,0)</f>
        <v>0</v>
      </c>
      <c r="BG973" s="21" t="n">
        <f aca="false">IF(AND(AK973&gt;تنظیمات!$B$11,AL973="بله"),1,0)</f>
        <v>0</v>
      </c>
      <c r="BH973" s="21" t="n">
        <f aca="false">MIN(100,AR973*تنظیمات!$B$21+AS973*تنظیمات!$B$22+AT973*تنظیمات!$B$23+AU973*تنظیمات!$B$24+AV973*تنظیمات!$B$25+AW973*تنظیمات!$B$26+AX973*تنظیمات!$B$27+AY973*تنظیمات!$B$28+AZ973*تنظیمات!$B$29+BA973*تنظیمات!$B$30+BB973*تنظیمات!$B$31+BC973*تنظیمات!$B$32+BD973*تنظیمات!$B$33+BE973*تنظیمات!$B$34+BF973*تنظیمات!$B$35+BG973*تنظیمات!$B$36)</f>
        <v>0</v>
      </c>
      <c r="BI973" s="16" t="str">
        <f aca="false">IF(BH973&gt;=60,"بحرانی",IF(BH973&gt;=30,"مشکوک",IF(BH973&gt;0,"هشدار","عادی")))</f>
        <v>عادی</v>
      </c>
      <c r="BJ973" s="16" t="s">
        <v>338</v>
      </c>
    </row>
    <row r="974" customFormat="false" ht="15" hidden="false" customHeight="false" outlineLevel="0" collapsed="false">
      <c r="A974" s="16" t="s">
        <v>3227</v>
      </c>
      <c r="B974" s="16" t="s">
        <v>3228</v>
      </c>
      <c r="C974" s="16"/>
      <c r="D974" s="16" t="s">
        <v>370</v>
      </c>
      <c r="E974" s="16" t="s">
        <v>363</v>
      </c>
      <c r="F974" s="16" t="s">
        <v>333</v>
      </c>
      <c r="G974" s="17" t="n">
        <v>46294.6044675926</v>
      </c>
      <c r="H974" s="17" t="n">
        <v>46294.8016898148</v>
      </c>
      <c r="I974" s="18" t="n">
        <f aca="false">IF(H974="",ROUND((تنظیمات!$B$7-G974)*1440,0),ROUND((H974-G974)*1440,0))</f>
        <v>284</v>
      </c>
      <c r="J974" s="16" t="s">
        <v>334</v>
      </c>
      <c r="K974" s="16" t="s">
        <v>400</v>
      </c>
      <c r="L974" s="19" t="n">
        <v>0.91</v>
      </c>
      <c r="M974" s="19" t="n">
        <v>0.934</v>
      </c>
      <c r="N974" s="16" t="s">
        <v>335</v>
      </c>
      <c r="O974" s="16" t="s">
        <v>419</v>
      </c>
      <c r="P974" s="16" t="s">
        <v>420</v>
      </c>
      <c r="Q974" s="20" t="n">
        <v>46294</v>
      </c>
      <c r="R974" s="16" t="s">
        <v>3229</v>
      </c>
      <c r="S974" s="16" t="s">
        <v>404</v>
      </c>
      <c r="T974" s="17"/>
      <c r="U974" s="21" t="n">
        <v>1</v>
      </c>
      <c r="V974" s="21" t="n">
        <v>1</v>
      </c>
      <c r="W974" s="22" t="n">
        <v>4.6</v>
      </c>
      <c r="X974" s="16" t="s">
        <v>335</v>
      </c>
      <c r="Y974" s="16" t="s">
        <v>338</v>
      </c>
      <c r="Z974" s="16" t="s">
        <v>443</v>
      </c>
      <c r="AA974" s="16"/>
      <c r="AB974" s="23"/>
      <c r="AC974" s="17"/>
      <c r="AD974" s="16" t="s">
        <v>444</v>
      </c>
      <c r="AE974" s="16"/>
      <c r="AF974" s="16" t="str">
        <f aca="false">IF(COUNTIF(لیست_سفید!$A$2:$A$21,B974)&gt;0,"بله","خیر")</f>
        <v>خیر</v>
      </c>
      <c r="AG974" s="24" t="n">
        <f aca="false">IF(H974="","",IF(AD974="فیش مفقودی",تنظیمات!$B$6,(INT(I974/1440)*تنظیمات!$B$5+IF(MOD(I974,1440)&lt;=تنظیمات!$B$2,0,MIN(تنظیمات!$B$5,تنظیمات!$B$3+MAX(0,ROUNDUP((MOD(I974,1440)-60)/60,0))*تنظیمات!$B$4)))*INDEX(تعرفه!$B$2:$B$7,MATCH(AD974,تعرفه!$A$2:$A$7,0))))</f>
        <v>0</v>
      </c>
      <c r="AH974" s="24" t="n">
        <v>0</v>
      </c>
      <c r="AI974" s="24" t="n">
        <f aca="false">IF(AG974="","",AH974-AG974)</f>
        <v>0</v>
      </c>
      <c r="AJ974" s="21" t="n">
        <v>0</v>
      </c>
      <c r="AK974" s="21" t="n">
        <v>0</v>
      </c>
      <c r="AL974" s="16" t="s">
        <v>335</v>
      </c>
      <c r="AM974" s="16"/>
      <c r="AN974" s="16" t="s">
        <v>340</v>
      </c>
      <c r="AO974" s="16" t="s">
        <v>340</v>
      </c>
      <c r="AP974" s="16" t="s">
        <v>335</v>
      </c>
      <c r="AQ974" s="16"/>
      <c r="AR974" s="21" t="n">
        <f aca="false">IF(AND(T974&lt;&gt;"",H974&lt;&gt;""),IF(AND((T974-H974)*86400&gt;=0,(T974-H974)*86400&lt;تنظیمات!$B$13),1,0),0)</f>
        <v>0</v>
      </c>
      <c r="AS974" s="21" t="n">
        <f aca="false">IF(Z974="پوز",IF(OR(AB974="",COUNTIF(پوزها!$A$2:$A$5,AA974)=0),1,0),0)</f>
        <v>0</v>
      </c>
      <c r="AT974" s="21" t="n">
        <f aca="false">IF(AI974="",0,IF(AI974&gt;0,1,0))</f>
        <v>0</v>
      </c>
      <c r="AU974" s="21" t="n">
        <f aca="false">IF(AI974="",0,IF(AI974&lt;0,1,0))</f>
        <v>0</v>
      </c>
      <c r="AV974" s="21" t="n">
        <f aca="false">IF(U974&gt;V974,1,0)</f>
        <v>0</v>
      </c>
      <c r="AW974" s="21" t="n">
        <f aca="false">IF(OR(W974&gt;تنظیمات!$B$8,X974="بله"),1,0)</f>
        <v>0</v>
      </c>
      <c r="AX974" s="21" t="n">
        <f aca="false">IF(AND(N974="بله",L974&gt;تنظیمات!$B$9),1,0)</f>
        <v>0</v>
      </c>
      <c r="AY974" s="21" t="n">
        <f aca="false">IF(Y974="معکوس",1,0)</f>
        <v>0</v>
      </c>
      <c r="AZ974" s="21" t="n">
        <f aca="false">IF(ABS(AJ974)&gt;تنظیمات!$B$10,1,0)</f>
        <v>0</v>
      </c>
      <c r="BA974" s="21" t="n">
        <f aca="false">IF(AND(OR(AD974="رایگان/VIP",AD974="جانباز"),AF974="خیر"),1,0)</f>
        <v>0</v>
      </c>
      <c r="BB974" s="21" t="n">
        <f aca="false">IF(AE974="",0,IF(COUNTIF($AE$2:$AE$1001,AE974)&gt;1,1,0))</f>
        <v>0</v>
      </c>
      <c r="BC974" s="21" t="n">
        <f aca="false">IF(AND(H974="",I974&gt;تنظیمات!$B$12*60,AM974="خالی"),1,0)</f>
        <v>0</v>
      </c>
      <c r="BD974" s="21" t="n">
        <f aca="false">IF(AND(AP974="بله",I974&lt;تنظیمات!$B$14,AO974="خیر"),1,0)</f>
        <v>0</v>
      </c>
      <c r="BE974" s="21" t="n">
        <f aca="false">IF(AN974="خیر",1,0)</f>
        <v>0</v>
      </c>
      <c r="BF974" s="21" t="n">
        <f aca="false">IF(AND(AD974="فیش مفقودی",AQ974="بله",I974&gt;تنظیمات!$B$12*60),1,0)</f>
        <v>0</v>
      </c>
      <c r="BG974" s="21" t="n">
        <f aca="false">IF(AND(AK974&gt;تنظیمات!$B$11,AL974="بله"),1,0)</f>
        <v>0</v>
      </c>
      <c r="BH974" s="21" t="n">
        <f aca="false">MIN(100,AR974*تنظیمات!$B$21+AS974*تنظیمات!$B$22+AT974*تنظیمات!$B$23+AU974*تنظیمات!$B$24+AV974*تنظیمات!$B$25+AW974*تنظیمات!$B$26+AX974*تنظیمات!$B$27+AY974*تنظیمات!$B$28+AZ974*تنظیمات!$B$29+BA974*تنظیمات!$B$30+BB974*تنظیمات!$B$31+BC974*تنظیمات!$B$32+BD974*تنظیمات!$B$33+BE974*تنظیمات!$B$34+BF974*تنظیمات!$B$35+BG974*تنظیمات!$B$36)</f>
        <v>0</v>
      </c>
      <c r="BI974" s="16" t="str">
        <f aca="false">IF(BH974&gt;=60,"بحرانی",IF(BH974&gt;=30,"مشکوک",IF(BH974&gt;0,"هشدار","عادی")))</f>
        <v>عادی</v>
      </c>
      <c r="BJ974" s="16" t="s">
        <v>338</v>
      </c>
    </row>
    <row r="975" customFormat="false" ht="15" hidden="false" customHeight="false" outlineLevel="0" collapsed="false">
      <c r="A975" s="16" t="s">
        <v>3230</v>
      </c>
      <c r="B975" s="16" t="s">
        <v>399</v>
      </c>
      <c r="C975" s="16"/>
      <c r="D975" s="16" t="s">
        <v>382</v>
      </c>
      <c r="E975" s="16" t="s">
        <v>351</v>
      </c>
      <c r="F975" s="16" t="s">
        <v>333</v>
      </c>
      <c r="G975" s="17" t="n">
        <v>46294.6337615741</v>
      </c>
      <c r="H975" s="17" t="n">
        <v>46294.6545949074</v>
      </c>
      <c r="I975" s="18" t="n">
        <f aca="false">IF(H975="",ROUND((تنظیمات!$B$7-G975)*1440,0),ROUND((H975-G975)*1440,0))</f>
        <v>30</v>
      </c>
      <c r="J975" s="16" t="s">
        <v>334</v>
      </c>
      <c r="K975" s="16" t="s">
        <v>400</v>
      </c>
      <c r="L975" s="19" t="n">
        <v>0.913</v>
      </c>
      <c r="M975" s="19" t="n">
        <v>0.995</v>
      </c>
      <c r="N975" s="16" t="s">
        <v>335</v>
      </c>
      <c r="O975" s="16" t="s">
        <v>419</v>
      </c>
      <c r="P975" s="16" t="s">
        <v>420</v>
      </c>
      <c r="Q975" s="20" t="n">
        <v>46294</v>
      </c>
      <c r="R975" s="16" t="s">
        <v>3231</v>
      </c>
      <c r="S975" s="16" t="s">
        <v>404</v>
      </c>
      <c r="T975" s="17"/>
      <c r="U975" s="21" t="n">
        <v>1</v>
      </c>
      <c r="V975" s="21" t="n">
        <v>1</v>
      </c>
      <c r="W975" s="22" t="n">
        <v>7.1</v>
      </c>
      <c r="X975" s="16" t="s">
        <v>335</v>
      </c>
      <c r="Y975" s="16" t="s">
        <v>338</v>
      </c>
      <c r="Z975" s="16" t="s">
        <v>413</v>
      </c>
      <c r="AA975" s="16" t="s">
        <v>427</v>
      </c>
      <c r="AB975" s="23" t="s">
        <v>3232</v>
      </c>
      <c r="AC975" s="17" t="n">
        <v>46294.6543634259</v>
      </c>
      <c r="AD975" s="16" t="s">
        <v>338</v>
      </c>
      <c r="AE975" s="16"/>
      <c r="AF975" s="16" t="str">
        <f aca="false">IF(COUNTIF(لیست_سفید!$A$2:$A$21,B975)&gt;0,"بله","خیر")</f>
        <v>خیر</v>
      </c>
      <c r="AG975" s="24" t="n">
        <f aca="false">IF(H975="","",IF(AD975="فیش مفقودی",تنظیمات!$B$6,(INT(I975/1440)*تنظیمات!$B$5+IF(MOD(I975,1440)&lt;=تنظیمات!$B$2,0,MIN(تنظیمات!$B$5,تنظیمات!$B$3+MAX(0,ROUNDUP((MOD(I975,1440)-60)/60,0))*تنظیمات!$B$4)))*INDEX(تعرفه!$B$2:$B$7,MATCH(AD975,تعرفه!$A$2:$A$7,0))))</f>
        <v>20000</v>
      </c>
      <c r="AH975" s="24" t="n">
        <v>20000</v>
      </c>
      <c r="AI975" s="24" t="n">
        <f aca="false">IF(AG975="","",AH975-AG975)</f>
        <v>0</v>
      </c>
      <c r="AJ975" s="21" t="n">
        <v>0</v>
      </c>
      <c r="AK975" s="21" t="n">
        <v>0</v>
      </c>
      <c r="AL975" s="16" t="s">
        <v>335</v>
      </c>
      <c r="AM975" s="16"/>
      <c r="AN975" s="16" t="s">
        <v>340</v>
      </c>
      <c r="AO975" s="16" t="s">
        <v>340</v>
      </c>
      <c r="AP975" s="16" t="s">
        <v>335</v>
      </c>
      <c r="AQ975" s="16"/>
      <c r="AR975" s="21" t="n">
        <f aca="false">IF(AND(T975&lt;&gt;"",H975&lt;&gt;""),IF(AND((T975-H975)*86400&gt;=0,(T975-H975)*86400&lt;تنظیمات!$B$13),1,0),0)</f>
        <v>0</v>
      </c>
      <c r="AS975" s="21" t="n">
        <f aca="false">IF(Z975="پوز",IF(OR(AB975="",COUNTIF(پوزها!$A$2:$A$5,AA975)=0),1,0),0)</f>
        <v>0</v>
      </c>
      <c r="AT975" s="21" t="n">
        <f aca="false">IF(AI975="",0,IF(AI975&gt;0,1,0))</f>
        <v>0</v>
      </c>
      <c r="AU975" s="21" t="n">
        <f aca="false">IF(AI975="",0,IF(AI975&lt;0,1,0))</f>
        <v>0</v>
      </c>
      <c r="AV975" s="21" t="n">
        <f aca="false">IF(U975&gt;V975,1,0)</f>
        <v>0</v>
      </c>
      <c r="AW975" s="21" t="n">
        <f aca="false">IF(OR(W975&gt;تنظیمات!$B$8,X975="بله"),1,0)</f>
        <v>0</v>
      </c>
      <c r="AX975" s="21" t="n">
        <f aca="false">IF(AND(N975="بله",L975&gt;تنظیمات!$B$9),1,0)</f>
        <v>0</v>
      </c>
      <c r="AY975" s="21" t="n">
        <f aca="false">IF(Y975="معکوس",1,0)</f>
        <v>0</v>
      </c>
      <c r="AZ975" s="21" t="n">
        <f aca="false">IF(ABS(AJ975)&gt;تنظیمات!$B$10,1,0)</f>
        <v>0</v>
      </c>
      <c r="BA975" s="21" t="n">
        <f aca="false">IF(AND(OR(AD975="رایگان/VIP",AD975="جانباز"),AF975="خیر"),1,0)</f>
        <v>0</v>
      </c>
      <c r="BB975" s="21" t="n">
        <f aca="false">IF(AE975="",0,IF(COUNTIF($AE$2:$AE$1001,AE975)&gt;1,1,0))</f>
        <v>0</v>
      </c>
      <c r="BC975" s="21" t="n">
        <f aca="false">IF(AND(H975="",I975&gt;تنظیمات!$B$12*60,AM975="خالی"),1,0)</f>
        <v>0</v>
      </c>
      <c r="BD975" s="21" t="n">
        <f aca="false">IF(AND(AP975="بله",I975&lt;تنظیمات!$B$14,AO975="خیر"),1,0)</f>
        <v>0</v>
      </c>
      <c r="BE975" s="21" t="n">
        <f aca="false">IF(AN975="خیر",1,0)</f>
        <v>0</v>
      </c>
      <c r="BF975" s="21" t="n">
        <f aca="false">IF(AND(AD975="فیش مفقودی",AQ975="بله",I975&gt;تنظیمات!$B$12*60),1,0)</f>
        <v>0</v>
      </c>
      <c r="BG975" s="21" t="n">
        <f aca="false">IF(AND(AK975&gt;تنظیمات!$B$11,AL975="بله"),1,0)</f>
        <v>0</v>
      </c>
      <c r="BH975" s="21" t="n">
        <f aca="false">MIN(100,AR975*تنظیمات!$B$21+AS975*تنظیمات!$B$22+AT975*تنظیمات!$B$23+AU975*تنظیمات!$B$24+AV975*تنظیمات!$B$25+AW975*تنظیمات!$B$26+AX975*تنظیمات!$B$27+AY975*تنظیمات!$B$28+AZ975*تنظیمات!$B$29+BA975*تنظیمات!$B$30+BB975*تنظیمات!$B$31+BC975*تنظیمات!$B$32+BD975*تنظیمات!$B$33+BE975*تنظیمات!$B$34+BF975*تنظیمات!$B$35+BG975*تنظیمات!$B$36)</f>
        <v>0</v>
      </c>
      <c r="BI975" s="16" t="str">
        <f aca="false">IF(BH975&gt;=60,"بحرانی",IF(BH975&gt;=30,"مشکوک",IF(BH975&gt;0,"هشدار","عادی")))</f>
        <v>عادی</v>
      </c>
      <c r="BJ975" s="16" t="s">
        <v>338</v>
      </c>
    </row>
    <row r="976" customFormat="false" ht="15" hidden="false" customHeight="false" outlineLevel="0" collapsed="false">
      <c r="A976" s="16" t="s">
        <v>3233</v>
      </c>
      <c r="B976" s="16" t="s">
        <v>1038</v>
      </c>
      <c r="C976" s="16"/>
      <c r="D976" s="16" t="s">
        <v>431</v>
      </c>
      <c r="E976" s="16" t="s">
        <v>375</v>
      </c>
      <c r="F976" s="16" t="s">
        <v>333</v>
      </c>
      <c r="G976" s="17" t="n">
        <v>46294.6361574074</v>
      </c>
      <c r="H976" s="17" t="n">
        <v>46294.6576851852</v>
      </c>
      <c r="I976" s="18" t="n">
        <f aca="false">IF(H976="",ROUND((تنظیمات!$B$7-G976)*1440,0),ROUND((H976-G976)*1440,0))</f>
        <v>31</v>
      </c>
      <c r="J976" s="16" t="s">
        <v>346</v>
      </c>
      <c r="K976" s="16" t="s">
        <v>400</v>
      </c>
      <c r="L976" s="19" t="n">
        <v>0.961</v>
      </c>
      <c r="M976" s="19" t="n">
        <v>0.928</v>
      </c>
      <c r="N976" s="16" t="s">
        <v>335</v>
      </c>
      <c r="O976" s="16" t="s">
        <v>419</v>
      </c>
      <c r="P976" s="16" t="s">
        <v>420</v>
      </c>
      <c r="Q976" s="20" t="n">
        <v>46294</v>
      </c>
      <c r="R976" s="16" t="s">
        <v>3234</v>
      </c>
      <c r="S976" s="16" t="s">
        <v>404</v>
      </c>
      <c r="T976" s="17"/>
      <c r="U976" s="21" t="n">
        <v>1</v>
      </c>
      <c r="V976" s="21" t="n">
        <v>1</v>
      </c>
      <c r="W976" s="22" t="n">
        <v>3.2</v>
      </c>
      <c r="X976" s="16" t="s">
        <v>335</v>
      </c>
      <c r="Y976" s="16" t="s">
        <v>338</v>
      </c>
      <c r="Z976" s="16" t="s">
        <v>413</v>
      </c>
      <c r="AA976" s="16" t="s">
        <v>427</v>
      </c>
      <c r="AB976" s="23" t="s">
        <v>3235</v>
      </c>
      <c r="AC976" s="17" t="n">
        <v>46294.6572453704</v>
      </c>
      <c r="AD976" s="16" t="s">
        <v>338</v>
      </c>
      <c r="AE976" s="16"/>
      <c r="AF976" s="16" t="str">
        <f aca="false">IF(COUNTIF(لیست_سفید!$A$2:$A$21,B976)&gt;0,"بله","خیر")</f>
        <v>خیر</v>
      </c>
      <c r="AG976" s="24" t="n">
        <f aca="false">IF(H976="","",IF(AD976="فیش مفقودی",تنظیمات!$B$6,(INT(I976/1440)*تنظیمات!$B$5+IF(MOD(I976,1440)&lt;=تنظیمات!$B$2,0,MIN(تنظیمات!$B$5,تنظیمات!$B$3+MAX(0,ROUNDUP((MOD(I976,1440)-60)/60,0))*تنظیمات!$B$4)))*INDEX(تعرفه!$B$2:$B$7,MATCH(AD976,تعرفه!$A$2:$A$7,0))))</f>
        <v>20000</v>
      </c>
      <c r="AH976" s="24" t="n">
        <v>20000</v>
      </c>
      <c r="AI976" s="24" t="n">
        <f aca="false">IF(AG976="","",AH976-AG976)</f>
        <v>0</v>
      </c>
      <c r="AJ976" s="21" t="n">
        <v>0</v>
      </c>
      <c r="AK976" s="21" t="n">
        <v>0</v>
      </c>
      <c r="AL976" s="16" t="s">
        <v>335</v>
      </c>
      <c r="AM976" s="16"/>
      <c r="AN976" s="16" t="s">
        <v>340</v>
      </c>
      <c r="AO976" s="16" t="s">
        <v>340</v>
      </c>
      <c r="AP976" s="16" t="s">
        <v>335</v>
      </c>
      <c r="AQ976" s="16"/>
      <c r="AR976" s="21" t="n">
        <f aca="false">IF(AND(T976&lt;&gt;"",H976&lt;&gt;""),IF(AND((T976-H976)*86400&gt;=0,(T976-H976)*86400&lt;تنظیمات!$B$13),1,0),0)</f>
        <v>0</v>
      </c>
      <c r="AS976" s="21" t="n">
        <f aca="false">IF(Z976="پوز",IF(OR(AB976="",COUNTIF(پوزها!$A$2:$A$5,AA976)=0),1,0),0)</f>
        <v>0</v>
      </c>
      <c r="AT976" s="21" t="n">
        <f aca="false">IF(AI976="",0,IF(AI976&gt;0,1,0))</f>
        <v>0</v>
      </c>
      <c r="AU976" s="21" t="n">
        <f aca="false">IF(AI976="",0,IF(AI976&lt;0,1,0))</f>
        <v>0</v>
      </c>
      <c r="AV976" s="21" t="n">
        <f aca="false">IF(U976&gt;V976,1,0)</f>
        <v>0</v>
      </c>
      <c r="AW976" s="21" t="n">
        <f aca="false">IF(OR(W976&gt;تنظیمات!$B$8,X976="بله"),1,0)</f>
        <v>0</v>
      </c>
      <c r="AX976" s="21" t="n">
        <f aca="false">IF(AND(N976="بله",L976&gt;تنظیمات!$B$9),1,0)</f>
        <v>0</v>
      </c>
      <c r="AY976" s="21" t="n">
        <f aca="false">IF(Y976="معکوس",1,0)</f>
        <v>0</v>
      </c>
      <c r="AZ976" s="21" t="n">
        <f aca="false">IF(ABS(AJ976)&gt;تنظیمات!$B$10,1,0)</f>
        <v>0</v>
      </c>
      <c r="BA976" s="21" t="n">
        <f aca="false">IF(AND(OR(AD976="رایگان/VIP",AD976="جانباز"),AF976="خیر"),1,0)</f>
        <v>0</v>
      </c>
      <c r="BB976" s="21" t="n">
        <f aca="false">IF(AE976="",0,IF(COUNTIF($AE$2:$AE$1001,AE976)&gt;1,1,0))</f>
        <v>0</v>
      </c>
      <c r="BC976" s="21" t="n">
        <f aca="false">IF(AND(H976="",I976&gt;تنظیمات!$B$12*60,AM976="خالی"),1,0)</f>
        <v>0</v>
      </c>
      <c r="BD976" s="21" t="n">
        <f aca="false">IF(AND(AP976="بله",I976&lt;تنظیمات!$B$14,AO976="خیر"),1,0)</f>
        <v>0</v>
      </c>
      <c r="BE976" s="21" t="n">
        <f aca="false">IF(AN976="خیر",1,0)</f>
        <v>0</v>
      </c>
      <c r="BF976" s="21" t="n">
        <f aca="false">IF(AND(AD976="فیش مفقودی",AQ976="بله",I976&gt;تنظیمات!$B$12*60),1,0)</f>
        <v>0</v>
      </c>
      <c r="BG976" s="21" t="n">
        <f aca="false">IF(AND(AK976&gt;تنظیمات!$B$11,AL976="بله"),1,0)</f>
        <v>0</v>
      </c>
      <c r="BH976" s="21" t="n">
        <f aca="false">MIN(100,AR976*تنظیمات!$B$21+AS976*تنظیمات!$B$22+AT976*تنظیمات!$B$23+AU976*تنظیمات!$B$24+AV976*تنظیمات!$B$25+AW976*تنظیمات!$B$26+AX976*تنظیمات!$B$27+AY976*تنظیمات!$B$28+AZ976*تنظیمات!$B$29+BA976*تنظیمات!$B$30+BB976*تنظیمات!$B$31+BC976*تنظیمات!$B$32+BD976*تنظیمات!$B$33+BE976*تنظیمات!$B$34+BF976*تنظیمات!$B$35+BG976*تنظیمات!$B$36)</f>
        <v>0</v>
      </c>
      <c r="BI976" s="16" t="str">
        <f aca="false">IF(BH976&gt;=60,"بحرانی",IF(BH976&gt;=30,"مشکوک",IF(BH976&gt;0,"هشدار","عادی")))</f>
        <v>عادی</v>
      </c>
      <c r="BJ976" s="16" t="s">
        <v>338</v>
      </c>
    </row>
    <row r="977" customFormat="false" ht="15" hidden="false" customHeight="false" outlineLevel="0" collapsed="false">
      <c r="A977" s="16" t="s">
        <v>3236</v>
      </c>
      <c r="B977" s="16" t="s">
        <v>2087</v>
      </c>
      <c r="C977" s="16"/>
      <c r="D977" s="16" t="s">
        <v>469</v>
      </c>
      <c r="E977" s="16" t="s">
        <v>375</v>
      </c>
      <c r="F977" s="16" t="s">
        <v>359</v>
      </c>
      <c r="G977" s="17" t="n">
        <v>46294.6367592593</v>
      </c>
      <c r="H977" s="17" t="n">
        <v>46294.6631481482</v>
      </c>
      <c r="I977" s="18" t="n">
        <f aca="false">IF(H977="",ROUND((تنظیمات!$B$7-G977)*1440,0),ROUND((H977-G977)*1440,0))</f>
        <v>38</v>
      </c>
      <c r="J977" s="16" t="s">
        <v>346</v>
      </c>
      <c r="K977" s="16" t="s">
        <v>400</v>
      </c>
      <c r="L977" s="19" t="n">
        <v>0.889</v>
      </c>
      <c r="M977" s="19" t="n">
        <v>0.943</v>
      </c>
      <c r="N977" s="16" t="s">
        <v>335</v>
      </c>
      <c r="O977" s="16" t="s">
        <v>419</v>
      </c>
      <c r="P977" s="16" t="s">
        <v>420</v>
      </c>
      <c r="Q977" s="20" t="n">
        <v>46294</v>
      </c>
      <c r="R977" s="16" t="s">
        <v>3237</v>
      </c>
      <c r="S977" s="16" t="s">
        <v>404</v>
      </c>
      <c r="T977" s="17"/>
      <c r="U977" s="21" t="n">
        <v>1</v>
      </c>
      <c r="V977" s="21" t="n">
        <v>1</v>
      </c>
      <c r="W977" s="22" t="n">
        <v>3</v>
      </c>
      <c r="X977" s="16" t="s">
        <v>335</v>
      </c>
      <c r="Y977" s="16" t="s">
        <v>338</v>
      </c>
      <c r="Z977" s="16" t="s">
        <v>413</v>
      </c>
      <c r="AA977" s="16" t="s">
        <v>427</v>
      </c>
      <c r="AB977" s="23" t="s">
        <v>3238</v>
      </c>
      <c r="AC977" s="17" t="n">
        <v>46294.6629166667</v>
      </c>
      <c r="AD977" s="16" t="s">
        <v>338</v>
      </c>
      <c r="AE977" s="16"/>
      <c r="AF977" s="16" t="str">
        <f aca="false">IF(COUNTIF(لیست_سفید!$A$2:$A$21,B977)&gt;0,"بله","خیر")</f>
        <v>خیر</v>
      </c>
      <c r="AG977" s="24" t="n">
        <f aca="false">IF(H977="","",IF(AD977="فیش مفقودی",تنظیمات!$B$6,(INT(I977/1440)*تنظیمات!$B$5+IF(MOD(I977,1440)&lt;=تنظیمات!$B$2,0,MIN(تنظیمات!$B$5,تنظیمات!$B$3+MAX(0,ROUNDUP((MOD(I977,1440)-60)/60,0))*تنظیمات!$B$4)))*INDEX(تعرفه!$B$2:$B$7,MATCH(AD977,تعرفه!$A$2:$A$7,0))))</f>
        <v>20000</v>
      </c>
      <c r="AH977" s="24" t="n">
        <v>20000</v>
      </c>
      <c r="AI977" s="24" t="n">
        <f aca="false">IF(AG977="","",AH977-AG977)</f>
        <v>0</v>
      </c>
      <c r="AJ977" s="21" t="n">
        <v>3</v>
      </c>
      <c r="AK977" s="21" t="n">
        <v>0</v>
      </c>
      <c r="AL977" s="16" t="s">
        <v>335</v>
      </c>
      <c r="AM977" s="16"/>
      <c r="AN977" s="16" t="s">
        <v>340</v>
      </c>
      <c r="AO977" s="16" t="s">
        <v>340</v>
      </c>
      <c r="AP977" s="16" t="s">
        <v>335</v>
      </c>
      <c r="AQ977" s="16"/>
      <c r="AR977" s="21" t="n">
        <f aca="false">IF(AND(T977&lt;&gt;"",H977&lt;&gt;""),IF(AND((T977-H977)*86400&gt;=0,(T977-H977)*86400&lt;تنظیمات!$B$13),1,0),0)</f>
        <v>0</v>
      </c>
      <c r="AS977" s="21" t="n">
        <f aca="false">IF(Z977="پوز",IF(OR(AB977="",COUNTIF(پوزها!$A$2:$A$5,AA977)=0),1,0),0)</f>
        <v>0</v>
      </c>
      <c r="AT977" s="21" t="n">
        <f aca="false">IF(AI977="",0,IF(AI977&gt;0,1,0))</f>
        <v>0</v>
      </c>
      <c r="AU977" s="21" t="n">
        <f aca="false">IF(AI977="",0,IF(AI977&lt;0,1,0))</f>
        <v>0</v>
      </c>
      <c r="AV977" s="21" t="n">
        <f aca="false">IF(U977&gt;V977,1,0)</f>
        <v>0</v>
      </c>
      <c r="AW977" s="21" t="n">
        <f aca="false">IF(OR(W977&gt;تنظیمات!$B$8,X977="بله"),1,0)</f>
        <v>0</v>
      </c>
      <c r="AX977" s="21" t="n">
        <f aca="false">IF(AND(N977="بله",L977&gt;تنظیمات!$B$9),1,0)</f>
        <v>0</v>
      </c>
      <c r="AY977" s="21" t="n">
        <f aca="false">IF(Y977="معکوس",1,0)</f>
        <v>0</v>
      </c>
      <c r="AZ977" s="21" t="n">
        <f aca="false">IF(ABS(AJ977)&gt;تنظیمات!$B$10,1,0)</f>
        <v>0</v>
      </c>
      <c r="BA977" s="21" t="n">
        <f aca="false">IF(AND(OR(AD977="رایگان/VIP",AD977="جانباز"),AF977="خیر"),1,0)</f>
        <v>0</v>
      </c>
      <c r="BB977" s="21" t="n">
        <f aca="false">IF(AE977="",0,IF(COUNTIF($AE$2:$AE$1001,AE977)&gt;1,1,0))</f>
        <v>0</v>
      </c>
      <c r="BC977" s="21" t="n">
        <f aca="false">IF(AND(H977="",I977&gt;تنظیمات!$B$12*60,AM977="خالی"),1,0)</f>
        <v>0</v>
      </c>
      <c r="BD977" s="21" t="n">
        <f aca="false">IF(AND(AP977="بله",I977&lt;تنظیمات!$B$14,AO977="خیر"),1,0)</f>
        <v>0</v>
      </c>
      <c r="BE977" s="21" t="n">
        <f aca="false">IF(AN977="خیر",1,0)</f>
        <v>0</v>
      </c>
      <c r="BF977" s="21" t="n">
        <f aca="false">IF(AND(AD977="فیش مفقودی",AQ977="بله",I977&gt;تنظیمات!$B$12*60),1,0)</f>
        <v>0</v>
      </c>
      <c r="BG977" s="21" t="n">
        <f aca="false">IF(AND(AK977&gt;تنظیمات!$B$11,AL977="بله"),1,0)</f>
        <v>0</v>
      </c>
      <c r="BH977" s="21" t="n">
        <f aca="false">MIN(100,AR977*تنظیمات!$B$21+AS977*تنظیمات!$B$22+AT977*تنظیمات!$B$23+AU977*تنظیمات!$B$24+AV977*تنظیمات!$B$25+AW977*تنظیمات!$B$26+AX977*تنظیمات!$B$27+AY977*تنظیمات!$B$28+AZ977*تنظیمات!$B$29+BA977*تنظیمات!$B$30+BB977*تنظیمات!$B$31+BC977*تنظیمات!$B$32+BD977*تنظیمات!$B$33+BE977*تنظیمات!$B$34+BF977*تنظیمات!$B$35+BG977*تنظیمات!$B$36)</f>
        <v>0</v>
      </c>
      <c r="BI977" s="16" t="str">
        <f aca="false">IF(BH977&gt;=60,"بحرانی",IF(BH977&gt;=30,"مشکوک",IF(BH977&gt;0,"هشدار","عادی")))</f>
        <v>عادی</v>
      </c>
      <c r="BJ977" s="16" t="s">
        <v>338</v>
      </c>
    </row>
    <row r="978" customFormat="false" ht="15" hidden="false" customHeight="false" outlineLevel="0" collapsed="false">
      <c r="A978" s="16" t="s">
        <v>3239</v>
      </c>
      <c r="B978" s="16" t="s">
        <v>1448</v>
      </c>
      <c r="C978" s="16"/>
      <c r="D978" s="16" t="s">
        <v>523</v>
      </c>
      <c r="E978" s="16" t="s">
        <v>363</v>
      </c>
      <c r="F978" s="16" t="s">
        <v>333</v>
      </c>
      <c r="G978" s="17" t="n">
        <v>46294.6414699074</v>
      </c>
      <c r="H978" s="17" t="n">
        <v>46294.8636921296</v>
      </c>
      <c r="I978" s="18" t="n">
        <f aca="false">IF(H978="",ROUND((تنظیمات!$B$7-G978)*1440,0),ROUND((H978-G978)*1440,0))</f>
        <v>320</v>
      </c>
      <c r="J978" s="16" t="s">
        <v>346</v>
      </c>
      <c r="K978" s="16" t="s">
        <v>400</v>
      </c>
      <c r="L978" s="19" t="n">
        <v>0.909</v>
      </c>
      <c r="M978" s="19" t="n">
        <v>0.992</v>
      </c>
      <c r="N978" s="16" t="s">
        <v>335</v>
      </c>
      <c r="O978" s="16" t="s">
        <v>419</v>
      </c>
      <c r="P978" s="16" t="s">
        <v>420</v>
      </c>
      <c r="Q978" s="20" t="n">
        <v>46294</v>
      </c>
      <c r="R978" s="16" t="s">
        <v>3240</v>
      </c>
      <c r="S978" s="16" t="s">
        <v>404</v>
      </c>
      <c r="T978" s="17"/>
      <c r="U978" s="21" t="n">
        <v>1</v>
      </c>
      <c r="V978" s="21" t="n">
        <v>1</v>
      </c>
      <c r="W978" s="22" t="n">
        <v>5.6</v>
      </c>
      <c r="X978" s="16" t="s">
        <v>335</v>
      </c>
      <c r="Y978" s="16" t="s">
        <v>338</v>
      </c>
      <c r="Z978" s="16" t="s">
        <v>443</v>
      </c>
      <c r="AA978" s="16"/>
      <c r="AB978" s="23"/>
      <c r="AC978" s="17"/>
      <c r="AD978" s="16" t="s">
        <v>444</v>
      </c>
      <c r="AE978" s="16"/>
      <c r="AF978" s="16" t="str">
        <f aca="false">IF(COUNTIF(لیست_سفید!$A$2:$A$21,B978)&gt;0,"بله","خیر")</f>
        <v>خیر</v>
      </c>
      <c r="AG978" s="24" t="n">
        <f aca="false">IF(H978="","",IF(AD978="فیش مفقودی",تنظیمات!$B$6,(INT(I978/1440)*تنظیمات!$B$5+IF(MOD(I978,1440)&lt;=تنظیمات!$B$2,0,MIN(تنظیمات!$B$5,تنظیمات!$B$3+MAX(0,ROUNDUP((MOD(I978,1440)-60)/60,0))*تنظیمات!$B$4)))*INDEX(تعرفه!$B$2:$B$7,MATCH(AD978,تعرفه!$A$2:$A$7,0))))</f>
        <v>0</v>
      </c>
      <c r="AH978" s="24" t="n">
        <v>0</v>
      </c>
      <c r="AI978" s="24" t="n">
        <f aca="false">IF(AG978="","",AH978-AG978)</f>
        <v>0</v>
      </c>
      <c r="AJ978" s="21" t="n">
        <v>3</v>
      </c>
      <c r="AK978" s="21" t="n">
        <v>0</v>
      </c>
      <c r="AL978" s="16" t="s">
        <v>335</v>
      </c>
      <c r="AM978" s="16"/>
      <c r="AN978" s="16" t="s">
        <v>340</v>
      </c>
      <c r="AO978" s="16" t="s">
        <v>340</v>
      </c>
      <c r="AP978" s="16" t="s">
        <v>335</v>
      </c>
      <c r="AQ978" s="16"/>
      <c r="AR978" s="21" t="n">
        <f aca="false">IF(AND(T978&lt;&gt;"",H978&lt;&gt;""),IF(AND((T978-H978)*86400&gt;=0,(T978-H978)*86400&lt;تنظیمات!$B$13),1,0),0)</f>
        <v>0</v>
      </c>
      <c r="AS978" s="21" t="n">
        <f aca="false">IF(Z978="پوز",IF(OR(AB978="",COUNTIF(پوزها!$A$2:$A$5,AA978)=0),1,0),0)</f>
        <v>0</v>
      </c>
      <c r="AT978" s="21" t="n">
        <f aca="false">IF(AI978="",0,IF(AI978&gt;0,1,0))</f>
        <v>0</v>
      </c>
      <c r="AU978" s="21" t="n">
        <f aca="false">IF(AI978="",0,IF(AI978&lt;0,1,0))</f>
        <v>0</v>
      </c>
      <c r="AV978" s="21" t="n">
        <f aca="false">IF(U978&gt;V978,1,0)</f>
        <v>0</v>
      </c>
      <c r="AW978" s="21" t="n">
        <f aca="false">IF(OR(W978&gt;تنظیمات!$B$8,X978="بله"),1,0)</f>
        <v>0</v>
      </c>
      <c r="AX978" s="21" t="n">
        <f aca="false">IF(AND(N978="بله",L978&gt;تنظیمات!$B$9),1,0)</f>
        <v>0</v>
      </c>
      <c r="AY978" s="21" t="n">
        <f aca="false">IF(Y978="معکوس",1,0)</f>
        <v>0</v>
      </c>
      <c r="AZ978" s="21" t="n">
        <f aca="false">IF(ABS(AJ978)&gt;تنظیمات!$B$10,1,0)</f>
        <v>0</v>
      </c>
      <c r="BA978" s="21" t="n">
        <f aca="false">IF(AND(OR(AD978="رایگان/VIP",AD978="جانباز"),AF978="خیر"),1,0)</f>
        <v>0</v>
      </c>
      <c r="BB978" s="21" t="n">
        <f aca="false">IF(AE978="",0,IF(COUNTIF($AE$2:$AE$1001,AE978)&gt;1,1,0))</f>
        <v>0</v>
      </c>
      <c r="BC978" s="21" t="n">
        <f aca="false">IF(AND(H978="",I978&gt;تنظیمات!$B$12*60,AM978="خالی"),1,0)</f>
        <v>0</v>
      </c>
      <c r="BD978" s="21" t="n">
        <f aca="false">IF(AND(AP978="بله",I978&lt;تنظیمات!$B$14,AO978="خیر"),1,0)</f>
        <v>0</v>
      </c>
      <c r="BE978" s="21" t="n">
        <f aca="false">IF(AN978="خیر",1,0)</f>
        <v>0</v>
      </c>
      <c r="BF978" s="21" t="n">
        <f aca="false">IF(AND(AD978="فیش مفقودی",AQ978="بله",I978&gt;تنظیمات!$B$12*60),1,0)</f>
        <v>0</v>
      </c>
      <c r="BG978" s="21" t="n">
        <f aca="false">IF(AND(AK978&gt;تنظیمات!$B$11,AL978="بله"),1,0)</f>
        <v>0</v>
      </c>
      <c r="BH978" s="21" t="n">
        <f aca="false">MIN(100,AR978*تنظیمات!$B$21+AS978*تنظیمات!$B$22+AT978*تنظیمات!$B$23+AU978*تنظیمات!$B$24+AV978*تنظیمات!$B$25+AW978*تنظیمات!$B$26+AX978*تنظیمات!$B$27+AY978*تنظیمات!$B$28+AZ978*تنظیمات!$B$29+BA978*تنظیمات!$B$30+BB978*تنظیمات!$B$31+BC978*تنظیمات!$B$32+BD978*تنظیمات!$B$33+BE978*تنظیمات!$B$34+BF978*تنظیمات!$B$35+BG978*تنظیمات!$B$36)</f>
        <v>0</v>
      </c>
      <c r="BI978" s="16" t="str">
        <f aca="false">IF(BH978&gt;=60,"بحرانی",IF(BH978&gt;=30,"مشکوک",IF(BH978&gt;0,"هشدار","عادی")))</f>
        <v>عادی</v>
      </c>
      <c r="BJ978" s="16" t="s">
        <v>338</v>
      </c>
    </row>
    <row r="979" customFormat="false" ht="15" hidden="false" customHeight="false" outlineLevel="0" collapsed="false">
      <c r="A979" s="16" t="s">
        <v>3241</v>
      </c>
      <c r="B979" s="16" t="s">
        <v>1471</v>
      </c>
      <c r="C979" s="16"/>
      <c r="D979" s="16" t="s">
        <v>431</v>
      </c>
      <c r="E979" s="16" t="s">
        <v>363</v>
      </c>
      <c r="F979" s="16" t="s">
        <v>333</v>
      </c>
      <c r="G979" s="17" t="n">
        <v>46294.6419444445</v>
      </c>
      <c r="H979" s="17" t="n">
        <v>46294.9273611111</v>
      </c>
      <c r="I979" s="18" t="n">
        <f aca="false">IF(H979="",ROUND((تنظیمات!$B$7-G979)*1440,0),ROUND((H979-G979)*1440,0))</f>
        <v>411</v>
      </c>
      <c r="J979" s="16" t="s">
        <v>334</v>
      </c>
      <c r="K979" s="16" t="s">
        <v>400</v>
      </c>
      <c r="L979" s="19" t="n">
        <v>0.929</v>
      </c>
      <c r="M979" s="19" t="n">
        <v>0.98</v>
      </c>
      <c r="N979" s="16" t="s">
        <v>335</v>
      </c>
      <c r="O979" s="16" t="s">
        <v>666</v>
      </c>
      <c r="P979" s="16" t="s">
        <v>651</v>
      </c>
      <c r="Q979" s="20" t="n">
        <v>46294</v>
      </c>
      <c r="R979" s="16" t="s">
        <v>3242</v>
      </c>
      <c r="S979" s="16" t="s">
        <v>404</v>
      </c>
      <c r="T979" s="17"/>
      <c r="U979" s="21" t="n">
        <v>3</v>
      </c>
      <c r="V979" s="21" t="n">
        <v>1</v>
      </c>
      <c r="W979" s="22" t="n">
        <v>10.8</v>
      </c>
      <c r="X979" s="16" t="s">
        <v>335</v>
      </c>
      <c r="Y979" s="16" t="s">
        <v>338</v>
      </c>
      <c r="Z979" s="16" t="s">
        <v>405</v>
      </c>
      <c r="AA979" s="16"/>
      <c r="AB979" s="23"/>
      <c r="AC979" s="17"/>
      <c r="AD979" s="16" t="s">
        <v>338</v>
      </c>
      <c r="AE979" s="16"/>
      <c r="AF979" s="16" t="str">
        <f aca="false">IF(COUNTIF(لیست_سفید!$A$2:$A$21,B979)&gt;0,"بله","خیر")</f>
        <v>خیر</v>
      </c>
      <c r="AG979" s="24" t="n">
        <f aca="false">IF(H979="","",IF(AD979="فیش مفقودی",تنظیمات!$B$6,(INT(I979/1440)*تنظیمات!$B$5+IF(MOD(I979,1440)&lt;=تنظیمات!$B$2,0,MIN(تنظیمات!$B$5,تنظیمات!$B$3+MAX(0,ROUNDUP((MOD(I979,1440)-60)/60,0))*تنظیمات!$B$4)))*INDEX(تعرفه!$B$2:$B$7,MATCH(AD979,تعرفه!$A$2:$A$7,0))))</f>
        <v>104000</v>
      </c>
      <c r="AH979" s="24" t="n">
        <v>104000</v>
      </c>
      <c r="AI979" s="24" t="n">
        <f aca="false">IF(AG979="","",AH979-AG979)</f>
        <v>0</v>
      </c>
      <c r="AJ979" s="21" t="n">
        <v>0</v>
      </c>
      <c r="AK979" s="21" t="n">
        <v>0</v>
      </c>
      <c r="AL979" s="16" t="s">
        <v>335</v>
      </c>
      <c r="AM979" s="16"/>
      <c r="AN979" s="16" t="s">
        <v>340</v>
      </c>
      <c r="AO979" s="16" t="s">
        <v>340</v>
      </c>
      <c r="AP979" s="16" t="s">
        <v>335</v>
      </c>
      <c r="AQ979" s="16"/>
      <c r="AR979" s="21" t="n">
        <f aca="false">IF(AND(T979&lt;&gt;"",H979&lt;&gt;""),IF(AND((T979-H979)*86400&gt;=0,(T979-H979)*86400&lt;تنظیمات!$B$13),1,0),0)</f>
        <v>0</v>
      </c>
      <c r="AS979" s="21" t="n">
        <f aca="false">IF(Z979="پوز",IF(OR(AB979="",COUNTIF(پوزها!$A$2:$A$5,AA979)=0),1,0),0)</f>
        <v>0</v>
      </c>
      <c r="AT979" s="21" t="n">
        <f aca="false">IF(AI979="",0,IF(AI979&gt;0,1,0))</f>
        <v>0</v>
      </c>
      <c r="AU979" s="21" t="n">
        <f aca="false">IF(AI979="",0,IF(AI979&lt;0,1,0))</f>
        <v>0</v>
      </c>
      <c r="AV979" s="21" t="n">
        <f aca="false">IF(U979&gt;V979,1,0)</f>
        <v>1</v>
      </c>
      <c r="AW979" s="21" t="n">
        <f aca="false">IF(OR(W979&gt;تنظیمات!$B$8,X979="بله"),1,0)</f>
        <v>0</v>
      </c>
      <c r="AX979" s="21" t="n">
        <f aca="false">IF(AND(N979="بله",L979&gt;تنظیمات!$B$9),1,0)</f>
        <v>0</v>
      </c>
      <c r="AY979" s="21" t="n">
        <f aca="false">IF(Y979="معکوس",1,0)</f>
        <v>0</v>
      </c>
      <c r="AZ979" s="21" t="n">
        <f aca="false">IF(ABS(AJ979)&gt;تنظیمات!$B$10,1,0)</f>
        <v>0</v>
      </c>
      <c r="BA979" s="21" t="n">
        <f aca="false">IF(AND(OR(AD979="رایگان/VIP",AD979="جانباز"),AF979="خیر"),1,0)</f>
        <v>0</v>
      </c>
      <c r="BB979" s="21" t="n">
        <f aca="false">IF(AE979="",0,IF(COUNTIF($AE$2:$AE$1001,AE979)&gt;1,1,0))</f>
        <v>0</v>
      </c>
      <c r="BC979" s="21" t="n">
        <f aca="false">IF(AND(H979="",I979&gt;تنظیمات!$B$12*60,AM979="خالی"),1,0)</f>
        <v>0</v>
      </c>
      <c r="BD979" s="21" t="n">
        <f aca="false">IF(AND(AP979="بله",I979&lt;تنظیمات!$B$14,AO979="خیر"),1,0)</f>
        <v>0</v>
      </c>
      <c r="BE979" s="21" t="n">
        <f aca="false">IF(AN979="خیر",1,0)</f>
        <v>0</v>
      </c>
      <c r="BF979" s="21" t="n">
        <f aca="false">IF(AND(AD979="فیش مفقودی",AQ979="بله",I979&gt;تنظیمات!$B$12*60),1,0)</f>
        <v>0</v>
      </c>
      <c r="BG979" s="21" t="n">
        <f aca="false">IF(AND(AK979&gt;تنظیمات!$B$11,AL979="بله"),1,0)</f>
        <v>0</v>
      </c>
      <c r="BH979" s="21" t="n">
        <f aca="false">MIN(100,AR979*تنظیمات!$B$21+AS979*تنظیمات!$B$22+AT979*تنظیمات!$B$23+AU979*تنظیمات!$B$24+AV979*تنظیمات!$B$25+AW979*تنظیمات!$B$26+AX979*تنظیمات!$B$27+AY979*تنظیمات!$B$28+AZ979*تنظیمات!$B$29+BA979*تنظیمات!$B$30+BB979*تنظیمات!$B$31+BC979*تنظیمات!$B$32+BD979*تنظیمات!$B$33+BE979*تنظیمات!$B$34+BF979*تنظیمات!$B$35+BG979*تنظیمات!$B$36)</f>
        <v>30</v>
      </c>
      <c r="BI979" s="16" t="str">
        <f aca="false">IF(BH979&gt;=60,"بحرانی",IF(BH979&gt;=30,"مشکوک",IF(BH979&gt;0,"هشدار","عادی")))</f>
        <v>مشکوک</v>
      </c>
      <c r="BJ979" s="16" t="s">
        <v>516</v>
      </c>
    </row>
    <row r="980" customFormat="false" ht="15" hidden="false" customHeight="false" outlineLevel="0" collapsed="false">
      <c r="A980" s="16" t="s">
        <v>3243</v>
      </c>
      <c r="B980" s="16" t="s">
        <v>1706</v>
      </c>
      <c r="C980" s="16"/>
      <c r="D980" s="16" t="s">
        <v>523</v>
      </c>
      <c r="E980" s="16" t="s">
        <v>332</v>
      </c>
      <c r="F980" s="16" t="s">
        <v>333</v>
      </c>
      <c r="G980" s="17" t="n">
        <v>46294.6481828704</v>
      </c>
      <c r="H980" s="17" t="n">
        <v>46294.7308217593</v>
      </c>
      <c r="I980" s="18" t="n">
        <f aca="false">IF(H980="",ROUND((تنظیمات!$B$7-G980)*1440,0),ROUND((H980-G980)*1440,0))</f>
        <v>119</v>
      </c>
      <c r="J980" s="16" t="s">
        <v>346</v>
      </c>
      <c r="K980" s="16" t="s">
        <v>400</v>
      </c>
      <c r="L980" s="19" t="n">
        <v>0.946</v>
      </c>
      <c r="M980" s="19" t="n">
        <v>0.906</v>
      </c>
      <c r="N980" s="16" t="s">
        <v>335</v>
      </c>
      <c r="O980" s="16" t="s">
        <v>419</v>
      </c>
      <c r="P980" s="16" t="s">
        <v>420</v>
      </c>
      <c r="Q980" s="20" t="n">
        <v>46294</v>
      </c>
      <c r="R980" s="16" t="s">
        <v>3244</v>
      </c>
      <c r="S980" s="16" t="s">
        <v>404</v>
      </c>
      <c r="T980" s="17"/>
      <c r="U980" s="21" t="n">
        <v>1</v>
      </c>
      <c r="V980" s="21" t="n">
        <v>1</v>
      </c>
      <c r="W980" s="22" t="n">
        <v>5</v>
      </c>
      <c r="X980" s="16" t="s">
        <v>335</v>
      </c>
      <c r="Y980" s="16" t="s">
        <v>338</v>
      </c>
      <c r="Z980" s="16" t="s">
        <v>413</v>
      </c>
      <c r="AA980" s="16" t="s">
        <v>427</v>
      </c>
      <c r="AB980" s="23" t="s">
        <v>3245</v>
      </c>
      <c r="AC980" s="17" t="n">
        <v>46294.730462963</v>
      </c>
      <c r="AD980" s="16" t="s">
        <v>338</v>
      </c>
      <c r="AE980" s="16"/>
      <c r="AF980" s="16" t="str">
        <f aca="false">IF(COUNTIF(لیست_سفید!$A$2:$A$21,B980)&gt;0,"بله","خیر")</f>
        <v>خیر</v>
      </c>
      <c r="AG980" s="24" t="n">
        <f aca="false">IF(H980="","",IF(AD980="فیش مفقودی",تنظیمات!$B$6,(INT(I980/1440)*تنظیمات!$B$5+IF(MOD(I980,1440)&lt;=تنظیمات!$B$2,0,MIN(تنظیمات!$B$5,تنظیمات!$B$3+MAX(0,ROUNDUP((MOD(I980,1440)-60)/60,0))*تنظیمات!$B$4)))*INDEX(تعرفه!$B$2:$B$7,MATCH(AD980,تعرفه!$A$2:$A$7,0))))</f>
        <v>34000</v>
      </c>
      <c r="AH980" s="24" t="n">
        <v>34000</v>
      </c>
      <c r="AI980" s="24" t="n">
        <f aca="false">IF(AG980="","",AH980-AG980)</f>
        <v>0</v>
      </c>
      <c r="AJ980" s="21" t="n">
        <v>-1</v>
      </c>
      <c r="AK980" s="21" t="n">
        <v>0</v>
      </c>
      <c r="AL980" s="16" t="s">
        <v>335</v>
      </c>
      <c r="AM980" s="16"/>
      <c r="AN980" s="16" t="s">
        <v>340</v>
      </c>
      <c r="AO980" s="16" t="s">
        <v>340</v>
      </c>
      <c r="AP980" s="16" t="s">
        <v>335</v>
      </c>
      <c r="AQ980" s="16"/>
      <c r="AR980" s="21" t="n">
        <f aca="false">IF(AND(T980&lt;&gt;"",H980&lt;&gt;""),IF(AND((T980-H980)*86400&gt;=0,(T980-H980)*86400&lt;تنظیمات!$B$13),1,0),0)</f>
        <v>0</v>
      </c>
      <c r="AS980" s="21" t="n">
        <f aca="false">IF(Z980="پوز",IF(OR(AB980="",COUNTIF(پوزها!$A$2:$A$5,AA980)=0),1,0),0)</f>
        <v>0</v>
      </c>
      <c r="AT980" s="21" t="n">
        <f aca="false">IF(AI980="",0,IF(AI980&gt;0,1,0))</f>
        <v>0</v>
      </c>
      <c r="AU980" s="21" t="n">
        <f aca="false">IF(AI980="",0,IF(AI980&lt;0,1,0))</f>
        <v>0</v>
      </c>
      <c r="AV980" s="21" t="n">
        <f aca="false">IF(U980&gt;V980,1,0)</f>
        <v>0</v>
      </c>
      <c r="AW980" s="21" t="n">
        <f aca="false">IF(OR(W980&gt;تنظیمات!$B$8,X980="بله"),1,0)</f>
        <v>0</v>
      </c>
      <c r="AX980" s="21" t="n">
        <f aca="false">IF(AND(N980="بله",L980&gt;تنظیمات!$B$9),1,0)</f>
        <v>0</v>
      </c>
      <c r="AY980" s="21" t="n">
        <f aca="false">IF(Y980="معکوس",1,0)</f>
        <v>0</v>
      </c>
      <c r="AZ980" s="21" t="n">
        <f aca="false">IF(ABS(AJ980)&gt;تنظیمات!$B$10,1,0)</f>
        <v>0</v>
      </c>
      <c r="BA980" s="21" t="n">
        <f aca="false">IF(AND(OR(AD980="رایگان/VIP",AD980="جانباز"),AF980="خیر"),1,0)</f>
        <v>0</v>
      </c>
      <c r="BB980" s="21" t="n">
        <f aca="false">IF(AE980="",0,IF(COUNTIF($AE$2:$AE$1001,AE980)&gt;1,1,0))</f>
        <v>0</v>
      </c>
      <c r="BC980" s="21" t="n">
        <f aca="false">IF(AND(H980="",I980&gt;تنظیمات!$B$12*60,AM980="خالی"),1,0)</f>
        <v>0</v>
      </c>
      <c r="BD980" s="21" t="n">
        <f aca="false">IF(AND(AP980="بله",I980&lt;تنظیمات!$B$14,AO980="خیر"),1,0)</f>
        <v>0</v>
      </c>
      <c r="BE980" s="21" t="n">
        <f aca="false">IF(AN980="خیر",1,0)</f>
        <v>0</v>
      </c>
      <c r="BF980" s="21" t="n">
        <f aca="false">IF(AND(AD980="فیش مفقودی",AQ980="بله",I980&gt;تنظیمات!$B$12*60),1,0)</f>
        <v>0</v>
      </c>
      <c r="BG980" s="21" t="n">
        <f aca="false">IF(AND(AK980&gt;تنظیمات!$B$11,AL980="بله"),1,0)</f>
        <v>0</v>
      </c>
      <c r="BH980" s="21" t="n">
        <f aca="false">MIN(100,AR980*تنظیمات!$B$21+AS980*تنظیمات!$B$22+AT980*تنظیمات!$B$23+AU980*تنظیمات!$B$24+AV980*تنظیمات!$B$25+AW980*تنظیمات!$B$26+AX980*تنظیمات!$B$27+AY980*تنظیمات!$B$28+AZ980*تنظیمات!$B$29+BA980*تنظیمات!$B$30+BB980*تنظیمات!$B$31+BC980*تنظیمات!$B$32+BD980*تنظیمات!$B$33+BE980*تنظیمات!$B$34+BF980*تنظیمات!$B$35+BG980*تنظیمات!$B$36)</f>
        <v>0</v>
      </c>
      <c r="BI980" s="16" t="str">
        <f aca="false">IF(BH980&gt;=60,"بحرانی",IF(BH980&gt;=30,"مشکوک",IF(BH980&gt;0,"هشدار","عادی")))</f>
        <v>عادی</v>
      </c>
      <c r="BJ980" s="16" t="s">
        <v>338</v>
      </c>
    </row>
    <row r="981" customFormat="false" ht="15" hidden="false" customHeight="false" outlineLevel="0" collapsed="false">
      <c r="A981" s="16" t="s">
        <v>3246</v>
      </c>
      <c r="B981" s="16" t="s">
        <v>1614</v>
      </c>
      <c r="C981" s="16"/>
      <c r="D981" s="16" t="s">
        <v>331</v>
      </c>
      <c r="E981" s="16" t="s">
        <v>363</v>
      </c>
      <c r="F981" s="16" t="s">
        <v>333</v>
      </c>
      <c r="G981" s="17" t="n">
        <v>46294.6555902778</v>
      </c>
      <c r="H981" s="17" t="n">
        <v>46294.9937847222</v>
      </c>
      <c r="I981" s="18" t="n">
        <f aca="false">IF(H981="",ROUND((تنظیمات!$B$7-G981)*1440,0),ROUND((H981-G981)*1440,0))</f>
        <v>487</v>
      </c>
      <c r="J981" s="16" t="s">
        <v>334</v>
      </c>
      <c r="K981" s="16" t="s">
        <v>400</v>
      </c>
      <c r="L981" s="19" t="n">
        <v>0.925</v>
      </c>
      <c r="M981" s="19" t="n">
        <v>0.955</v>
      </c>
      <c r="N981" s="16" t="s">
        <v>335</v>
      </c>
      <c r="O981" s="16" t="s">
        <v>666</v>
      </c>
      <c r="P981" s="16" t="s">
        <v>651</v>
      </c>
      <c r="Q981" s="20" t="n">
        <v>46294</v>
      </c>
      <c r="R981" s="16" t="s">
        <v>3247</v>
      </c>
      <c r="S981" s="16" t="s">
        <v>404</v>
      </c>
      <c r="T981" s="17"/>
      <c r="U981" s="21" t="n">
        <v>1</v>
      </c>
      <c r="V981" s="21" t="n">
        <v>1</v>
      </c>
      <c r="W981" s="22" t="n">
        <v>4.9</v>
      </c>
      <c r="X981" s="16" t="s">
        <v>335</v>
      </c>
      <c r="Y981" s="16" t="s">
        <v>338</v>
      </c>
      <c r="Z981" s="16" t="s">
        <v>443</v>
      </c>
      <c r="AA981" s="16"/>
      <c r="AB981" s="23"/>
      <c r="AC981" s="17"/>
      <c r="AD981" s="16" t="s">
        <v>444</v>
      </c>
      <c r="AE981" s="16"/>
      <c r="AF981" s="16" t="str">
        <f aca="false">IF(COUNTIF(لیست_سفید!$A$2:$A$21,B981)&gt;0,"بله","خیر")</f>
        <v>خیر</v>
      </c>
      <c r="AG981" s="24" t="n">
        <f aca="false">IF(H981="","",IF(AD981="فیش مفقودی",تنظیمات!$B$6,(INT(I981/1440)*تنظیمات!$B$5+IF(MOD(I981,1440)&lt;=تنظیمات!$B$2,0,MIN(تنظیمات!$B$5,تنظیمات!$B$3+MAX(0,ROUNDUP((MOD(I981,1440)-60)/60,0))*تنظیمات!$B$4)))*INDEX(تعرفه!$B$2:$B$7,MATCH(AD981,تعرفه!$A$2:$A$7,0))))</f>
        <v>0</v>
      </c>
      <c r="AH981" s="24" t="n">
        <v>0</v>
      </c>
      <c r="AI981" s="24" t="n">
        <f aca="false">IF(AG981="","",AH981-AG981)</f>
        <v>0</v>
      </c>
      <c r="AJ981" s="21" t="n">
        <v>1</v>
      </c>
      <c r="AK981" s="21" t="n">
        <v>0</v>
      </c>
      <c r="AL981" s="16" t="s">
        <v>335</v>
      </c>
      <c r="AM981" s="16"/>
      <c r="AN981" s="16" t="s">
        <v>340</v>
      </c>
      <c r="AO981" s="16" t="s">
        <v>340</v>
      </c>
      <c r="AP981" s="16" t="s">
        <v>335</v>
      </c>
      <c r="AQ981" s="16"/>
      <c r="AR981" s="21" t="n">
        <f aca="false">IF(AND(T981&lt;&gt;"",H981&lt;&gt;""),IF(AND((T981-H981)*86400&gt;=0,(T981-H981)*86400&lt;تنظیمات!$B$13),1,0),0)</f>
        <v>0</v>
      </c>
      <c r="AS981" s="21" t="n">
        <f aca="false">IF(Z981="پوز",IF(OR(AB981="",COUNTIF(پوزها!$A$2:$A$5,AA981)=0),1,0),0)</f>
        <v>0</v>
      </c>
      <c r="AT981" s="21" t="n">
        <f aca="false">IF(AI981="",0,IF(AI981&gt;0,1,0))</f>
        <v>0</v>
      </c>
      <c r="AU981" s="21" t="n">
        <f aca="false">IF(AI981="",0,IF(AI981&lt;0,1,0))</f>
        <v>0</v>
      </c>
      <c r="AV981" s="21" t="n">
        <f aca="false">IF(U981&gt;V981,1,0)</f>
        <v>0</v>
      </c>
      <c r="AW981" s="21" t="n">
        <f aca="false">IF(OR(W981&gt;تنظیمات!$B$8,X981="بله"),1,0)</f>
        <v>0</v>
      </c>
      <c r="AX981" s="21" t="n">
        <f aca="false">IF(AND(N981="بله",L981&gt;تنظیمات!$B$9),1,0)</f>
        <v>0</v>
      </c>
      <c r="AY981" s="21" t="n">
        <f aca="false">IF(Y981="معکوس",1,0)</f>
        <v>0</v>
      </c>
      <c r="AZ981" s="21" t="n">
        <f aca="false">IF(ABS(AJ981)&gt;تنظیمات!$B$10,1,0)</f>
        <v>0</v>
      </c>
      <c r="BA981" s="21" t="n">
        <f aca="false">IF(AND(OR(AD981="رایگان/VIP",AD981="جانباز"),AF981="خیر"),1,0)</f>
        <v>0</v>
      </c>
      <c r="BB981" s="21" t="n">
        <f aca="false">IF(AE981="",0,IF(COUNTIF($AE$2:$AE$1001,AE981)&gt;1,1,0))</f>
        <v>0</v>
      </c>
      <c r="BC981" s="21" t="n">
        <f aca="false">IF(AND(H981="",I981&gt;تنظیمات!$B$12*60,AM981="خالی"),1,0)</f>
        <v>0</v>
      </c>
      <c r="BD981" s="21" t="n">
        <f aca="false">IF(AND(AP981="بله",I981&lt;تنظیمات!$B$14,AO981="خیر"),1,0)</f>
        <v>0</v>
      </c>
      <c r="BE981" s="21" t="n">
        <f aca="false">IF(AN981="خیر",1,0)</f>
        <v>0</v>
      </c>
      <c r="BF981" s="21" t="n">
        <f aca="false">IF(AND(AD981="فیش مفقودی",AQ981="بله",I981&gt;تنظیمات!$B$12*60),1,0)</f>
        <v>0</v>
      </c>
      <c r="BG981" s="21" t="n">
        <f aca="false">IF(AND(AK981&gt;تنظیمات!$B$11,AL981="بله"),1,0)</f>
        <v>0</v>
      </c>
      <c r="BH981" s="21" t="n">
        <f aca="false">MIN(100,AR981*تنظیمات!$B$21+AS981*تنظیمات!$B$22+AT981*تنظیمات!$B$23+AU981*تنظیمات!$B$24+AV981*تنظیمات!$B$25+AW981*تنظیمات!$B$26+AX981*تنظیمات!$B$27+AY981*تنظیمات!$B$28+AZ981*تنظیمات!$B$29+BA981*تنظیمات!$B$30+BB981*تنظیمات!$B$31+BC981*تنظیمات!$B$32+BD981*تنظیمات!$B$33+BE981*تنظیمات!$B$34+BF981*تنظیمات!$B$35+BG981*تنظیمات!$B$36)</f>
        <v>0</v>
      </c>
      <c r="BI981" s="16" t="str">
        <f aca="false">IF(BH981&gt;=60,"بحرانی",IF(BH981&gt;=30,"مشکوک",IF(BH981&gt;0,"هشدار","عادی")))</f>
        <v>عادی</v>
      </c>
      <c r="BJ981" s="16" t="s">
        <v>338</v>
      </c>
    </row>
    <row r="982" customFormat="false" ht="15" hidden="false" customHeight="false" outlineLevel="0" collapsed="false">
      <c r="A982" s="16" t="s">
        <v>3248</v>
      </c>
      <c r="B982" s="16" t="s">
        <v>753</v>
      </c>
      <c r="C982" s="16"/>
      <c r="D982" s="16" t="s">
        <v>508</v>
      </c>
      <c r="E982" s="16" t="s">
        <v>363</v>
      </c>
      <c r="F982" s="16" t="s">
        <v>333</v>
      </c>
      <c r="G982" s="17" t="n">
        <v>46294.6557060185</v>
      </c>
      <c r="H982" s="17" t="n">
        <v>46294.775150463</v>
      </c>
      <c r="I982" s="18" t="n">
        <f aca="false">IF(H982="",ROUND((تنظیمات!$B$7-G982)*1440,0),ROUND((H982-G982)*1440,0))</f>
        <v>172</v>
      </c>
      <c r="J982" s="16" t="s">
        <v>346</v>
      </c>
      <c r="K982" s="16" t="s">
        <v>410</v>
      </c>
      <c r="L982" s="19" t="n">
        <v>0.907</v>
      </c>
      <c r="M982" s="19" t="n">
        <v>0.96</v>
      </c>
      <c r="N982" s="16" t="s">
        <v>335</v>
      </c>
      <c r="O982" s="16" t="s">
        <v>650</v>
      </c>
      <c r="P982" s="16" t="s">
        <v>420</v>
      </c>
      <c r="Q982" s="20" t="n">
        <v>46294</v>
      </c>
      <c r="R982" s="16" t="s">
        <v>3249</v>
      </c>
      <c r="S982" s="16" t="s">
        <v>404</v>
      </c>
      <c r="T982" s="17"/>
      <c r="U982" s="21" t="n">
        <v>1</v>
      </c>
      <c r="V982" s="21" t="n">
        <v>1</v>
      </c>
      <c r="W982" s="22" t="n">
        <v>5.1</v>
      </c>
      <c r="X982" s="16" t="s">
        <v>335</v>
      </c>
      <c r="Y982" s="16" t="s">
        <v>338</v>
      </c>
      <c r="Z982" s="16" t="s">
        <v>413</v>
      </c>
      <c r="AA982" s="16" t="s">
        <v>414</v>
      </c>
      <c r="AB982" s="23" t="s">
        <v>3250</v>
      </c>
      <c r="AC982" s="17" t="n">
        <v>46294.7742476852</v>
      </c>
      <c r="AD982" s="16" t="s">
        <v>338</v>
      </c>
      <c r="AE982" s="16"/>
      <c r="AF982" s="16" t="str">
        <f aca="false">IF(COUNTIF(لیست_سفید!$A$2:$A$21,B982)&gt;0,"بله","خیر")</f>
        <v>خیر</v>
      </c>
      <c r="AG982" s="24" t="n">
        <f aca="false">IF(H982="","",IF(AD982="فیش مفقودی",تنظیمات!$B$6,(INT(I982/1440)*تنظیمات!$B$5+IF(MOD(I982,1440)&lt;=تنظیمات!$B$2,0,MIN(تنظیمات!$B$5,تنظیمات!$B$3+MAX(0,ROUNDUP((MOD(I982,1440)-60)/60,0))*تنظیمات!$B$4)))*INDEX(تعرفه!$B$2:$B$7,MATCH(AD982,تعرفه!$A$2:$A$7,0))))</f>
        <v>48000</v>
      </c>
      <c r="AH982" s="24" t="n">
        <v>48000</v>
      </c>
      <c r="AI982" s="24" t="n">
        <f aca="false">IF(AG982="","",AH982-AG982)</f>
        <v>0</v>
      </c>
      <c r="AJ982" s="21" t="n">
        <v>-1</v>
      </c>
      <c r="AK982" s="21" t="n">
        <v>0</v>
      </c>
      <c r="AL982" s="16" t="s">
        <v>335</v>
      </c>
      <c r="AM982" s="16"/>
      <c r="AN982" s="16" t="s">
        <v>340</v>
      </c>
      <c r="AO982" s="16" t="s">
        <v>340</v>
      </c>
      <c r="AP982" s="16" t="s">
        <v>335</v>
      </c>
      <c r="AQ982" s="16"/>
      <c r="AR982" s="21" t="n">
        <f aca="false">IF(AND(T982&lt;&gt;"",H982&lt;&gt;""),IF(AND((T982-H982)*86400&gt;=0,(T982-H982)*86400&lt;تنظیمات!$B$13),1,0),0)</f>
        <v>0</v>
      </c>
      <c r="AS982" s="21" t="n">
        <f aca="false">IF(Z982="پوز",IF(OR(AB982="",COUNTIF(پوزها!$A$2:$A$5,AA982)=0),1,0),0)</f>
        <v>0</v>
      </c>
      <c r="AT982" s="21" t="n">
        <f aca="false">IF(AI982="",0,IF(AI982&gt;0,1,0))</f>
        <v>0</v>
      </c>
      <c r="AU982" s="21" t="n">
        <f aca="false">IF(AI982="",0,IF(AI982&lt;0,1,0))</f>
        <v>0</v>
      </c>
      <c r="AV982" s="21" t="n">
        <f aca="false">IF(U982&gt;V982,1,0)</f>
        <v>0</v>
      </c>
      <c r="AW982" s="21" t="n">
        <f aca="false">IF(OR(W982&gt;تنظیمات!$B$8,X982="بله"),1,0)</f>
        <v>0</v>
      </c>
      <c r="AX982" s="21" t="n">
        <f aca="false">IF(AND(N982="بله",L982&gt;تنظیمات!$B$9),1,0)</f>
        <v>0</v>
      </c>
      <c r="AY982" s="21" t="n">
        <f aca="false">IF(Y982="معکوس",1,0)</f>
        <v>0</v>
      </c>
      <c r="AZ982" s="21" t="n">
        <f aca="false">IF(ABS(AJ982)&gt;تنظیمات!$B$10,1,0)</f>
        <v>0</v>
      </c>
      <c r="BA982" s="21" t="n">
        <f aca="false">IF(AND(OR(AD982="رایگان/VIP",AD982="جانباز"),AF982="خیر"),1,0)</f>
        <v>0</v>
      </c>
      <c r="BB982" s="21" t="n">
        <f aca="false">IF(AE982="",0,IF(COUNTIF($AE$2:$AE$1001,AE982)&gt;1,1,0))</f>
        <v>0</v>
      </c>
      <c r="BC982" s="21" t="n">
        <f aca="false">IF(AND(H982="",I982&gt;تنظیمات!$B$12*60,AM982="خالی"),1,0)</f>
        <v>0</v>
      </c>
      <c r="BD982" s="21" t="n">
        <f aca="false">IF(AND(AP982="بله",I982&lt;تنظیمات!$B$14,AO982="خیر"),1,0)</f>
        <v>0</v>
      </c>
      <c r="BE982" s="21" t="n">
        <f aca="false">IF(AN982="خیر",1,0)</f>
        <v>0</v>
      </c>
      <c r="BF982" s="21" t="n">
        <f aca="false">IF(AND(AD982="فیش مفقودی",AQ982="بله",I982&gt;تنظیمات!$B$12*60),1,0)</f>
        <v>0</v>
      </c>
      <c r="BG982" s="21" t="n">
        <f aca="false">IF(AND(AK982&gt;تنظیمات!$B$11,AL982="بله"),1,0)</f>
        <v>0</v>
      </c>
      <c r="BH982" s="21" t="n">
        <f aca="false">MIN(100,AR982*تنظیمات!$B$21+AS982*تنظیمات!$B$22+AT982*تنظیمات!$B$23+AU982*تنظیمات!$B$24+AV982*تنظیمات!$B$25+AW982*تنظیمات!$B$26+AX982*تنظیمات!$B$27+AY982*تنظیمات!$B$28+AZ982*تنظیمات!$B$29+BA982*تنظیمات!$B$30+BB982*تنظیمات!$B$31+BC982*تنظیمات!$B$32+BD982*تنظیمات!$B$33+BE982*تنظیمات!$B$34+BF982*تنظیمات!$B$35+BG982*تنظیمات!$B$36)</f>
        <v>0</v>
      </c>
      <c r="BI982" s="16" t="str">
        <f aca="false">IF(BH982&gt;=60,"بحرانی",IF(BH982&gt;=30,"مشکوک",IF(BH982&gt;0,"هشدار","عادی")))</f>
        <v>عادی</v>
      </c>
      <c r="BJ982" s="16" t="s">
        <v>338</v>
      </c>
    </row>
    <row r="983" customFormat="false" ht="15" hidden="false" customHeight="false" outlineLevel="0" collapsed="false">
      <c r="A983" s="16" t="s">
        <v>3251</v>
      </c>
      <c r="B983" s="16" t="s">
        <v>2062</v>
      </c>
      <c r="C983" s="16" t="s">
        <v>3252</v>
      </c>
      <c r="D983" s="16" t="s">
        <v>508</v>
      </c>
      <c r="E983" s="16" t="s">
        <v>390</v>
      </c>
      <c r="F983" s="16" t="s">
        <v>333</v>
      </c>
      <c r="G983" s="17" t="n">
        <v>46294.6643287037</v>
      </c>
      <c r="H983" s="17" t="n">
        <v>46294.778912037</v>
      </c>
      <c r="I983" s="18" t="n">
        <f aca="false">IF(H983="",ROUND((تنظیمات!$B$7-G983)*1440,0),ROUND((H983-G983)*1440,0))</f>
        <v>165</v>
      </c>
      <c r="J983" s="16" t="s">
        <v>346</v>
      </c>
      <c r="K983" s="16" t="s">
        <v>410</v>
      </c>
      <c r="L983" s="19" t="n">
        <v>0.647</v>
      </c>
      <c r="M983" s="19" t="n">
        <v>0.962</v>
      </c>
      <c r="N983" s="16" t="s">
        <v>340</v>
      </c>
      <c r="O983" s="16" t="s">
        <v>650</v>
      </c>
      <c r="P983" s="16" t="s">
        <v>420</v>
      </c>
      <c r="Q983" s="20" t="n">
        <v>46294</v>
      </c>
      <c r="R983" s="16" t="s">
        <v>3253</v>
      </c>
      <c r="S983" s="16" t="s">
        <v>404</v>
      </c>
      <c r="T983" s="17"/>
      <c r="U983" s="21" t="n">
        <v>1</v>
      </c>
      <c r="V983" s="21" t="n">
        <v>1</v>
      </c>
      <c r="W983" s="22" t="n">
        <v>4.7</v>
      </c>
      <c r="X983" s="16" t="s">
        <v>335</v>
      </c>
      <c r="Y983" s="16" t="s">
        <v>338</v>
      </c>
      <c r="Z983" s="16" t="s">
        <v>405</v>
      </c>
      <c r="AA983" s="16"/>
      <c r="AB983" s="23"/>
      <c r="AC983" s="17"/>
      <c r="AD983" s="16" t="s">
        <v>338</v>
      </c>
      <c r="AE983" s="16"/>
      <c r="AF983" s="16" t="str">
        <f aca="false">IF(COUNTIF(لیست_سفید!$A$2:$A$21,B983)&gt;0,"بله","خیر")</f>
        <v>خیر</v>
      </c>
      <c r="AG983" s="24" t="n">
        <f aca="false">IF(H983="","",IF(AD983="فیش مفقودی",تنظیمات!$B$6,(INT(I983/1440)*تنظیمات!$B$5+IF(MOD(I983,1440)&lt;=تنظیمات!$B$2,0,MIN(تنظیمات!$B$5,تنظیمات!$B$3+MAX(0,ROUNDUP((MOD(I983,1440)-60)/60,0))*تنظیمات!$B$4)))*INDEX(تعرفه!$B$2:$B$7,MATCH(AD983,تعرفه!$A$2:$A$7,0))))</f>
        <v>48000</v>
      </c>
      <c r="AH983" s="24" t="n">
        <v>48000</v>
      </c>
      <c r="AI983" s="24" t="n">
        <f aca="false">IF(AG983="","",AH983-AG983)</f>
        <v>0</v>
      </c>
      <c r="AJ983" s="21" t="n">
        <v>2</v>
      </c>
      <c r="AK983" s="21" t="n">
        <v>0</v>
      </c>
      <c r="AL983" s="16" t="s">
        <v>335</v>
      </c>
      <c r="AM983" s="16"/>
      <c r="AN983" s="16" t="s">
        <v>340</v>
      </c>
      <c r="AO983" s="16" t="s">
        <v>340</v>
      </c>
      <c r="AP983" s="16" t="s">
        <v>335</v>
      </c>
      <c r="AQ983" s="16"/>
      <c r="AR983" s="21" t="n">
        <f aca="false">IF(AND(T983&lt;&gt;"",H983&lt;&gt;""),IF(AND((T983-H983)*86400&gt;=0,(T983-H983)*86400&lt;تنظیمات!$B$13),1,0),0)</f>
        <v>0</v>
      </c>
      <c r="AS983" s="21" t="n">
        <f aca="false">IF(Z983="پوز",IF(OR(AB983="",COUNTIF(پوزها!$A$2:$A$5,AA983)=0),1,0),0)</f>
        <v>0</v>
      </c>
      <c r="AT983" s="21" t="n">
        <f aca="false">IF(AI983="",0,IF(AI983&gt;0,1,0))</f>
        <v>0</v>
      </c>
      <c r="AU983" s="21" t="n">
        <f aca="false">IF(AI983="",0,IF(AI983&lt;0,1,0))</f>
        <v>0</v>
      </c>
      <c r="AV983" s="21" t="n">
        <f aca="false">IF(U983&gt;V983,1,0)</f>
        <v>0</v>
      </c>
      <c r="AW983" s="21" t="n">
        <f aca="false">IF(OR(W983&gt;تنظیمات!$B$8,X983="بله"),1,0)</f>
        <v>0</v>
      </c>
      <c r="AX983" s="21" t="n">
        <f aca="false">IF(AND(N983="بله",L983&gt;تنظیمات!$B$9),1,0)</f>
        <v>0</v>
      </c>
      <c r="AY983" s="21" t="n">
        <f aca="false">IF(Y983="معکوس",1,0)</f>
        <v>0</v>
      </c>
      <c r="AZ983" s="21" t="n">
        <f aca="false">IF(ABS(AJ983)&gt;تنظیمات!$B$10,1,0)</f>
        <v>0</v>
      </c>
      <c r="BA983" s="21" t="n">
        <f aca="false">IF(AND(OR(AD983="رایگان/VIP",AD983="جانباز"),AF983="خیر"),1,0)</f>
        <v>0</v>
      </c>
      <c r="BB983" s="21" t="n">
        <f aca="false">IF(AE983="",0,IF(COUNTIF($AE$2:$AE$1001,AE983)&gt;1,1,0))</f>
        <v>0</v>
      </c>
      <c r="BC983" s="21" t="n">
        <f aca="false">IF(AND(H983="",I983&gt;تنظیمات!$B$12*60,AM983="خالی"),1,0)</f>
        <v>0</v>
      </c>
      <c r="BD983" s="21" t="n">
        <f aca="false">IF(AND(AP983="بله",I983&lt;تنظیمات!$B$14,AO983="خیر"),1,0)</f>
        <v>0</v>
      </c>
      <c r="BE983" s="21" t="n">
        <f aca="false">IF(AN983="خیر",1,0)</f>
        <v>0</v>
      </c>
      <c r="BF983" s="21" t="n">
        <f aca="false">IF(AND(AD983="فیش مفقودی",AQ983="بله",I983&gt;تنظیمات!$B$12*60),1,0)</f>
        <v>0</v>
      </c>
      <c r="BG983" s="21" t="n">
        <f aca="false">IF(AND(AK983&gt;تنظیمات!$B$11,AL983="بله"),1,0)</f>
        <v>0</v>
      </c>
      <c r="BH983" s="21" t="n">
        <f aca="false">MIN(100,AR983*تنظیمات!$B$21+AS983*تنظیمات!$B$22+AT983*تنظیمات!$B$23+AU983*تنظیمات!$B$24+AV983*تنظیمات!$B$25+AW983*تنظیمات!$B$26+AX983*تنظیمات!$B$27+AY983*تنظیمات!$B$28+AZ983*تنظیمات!$B$29+BA983*تنظیمات!$B$30+BB983*تنظیمات!$B$31+BC983*تنظیمات!$B$32+BD983*تنظیمات!$B$33+BE983*تنظیمات!$B$34+BF983*تنظیمات!$B$35+BG983*تنظیمات!$B$36)</f>
        <v>0</v>
      </c>
      <c r="BI983" s="16" t="str">
        <f aca="false">IF(BH983&gt;=60,"بحرانی",IF(BH983&gt;=30,"مشکوک",IF(BH983&gt;0,"هشدار","عادی")))</f>
        <v>عادی</v>
      </c>
      <c r="BJ983" s="16" t="s">
        <v>338</v>
      </c>
    </row>
    <row r="984" customFormat="false" ht="15" hidden="false" customHeight="false" outlineLevel="0" collapsed="false">
      <c r="A984" s="16" t="s">
        <v>3254</v>
      </c>
      <c r="B984" s="16" t="s">
        <v>646</v>
      </c>
      <c r="C984" s="16"/>
      <c r="D984" s="16" t="s">
        <v>370</v>
      </c>
      <c r="E984" s="16" t="s">
        <v>351</v>
      </c>
      <c r="F984" s="16" t="s">
        <v>333</v>
      </c>
      <c r="G984" s="17" t="n">
        <v>46294.6646412037</v>
      </c>
      <c r="H984" s="17" t="n">
        <v>46294.6958912037</v>
      </c>
      <c r="I984" s="18" t="n">
        <f aca="false">IF(H984="",ROUND((تنظیمات!$B$7-G984)*1440,0),ROUND((H984-G984)*1440,0))</f>
        <v>45</v>
      </c>
      <c r="J984" s="16" t="s">
        <v>334</v>
      </c>
      <c r="K984" s="16" t="s">
        <v>400</v>
      </c>
      <c r="L984" s="19" t="n">
        <v>0.932</v>
      </c>
      <c r="M984" s="19" t="n">
        <v>0.928</v>
      </c>
      <c r="N984" s="16" t="s">
        <v>335</v>
      </c>
      <c r="O984" s="16" t="s">
        <v>419</v>
      </c>
      <c r="P984" s="16" t="s">
        <v>420</v>
      </c>
      <c r="Q984" s="20" t="n">
        <v>46294</v>
      </c>
      <c r="R984" s="16" t="s">
        <v>3255</v>
      </c>
      <c r="S984" s="16" t="s">
        <v>404</v>
      </c>
      <c r="T984" s="17"/>
      <c r="U984" s="21" t="n">
        <v>1</v>
      </c>
      <c r="V984" s="21" t="n">
        <v>1</v>
      </c>
      <c r="W984" s="22" t="n">
        <v>5.9</v>
      </c>
      <c r="X984" s="16" t="s">
        <v>335</v>
      </c>
      <c r="Y984" s="16" t="s">
        <v>338</v>
      </c>
      <c r="Z984" s="16" t="s">
        <v>413</v>
      </c>
      <c r="AA984" s="16" t="s">
        <v>427</v>
      </c>
      <c r="AB984" s="23" t="s">
        <v>3256</v>
      </c>
      <c r="AC984" s="17" t="n">
        <v>46294.6952314815</v>
      </c>
      <c r="AD984" s="16" t="s">
        <v>338</v>
      </c>
      <c r="AE984" s="16"/>
      <c r="AF984" s="16" t="str">
        <f aca="false">IF(COUNTIF(لیست_سفید!$A$2:$A$21,B984)&gt;0,"بله","خیر")</f>
        <v>خیر</v>
      </c>
      <c r="AG984" s="24" t="n">
        <f aca="false">IF(H984="","",IF(AD984="فیش مفقودی",تنظیمات!$B$6,(INT(I984/1440)*تنظیمات!$B$5+IF(MOD(I984,1440)&lt;=تنظیمات!$B$2,0,MIN(تنظیمات!$B$5,تنظیمات!$B$3+MAX(0,ROUNDUP((MOD(I984,1440)-60)/60,0))*تنظیمات!$B$4)))*INDEX(تعرفه!$B$2:$B$7,MATCH(AD984,تعرفه!$A$2:$A$7,0))))</f>
        <v>20000</v>
      </c>
      <c r="AH984" s="24" t="n">
        <v>20000</v>
      </c>
      <c r="AI984" s="24" t="n">
        <f aca="false">IF(AG984="","",AH984-AG984)</f>
        <v>0</v>
      </c>
      <c r="AJ984" s="21" t="n">
        <v>0</v>
      </c>
      <c r="AK984" s="21" t="n">
        <v>0</v>
      </c>
      <c r="AL984" s="16" t="s">
        <v>335</v>
      </c>
      <c r="AM984" s="16"/>
      <c r="AN984" s="16" t="s">
        <v>340</v>
      </c>
      <c r="AO984" s="16" t="s">
        <v>340</v>
      </c>
      <c r="AP984" s="16" t="s">
        <v>335</v>
      </c>
      <c r="AQ984" s="16"/>
      <c r="AR984" s="21" t="n">
        <f aca="false">IF(AND(T984&lt;&gt;"",H984&lt;&gt;""),IF(AND((T984-H984)*86400&gt;=0,(T984-H984)*86400&lt;تنظیمات!$B$13),1,0),0)</f>
        <v>0</v>
      </c>
      <c r="AS984" s="21" t="n">
        <f aca="false">IF(Z984="پوز",IF(OR(AB984="",COUNTIF(پوزها!$A$2:$A$5,AA984)=0),1,0),0)</f>
        <v>0</v>
      </c>
      <c r="AT984" s="21" t="n">
        <f aca="false">IF(AI984="",0,IF(AI984&gt;0,1,0))</f>
        <v>0</v>
      </c>
      <c r="AU984" s="21" t="n">
        <f aca="false">IF(AI984="",0,IF(AI984&lt;0,1,0))</f>
        <v>0</v>
      </c>
      <c r="AV984" s="21" t="n">
        <f aca="false">IF(U984&gt;V984,1,0)</f>
        <v>0</v>
      </c>
      <c r="AW984" s="21" t="n">
        <f aca="false">IF(OR(W984&gt;تنظیمات!$B$8,X984="بله"),1,0)</f>
        <v>0</v>
      </c>
      <c r="AX984" s="21" t="n">
        <f aca="false">IF(AND(N984="بله",L984&gt;تنظیمات!$B$9),1,0)</f>
        <v>0</v>
      </c>
      <c r="AY984" s="21" t="n">
        <f aca="false">IF(Y984="معکوس",1,0)</f>
        <v>0</v>
      </c>
      <c r="AZ984" s="21" t="n">
        <f aca="false">IF(ABS(AJ984)&gt;تنظیمات!$B$10,1,0)</f>
        <v>0</v>
      </c>
      <c r="BA984" s="21" t="n">
        <f aca="false">IF(AND(OR(AD984="رایگان/VIP",AD984="جانباز"),AF984="خیر"),1,0)</f>
        <v>0</v>
      </c>
      <c r="BB984" s="21" t="n">
        <f aca="false">IF(AE984="",0,IF(COUNTIF($AE$2:$AE$1001,AE984)&gt;1,1,0))</f>
        <v>0</v>
      </c>
      <c r="BC984" s="21" t="n">
        <f aca="false">IF(AND(H984="",I984&gt;تنظیمات!$B$12*60,AM984="خالی"),1,0)</f>
        <v>0</v>
      </c>
      <c r="BD984" s="21" t="n">
        <f aca="false">IF(AND(AP984="بله",I984&lt;تنظیمات!$B$14,AO984="خیر"),1,0)</f>
        <v>0</v>
      </c>
      <c r="BE984" s="21" t="n">
        <f aca="false">IF(AN984="خیر",1,0)</f>
        <v>0</v>
      </c>
      <c r="BF984" s="21" t="n">
        <f aca="false">IF(AND(AD984="فیش مفقودی",AQ984="بله",I984&gt;تنظیمات!$B$12*60),1,0)</f>
        <v>0</v>
      </c>
      <c r="BG984" s="21" t="n">
        <f aca="false">IF(AND(AK984&gt;تنظیمات!$B$11,AL984="بله"),1,0)</f>
        <v>0</v>
      </c>
      <c r="BH984" s="21" t="n">
        <f aca="false">MIN(100,AR984*تنظیمات!$B$21+AS984*تنظیمات!$B$22+AT984*تنظیمات!$B$23+AU984*تنظیمات!$B$24+AV984*تنظیمات!$B$25+AW984*تنظیمات!$B$26+AX984*تنظیمات!$B$27+AY984*تنظیمات!$B$28+AZ984*تنظیمات!$B$29+BA984*تنظیمات!$B$30+BB984*تنظیمات!$B$31+BC984*تنظیمات!$B$32+BD984*تنظیمات!$B$33+BE984*تنظیمات!$B$34+BF984*تنظیمات!$B$35+BG984*تنظیمات!$B$36)</f>
        <v>0</v>
      </c>
      <c r="BI984" s="16" t="str">
        <f aca="false">IF(BH984&gt;=60,"بحرانی",IF(BH984&gt;=30,"مشکوک",IF(BH984&gt;0,"هشدار","عادی")))</f>
        <v>عادی</v>
      </c>
      <c r="BJ984" s="16" t="s">
        <v>338</v>
      </c>
    </row>
    <row r="985" customFormat="false" ht="15" hidden="false" customHeight="false" outlineLevel="0" collapsed="false">
      <c r="A985" s="16" t="s">
        <v>3257</v>
      </c>
      <c r="B985" s="16" t="s">
        <v>366</v>
      </c>
      <c r="C985" s="16"/>
      <c r="D985" s="16" t="s">
        <v>344</v>
      </c>
      <c r="E985" s="16" t="s">
        <v>345</v>
      </c>
      <c r="F985" s="16" t="s">
        <v>333</v>
      </c>
      <c r="G985" s="17" t="n">
        <v>46294.6725115741</v>
      </c>
      <c r="H985" s="17" t="n">
        <v>46294.7718171296</v>
      </c>
      <c r="I985" s="18" t="n">
        <f aca="false">IF(H985="",ROUND((تنظیمات!$B$7-G985)*1440,0),ROUND((H985-G985)*1440,0))</f>
        <v>143</v>
      </c>
      <c r="J985" s="16" t="s">
        <v>346</v>
      </c>
      <c r="K985" s="16" t="s">
        <v>400</v>
      </c>
      <c r="L985" s="19" t="n">
        <v>0.954</v>
      </c>
      <c r="M985" s="19" t="n">
        <v>0.913</v>
      </c>
      <c r="N985" s="16" t="s">
        <v>335</v>
      </c>
      <c r="O985" s="16" t="s">
        <v>419</v>
      </c>
      <c r="P985" s="16" t="s">
        <v>420</v>
      </c>
      <c r="Q985" s="20" t="n">
        <v>46294</v>
      </c>
      <c r="R985" s="16" t="s">
        <v>3258</v>
      </c>
      <c r="S985" s="16" t="s">
        <v>404</v>
      </c>
      <c r="T985" s="17"/>
      <c r="U985" s="21" t="n">
        <v>1</v>
      </c>
      <c r="V985" s="21" t="n">
        <v>1</v>
      </c>
      <c r="W985" s="22" t="n">
        <v>6.3</v>
      </c>
      <c r="X985" s="16" t="s">
        <v>335</v>
      </c>
      <c r="Y985" s="16" t="s">
        <v>338</v>
      </c>
      <c r="Z985" s="16" t="s">
        <v>405</v>
      </c>
      <c r="AA985" s="16"/>
      <c r="AB985" s="23"/>
      <c r="AC985" s="17"/>
      <c r="AD985" s="16" t="s">
        <v>338</v>
      </c>
      <c r="AE985" s="16"/>
      <c r="AF985" s="16" t="str">
        <f aca="false">IF(COUNTIF(لیست_سفید!$A$2:$A$21,B985)&gt;0,"بله","خیر")</f>
        <v>خیر</v>
      </c>
      <c r="AG985" s="24" t="n">
        <f aca="false">IF(H985="","",IF(AD985="فیش مفقودی",تنظیمات!$B$6,(INT(I985/1440)*تنظیمات!$B$5+IF(MOD(I985,1440)&lt;=تنظیمات!$B$2,0,MIN(تنظیمات!$B$5,تنظیمات!$B$3+MAX(0,ROUNDUP((MOD(I985,1440)-60)/60,0))*تنظیمات!$B$4)))*INDEX(تعرفه!$B$2:$B$7,MATCH(AD985,تعرفه!$A$2:$A$7,0))))</f>
        <v>48000</v>
      </c>
      <c r="AH985" s="24" t="n">
        <v>48000</v>
      </c>
      <c r="AI985" s="24" t="n">
        <f aca="false">IF(AG985="","",AH985-AG985)</f>
        <v>0</v>
      </c>
      <c r="AJ985" s="21" t="n">
        <v>-5</v>
      </c>
      <c r="AK985" s="21" t="n">
        <v>0</v>
      </c>
      <c r="AL985" s="16" t="s">
        <v>335</v>
      </c>
      <c r="AM985" s="16"/>
      <c r="AN985" s="16" t="s">
        <v>340</v>
      </c>
      <c r="AO985" s="16" t="s">
        <v>340</v>
      </c>
      <c r="AP985" s="16" t="s">
        <v>335</v>
      </c>
      <c r="AQ985" s="16"/>
      <c r="AR985" s="21" t="n">
        <f aca="false">IF(AND(T985&lt;&gt;"",H985&lt;&gt;""),IF(AND((T985-H985)*86400&gt;=0,(T985-H985)*86400&lt;تنظیمات!$B$13),1,0),0)</f>
        <v>0</v>
      </c>
      <c r="AS985" s="21" t="n">
        <f aca="false">IF(Z985="پوز",IF(OR(AB985="",COUNTIF(پوزها!$A$2:$A$5,AA985)=0),1,0),0)</f>
        <v>0</v>
      </c>
      <c r="AT985" s="21" t="n">
        <f aca="false">IF(AI985="",0,IF(AI985&gt;0,1,0))</f>
        <v>0</v>
      </c>
      <c r="AU985" s="21" t="n">
        <f aca="false">IF(AI985="",0,IF(AI985&lt;0,1,0))</f>
        <v>0</v>
      </c>
      <c r="AV985" s="21" t="n">
        <f aca="false">IF(U985&gt;V985,1,0)</f>
        <v>0</v>
      </c>
      <c r="AW985" s="21" t="n">
        <f aca="false">IF(OR(W985&gt;تنظیمات!$B$8,X985="بله"),1,0)</f>
        <v>0</v>
      </c>
      <c r="AX985" s="21" t="n">
        <f aca="false">IF(AND(N985="بله",L985&gt;تنظیمات!$B$9),1,0)</f>
        <v>0</v>
      </c>
      <c r="AY985" s="21" t="n">
        <f aca="false">IF(Y985="معکوس",1,0)</f>
        <v>0</v>
      </c>
      <c r="AZ985" s="21" t="n">
        <f aca="false">IF(ABS(AJ985)&gt;تنظیمات!$B$10,1,0)</f>
        <v>0</v>
      </c>
      <c r="BA985" s="21" t="n">
        <f aca="false">IF(AND(OR(AD985="رایگان/VIP",AD985="جانباز"),AF985="خیر"),1,0)</f>
        <v>0</v>
      </c>
      <c r="BB985" s="21" t="n">
        <f aca="false">IF(AE985="",0,IF(COUNTIF($AE$2:$AE$1001,AE985)&gt;1,1,0))</f>
        <v>0</v>
      </c>
      <c r="BC985" s="21" t="n">
        <f aca="false">IF(AND(H985="",I985&gt;تنظیمات!$B$12*60,AM985="خالی"),1,0)</f>
        <v>0</v>
      </c>
      <c r="BD985" s="21" t="n">
        <f aca="false">IF(AND(AP985="بله",I985&lt;تنظیمات!$B$14,AO985="خیر"),1,0)</f>
        <v>0</v>
      </c>
      <c r="BE985" s="21" t="n">
        <f aca="false">IF(AN985="خیر",1,0)</f>
        <v>0</v>
      </c>
      <c r="BF985" s="21" t="n">
        <f aca="false">IF(AND(AD985="فیش مفقودی",AQ985="بله",I985&gt;تنظیمات!$B$12*60),1,0)</f>
        <v>0</v>
      </c>
      <c r="BG985" s="21" t="n">
        <f aca="false">IF(AND(AK985&gt;تنظیمات!$B$11,AL985="بله"),1,0)</f>
        <v>0</v>
      </c>
      <c r="BH985" s="21" t="n">
        <f aca="false">MIN(100,AR985*تنظیمات!$B$21+AS985*تنظیمات!$B$22+AT985*تنظیمات!$B$23+AU985*تنظیمات!$B$24+AV985*تنظیمات!$B$25+AW985*تنظیمات!$B$26+AX985*تنظیمات!$B$27+AY985*تنظیمات!$B$28+AZ985*تنظیمات!$B$29+BA985*تنظیمات!$B$30+BB985*تنظیمات!$B$31+BC985*تنظیمات!$B$32+BD985*تنظیمات!$B$33+BE985*تنظیمات!$B$34+BF985*تنظیمات!$B$35+BG985*تنظیمات!$B$36)</f>
        <v>0</v>
      </c>
      <c r="BI985" s="16" t="str">
        <f aca="false">IF(BH985&gt;=60,"بحرانی",IF(BH985&gt;=30,"مشکوک",IF(BH985&gt;0,"هشدار","عادی")))</f>
        <v>عادی</v>
      </c>
      <c r="BJ985" s="16" t="s">
        <v>338</v>
      </c>
    </row>
    <row r="986" customFormat="false" ht="15" hidden="false" customHeight="false" outlineLevel="0" collapsed="false">
      <c r="A986" s="16" t="s">
        <v>3259</v>
      </c>
      <c r="B986" s="16" t="s">
        <v>579</v>
      </c>
      <c r="C986" s="16"/>
      <c r="D986" s="16" t="s">
        <v>350</v>
      </c>
      <c r="E986" s="16" t="s">
        <v>375</v>
      </c>
      <c r="F986" s="16" t="s">
        <v>333</v>
      </c>
      <c r="G986" s="17" t="n">
        <v>46294.6790046296</v>
      </c>
      <c r="H986" s="17" t="n">
        <v>46294.8158101852</v>
      </c>
      <c r="I986" s="18" t="n">
        <f aca="false">IF(H986="",ROUND((تنظیمات!$B$7-G986)*1440,0),ROUND((H986-G986)*1440,0))</f>
        <v>197</v>
      </c>
      <c r="J986" s="16" t="s">
        <v>334</v>
      </c>
      <c r="K986" s="16" t="s">
        <v>400</v>
      </c>
      <c r="L986" s="19" t="n">
        <v>0.925</v>
      </c>
      <c r="M986" s="19" t="n">
        <v>0.899</v>
      </c>
      <c r="N986" s="16" t="s">
        <v>335</v>
      </c>
      <c r="O986" s="16" t="s">
        <v>419</v>
      </c>
      <c r="P986" s="16" t="s">
        <v>420</v>
      </c>
      <c r="Q986" s="20" t="n">
        <v>46294</v>
      </c>
      <c r="R986" s="16" t="s">
        <v>3260</v>
      </c>
      <c r="S986" s="16" t="s">
        <v>404</v>
      </c>
      <c r="T986" s="17"/>
      <c r="U986" s="21" t="n">
        <v>1</v>
      </c>
      <c r="V986" s="21" t="n">
        <v>1</v>
      </c>
      <c r="W986" s="22" t="n">
        <v>5.6</v>
      </c>
      <c r="X986" s="16" t="s">
        <v>335</v>
      </c>
      <c r="Y986" s="16" t="s">
        <v>338</v>
      </c>
      <c r="Z986" s="16" t="s">
        <v>413</v>
      </c>
      <c r="AA986" s="16" t="s">
        <v>427</v>
      </c>
      <c r="AB986" s="23" t="s">
        <v>3261</v>
      </c>
      <c r="AC986" s="17" t="n">
        <v>46294.8151851852</v>
      </c>
      <c r="AD986" s="16" t="s">
        <v>338</v>
      </c>
      <c r="AE986" s="16"/>
      <c r="AF986" s="16" t="str">
        <f aca="false">IF(COUNTIF(لیست_سفید!$A$2:$A$21,B986)&gt;0,"بله","خیر")</f>
        <v>خیر</v>
      </c>
      <c r="AG986" s="24" t="n">
        <f aca="false">IF(H986="","",IF(AD986="فیش مفقودی",تنظیمات!$B$6,(INT(I986/1440)*تنظیمات!$B$5+IF(MOD(I986,1440)&lt;=تنظیمات!$B$2,0,MIN(تنظیمات!$B$5,تنظیمات!$B$3+MAX(0,ROUNDUP((MOD(I986,1440)-60)/60,0))*تنظیمات!$B$4)))*INDEX(تعرفه!$B$2:$B$7,MATCH(AD986,تعرفه!$A$2:$A$7,0))))</f>
        <v>62000</v>
      </c>
      <c r="AH986" s="24" t="n">
        <v>62000</v>
      </c>
      <c r="AI986" s="24" t="n">
        <f aca="false">IF(AG986="","",AH986-AG986)</f>
        <v>0</v>
      </c>
      <c r="AJ986" s="21" t="n">
        <v>3</v>
      </c>
      <c r="AK986" s="21" t="n">
        <v>0</v>
      </c>
      <c r="AL986" s="16" t="s">
        <v>335</v>
      </c>
      <c r="AM986" s="16"/>
      <c r="AN986" s="16" t="s">
        <v>340</v>
      </c>
      <c r="AO986" s="16" t="s">
        <v>340</v>
      </c>
      <c r="AP986" s="16" t="s">
        <v>335</v>
      </c>
      <c r="AQ986" s="16"/>
      <c r="AR986" s="21" t="n">
        <f aca="false">IF(AND(T986&lt;&gt;"",H986&lt;&gt;""),IF(AND((T986-H986)*86400&gt;=0,(T986-H986)*86400&lt;تنظیمات!$B$13),1,0),0)</f>
        <v>0</v>
      </c>
      <c r="AS986" s="21" t="n">
        <f aca="false">IF(Z986="پوز",IF(OR(AB986="",COUNTIF(پوزها!$A$2:$A$5,AA986)=0),1,0),0)</f>
        <v>0</v>
      </c>
      <c r="AT986" s="21" t="n">
        <f aca="false">IF(AI986="",0,IF(AI986&gt;0,1,0))</f>
        <v>0</v>
      </c>
      <c r="AU986" s="21" t="n">
        <f aca="false">IF(AI986="",0,IF(AI986&lt;0,1,0))</f>
        <v>0</v>
      </c>
      <c r="AV986" s="21" t="n">
        <f aca="false">IF(U986&gt;V986,1,0)</f>
        <v>0</v>
      </c>
      <c r="AW986" s="21" t="n">
        <f aca="false">IF(OR(W986&gt;تنظیمات!$B$8,X986="بله"),1,0)</f>
        <v>0</v>
      </c>
      <c r="AX986" s="21" t="n">
        <f aca="false">IF(AND(N986="بله",L986&gt;تنظیمات!$B$9),1,0)</f>
        <v>0</v>
      </c>
      <c r="AY986" s="21" t="n">
        <f aca="false">IF(Y986="معکوس",1,0)</f>
        <v>0</v>
      </c>
      <c r="AZ986" s="21" t="n">
        <f aca="false">IF(ABS(AJ986)&gt;تنظیمات!$B$10,1,0)</f>
        <v>0</v>
      </c>
      <c r="BA986" s="21" t="n">
        <f aca="false">IF(AND(OR(AD986="رایگان/VIP",AD986="جانباز"),AF986="خیر"),1,0)</f>
        <v>0</v>
      </c>
      <c r="BB986" s="21" t="n">
        <f aca="false">IF(AE986="",0,IF(COUNTIF($AE$2:$AE$1001,AE986)&gt;1,1,0))</f>
        <v>0</v>
      </c>
      <c r="BC986" s="21" t="n">
        <f aca="false">IF(AND(H986="",I986&gt;تنظیمات!$B$12*60,AM986="خالی"),1,0)</f>
        <v>0</v>
      </c>
      <c r="BD986" s="21" t="n">
        <f aca="false">IF(AND(AP986="بله",I986&lt;تنظیمات!$B$14,AO986="خیر"),1,0)</f>
        <v>0</v>
      </c>
      <c r="BE986" s="21" t="n">
        <f aca="false">IF(AN986="خیر",1,0)</f>
        <v>0</v>
      </c>
      <c r="BF986" s="21" t="n">
        <f aca="false">IF(AND(AD986="فیش مفقودی",AQ986="بله",I986&gt;تنظیمات!$B$12*60),1,0)</f>
        <v>0</v>
      </c>
      <c r="BG986" s="21" t="n">
        <f aca="false">IF(AND(AK986&gt;تنظیمات!$B$11,AL986="بله"),1,0)</f>
        <v>0</v>
      </c>
      <c r="BH986" s="21" t="n">
        <f aca="false">MIN(100,AR986*تنظیمات!$B$21+AS986*تنظیمات!$B$22+AT986*تنظیمات!$B$23+AU986*تنظیمات!$B$24+AV986*تنظیمات!$B$25+AW986*تنظیمات!$B$26+AX986*تنظیمات!$B$27+AY986*تنظیمات!$B$28+AZ986*تنظیمات!$B$29+BA986*تنظیمات!$B$30+BB986*تنظیمات!$B$31+BC986*تنظیمات!$B$32+BD986*تنظیمات!$B$33+BE986*تنظیمات!$B$34+BF986*تنظیمات!$B$35+BG986*تنظیمات!$B$36)</f>
        <v>0</v>
      </c>
      <c r="BI986" s="16" t="str">
        <f aca="false">IF(BH986&gt;=60,"بحرانی",IF(BH986&gt;=30,"مشکوک",IF(BH986&gt;0,"هشدار","عادی")))</f>
        <v>عادی</v>
      </c>
      <c r="BJ986" s="16" t="s">
        <v>338</v>
      </c>
    </row>
    <row r="987" customFormat="false" ht="15" hidden="false" customHeight="false" outlineLevel="0" collapsed="false">
      <c r="A987" s="16" t="s">
        <v>3262</v>
      </c>
      <c r="B987" s="16" t="s">
        <v>530</v>
      </c>
      <c r="C987" s="16"/>
      <c r="D987" s="16" t="s">
        <v>531</v>
      </c>
      <c r="E987" s="16" t="s">
        <v>390</v>
      </c>
      <c r="F987" s="16" t="s">
        <v>333</v>
      </c>
      <c r="G987" s="17" t="n">
        <v>46294.7059490741</v>
      </c>
      <c r="H987" s="17" t="n">
        <v>46294.8163657407</v>
      </c>
      <c r="I987" s="18" t="n">
        <f aca="false">IF(H987="",ROUND((تنظیمات!$B$7-G987)*1440,0),ROUND((H987-G987)*1440,0))</f>
        <v>159</v>
      </c>
      <c r="J987" s="16" t="s">
        <v>334</v>
      </c>
      <c r="K987" s="16" t="s">
        <v>410</v>
      </c>
      <c r="L987" s="19" t="n">
        <v>0.922</v>
      </c>
      <c r="M987" s="19" t="n">
        <v>0.995</v>
      </c>
      <c r="N987" s="16" t="s">
        <v>335</v>
      </c>
      <c r="O987" s="16" t="s">
        <v>650</v>
      </c>
      <c r="P987" s="16" t="s">
        <v>420</v>
      </c>
      <c r="Q987" s="20" t="n">
        <v>46294</v>
      </c>
      <c r="R987" s="16" t="s">
        <v>3263</v>
      </c>
      <c r="S987" s="16" t="s">
        <v>404</v>
      </c>
      <c r="T987" s="17"/>
      <c r="U987" s="21" t="n">
        <v>1</v>
      </c>
      <c r="V987" s="21" t="n">
        <v>1</v>
      </c>
      <c r="W987" s="22" t="n">
        <v>5.9</v>
      </c>
      <c r="X987" s="16" t="s">
        <v>335</v>
      </c>
      <c r="Y987" s="16" t="s">
        <v>338</v>
      </c>
      <c r="Z987" s="16" t="s">
        <v>413</v>
      </c>
      <c r="AA987" s="16" t="s">
        <v>414</v>
      </c>
      <c r="AB987" s="23" t="s">
        <v>3264</v>
      </c>
      <c r="AC987" s="17" t="n">
        <v>46294.8161342593</v>
      </c>
      <c r="AD987" s="16" t="s">
        <v>338</v>
      </c>
      <c r="AE987" s="16"/>
      <c r="AF987" s="16" t="str">
        <f aca="false">IF(COUNTIF(لیست_سفید!$A$2:$A$21,B987)&gt;0,"بله","خیر")</f>
        <v>خیر</v>
      </c>
      <c r="AG987" s="24" t="n">
        <f aca="false">IF(H987="","",IF(AD987="فیش مفقودی",تنظیمات!$B$6,(INT(I987/1440)*تنظیمات!$B$5+IF(MOD(I987,1440)&lt;=تنظیمات!$B$2,0,MIN(تنظیمات!$B$5,تنظیمات!$B$3+MAX(0,ROUNDUP((MOD(I987,1440)-60)/60,0))*تنظیمات!$B$4)))*INDEX(تعرفه!$B$2:$B$7,MATCH(AD987,تعرفه!$A$2:$A$7,0))))</f>
        <v>48000</v>
      </c>
      <c r="AH987" s="24" t="n">
        <v>48000</v>
      </c>
      <c r="AI987" s="24" t="n">
        <f aca="false">IF(AG987="","",AH987-AG987)</f>
        <v>0</v>
      </c>
      <c r="AJ987" s="21" t="n">
        <v>0</v>
      </c>
      <c r="AK987" s="21" t="n">
        <v>0</v>
      </c>
      <c r="AL987" s="16" t="s">
        <v>335</v>
      </c>
      <c r="AM987" s="16"/>
      <c r="AN987" s="16" t="s">
        <v>340</v>
      </c>
      <c r="AO987" s="16" t="s">
        <v>340</v>
      </c>
      <c r="AP987" s="16" t="s">
        <v>335</v>
      </c>
      <c r="AQ987" s="16"/>
      <c r="AR987" s="21" t="n">
        <f aca="false">IF(AND(T987&lt;&gt;"",H987&lt;&gt;""),IF(AND((T987-H987)*86400&gt;=0,(T987-H987)*86400&lt;تنظیمات!$B$13),1,0),0)</f>
        <v>0</v>
      </c>
      <c r="AS987" s="21" t="n">
        <f aca="false">IF(Z987="پوز",IF(OR(AB987="",COUNTIF(پوزها!$A$2:$A$5,AA987)=0),1,0),0)</f>
        <v>0</v>
      </c>
      <c r="AT987" s="21" t="n">
        <f aca="false">IF(AI987="",0,IF(AI987&gt;0,1,0))</f>
        <v>0</v>
      </c>
      <c r="AU987" s="21" t="n">
        <f aca="false">IF(AI987="",0,IF(AI987&lt;0,1,0))</f>
        <v>0</v>
      </c>
      <c r="AV987" s="21" t="n">
        <f aca="false">IF(U987&gt;V987,1,0)</f>
        <v>0</v>
      </c>
      <c r="AW987" s="21" t="n">
        <f aca="false">IF(OR(W987&gt;تنظیمات!$B$8,X987="بله"),1,0)</f>
        <v>0</v>
      </c>
      <c r="AX987" s="21" t="n">
        <f aca="false">IF(AND(N987="بله",L987&gt;تنظیمات!$B$9),1,0)</f>
        <v>0</v>
      </c>
      <c r="AY987" s="21" t="n">
        <f aca="false">IF(Y987="معکوس",1,0)</f>
        <v>0</v>
      </c>
      <c r="AZ987" s="21" t="n">
        <f aca="false">IF(ABS(AJ987)&gt;تنظیمات!$B$10,1,0)</f>
        <v>0</v>
      </c>
      <c r="BA987" s="21" t="n">
        <f aca="false">IF(AND(OR(AD987="رایگان/VIP",AD987="جانباز"),AF987="خیر"),1,0)</f>
        <v>0</v>
      </c>
      <c r="BB987" s="21" t="n">
        <f aca="false">IF(AE987="",0,IF(COUNTIF($AE$2:$AE$1001,AE987)&gt;1,1,0))</f>
        <v>0</v>
      </c>
      <c r="BC987" s="21" t="n">
        <f aca="false">IF(AND(H987="",I987&gt;تنظیمات!$B$12*60,AM987="خالی"),1,0)</f>
        <v>0</v>
      </c>
      <c r="BD987" s="21" t="n">
        <f aca="false">IF(AND(AP987="بله",I987&lt;تنظیمات!$B$14,AO987="خیر"),1,0)</f>
        <v>0</v>
      </c>
      <c r="BE987" s="21" t="n">
        <f aca="false">IF(AN987="خیر",1,0)</f>
        <v>0</v>
      </c>
      <c r="BF987" s="21" t="n">
        <f aca="false">IF(AND(AD987="فیش مفقودی",AQ987="بله",I987&gt;تنظیمات!$B$12*60),1,0)</f>
        <v>0</v>
      </c>
      <c r="BG987" s="21" t="n">
        <f aca="false">IF(AND(AK987&gt;تنظیمات!$B$11,AL987="بله"),1,0)</f>
        <v>0</v>
      </c>
      <c r="BH987" s="21" t="n">
        <f aca="false">MIN(100,AR987*تنظیمات!$B$21+AS987*تنظیمات!$B$22+AT987*تنظیمات!$B$23+AU987*تنظیمات!$B$24+AV987*تنظیمات!$B$25+AW987*تنظیمات!$B$26+AX987*تنظیمات!$B$27+AY987*تنظیمات!$B$28+AZ987*تنظیمات!$B$29+BA987*تنظیمات!$B$30+BB987*تنظیمات!$B$31+BC987*تنظیمات!$B$32+BD987*تنظیمات!$B$33+BE987*تنظیمات!$B$34+BF987*تنظیمات!$B$35+BG987*تنظیمات!$B$36)</f>
        <v>0</v>
      </c>
      <c r="BI987" s="16" t="str">
        <f aca="false">IF(BH987&gt;=60,"بحرانی",IF(BH987&gt;=30,"مشکوک",IF(BH987&gt;0,"هشدار","عادی")))</f>
        <v>عادی</v>
      </c>
      <c r="BJ987" s="16" t="s">
        <v>338</v>
      </c>
    </row>
    <row r="988" customFormat="false" ht="15" hidden="false" customHeight="false" outlineLevel="0" collapsed="false">
      <c r="A988" s="16" t="s">
        <v>3265</v>
      </c>
      <c r="B988" s="16" t="s">
        <v>2062</v>
      </c>
      <c r="C988" s="16"/>
      <c r="D988" s="16" t="s">
        <v>508</v>
      </c>
      <c r="E988" s="16" t="s">
        <v>390</v>
      </c>
      <c r="F988" s="16" t="s">
        <v>333</v>
      </c>
      <c r="G988" s="17" t="n">
        <v>46294.7287731482</v>
      </c>
      <c r="H988" s="17" t="n">
        <v>46294.8044675926</v>
      </c>
      <c r="I988" s="18" t="n">
        <f aca="false">IF(H988="",ROUND((تنظیمات!$B$7-G988)*1440,0),ROUND((H988-G988)*1440,0))</f>
        <v>109</v>
      </c>
      <c r="J988" s="16" t="s">
        <v>334</v>
      </c>
      <c r="K988" s="16" t="s">
        <v>410</v>
      </c>
      <c r="L988" s="19" t="n">
        <v>0.918</v>
      </c>
      <c r="M988" s="19" t="n">
        <v>0.981</v>
      </c>
      <c r="N988" s="16" t="s">
        <v>335</v>
      </c>
      <c r="O988" s="16" t="s">
        <v>650</v>
      </c>
      <c r="P988" s="16" t="s">
        <v>420</v>
      </c>
      <c r="Q988" s="20" t="n">
        <v>46294</v>
      </c>
      <c r="R988" s="16" t="s">
        <v>3266</v>
      </c>
      <c r="S988" s="16" t="s">
        <v>404</v>
      </c>
      <c r="T988" s="17"/>
      <c r="U988" s="21" t="n">
        <v>1</v>
      </c>
      <c r="V988" s="21" t="n">
        <v>1</v>
      </c>
      <c r="W988" s="22" t="n">
        <v>5.4</v>
      </c>
      <c r="X988" s="16" t="s">
        <v>335</v>
      </c>
      <c r="Y988" s="16" t="s">
        <v>338</v>
      </c>
      <c r="Z988" s="16" t="s">
        <v>413</v>
      </c>
      <c r="AA988" s="16" t="s">
        <v>414</v>
      </c>
      <c r="AB988" s="23" t="s">
        <v>3267</v>
      </c>
      <c r="AC988" s="17" t="n">
        <v>46294.8036111111</v>
      </c>
      <c r="AD988" s="16" t="s">
        <v>481</v>
      </c>
      <c r="AE988" s="16" t="s">
        <v>3268</v>
      </c>
      <c r="AF988" s="16" t="str">
        <f aca="false">IF(COUNTIF(لیست_سفید!$A$2:$A$21,B988)&gt;0,"بله","خیر")</f>
        <v>خیر</v>
      </c>
      <c r="AG988" s="24" t="n">
        <f aca="false">IF(H988="","",IF(AD988="فیش مفقودی",تنظیمات!$B$6,(INT(I988/1440)*تنظیمات!$B$5+IF(MOD(I988,1440)&lt;=تنظیمات!$B$2,0,MIN(تنظیمات!$B$5,تنظیمات!$B$3+MAX(0,ROUNDUP((MOD(I988,1440)-60)/60,0))*تنظیمات!$B$4)))*INDEX(تعرفه!$B$2:$B$7,MATCH(AD988,تعرفه!$A$2:$A$7,0))))</f>
        <v>17000</v>
      </c>
      <c r="AH988" s="24" t="n">
        <v>17000</v>
      </c>
      <c r="AI988" s="24" t="n">
        <f aca="false">IF(AG988="","",AH988-AG988)</f>
        <v>0</v>
      </c>
      <c r="AJ988" s="21" t="n">
        <v>-3</v>
      </c>
      <c r="AK988" s="21" t="n">
        <v>0</v>
      </c>
      <c r="AL988" s="16" t="s">
        <v>335</v>
      </c>
      <c r="AM988" s="16"/>
      <c r="AN988" s="16" t="s">
        <v>340</v>
      </c>
      <c r="AO988" s="16" t="s">
        <v>340</v>
      </c>
      <c r="AP988" s="16" t="s">
        <v>335</v>
      </c>
      <c r="AQ988" s="16"/>
      <c r="AR988" s="21" t="n">
        <f aca="false">IF(AND(T988&lt;&gt;"",H988&lt;&gt;""),IF(AND((T988-H988)*86400&gt;=0,(T988-H988)*86400&lt;تنظیمات!$B$13),1,0),0)</f>
        <v>0</v>
      </c>
      <c r="AS988" s="21" t="n">
        <f aca="false">IF(Z988="پوز",IF(OR(AB988="",COUNTIF(پوزها!$A$2:$A$5,AA988)=0),1,0),0)</f>
        <v>0</v>
      </c>
      <c r="AT988" s="21" t="n">
        <f aca="false">IF(AI988="",0,IF(AI988&gt;0,1,0))</f>
        <v>0</v>
      </c>
      <c r="AU988" s="21" t="n">
        <f aca="false">IF(AI988="",0,IF(AI988&lt;0,1,0))</f>
        <v>0</v>
      </c>
      <c r="AV988" s="21" t="n">
        <f aca="false">IF(U988&gt;V988,1,0)</f>
        <v>0</v>
      </c>
      <c r="AW988" s="21" t="n">
        <f aca="false">IF(OR(W988&gt;تنظیمات!$B$8,X988="بله"),1,0)</f>
        <v>0</v>
      </c>
      <c r="AX988" s="21" t="n">
        <f aca="false">IF(AND(N988="بله",L988&gt;تنظیمات!$B$9),1,0)</f>
        <v>0</v>
      </c>
      <c r="AY988" s="21" t="n">
        <f aca="false">IF(Y988="معکوس",1,0)</f>
        <v>0</v>
      </c>
      <c r="AZ988" s="21" t="n">
        <f aca="false">IF(ABS(AJ988)&gt;تنظیمات!$B$10,1,0)</f>
        <v>0</v>
      </c>
      <c r="BA988" s="21" t="n">
        <f aca="false">IF(AND(OR(AD988="رایگان/VIP",AD988="جانباز"),AF988="خیر"),1,0)</f>
        <v>0</v>
      </c>
      <c r="BB988" s="21" t="n">
        <f aca="false">IF(AE988="",0,IF(COUNTIF($AE$2:$AE$1001,AE988)&gt;1,1,0))</f>
        <v>0</v>
      </c>
      <c r="BC988" s="21" t="n">
        <f aca="false">IF(AND(H988="",I988&gt;تنظیمات!$B$12*60,AM988="خالی"),1,0)</f>
        <v>0</v>
      </c>
      <c r="BD988" s="21" t="n">
        <f aca="false">IF(AND(AP988="بله",I988&lt;تنظیمات!$B$14,AO988="خیر"),1,0)</f>
        <v>0</v>
      </c>
      <c r="BE988" s="21" t="n">
        <f aca="false">IF(AN988="خیر",1,0)</f>
        <v>0</v>
      </c>
      <c r="BF988" s="21" t="n">
        <f aca="false">IF(AND(AD988="فیش مفقودی",AQ988="بله",I988&gt;تنظیمات!$B$12*60),1,0)</f>
        <v>0</v>
      </c>
      <c r="BG988" s="21" t="n">
        <f aca="false">IF(AND(AK988&gt;تنظیمات!$B$11,AL988="بله"),1,0)</f>
        <v>0</v>
      </c>
      <c r="BH988" s="21" t="n">
        <f aca="false">MIN(100,AR988*تنظیمات!$B$21+AS988*تنظیمات!$B$22+AT988*تنظیمات!$B$23+AU988*تنظیمات!$B$24+AV988*تنظیمات!$B$25+AW988*تنظیمات!$B$26+AX988*تنظیمات!$B$27+AY988*تنظیمات!$B$28+AZ988*تنظیمات!$B$29+BA988*تنظیمات!$B$30+BB988*تنظیمات!$B$31+BC988*تنظیمات!$B$32+BD988*تنظیمات!$B$33+BE988*تنظیمات!$B$34+BF988*تنظیمات!$B$35+BG988*تنظیمات!$B$36)</f>
        <v>0</v>
      </c>
      <c r="BI988" s="16" t="str">
        <f aca="false">IF(BH988&gt;=60,"بحرانی",IF(BH988&gt;=30,"مشکوک",IF(BH988&gt;0,"هشدار","عادی")))</f>
        <v>عادی</v>
      </c>
      <c r="BJ988" s="16" t="s">
        <v>338</v>
      </c>
    </row>
    <row r="989" customFormat="false" ht="15" hidden="false" customHeight="false" outlineLevel="0" collapsed="false">
      <c r="A989" s="16" t="s">
        <v>3269</v>
      </c>
      <c r="B989" s="16" t="s">
        <v>892</v>
      </c>
      <c r="C989" s="16"/>
      <c r="D989" s="16" t="s">
        <v>382</v>
      </c>
      <c r="E989" s="16" t="s">
        <v>332</v>
      </c>
      <c r="F989" s="16" t="s">
        <v>333</v>
      </c>
      <c r="G989" s="17" t="n">
        <v>46294.7391782407</v>
      </c>
      <c r="H989" s="17" t="n">
        <v>46294.7593171296</v>
      </c>
      <c r="I989" s="18" t="n">
        <f aca="false">IF(H989="",ROUND((تنظیمات!$B$7-G989)*1440,0),ROUND((H989-G989)*1440,0))</f>
        <v>29</v>
      </c>
      <c r="J989" s="16" t="s">
        <v>346</v>
      </c>
      <c r="K989" s="16" t="s">
        <v>410</v>
      </c>
      <c r="L989" s="19" t="n">
        <v>0.995</v>
      </c>
      <c r="M989" s="19" t="n">
        <v>0.884</v>
      </c>
      <c r="N989" s="16" t="s">
        <v>335</v>
      </c>
      <c r="O989" s="16" t="s">
        <v>650</v>
      </c>
      <c r="P989" s="16" t="s">
        <v>420</v>
      </c>
      <c r="Q989" s="20" t="n">
        <v>46294</v>
      </c>
      <c r="R989" s="16" t="s">
        <v>3270</v>
      </c>
      <c r="S989" s="16" t="s">
        <v>404</v>
      </c>
      <c r="T989" s="17"/>
      <c r="U989" s="21" t="n">
        <v>1</v>
      </c>
      <c r="V989" s="21" t="n">
        <v>1</v>
      </c>
      <c r="W989" s="22" t="n">
        <v>5.5</v>
      </c>
      <c r="X989" s="16" t="s">
        <v>335</v>
      </c>
      <c r="Y989" s="16" t="s">
        <v>338</v>
      </c>
      <c r="Z989" s="16" t="s">
        <v>413</v>
      </c>
      <c r="AA989" s="16" t="s">
        <v>414</v>
      </c>
      <c r="AB989" s="23" t="s">
        <v>3271</v>
      </c>
      <c r="AC989" s="17" t="n">
        <v>46294.7587268519</v>
      </c>
      <c r="AD989" s="16" t="s">
        <v>338</v>
      </c>
      <c r="AE989" s="16"/>
      <c r="AF989" s="16" t="str">
        <f aca="false">IF(COUNTIF(لیست_سفید!$A$2:$A$21,B989)&gt;0,"بله","خیر")</f>
        <v>خیر</v>
      </c>
      <c r="AG989" s="24" t="n">
        <f aca="false">IF(H989="","",IF(AD989="فیش مفقودی",تنظیمات!$B$6,(INT(I989/1440)*تنظیمات!$B$5+IF(MOD(I989,1440)&lt;=تنظیمات!$B$2,0,MIN(تنظیمات!$B$5,تنظیمات!$B$3+MAX(0,ROUNDUP((MOD(I989,1440)-60)/60,0))*تنظیمات!$B$4)))*INDEX(تعرفه!$B$2:$B$7,MATCH(AD989,تعرفه!$A$2:$A$7,0))))</f>
        <v>20000</v>
      </c>
      <c r="AH989" s="24" t="n">
        <v>20000</v>
      </c>
      <c r="AI989" s="24" t="n">
        <f aca="false">IF(AG989="","",AH989-AG989)</f>
        <v>0</v>
      </c>
      <c r="AJ989" s="21" t="n">
        <v>0</v>
      </c>
      <c r="AK989" s="21" t="n">
        <v>0</v>
      </c>
      <c r="AL989" s="16" t="s">
        <v>335</v>
      </c>
      <c r="AM989" s="16"/>
      <c r="AN989" s="16" t="s">
        <v>340</v>
      </c>
      <c r="AO989" s="16" t="s">
        <v>340</v>
      </c>
      <c r="AP989" s="16" t="s">
        <v>335</v>
      </c>
      <c r="AQ989" s="16"/>
      <c r="AR989" s="21" t="n">
        <f aca="false">IF(AND(T989&lt;&gt;"",H989&lt;&gt;""),IF(AND((T989-H989)*86400&gt;=0,(T989-H989)*86400&lt;تنظیمات!$B$13),1,0),0)</f>
        <v>0</v>
      </c>
      <c r="AS989" s="21" t="n">
        <f aca="false">IF(Z989="پوز",IF(OR(AB989="",COUNTIF(پوزها!$A$2:$A$5,AA989)=0),1,0),0)</f>
        <v>0</v>
      </c>
      <c r="AT989" s="21" t="n">
        <f aca="false">IF(AI989="",0,IF(AI989&gt;0,1,0))</f>
        <v>0</v>
      </c>
      <c r="AU989" s="21" t="n">
        <f aca="false">IF(AI989="",0,IF(AI989&lt;0,1,0))</f>
        <v>0</v>
      </c>
      <c r="AV989" s="21" t="n">
        <f aca="false">IF(U989&gt;V989,1,0)</f>
        <v>0</v>
      </c>
      <c r="AW989" s="21" t="n">
        <f aca="false">IF(OR(W989&gt;تنظیمات!$B$8,X989="بله"),1,0)</f>
        <v>0</v>
      </c>
      <c r="AX989" s="21" t="n">
        <f aca="false">IF(AND(N989="بله",L989&gt;تنظیمات!$B$9),1,0)</f>
        <v>0</v>
      </c>
      <c r="AY989" s="21" t="n">
        <f aca="false">IF(Y989="معکوس",1,0)</f>
        <v>0</v>
      </c>
      <c r="AZ989" s="21" t="n">
        <f aca="false">IF(ABS(AJ989)&gt;تنظیمات!$B$10,1,0)</f>
        <v>0</v>
      </c>
      <c r="BA989" s="21" t="n">
        <f aca="false">IF(AND(OR(AD989="رایگان/VIP",AD989="جانباز"),AF989="خیر"),1,0)</f>
        <v>0</v>
      </c>
      <c r="BB989" s="21" t="n">
        <f aca="false">IF(AE989="",0,IF(COUNTIF($AE$2:$AE$1001,AE989)&gt;1,1,0))</f>
        <v>0</v>
      </c>
      <c r="BC989" s="21" t="n">
        <f aca="false">IF(AND(H989="",I989&gt;تنظیمات!$B$12*60,AM989="خالی"),1,0)</f>
        <v>0</v>
      </c>
      <c r="BD989" s="21" t="n">
        <f aca="false">IF(AND(AP989="بله",I989&lt;تنظیمات!$B$14,AO989="خیر"),1,0)</f>
        <v>0</v>
      </c>
      <c r="BE989" s="21" t="n">
        <f aca="false">IF(AN989="خیر",1,0)</f>
        <v>0</v>
      </c>
      <c r="BF989" s="21" t="n">
        <f aca="false">IF(AND(AD989="فیش مفقودی",AQ989="بله",I989&gt;تنظیمات!$B$12*60),1,0)</f>
        <v>0</v>
      </c>
      <c r="BG989" s="21" t="n">
        <f aca="false">IF(AND(AK989&gt;تنظیمات!$B$11,AL989="بله"),1,0)</f>
        <v>0</v>
      </c>
      <c r="BH989" s="21" t="n">
        <f aca="false">MIN(100,AR989*تنظیمات!$B$21+AS989*تنظیمات!$B$22+AT989*تنظیمات!$B$23+AU989*تنظیمات!$B$24+AV989*تنظیمات!$B$25+AW989*تنظیمات!$B$26+AX989*تنظیمات!$B$27+AY989*تنظیمات!$B$28+AZ989*تنظیمات!$B$29+BA989*تنظیمات!$B$30+BB989*تنظیمات!$B$31+BC989*تنظیمات!$B$32+BD989*تنظیمات!$B$33+BE989*تنظیمات!$B$34+BF989*تنظیمات!$B$35+BG989*تنظیمات!$B$36)</f>
        <v>0</v>
      </c>
      <c r="BI989" s="16" t="str">
        <f aca="false">IF(BH989&gt;=60,"بحرانی",IF(BH989&gt;=30,"مشکوک",IF(BH989&gt;0,"هشدار","عادی")))</f>
        <v>عادی</v>
      </c>
      <c r="BJ989" s="16" t="s">
        <v>338</v>
      </c>
    </row>
    <row r="990" customFormat="false" ht="15" hidden="false" customHeight="false" outlineLevel="0" collapsed="false">
      <c r="A990" s="16" t="s">
        <v>3272</v>
      </c>
      <c r="B990" s="16" t="s">
        <v>330</v>
      </c>
      <c r="C990" s="16"/>
      <c r="D990" s="16" t="s">
        <v>331</v>
      </c>
      <c r="E990" s="16" t="s">
        <v>332</v>
      </c>
      <c r="F990" s="16" t="s">
        <v>333</v>
      </c>
      <c r="G990" s="17" t="n">
        <v>46294.7427314815</v>
      </c>
      <c r="H990" s="17" t="n">
        <v>46294.8100925926</v>
      </c>
      <c r="I990" s="18" t="n">
        <f aca="false">IF(H990="",ROUND((تنظیمات!$B$7-G990)*1440,0),ROUND((H990-G990)*1440,0))</f>
        <v>97</v>
      </c>
      <c r="J990" s="16" t="s">
        <v>334</v>
      </c>
      <c r="K990" s="16" t="s">
        <v>400</v>
      </c>
      <c r="L990" s="19" t="n">
        <v>0.947</v>
      </c>
      <c r="M990" s="19" t="n">
        <v>0.995</v>
      </c>
      <c r="N990" s="16" t="s">
        <v>335</v>
      </c>
      <c r="O990" s="16" t="s">
        <v>419</v>
      </c>
      <c r="P990" s="16" t="s">
        <v>420</v>
      </c>
      <c r="Q990" s="20" t="n">
        <v>46294</v>
      </c>
      <c r="R990" s="16" t="s">
        <v>3273</v>
      </c>
      <c r="S990" s="16" t="s">
        <v>404</v>
      </c>
      <c r="T990" s="17"/>
      <c r="U990" s="21" t="n">
        <v>1</v>
      </c>
      <c r="V990" s="21" t="n">
        <v>1</v>
      </c>
      <c r="W990" s="22" t="n">
        <v>6.8</v>
      </c>
      <c r="X990" s="16" t="s">
        <v>335</v>
      </c>
      <c r="Y990" s="16" t="s">
        <v>338</v>
      </c>
      <c r="Z990" s="16" t="s">
        <v>405</v>
      </c>
      <c r="AA990" s="16"/>
      <c r="AB990" s="23"/>
      <c r="AC990" s="17"/>
      <c r="AD990" s="16" t="s">
        <v>338</v>
      </c>
      <c r="AE990" s="16"/>
      <c r="AF990" s="16" t="str">
        <f aca="false">IF(COUNTIF(لیست_سفید!$A$2:$A$21,B990)&gt;0,"بله","خیر")</f>
        <v>خیر</v>
      </c>
      <c r="AG990" s="24" t="n">
        <f aca="false">IF(H990="","",IF(AD990="فیش مفقودی",تنظیمات!$B$6,(INT(I990/1440)*تنظیمات!$B$5+IF(MOD(I990,1440)&lt;=تنظیمات!$B$2,0,MIN(تنظیمات!$B$5,تنظیمات!$B$3+MAX(0,ROUNDUP((MOD(I990,1440)-60)/60,0))*تنظیمات!$B$4)))*INDEX(تعرفه!$B$2:$B$7,MATCH(AD990,تعرفه!$A$2:$A$7,0))))</f>
        <v>34000</v>
      </c>
      <c r="AH990" s="24" t="n">
        <v>34000</v>
      </c>
      <c r="AI990" s="24" t="n">
        <f aca="false">IF(AG990="","",AH990-AG990)</f>
        <v>0</v>
      </c>
      <c r="AJ990" s="21" t="n">
        <v>-1</v>
      </c>
      <c r="AK990" s="21" t="n">
        <v>0</v>
      </c>
      <c r="AL990" s="16" t="s">
        <v>335</v>
      </c>
      <c r="AM990" s="16"/>
      <c r="AN990" s="16" t="s">
        <v>340</v>
      </c>
      <c r="AO990" s="16" t="s">
        <v>340</v>
      </c>
      <c r="AP990" s="16" t="s">
        <v>335</v>
      </c>
      <c r="AQ990" s="16"/>
      <c r="AR990" s="21" t="n">
        <f aca="false">IF(AND(T990&lt;&gt;"",H990&lt;&gt;""),IF(AND((T990-H990)*86400&gt;=0,(T990-H990)*86400&lt;تنظیمات!$B$13),1,0),0)</f>
        <v>0</v>
      </c>
      <c r="AS990" s="21" t="n">
        <f aca="false">IF(Z990="پوز",IF(OR(AB990="",COUNTIF(پوزها!$A$2:$A$5,AA990)=0),1,0),0)</f>
        <v>0</v>
      </c>
      <c r="AT990" s="21" t="n">
        <f aca="false">IF(AI990="",0,IF(AI990&gt;0,1,0))</f>
        <v>0</v>
      </c>
      <c r="AU990" s="21" t="n">
        <f aca="false">IF(AI990="",0,IF(AI990&lt;0,1,0))</f>
        <v>0</v>
      </c>
      <c r="AV990" s="21" t="n">
        <f aca="false">IF(U990&gt;V990,1,0)</f>
        <v>0</v>
      </c>
      <c r="AW990" s="21" t="n">
        <f aca="false">IF(OR(W990&gt;تنظیمات!$B$8,X990="بله"),1,0)</f>
        <v>0</v>
      </c>
      <c r="AX990" s="21" t="n">
        <f aca="false">IF(AND(N990="بله",L990&gt;تنظیمات!$B$9),1,0)</f>
        <v>0</v>
      </c>
      <c r="AY990" s="21" t="n">
        <f aca="false">IF(Y990="معکوس",1,0)</f>
        <v>0</v>
      </c>
      <c r="AZ990" s="21" t="n">
        <f aca="false">IF(ABS(AJ990)&gt;تنظیمات!$B$10,1,0)</f>
        <v>0</v>
      </c>
      <c r="BA990" s="21" t="n">
        <f aca="false">IF(AND(OR(AD990="رایگان/VIP",AD990="جانباز"),AF990="خیر"),1,0)</f>
        <v>0</v>
      </c>
      <c r="BB990" s="21" t="n">
        <f aca="false">IF(AE990="",0,IF(COUNTIF($AE$2:$AE$1001,AE990)&gt;1,1,0))</f>
        <v>0</v>
      </c>
      <c r="BC990" s="21" t="n">
        <f aca="false">IF(AND(H990="",I990&gt;تنظیمات!$B$12*60,AM990="خالی"),1,0)</f>
        <v>0</v>
      </c>
      <c r="BD990" s="21" t="n">
        <f aca="false">IF(AND(AP990="بله",I990&lt;تنظیمات!$B$14,AO990="خیر"),1,0)</f>
        <v>0</v>
      </c>
      <c r="BE990" s="21" t="n">
        <f aca="false">IF(AN990="خیر",1,0)</f>
        <v>0</v>
      </c>
      <c r="BF990" s="21" t="n">
        <f aca="false">IF(AND(AD990="فیش مفقودی",AQ990="بله",I990&gt;تنظیمات!$B$12*60),1,0)</f>
        <v>0</v>
      </c>
      <c r="BG990" s="21" t="n">
        <f aca="false">IF(AND(AK990&gt;تنظیمات!$B$11,AL990="بله"),1,0)</f>
        <v>0</v>
      </c>
      <c r="BH990" s="21" t="n">
        <f aca="false">MIN(100,AR990*تنظیمات!$B$21+AS990*تنظیمات!$B$22+AT990*تنظیمات!$B$23+AU990*تنظیمات!$B$24+AV990*تنظیمات!$B$25+AW990*تنظیمات!$B$26+AX990*تنظیمات!$B$27+AY990*تنظیمات!$B$28+AZ990*تنظیمات!$B$29+BA990*تنظیمات!$B$30+BB990*تنظیمات!$B$31+BC990*تنظیمات!$B$32+BD990*تنظیمات!$B$33+BE990*تنظیمات!$B$34+BF990*تنظیمات!$B$35+BG990*تنظیمات!$B$36)</f>
        <v>0</v>
      </c>
      <c r="BI990" s="16" t="str">
        <f aca="false">IF(BH990&gt;=60,"بحرانی",IF(BH990&gt;=30,"مشکوک",IF(BH990&gt;0,"هشدار","عادی")))</f>
        <v>عادی</v>
      </c>
      <c r="BJ990" s="16" t="s">
        <v>338</v>
      </c>
    </row>
    <row r="991" customFormat="false" ht="15" hidden="false" customHeight="false" outlineLevel="0" collapsed="false">
      <c r="A991" s="16" t="s">
        <v>3274</v>
      </c>
      <c r="B991" s="16" t="s">
        <v>399</v>
      </c>
      <c r="C991" s="16"/>
      <c r="D991" s="16" t="s">
        <v>382</v>
      </c>
      <c r="E991" s="16" t="s">
        <v>351</v>
      </c>
      <c r="F991" s="16" t="s">
        <v>333</v>
      </c>
      <c r="G991" s="17" t="n">
        <v>46294.7442708333</v>
      </c>
      <c r="H991" s="17" t="n">
        <v>46294.7644097222</v>
      </c>
      <c r="I991" s="18" t="n">
        <f aca="false">IF(H991="",ROUND((تنظیمات!$B$7-G991)*1440,0),ROUND((H991-G991)*1440,0))</f>
        <v>29</v>
      </c>
      <c r="J991" s="16" t="s">
        <v>346</v>
      </c>
      <c r="K991" s="16" t="s">
        <v>400</v>
      </c>
      <c r="L991" s="19" t="n">
        <v>0.949</v>
      </c>
      <c r="M991" s="19" t="n">
        <v>0.974</v>
      </c>
      <c r="N991" s="16" t="s">
        <v>335</v>
      </c>
      <c r="O991" s="16" t="s">
        <v>419</v>
      </c>
      <c r="P991" s="16" t="s">
        <v>420</v>
      </c>
      <c r="Q991" s="20" t="n">
        <v>46294</v>
      </c>
      <c r="R991" s="16" t="s">
        <v>3275</v>
      </c>
      <c r="S991" s="16" t="s">
        <v>404</v>
      </c>
      <c r="T991" s="17"/>
      <c r="U991" s="21" t="n">
        <v>1</v>
      </c>
      <c r="V991" s="21" t="n">
        <v>1</v>
      </c>
      <c r="W991" s="22" t="n">
        <v>6.2</v>
      </c>
      <c r="X991" s="16" t="s">
        <v>335</v>
      </c>
      <c r="Y991" s="16" t="s">
        <v>338</v>
      </c>
      <c r="Z991" s="16" t="s">
        <v>413</v>
      </c>
      <c r="AA991" s="16" t="s">
        <v>427</v>
      </c>
      <c r="AB991" s="23" t="s">
        <v>3276</v>
      </c>
      <c r="AC991" s="17" t="n">
        <v>46294.7638888889</v>
      </c>
      <c r="AD991" s="16" t="s">
        <v>338</v>
      </c>
      <c r="AE991" s="16"/>
      <c r="AF991" s="16" t="str">
        <f aca="false">IF(COUNTIF(لیست_سفید!$A$2:$A$21,B991)&gt;0,"بله","خیر")</f>
        <v>خیر</v>
      </c>
      <c r="AG991" s="24" t="n">
        <f aca="false">IF(H991="","",IF(AD991="فیش مفقودی",تنظیمات!$B$6,(INT(I991/1440)*تنظیمات!$B$5+IF(MOD(I991,1440)&lt;=تنظیمات!$B$2,0,MIN(تنظیمات!$B$5,تنظیمات!$B$3+MAX(0,ROUNDUP((MOD(I991,1440)-60)/60,0))*تنظیمات!$B$4)))*INDEX(تعرفه!$B$2:$B$7,MATCH(AD991,تعرفه!$A$2:$A$7,0))))</f>
        <v>20000</v>
      </c>
      <c r="AH991" s="24" t="n">
        <v>20000</v>
      </c>
      <c r="AI991" s="24" t="n">
        <f aca="false">IF(AG991="","",AH991-AG991)</f>
        <v>0</v>
      </c>
      <c r="AJ991" s="21" t="n">
        <v>-1</v>
      </c>
      <c r="AK991" s="21" t="n">
        <v>0</v>
      </c>
      <c r="AL991" s="16" t="s">
        <v>335</v>
      </c>
      <c r="AM991" s="16"/>
      <c r="AN991" s="16" t="s">
        <v>340</v>
      </c>
      <c r="AO991" s="16" t="s">
        <v>340</v>
      </c>
      <c r="AP991" s="16" t="s">
        <v>335</v>
      </c>
      <c r="AQ991" s="16"/>
      <c r="AR991" s="21" t="n">
        <f aca="false">IF(AND(T991&lt;&gt;"",H991&lt;&gt;""),IF(AND((T991-H991)*86400&gt;=0,(T991-H991)*86400&lt;تنظیمات!$B$13),1,0),0)</f>
        <v>0</v>
      </c>
      <c r="AS991" s="21" t="n">
        <f aca="false">IF(Z991="پوز",IF(OR(AB991="",COUNTIF(پوزها!$A$2:$A$5,AA991)=0),1,0),0)</f>
        <v>0</v>
      </c>
      <c r="AT991" s="21" t="n">
        <f aca="false">IF(AI991="",0,IF(AI991&gt;0,1,0))</f>
        <v>0</v>
      </c>
      <c r="AU991" s="21" t="n">
        <f aca="false">IF(AI991="",0,IF(AI991&lt;0,1,0))</f>
        <v>0</v>
      </c>
      <c r="AV991" s="21" t="n">
        <f aca="false">IF(U991&gt;V991,1,0)</f>
        <v>0</v>
      </c>
      <c r="AW991" s="21" t="n">
        <f aca="false">IF(OR(W991&gt;تنظیمات!$B$8,X991="بله"),1,0)</f>
        <v>0</v>
      </c>
      <c r="AX991" s="21" t="n">
        <f aca="false">IF(AND(N991="بله",L991&gt;تنظیمات!$B$9),1,0)</f>
        <v>0</v>
      </c>
      <c r="AY991" s="21" t="n">
        <f aca="false">IF(Y991="معکوس",1,0)</f>
        <v>0</v>
      </c>
      <c r="AZ991" s="21" t="n">
        <f aca="false">IF(ABS(AJ991)&gt;تنظیمات!$B$10,1,0)</f>
        <v>0</v>
      </c>
      <c r="BA991" s="21" t="n">
        <f aca="false">IF(AND(OR(AD991="رایگان/VIP",AD991="جانباز"),AF991="خیر"),1,0)</f>
        <v>0</v>
      </c>
      <c r="BB991" s="21" t="n">
        <f aca="false">IF(AE991="",0,IF(COUNTIF($AE$2:$AE$1001,AE991)&gt;1,1,0))</f>
        <v>0</v>
      </c>
      <c r="BC991" s="21" t="n">
        <f aca="false">IF(AND(H991="",I991&gt;تنظیمات!$B$12*60,AM991="خالی"),1,0)</f>
        <v>0</v>
      </c>
      <c r="BD991" s="21" t="n">
        <f aca="false">IF(AND(AP991="بله",I991&lt;تنظیمات!$B$14,AO991="خیر"),1,0)</f>
        <v>0</v>
      </c>
      <c r="BE991" s="21" t="n">
        <f aca="false">IF(AN991="خیر",1,0)</f>
        <v>0</v>
      </c>
      <c r="BF991" s="21" t="n">
        <f aca="false">IF(AND(AD991="فیش مفقودی",AQ991="بله",I991&gt;تنظیمات!$B$12*60),1,0)</f>
        <v>0</v>
      </c>
      <c r="BG991" s="21" t="n">
        <f aca="false">IF(AND(AK991&gt;تنظیمات!$B$11,AL991="بله"),1,0)</f>
        <v>0</v>
      </c>
      <c r="BH991" s="21" t="n">
        <f aca="false">MIN(100,AR991*تنظیمات!$B$21+AS991*تنظیمات!$B$22+AT991*تنظیمات!$B$23+AU991*تنظیمات!$B$24+AV991*تنظیمات!$B$25+AW991*تنظیمات!$B$26+AX991*تنظیمات!$B$27+AY991*تنظیمات!$B$28+AZ991*تنظیمات!$B$29+BA991*تنظیمات!$B$30+BB991*تنظیمات!$B$31+BC991*تنظیمات!$B$32+BD991*تنظیمات!$B$33+BE991*تنظیمات!$B$34+BF991*تنظیمات!$B$35+BG991*تنظیمات!$B$36)</f>
        <v>0</v>
      </c>
      <c r="BI991" s="16" t="str">
        <f aca="false">IF(BH991&gt;=60,"بحرانی",IF(BH991&gt;=30,"مشکوک",IF(BH991&gt;0,"هشدار","عادی")))</f>
        <v>عادی</v>
      </c>
      <c r="BJ991" s="16" t="s">
        <v>338</v>
      </c>
    </row>
    <row r="992" customFormat="false" ht="15" hidden="false" customHeight="false" outlineLevel="0" collapsed="false">
      <c r="A992" s="16" t="s">
        <v>3277</v>
      </c>
      <c r="B992" s="16" t="s">
        <v>1833</v>
      </c>
      <c r="C992" s="16"/>
      <c r="D992" s="16" t="s">
        <v>531</v>
      </c>
      <c r="E992" s="16" t="s">
        <v>345</v>
      </c>
      <c r="F992" s="16" t="s">
        <v>333</v>
      </c>
      <c r="G992" s="17" t="n">
        <v>46294.7487962963</v>
      </c>
      <c r="H992" s="17" t="n">
        <v>46294.7793518519</v>
      </c>
      <c r="I992" s="18" t="n">
        <f aca="false">IF(H992="",ROUND((تنظیمات!$B$7-G992)*1440,0),ROUND((H992-G992)*1440,0))</f>
        <v>44</v>
      </c>
      <c r="J992" s="16" t="s">
        <v>346</v>
      </c>
      <c r="K992" s="16" t="s">
        <v>400</v>
      </c>
      <c r="L992" s="19" t="n">
        <v>0.965</v>
      </c>
      <c r="M992" s="19" t="n">
        <v>0.956</v>
      </c>
      <c r="N992" s="16" t="s">
        <v>335</v>
      </c>
      <c r="O992" s="16" t="s">
        <v>419</v>
      </c>
      <c r="P992" s="16" t="s">
        <v>420</v>
      </c>
      <c r="Q992" s="20" t="n">
        <v>46294</v>
      </c>
      <c r="R992" s="16" t="s">
        <v>3278</v>
      </c>
      <c r="S992" s="16" t="s">
        <v>404</v>
      </c>
      <c r="T992" s="17"/>
      <c r="U992" s="21" t="n">
        <v>1</v>
      </c>
      <c r="V992" s="21" t="n">
        <v>1</v>
      </c>
      <c r="W992" s="22" t="n">
        <v>6.1</v>
      </c>
      <c r="X992" s="16" t="s">
        <v>335</v>
      </c>
      <c r="Y992" s="16" t="s">
        <v>338</v>
      </c>
      <c r="Z992" s="16" t="s">
        <v>413</v>
      </c>
      <c r="AA992" s="16" t="s">
        <v>427</v>
      </c>
      <c r="AB992" s="23" t="s">
        <v>3279</v>
      </c>
      <c r="AC992" s="17" t="n">
        <v>46294.778912037</v>
      </c>
      <c r="AD992" s="16" t="s">
        <v>338</v>
      </c>
      <c r="AE992" s="16"/>
      <c r="AF992" s="16" t="str">
        <f aca="false">IF(COUNTIF(لیست_سفید!$A$2:$A$21,B992)&gt;0,"بله","خیر")</f>
        <v>خیر</v>
      </c>
      <c r="AG992" s="24" t="n">
        <f aca="false">IF(H992="","",IF(AD992="فیش مفقودی",تنظیمات!$B$6,(INT(I992/1440)*تنظیمات!$B$5+IF(MOD(I992,1440)&lt;=تنظیمات!$B$2,0,MIN(تنظیمات!$B$5,تنظیمات!$B$3+MAX(0,ROUNDUP((MOD(I992,1440)-60)/60,0))*تنظیمات!$B$4)))*INDEX(تعرفه!$B$2:$B$7,MATCH(AD992,تعرفه!$A$2:$A$7,0))))</f>
        <v>20000</v>
      </c>
      <c r="AH992" s="24" t="n">
        <v>20000</v>
      </c>
      <c r="AI992" s="24" t="n">
        <f aca="false">IF(AG992="","",AH992-AG992)</f>
        <v>0</v>
      </c>
      <c r="AJ992" s="21" t="n">
        <v>0</v>
      </c>
      <c r="AK992" s="21" t="n">
        <v>0</v>
      </c>
      <c r="AL992" s="16" t="s">
        <v>335</v>
      </c>
      <c r="AM992" s="16"/>
      <c r="AN992" s="16" t="s">
        <v>340</v>
      </c>
      <c r="AO992" s="16" t="s">
        <v>340</v>
      </c>
      <c r="AP992" s="16" t="s">
        <v>335</v>
      </c>
      <c r="AQ992" s="16"/>
      <c r="AR992" s="21" t="n">
        <f aca="false">IF(AND(T992&lt;&gt;"",H992&lt;&gt;""),IF(AND((T992-H992)*86400&gt;=0,(T992-H992)*86400&lt;تنظیمات!$B$13),1,0),0)</f>
        <v>0</v>
      </c>
      <c r="AS992" s="21" t="n">
        <f aca="false">IF(Z992="پوز",IF(OR(AB992="",COUNTIF(پوزها!$A$2:$A$5,AA992)=0),1,0),0)</f>
        <v>0</v>
      </c>
      <c r="AT992" s="21" t="n">
        <f aca="false">IF(AI992="",0,IF(AI992&gt;0,1,0))</f>
        <v>0</v>
      </c>
      <c r="AU992" s="21" t="n">
        <f aca="false">IF(AI992="",0,IF(AI992&lt;0,1,0))</f>
        <v>0</v>
      </c>
      <c r="AV992" s="21" t="n">
        <f aca="false">IF(U992&gt;V992,1,0)</f>
        <v>0</v>
      </c>
      <c r="AW992" s="21" t="n">
        <f aca="false">IF(OR(W992&gt;تنظیمات!$B$8,X992="بله"),1,0)</f>
        <v>0</v>
      </c>
      <c r="AX992" s="21" t="n">
        <f aca="false">IF(AND(N992="بله",L992&gt;تنظیمات!$B$9),1,0)</f>
        <v>0</v>
      </c>
      <c r="AY992" s="21" t="n">
        <f aca="false">IF(Y992="معکوس",1,0)</f>
        <v>0</v>
      </c>
      <c r="AZ992" s="21" t="n">
        <f aca="false">IF(ABS(AJ992)&gt;تنظیمات!$B$10,1,0)</f>
        <v>0</v>
      </c>
      <c r="BA992" s="21" t="n">
        <f aca="false">IF(AND(OR(AD992="رایگان/VIP",AD992="جانباز"),AF992="خیر"),1,0)</f>
        <v>0</v>
      </c>
      <c r="BB992" s="21" t="n">
        <f aca="false">IF(AE992="",0,IF(COUNTIF($AE$2:$AE$1001,AE992)&gt;1,1,0))</f>
        <v>0</v>
      </c>
      <c r="BC992" s="21" t="n">
        <f aca="false">IF(AND(H992="",I992&gt;تنظیمات!$B$12*60,AM992="خالی"),1,0)</f>
        <v>0</v>
      </c>
      <c r="BD992" s="21" t="n">
        <f aca="false">IF(AND(AP992="بله",I992&lt;تنظیمات!$B$14,AO992="خیر"),1,0)</f>
        <v>0</v>
      </c>
      <c r="BE992" s="21" t="n">
        <f aca="false">IF(AN992="خیر",1,0)</f>
        <v>0</v>
      </c>
      <c r="BF992" s="21" t="n">
        <f aca="false">IF(AND(AD992="فیش مفقودی",AQ992="بله",I992&gt;تنظیمات!$B$12*60),1,0)</f>
        <v>0</v>
      </c>
      <c r="BG992" s="21" t="n">
        <f aca="false">IF(AND(AK992&gt;تنظیمات!$B$11,AL992="بله"),1,0)</f>
        <v>0</v>
      </c>
      <c r="BH992" s="21" t="n">
        <f aca="false">MIN(100,AR992*تنظیمات!$B$21+AS992*تنظیمات!$B$22+AT992*تنظیمات!$B$23+AU992*تنظیمات!$B$24+AV992*تنظیمات!$B$25+AW992*تنظیمات!$B$26+AX992*تنظیمات!$B$27+AY992*تنظیمات!$B$28+AZ992*تنظیمات!$B$29+BA992*تنظیمات!$B$30+BB992*تنظیمات!$B$31+BC992*تنظیمات!$B$32+BD992*تنظیمات!$B$33+BE992*تنظیمات!$B$34+BF992*تنظیمات!$B$35+BG992*تنظیمات!$B$36)</f>
        <v>0</v>
      </c>
      <c r="BI992" s="16" t="str">
        <f aca="false">IF(BH992&gt;=60,"بحرانی",IF(BH992&gt;=30,"مشکوک",IF(BH992&gt;0,"هشدار","عادی")))</f>
        <v>عادی</v>
      </c>
      <c r="BJ992" s="16" t="s">
        <v>338</v>
      </c>
    </row>
    <row r="993" customFormat="false" ht="15" hidden="false" customHeight="false" outlineLevel="0" collapsed="false">
      <c r="A993" s="16" t="s">
        <v>3280</v>
      </c>
      <c r="B993" s="16" t="s">
        <v>1667</v>
      </c>
      <c r="C993" s="16"/>
      <c r="D993" s="16" t="s">
        <v>382</v>
      </c>
      <c r="E993" s="16" t="s">
        <v>345</v>
      </c>
      <c r="F993" s="16" t="s">
        <v>333</v>
      </c>
      <c r="G993" s="17" t="n">
        <v>46294.7724537037</v>
      </c>
      <c r="H993" s="17" t="n">
        <v>46294.8023148148</v>
      </c>
      <c r="I993" s="18" t="n">
        <f aca="false">IF(H993="",ROUND((تنظیمات!$B$7-G993)*1440,0),ROUND((H993-G993)*1440,0))</f>
        <v>43</v>
      </c>
      <c r="J993" s="16" t="s">
        <v>346</v>
      </c>
      <c r="K993" s="16" t="s">
        <v>410</v>
      </c>
      <c r="L993" s="19" t="n">
        <v>0.962</v>
      </c>
      <c r="M993" s="19" t="n">
        <v>0.908</v>
      </c>
      <c r="N993" s="16" t="s">
        <v>335</v>
      </c>
      <c r="O993" s="16" t="s">
        <v>650</v>
      </c>
      <c r="P993" s="16" t="s">
        <v>420</v>
      </c>
      <c r="Q993" s="20" t="n">
        <v>46294</v>
      </c>
      <c r="R993" s="16" t="s">
        <v>3281</v>
      </c>
      <c r="S993" s="16" t="s">
        <v>404</v>
      </c>
      <c r="T993" s="17"/>
      <c r="U993" s="21" t="n">
        <v>1</v>
      </c>
      <c r="V993" s="21" t="n">
        <v>1</v>
      </c>
      <c r="W993" s="22" t="n">
        <v>4.5</v>
      </c>
      <c r="X993" s="16" t="s">
        <v>335</v>
      </c>
      <c r="Y993" s="16" t="s">
        <v>338</v>
      </c>
      <c r="Z993" s="16" t="s">
        <v>413</v>
      </c>
      <c r="AA993" s="16" t="s">
        <v>414</v>
      </c>
      <c r="AB993" s="23" t="s">
        <v>3282</v>
      </c>
      <c r="AC993" s="17" t="n">
        <v>46294.8018287037</v>
      </c>
      <c r="AD993" s="16" t="s">
        <v>338</v>
      </c>
      <c r="AE993" s="16"/>
      <c r="AF993" s="16" t="str">
        <f aca="false">IF(COUNTIF(لیست_سفید!$A$2:$A$21,B993)&gt;0,"بله","خیر")</f>
        <v>خیر</v>
      </c>
      <c r="AG993" s="24" t="n">
        <f aca="false">IF(H993="","",IF(AD993="فیش مفقودی",تنظیمات!$B$6,(INT(I993/1440)*تنظیمات!$B$5+IF(MOD(I993,1440)&lt;=تنظیمات!$B$2,0,MIN(تنظیمات!$B$5,تنظیمات!$B$3+MAX(0,ROUNDUP((MOD(I993,1440)-60)/60,0))*تنظیمات!$B$4)))*INDEX(تعرفه!$B$2:$B$7,MATCH(AD993,تعرفه!$A$2:$A$7,0))))</f>
        <v>20000</v>
      </c>
      <c r="AH993" s="24" t="n">
        <v>20000</v>
      </c>
      <c r="AI993" s="24" t="n">
        <f aca="false">IF(AG993="","",AH993-AG993)</f>
        <v>0</v>
      </c>
      <c r="AJ993" s="21" t="n">
        <v>2</v>
      </c>
      <c r="AK993" s="21" t="n">
        <v>0</v>
      </c>
      <c r="AL993" s="16" t="s">
        <v>335</v>
      </c>
      <c r="AM993" s="16"/>
      <c r="AN993" s="16" t="s">
        <v>340</v>
      </c>
      <c r="AO993" s="16" t="s">
        <v>340</v>
      </c>
      <c r="AP993" s="16" t="s">
        <v>335</v>
      </c>
      <c r="AQ993" s="16"/>
      <c r="AR993" s="21" t="n">
        <f aca="false">IF(AND(T993&lt;&gt;"",H993&lt;&gt;""),IF(AND((T993-H993)*86400&gt;=0,(T993-H993)*86400&lt;تنظیمات!$B$13),1,0),0)</f>
        <v>0</v>
      </c>
      <c r="AS993" s="21" t="n">
        <f aca="false">IF(Z993="پوز",IF(OR(AB993="",COUNTIF(پوزها!$A$2:$A$5,AA993)=0),1,0),0)</f>
        <v>0</v>
      </c>
      <c r="AT993" s="21" t="n">
        <f aca="false">IF(AI993="",0,IF(AI993&gt;0,1,0))</f>
        <v>0</v>
      </c>
      <c r="AU993" s="21" t="n">
        <f aca="false">IF(AI993="",0,IF(AI993&lt;0,1,0))</f>
        <v>0</v>
      </c>
      <c r="AV993" s="21" t="n">
        <f aca="false">IF(U993&gt;V993,1,0)</f>
        <v>0</v>
      </c>
      <c r="AW993" s="21" t="n">
        <f aca="false">IF(OR(W993&gt;تنظیمات!$B$8,X993="بله"),1,0)</f>
        <v>0</v>
      </c>
      <c r="AX993" s="21" t="n">
        <f aca="false">IF(AND(N993="بله",L993&gt;تنظیمات!$B$9),1,0)</f>
        <v>0</v>
      </c>
      <c r="AY993" s="21" t="n">
        <f aca="false">IF(Y993="معکوس",1,0)</f>
        <v>0</v>
      </c>
      <c r="AZ993" s="21" t="n">
        <f aca="false">IF(ABS(AJ993)&gt;تنظیمات!$B$10,1,0)</f>
        <v>0</v>
      </c>
      <c r="BA993" s="21" t="n">
        <f aca="false">IF(AND(OR(AD993="رایگان/VIP",AD993="جانباز"),AF993="خیر"),1,0)</f>
        <v>0</v>
      </c>
      <c r="BB993" s="21" t="n">
        <f aca="false">IF(AE993="",0,IF(COUNTIF($AE$2:$AE$1001,AE993)&gt;1,1,0))</f>
        <v>0</v>
      </c>
      <c r="BC993" s="21" t="n">
        <f aca="false">IF(AND(H993="",I993&gt;تنظیمات!$B$12*60,AM993="خالی"),1,0)</f>
        <v>0</v>
      </c>
      <c r="BD993" s="21" t="n">
        <f aca="false">IF(AND(AP993="بله",I993&lt;تنظیمات!$B$14,AO993="خیر"),1,0)</f>
        <v>0</v>
      </c>
      <c r="BE993" s="21" t="n">
        <f aca="false">IF(AN993="خیر",1,0)</f>
        <v>0</v>
      </c>
      <c r="BF993" s="21" t="n">
        <f aca="false">IF(AND(AD993="فیش مفقودی",AQ993="بله",I993&gt;تنظیمات!$B$12*60),1,0)</f>
        <v>0</v>
      </c>
      <c r="BG993" s="21" t="n">
        <f aca="false">IF(AND(AK993&gt;تنظیمات!$B$11,AL993="بله"),1,0)</f>
        <v>0</v>
      </c>
      <c r="BH993" s="21" t="n">
        <f aca="false">MIN(100,AR993*تنظیمات!$B$21+AS993*تنظیمات!$B$22+AT993*تنظیمات!$B$23+AU993*تنظیمات!$B$24+AV993*تنظیمات!$B$25+AW993*تنظیمات!$B$26+AX993*تنظیمات!$B$27+AY993*تنظیمات!$B$28+AZ993*تنظیمات!$B$29+BA993*تنظیمات!$B$30+BB993*تنظیمات!$B$31+BC993*تنظیمات!$B$32+BD993*تنظیمات!$B$33+BE993*تنظیمات!$B$34+BF993*تنظیمات!$B$35+BG993*تنظیمات!$B$36)</f>
        <v>0</v>
      </c>
      <c r="BI993" s="16" t="str">
        <f aca="false">IF(BH993&gt;=60,"بحرانی",IF(BH993&gt;=30,"مشکوک",IF(BH993&gt;0,"هشدار","عادی")))</f>
        <v>عادی</v>
      </c>
      <c r="BJ993" s="16" t="s">
        <v>338</v>
      </c>
    </row>
    <row r="994" customFormat="false" ht="15" hidden="false" customHeight="false" outlineLevel="0" collapsed="false">
      <c r="A994" s="16" t="s">
        <v>3283</v>
      </c>
      <c r="B994" s="16" t="s">
        <v>798</v>
      </c>
      <c r="C994" s="16"/>
      <c r="D994" s="16" t="s">
        <v>508</v>
      </c>
      <c r="E994" s="16" t="s">
        <v>363</v>
      </c>
      <c r="F994" s="16" t="s">
        <v>333</v>
      </c>
      <c r="G994" s="17" t="n">
        <v>46294.7804282407</v>
      </c>
      <c r="H994" s="17" t="n">
        <v>46294.8318171296</v>
      </c>
      <c r="I994" s="18" t="n">
        <f aca="false">IF(H994="",ROUND((تنظیمات!$B$7-G994)*1440,0),ROUND((H994-G994)*1440,0))</f>
        <v>74</v>
      </c>
      <c r="J994" s="16" t="s">
        <v>346</v>
      </c>
      <c r="K994" s="16" t="s">
        <v>410</v>
      </c>
      <c r="L994" s="19" t="n">
        <v>0.946</v>
      </c>
      <c r="M994" s="19" t="n">
        <v>0.934</v>
      </c>
      <c r="N994" s="16" t="s">
        <v>335</v>
      </c>
      <c r="O994" s="16" t="s">
        <v>650</v>
      </c>
      <c r="P994" s="16" t="s">
        <v>420</v>
      </c>
      <c r="Q994" s="20" t="n">
        <v>46294</v>
      </c>
      <c r="R994" s="16" t="s">
        <v>3284</v>
      </c>
      <c r="S994" s="16" t="s">
        <v>404</v>
      </c>
      <c r="T994" s="17"/>
      <c r="U994" s="21" t="n">
        <v>1</v>
      </c>
      <c r="V994" s="21" t="n">
        <v>1</v>
      </c>
      <c r="W994" s="22" t="n">
        <v>6.6</v>
      </c>
      <c r="X994" s="16" t="s">
        <v>335</v>
      </c>
      <c r="Y994" s="16" t="s">
        <v>338</v>
      </c>
      <c r="Z994" s="16" t="s">
        <v>405</v>
      </c>
      <c r="AA994" s="16"/>
      <c r="AB994" s="23"/>
      <c r="AC994" s="17"/>
      <c r="AD994" s="16" t="s">
        <v>338</v>
      </c>
      <c r="AE994" s="16"/>
      <c r="AF994" s="16" t="str">
        <f aca="false">IF(COUNTIF(لیست_سفید!$A$2:$A$21,B994)&gt;0,"بله","خیر")</f>
        <v>خیر</v>
      </c>
      <c r="AG994" s="24" t="n">
        <f aca="false">IF(H994="","",IF(AD994="فیش مفقودی",تنظیمات!$B$6,(INT(I994/1440)*تنظیمات!$B$5+IF(MOD(I994,1440)&lt;=تنظیمات!$B$2,0,MIN(تنظیمات!$B$5,تنظیمات!$B$3+MAX(0,ROUNDUP((MOD(I994,1440)-60)/60,0))*تنظیمات!$B$4)))*INDEX(تعرفه!$B$2:$B$7,MATCH(AD994,تعرفه!$A$2:$A$7,0))))</f>
        <v>34000</v>
      </c>
      <c r="AH994" s="24" t="n">
        <v>34000</v>
      </c>
      <c r="AI994" s="24" t="n">
        <f aca="false">IF(AG994="","",AH994-AG994)</f>
        <v>0</v>
      </c>
      <c r="AJ994" s="21" t="n">
        <v>-4</v>
      </c>
      <c r="AK994" s="21" t="n">
        <v>0</v>
      </c>
      <c r="AL994" s="16" t="s">
        <v>335</v>
      </c>
      <c r="AM994" s="16"/>
      <c r="AN994" s="16" t="s">
        <v>340</v>
      </c>
      <c r="AO994" s="16" t="s">
        <v>340</v>
      </c>
      <c r="AP994" s="16" t="s">
        <v>335</v>
      </c>
      <c r="AQ994" s="16"/>
      <c r="AR994" s="21" t="n">
        <f aca="false">IF(AND(T994&lt;&gt;"",H994&lt;&gt;""),IF(AND((T994-H994)*86400&gt;=0,(T994-H994)*86400&lt;تنظیمات!$B$13),1,0),0)</f>
        <v>0</v>
      </c>
      <c r="AS994" s="21" t="n">
        <f aca="false">IF(Z994="پوز",IF(OR(AB994="",COUNTIF(پوزها!$A$2:$A$5,AA994)=0),1,0),0)</f>
        <v>0</v>
      </c>
      <c r="AT994" s="21" t="n">
        <f aca="false">IF(AI994="",0,IF(AI994&gt;0,1,0))</f>
        <v>0</v>
      </c>
      <c r="AU994" s="21" t="n">
        <f aca="false">IF(AI994="",0,IF(AI994&lt;0,1,0))</f>
        <v>0</v>
      </c>
      <c r="AV994" s="21" t="n">
        <f aca="false">IF(U994&gt;V994,1,0)</f>
        <v>0</v>
      </c>
      <c r="AW994" s="21" t="n">
        <f aca="false">IF(OR(W994&gt;تنظیمات!$B$8,X994="بله"),1,0)</f>
        <v>0</v>
      </c>
      <c r="AX994" s="21" t="n">
        <f aca="false">IF(AND(N994="بله",L994&gt;تنظیمات!$B$9),1,0)</f>
        <v>0</v>
      </c>
      <c r="AY994" s="21" t="n">
        <f aca="false">IF(Y994="معکوس",1,0)</f>
        <v>0</v>
      </c>
      <c r="AZ994" s="21" t="n">
        <f aca="false">IF(ABS(AJ994)&gt;تنظیمات!$B$10,1,0)</f>
        <v>0</v>
      </c>
      <c r="BA994" s="21" t="n">
        <f aca="false">IF(AND(OR(AD994="رایگان/VIP",AD994="جانباز"),AF994="خیر"),1,0)</f>
        <v>0</v>
      </c>
      <c r="BB994" s="21" t="n">
        <f aca="false">IF(AE994="",0,IF(COUNTIF($AE$2:$AE$1001,AE994)&gt;1,1,0))</f>
        <v>0</v>
      </c>
      <c r="BC994" s="21" t="n">
        <f aca="false">IF(AND(H994="",I994&gt;تنظیمات!$B$12*60,AM994="خالی"),1,0)</f>
        <v>0</v>
      </c>
      <c r="BD994" s="21" t="n">
        <f aca="false">IF(AND(AP994="بله",I994&lt;تنظیمات!$B$14,AO994="خیر"),1,0)</f>
        <v>0</v>
      </c>
      <c r="BE994" s="21" t="n">
        <f aca="false">IF(AN994="خیر",1,0)</f>
        <v>0</v>
      </c>
      <c r="BF994" s="21" t="n">
        <f aca="false">IF(AND(AD994="فیش مفقودی",AQ994="بله",I994&gt;تنظیمات!$B$12*60),1,0)</f>
        <v>0</v>
      </c>
      <c r="BG994" s="21" t="n">
        <f aca="false">IF(AND(AK994&gt;تنظیمات!$B$11,AL994="بله"),1,0)</f>
        <v>0</v>
      </c>
      <c r="BH994" s="21" t="n">
        <f aca="false">MIN(100,AR994*تنظیمات!$B$21+AS994*تنظیمات!$B$22+AT994*تنظیمات!$B$23+AU994*تنظیمات!$B$24+AV994*تنظیمات!$B$25+AW994*تنظیمات!$B$26+AX994*تنظیمات!$B$27+AY994*تنظیمات!$B$28+AZ994*تنظیمات!$B$29+BA994*تنظیمات!$B$30+BB994*تنظیمات!$B$31+BC994*تنظیمات!$B$32+BD994*تنظیمات!$B$33+BE994*تنظیمات!$B$34+BF994*تنظیمات!$B$35+BG994*تنظیمات!$B$36)</f>
        <v>0</v>
      </c>
      <c r="BI994" s="16" t="str">
        <f aca="false">IF(BH994&gt;=60,"بحرانی",IF(BH994&gt;=30,"مشکوک",IF(BH994&gt;0,"هشدار","عادی")))</f>
        <v>عادی</v>
      </c>
      <c r="BJ994" s="16" t="s">
        <v>338</v>
      </c>
    </row>
    <row r="995" customFormat="false" ht="15" hidden="false" customHeight="false" outlineLevel="0" collapsed="false">
      <c r="A995" s="16" t="s">
        <v>3285</v>
      </c>
      <c r="B995" s="16" t="s">
        <v>788</v>
      </c>
      <c r="C995" s="16"/>
      <c r="D995" s="16" t="s">
        <v>508</v>
      </c>
      <c r="E995" s="16" t="s">
        <v>332</v>
      </c>
      <c r="F995" s="16" t="s">
        <v>333</v>
      </c>
      <c r="G995" s="17" t="n">
        <v>46294.8508449074</v>
      </c>
      <c r="H995" s="17" t="n">
        <v>46294.9154282407</v>
      </c>
      <c r="I995" s="18" t="n">
        <f aca="false">IF(H995="",ROUND((تنظیمات!$B$7-G995)*1440,0),ROUND((H995-G995)*1440,0))</f>
        <v>93</v>
      </c>
      <c r="J995" s="16" t="s">
        <v>334</v>
      </c>
      <c r="K995" s="16" t="s">
        <v>400</v>
      </c>
      <c r="L995" s="19" t="n">
        <v>0.978</v>
      </c>
      <c r="M995" s="19" t="n">
        <v>0.913</v>
      </c>
      <c r="N995" s="16" t="s">
        <v>335</v>
      </c>
      <c r="O995" s="16" t="s">
        <v>419</v>
      </c>
      <c r="P995" s="16" t="s">
        <v>420</v>
      </c>
      <c r="Q995" s="20" t="n">
        <v>46294</v>
      </c>
      <c r="R995" s="16" t="s">
        <v>3286</v>
      </c>
      <c r="S995" s="16" t="s">
        <v>404</v>
      </c>
      <c r="T995" s="17"/>
      <c r="U995" s="21" t="n">
        <v>1</v>
      </c>
      <c r="V995" s="21" t="n">
        <v>1</v>
      </c>
      <c r="W995" s="22" t="n">
        <v>5.5</v>
      </c>
      <c r="X995" s="16" t="s">
        <v>335</v>
      </c>
      <c r="Y995" s="16" t="s">
        <v>338</v>
      </c>
      <c r="Z995" s="16" t="s">
        <v>405</v>
      </c>
      <c r="AA995" s="16"/>
      <c r="AB995" s="23"/>
      <c r="AC995" s="17"/>
      <c r="AD995" s="16" t="s">
        <v>338</v>
      </c>
      <c r="AE995" s="16"/>
      <c r="AF995" s="16" t="str">
        <f aca="false">IF(COUNTIF(لیست_سفید!$A$2:$A$21,B995)&gt;0,"بله","خیر")</f>
        <v>خیر</v>
      </c>
      <c r="AG995" s="24" t="n">
        <f aca="false">IF(H995="","",IF(AD995="فیش مفقودی",تنظیمات!$B$6,(INT(I995/1440)*تنظیمات!$B$5+IF(MOD(I995,1440)&lt;=تنظیمات!$B$2,0,MIN(تنظیمات!$B$5,تنظیمات!$B$3+MAX(0,ROUNDUP((MOD(I995,1440)-60)/60,0))*تنظیمات!$B$4)))*INDEX(تعرفه!$B$2:$B$7,MATCH(AD995,تعرفه!$A$2:$A$7,0))))</f>
        <v>34000</v>
      </c>
      <c r="AH995" s="24" t="n">
        <v>34000</v>
      </c>
      <c r="AI995" s="24" t="n">
        <f aca="false">IF(AG995="","",AH995-AG995)</f>
        <v>0</v>
      </c>
      <c r="AJ995" s="21" t="n">
        <v>0</v>
      </c>
      <c r="AK995" s="21" t="n">
        <v>0</v>
      </c>
      <c r="AL995" s="16" t="s">
        <v>335</v>
      </c>
      <c r="AM995" s="16"/>
      <c r="AN995" s="16" t="s">
        <v>340</v>
      </c>
      <c r="AO995" s="16" t="s">
        <v>340</v>
      </c>
      <c r="AP995" s="16" t="s">
        <v>335</v>
      </c>
      <c r="AQ995" s="16"/>
      <c r="AR995" s="21" t="n">
        <f aca="false">IF(AND(T995&lt;&gt;"",H995&lt;&gt;""),IF(AND((T995-H995)*86400&gt;=0,(T995-H995)*86400&lt;تنظیمات!$B$13),1,0),0)</f>
        <v>0</v>
      </c>
      <c r="AS995" s="21" t="n">
        <f aca="false">IF(Z995="پوز",IF(OR(AB995="",COUNTIF(پوزها!$A$2:$A$5,AA995)=0),1,0),0)</f>
        <v>0</v>
      </c>
      <c r="AT995" s="21" t="n">
        <f aca="false">IF(AI995="",0,IF(AI995&gt;0,1,0))</f>
        <v>0</v>
      </c>
      <c r="AU995" s="21" t="n">
        <f aca="false">IF(AI995="",0,IF(AI995&lt;0,1,0))</f>
        <v>0</v>
      </c>
      <c r="AV995" s="21" t="n">
        <f aca="false">IF(U995&gt;V995,1,0)</f>
        <v>0</v>
      </c>
      <c r="AW995" s="21" t="n">
        <f aca="false">IF(OR(W995&gt;تنظیمات!$B$8,X995="بله"),1,0)</f>
        <v>0</v>
      </c>
      <c r="AX995" s="21" t="n">
        <f aca="false">IF(AND(N995="بله",L995&gt;تنظیمات!$B$9),1,0)</f>
        <v>0</v>
      </c>
      <c r="AY995" s="21" t="n">
        <f aca="false">IF(Y995="معکوس",1,0)</f>
        <v>0</v>
      </c>
      <c r="AZ995" s="21" t="n">
        <f aca="false">IF(ABS(AJ995)&gt;تنظیمات!$B$10,1,0)</f>
        <v>0</v>
      </c>
      <c r="BA995" s="21" t="n">
        <f aca="false">IF(AND(OR(AD995="رایگان/VIP",AD995="جانباز"),AF995="خیر"),1,0)</f>
        <v>0</v>
      </c>
      <c r="BB995" s="21" t="n">
        <f aca="false">IF(AE995="",0,IF(COUNTIF($AE$2:$AE$1001,AE995)&gt;1,1,0))</f>
        <v>0</v>
      </c>
      <c r="BC995" s="21" t="n">
        <f aca="false">IF(AND(H995="",I995&gt;تنظیمات!$B$12*60,AM995="خالی"),1,0)</f>
        <v>0</v>
      </c>
      <c r="BD995" s="21" t="n">
        <f aca="false">IF(AND(AP995="بله",I995&lt;تنظیمات!$B$14,AO995="خیر"),1,0)</f>
        <v>0</v>
      </c>
      <c r="BE995" s="21" t="n">
        <f aca="false">IF(AN995="خیر",1,0)</f>
        <v>0</v>
      </c>
      <c r="BF995" s="21" t="n">
        <f aca="false">IF(AND(AD995="فیش مفقودی",AQ995="بله",I995&gt;تنظیمات!$B$12*60),1,0)</f>
        <v>0</v>
      </c>
      <c r="BG995" s="21" t="n">
        <f aca="false">IF(AND(AK995&gt;تنظیمات!$B$11,AL995="بله"),1,0)</f>
        <v>0</v>
      </c>
      <c r="BH995" s="21" t="n">
        <f aca="false">MIN(100,AR995*تنظیمات!$B$21+AS995*تنظیمات!$B$22+AT995*تنظیمات!$B$23+AU995*تنظیمات!$B$24+AV995*تنظیمات!$B$25+AW995*تنظیمات!$B$26+AX995*تنظیمات!$B$27+AY995*تنظیمات!$B$28+AZ995*تنظیمات!$B$29+BA995*تنظیمات!$B$30+BB995*تنظیمات!$B$31+BC995*تنظیمات!$B$32+BD995*تنظیمات!$B$33+BE995*تنظیمات!$B$34+BF995*تنظیمات!$B$35+BG995*تنظیمات!$B$36)</f>
        <v>0</v>
      </c>
      <c r="BI995" s="16" t="str">
        <f aca="false">IF(BH995&gt;=60,"بحرانی",IF(BH995&gt;=30,"مشکوک",IF(BH995&gt;0,"هشدار","عادی")))</f>
        <v>عادی</v>
      </c>
      <c r="BJ995" s="16" t="s">
        <v>338</v>
      </c>
    </row>
    <row r="996" customFormat="false" ht="15" hidden="false" customHeight="false" outlineLevel="0" collapsed="false">
      <c r="A996" s="16" t="s">
        <v>3287</v>
      </c>
      <c r="B996" s="16" t="s">
        <v>767</v>
      </c>
      <c r="C996" s="16"/>
      <c r="D996" s="16" t="s">
        <v>418</v>
      </c>
      <c r="E996" s="16" t="s">
        <v>345</v>
      </c>
      <c r="F996" s="16" t="s">
        <v>333</v>
      </c>
      <c r="G996" s="17" t="n">
        <v>46294.8666319445</v>
      </c>
      <c r="H996" s="17" t="n">
        <v>46294.8874652778</v>
      </c>
      <c r="I996" s="18" t="n">
        <f aca="false">IF(H996="",ROUND((تنظیمات!$B$7-G996)*1440,0),ROUND((H996-G996)*1440,0))</f>
        <v>30</v>
      </c>
      <c r="J996" s="16" t="s">
        <v>334</v>
      </c>
      <c r="K996" s="16" t="s">
        <v>410</v>
      </c>
      <c r="L996" s="19" t="n">
        <v>0.97</v>
      </c>
      <c r="M996" s="19" t="n">
        <v>0.896</v>
      </c>
      <c r="N996" s="16" t="s">
        <v>335</v>
      </c>
      <c r="O996" s="16" t="s">
        <v>650</v>
      </c>
      <c r="P996" s="16" t="s">
        <v>420</v>
      </c>
      <c r="Q996" s="20" t="n">
        <v>46294</v>
      </c>
      <c r="R996" s="16" t="s">
        <v>3288</v>
      </c>
      <c r="S996" s="16" t="s">
        <v>404</v>
      </c>
      <c r="T996" s="17"/>
      <c r="U996" s="21" t="n">
        <v>1</v>
      </c>
      <c r="V996" s="21" t="n">
        <v>1</v>
      </c>
      <c r="W996" s="22" t="n">
        <v>3.8</v>
      </c>
      <c r="X996" s="16" t="s">
        <v>335</v>
      </c>
      <c r="Y996" s="16" t="s">
        <v>338</v>
      </c>
      <c r="Z996" s="16" t="s">
        <v>405</v>
      </c>
      <c r="AA996" s="16"/>
      <c r="AB996" s="23"/>
      <c r="AC996" s="17"/>
      <c r="AD996" s="16" t="s">
        <v>338</v>
      </c>
      <c r="AE996" s="16"/>
      <c r="AF996" s="16" t="str">
        <f aca="false">IF(COUNTIF(لیست_سفید!$A$2:$A$21,B996)&gt;0,"بله","خیر")</f>
        <v>خیر</v>
      </c>
      <c r="AG996" s="24" t="n">
        <f aca="false">IF(H996="","",IF(AD996="فیش مفقودی",تنظیمات!$B$6,(INT(I996/1440)*تنظیمات!$B$5+IF(MOD(I996,1440)&lt;=تنظیمات!$B$2,0,MIN(تنظیمات!$B$5,تنظیمات!$B$3+MAX(0,ROUNDUP((MOD(I996,1440)-60)/60,0))*تنظیمات!$B$4)))*INDEX(تعرفه!$B$2:$B$7,MATCH(AD996,تعرفه!$A$2:$A$7,0))))</f>
        <v>20000</v>
      </c>
      <c r="AH996" s="24" t="n">
        <v>20000</v>
      </c>
      <c r="AI996" s="24" t="n">
        <f aca="false">IF(AG996="","",AH996-AG996)</f>
        <v>0</v>
      </c>
      <c r="AJ996" s="21" t="n">
        <v>0</v>
      </c>
      <c r="AK996" s="21" t="n">
        <v>0</v>
      </c>
      <c r="AL996" s="16" t="s">
        <v>335</v>
      </c>
      <c r="AM996" s="16"/>
      <c r="AN996" s="16" t="s">
        <v>340</v>
      </c>
      <c r="AO996" s="16" t="s">
        <v>340</v>
      </c>
      <c r="AP996" s="16" t="s">
        <v>335</v>
      </c>
      <c r="AQ996" s="16"/>
      <c r="AR996" s="21" t="n">
        <f aca="false">IF(AND(T996&lt;&gt;"",H996&lt;&gt;""),IF(AND((T996-H996)*86400&gt;=0,(T996-H996)*86400&lt;تنظیمات!$B$13),1,0),0)</f>
        <v>0</v>
      </c>
      <c r="AS996" s="21" t="n">
        <f aca="false">IF(Z996="پوز",IF(OR(AB996="",COUNTIF(پوزها!$A$2:$A$5,AA996)=0),1,0),0)</f>
        <v>0</v>
      </c>
      <c r="AT996" s="21" t="n">
        <f aca="false">IF(AI996="",0,IF(AI996&gt;0,1,0))</f>
        <v>0</v>
      </c>
      <c r="AU996" s="21" t="n">
        <f aca="false">IF(AI996="",0,IF(AI996&lt;0,1,0))</f>
        <v>0</v>
      </c>
      <c r="AV996" s="21" t="n">
        <f aca="false">IF(U996&gt;V996,1,0)</f>
        <v>0</v>
      </c>
      <c r="AW996" s="21" t="n">
        <f aca="false">IF(OR(W996&gt;تنظیمات!$B$8,X996="بله"),1,0)</f>
        <v>0</v>
      </c>
      <c r="AX996" s="21" t="n">
        <f aca="false">IF(AND(N996="بله",L996&gt;تنظیمات!$B$9),1,0)</f>
        <v>0</v>
      </c>
      <c r="AY996" s="21" t="n">
        <f aca="false">IF(Y996="معکوس",1,0)</f>
        <v>0</v>
      </c>
      <c r="AZ996" s="21" t="n">
        <f aca="false">IF(ABS(AJ996)&gt;تنظیمات!$B$10,1,0)</f>
        <v>0</v>
      </c>
      <c r="BA996" s="21" t="n">
        <f aca="false">IF(AND(OR(AD996="رایگان/VIP",AD996="جانباز"),AF996="خیر"),1,0)</f>
        <v>0</v>
      </c>
      <c r="BB996" s="21" t="n">
        <f aca="false">IF(AE996="",0,IF(COUNTIF($AE$2:$AE$1001,AE996)&gt;1,1,0))</f>
        <v>0</v>
      </c>
      <c r="BC996" s="21" t="n">
        <f aca="false">IF(AND(H996="",I996&gt;تنظیمات!$B$12*60,AM996="خالی"),1,0)</f>
        <v>0</v>
      </c>
      <c r="BD996" s="21" t="n">
        <f aca="false">IF(AND(AP996="بله",I996&lt;تنظیمات!$B$14,AO996="خیر"),1,0)</f>
        <v>0</v>
      </c>
      <c r="BE996" s="21" t="n">
        <f aca="false">IF(AN996="خیر",1,0)</f>
        <v>0</v>
      </c>
      <c r="BF996" s="21" t="n">
        <f aca="false">IF(AND(AD996="فیش مفقودی",AQ996="بله",I996&gt;تنظیمات!$B$12*60),1,0)</f>
        <v>0</v>
      </c>
      <c r="BG996" s="21" t="n">
        <f aca="false">IF(AND(AK996&gt;تنظیمات!$B$11,AL996="بله"),1,0)</f>
        <v>0</v>
      </c>
      <c r="BH996" s="21" t="n">
        <f aca="false">MIN(100,AR996*تنظیمات!$B$21+AS996*تنظیمات!$B$22+AT996*تنظیمات!$B$23+AU996*تنظیمات!$B$24+AV996*تنظیمات!$B$25+AW996*تنظیمات!$B$26+AX996*تنظیمات!$B$27+AY996*تنظیمات!$B$28+AZ996*تنظیمات!$B$29+BA996*تنظیمات!$B$30+BB996*تنظیمات!$B$31+BC996*تنظیمات!$B$32+BD996*تنظیمات!$B$33+BE996*تنظیمات!$B$34+BF996*تنظیمات!$B$35+BG996*تنظیمات!$B$36)</f>
        <v>0</v>
      </c>
      <c r="BI996" s="16" t="str">
        <f aca="false">IF(BH996&gt;=60,"بحرانی",IF(BH996&gt;=30,"مشکوک",IF(BH996&gt;0,"هشدار","عادی")))</f>
        <v>عادی</v>
      </c>
      <c r="BJ996" s="16" t="s">
        <v>338</v>
      </c>
    </row>
    <row r="997" customFormat="false" ht="15" hidden="false" customHeight="false" outlineLevel="0" collapsed="false">
      <c r="A997" s="16" t="s">
        <v>3289</v>
      </c>
      <c r="B997" s="16" t="s">
        <v>1717</v>
      </c>
      <c r="C997" s="16"/>
      <c r="D997" s="16" t="s">
        <v>382</v>
      </c>
      <c r="E997" s="16" t="s">
        <v>345</v>
      </c>
      <c r="F997" s="16" t="s">
        <v>333</v>
      </c>
      <c r="G997" s="17" t="n">
        <v>46294.8818518519</v>
      </c>
      <c r="H997" s="17" t="n">
        <v>46294.8999074074</v>
      </c>
      <c r="I997" s="18" t="n">
        <f aca="false">IF(H997="",ROUND((تنظیمات!$B$7-G997)*1440,0),ROUND((H997-G997)*1440,0))</f>
        <v>26</v>
      </c>
      <c r="J997" s="16" t="s">
        <v>334</v>
      </c>
      <c r="K997" s="16" t="s">
        <v>400</v>
      </c>
      <c r="L997" s="19" t="n">
        <v>0.926</v>
      </c>
      <c r="M997" s="19" t="n">
        <v>0.986</v>
      </c>
      <c r="N997" s="16" t="s">
        <v>335</v>
      </c>
      <c r="O997" s="16" t="s">
        <v>419</v>
      </c>
      <c r="P997" s="16" t="s">
        <v>420</v>
      </c>
      <c r="Q997" s="20" t="n">
        <v>46294</v>
      </c>
      <c r="R997" s="16" t="s">
        <v>3290</v>
      </c>
      <c r="S997" s="16" t="s">
        <v>404</v>
      </c>
      <c r="T997" s="17"/>
      <c r="U997" s="21" t="n">
        <v>1</v>
      </c>
      <c r="V997" s="21" t="n">
        <v>1</v>
      </c>
      <c r="W997" s="22" t="n">
        <v>5.1</v>
      </c>
      <c r="X997" s="16" t="s">
        <v>335</v>
      </c>
      <c r="Y997" s="16" t="s">
        <v>338</v>
      </c>
      <c r="Z997" s="16" t="s">
        <v>413</v>
      </c>
      <c r="AA997" s="16" t="s">
        <v>427</v>
      </c>
      <c r="AB997" s="23" t="s">
        <v>3291</v>
      </c>
      <c r="AC997" s="17" t="n">
        <v>46294.8996643519</v>
      </c>
      <c r="AD997" s="16" t="s">
        <v>338</v>
      </c>
      <c r="AE997" s="16"/>
      <c r="AF997" s="16" t="str">
        <f aca="false">IF(COUNTIF(لیست_سفید!$A$2:$A$21,B997)&gt;0,"بله","خیر")</f>
        <v>خیر</v>
      </c>
      <c r="AG997" s="24" t="n">
        <f aca="false">IF(H997="","",IF(AD997="فیش مفقودی",تنظیمات!$B$6,(INT(I997/1440)*تنظیمات!$B$5+IF(MOD(I997,1440)&lt;=تنظیمات!$B$2,0,MIN(تنظیمات!$B$5,تنظیمات!$B$3+MAX(0,ROUNDUP((MOD(I997,1440)-60)/60,0))*تنظیمات!$B$4)))*INDEX(تعرفه!$B$2:$B$7,MATCH(AD997,تعرفه!$A$2:$A$7,0))))</f>
        <v>20000</v>
      </c>
      <c r="AH997" s="24" t="n">
        <v>20000</v>
      </c>
      <c r="AI997" s="24" t="n">
        <f aca="false">IF(AG997="","",AH997-AG997)</f>
        <v>0</v>
      </c>
      <c r="AJ997" s="21" t="n">
        <v>1</v>
      </c>
      <c r="AK997" s="21" t="n">
        <v>0</v>
      </c>
      <c r="AL997" s="16" t="s">
        <v>335</v>
      </c>
      <c r="AM997" s="16"/>
      <c r="AN997" s="16" t="s">
        <v>340</v>
      </c>
      <c r="AO997" s="16" t="s">
        <v>340</v>
      </c>
      <c r="AP997" s="16" t="s">
        <v>335</v>
      </c>
      <c r="AQ997" s="16"/>
      <c r="AR997" s="21" t="n">
        <f aca="false">IF(AND(T997&lt;&gt;"",H997&lt;&gt;""),IF(AND((T997-H997)*86400&gt;=0,(T997-H997)*86400&lt;تنظیمات!$B$13),1,0),0)</f>
        <v>0</v>
      </c>
      <c r="AS997" s="21" t="n">
        <f aca="false">IF(Z997="پوز",IF(OR(AB997="",COUNTIF(پوزها!$A$2:$A$5,AA997)=0),1,0),0)</f>
        <v>0</v>
      </c>
      <c r="AT997" s="21" t="n">
        <f aca="false">IF(AI997="",0,IF(AI997&gt;0,1,0))</f>
        <v>0</v>
      </c>
      <c r="AU997" s="21" t="n">
        <f aca="false">IF(AI997="",0,IF(AI997&lt;0,1,0))</f>
        <v>0</v>
      </c>
      <c r="AV997" s="21" t="n">
        <f aca="false">IF(U997&gt;V997,1,0)</f>
        <v>0</v>
      </c>
      <c r="AW997" s="21" t="n">
        <f aca="false">IF(OR(W997&gt;تنظیمات!$B$8,X997="بله"),1,0)</f>
        <v>0</v>
      </c>
      <c r="AX997" s="21" t="n">
        <f aca="false">IF(AND(N997="بله",L997&gt;تنظیمات!$B$9),1,0)</f>
        <v>0</v>
      </c>
      <c r="AY997" s="21" t="n">
        <f aca="false">IF(Y997="معکوس",1,0)</f>
        <v>0</v>
      </c>
      <c r="AZ997" s="21" t="n">
        <f aca="false">IF(ABS(AJ997)&gt;تنظیمات!$B$10,1,0)</f>
        <v>0</v>
      </c>
      <c r="BA997" s="21" t="n">
        <f aca="false">IF(AND(OR(AD997="رایگان/VIP",AD997="جانباز"),AF997="خیر"),1,0)</f>
        <v>0</v>
      </c>
      <c r="BB997" s="21" t="n">
        <f aca="false">IF(AE997="",0,IF(COUNTIF($AE$2:$AE$1001,AE997)&gt;1,1,0))</f>
        <v>0</v>
      </c>
      <c r="BC997" s="21" t="n">
        <f aca="false">IF(AND(H997="",I997&gt;تنظیمات!$B$12*60,AM997="خالی"),1,0)</f>
        <v>0</v>
      </c>
      <c r="BD997" s="21" t="n">
        <f aca="false">IF(AND(AP997="بله",I997&lt;تنظیمات!$B$14,AO997="خیر"),1,0)</f>
        <v>0</v>
      </c>
      <c r="BE997" s="21" t="n">
        <f aca="false">IF(AN997="خیر",1,0)</f>
        <v>0</v>
      </c>
      <c r="BF997" s="21" t="n">
        <f aca="false">IF(AND(AD997="فیش مفقودی",AQ997="بله",I997&gt;تنظیمات!$B$12*60),1,0)</f>
        <v>0</v>
      </c>
      <c r="BG997" s="21" t="n">
        <f aca="false">IF(AND(AK997&gt;تنظیمات!$B$11,AL997="بله"),1,0)</f>
        <v>0</v>
      </c>
      <c r="BH997" s="21" t="n">
        <f aca="false">MIN(100,AR997*تنظیمات!$B$21+AS997*تنظیمات!$B$22+AT997*تنظیمات!$B$23+AU997*تنظیمات!$B$24+AV997*تنظیمات!$B$25+AW997*تنظیمات!$B$26+AX997*تنظیمات!$B$27+AY997*تنظیمات!$B$28+AZ997*تنظیمات!$B$29+BA997*تنظیمات!$B$30+BB997*تنظیمات!$B$31+BC997*تنظیمات!$B$32+BD997*تنظیمات!$B$33+BE997*تنظیمات!$B$34+BF997*تنظیمات!$B$35+BG997*تنظیمات!$B$36)</f>
        <v>0</v>
      </c>
      <c r="BI997" s="16" t="str">
        <f aca="false">IF(BH997&gt;=60,"بحرانی",IF(BH997&gt;=30,"مشکوک",IF(BH997&gt;0,"هشدار","عادی")))</f>
        <v>عادی</v>
      </c>
      <c r="BJ997" s="16" t="s">
        <v>338</v>
      </c>
    </row>
    <row r="998" customFormat="false" ht="15" hidden="false" customHeight="false" outlineLevel="0" collapsed="false">
      <c r="A998" s="16" t="s">
        <v>3292</v>
      </c>
      <c r="B998" s="16" t="s">
        <v>1139</v>
      </c>
      <c r="C998" s="16"/>
      <c r="D998" s="16" t="s">
        <v>382</v>
      </c>
      <c r="E998" s="16" t="s">
        <v>363</v>
      </c>
      <c r="F998" s="16" t="s">
        <v>333</v>
      </c>
      <c r="G998" s="17" t="n">
        <v>46294.9397337963</v>
      </c>
      <c r="H998" s="17" t="n">
        <v>46295.1570949074</v>
      </c>
      <c r="I998" s="18" t="n">
        <f aca="false">IF(H998="",ROUND((تنظیمات!$B$7-G998)*1440,0),ROUND((H998-G998)*1440,0))</f>
        <v>313</v>
      </c>
      <c r="J998" s="16" t="s">
        <v>334</v>
      </c>
      <c r="K998" s="16" t="s">
        <v>400</v>
      </c>
      <c r="L998" s="19" t="n">
        <v>0.902</v>
      </c>
      <c r="M998" s="19" t="n">
        <v>0.973</v>
      </c>
      <c r="N998" s="16" t="s">
        <v>335</v>
      </c>
      <c r="O998" s="16" t="s">
        <v>666</v>
      </c>
      <c r="P998" s="16" t="s">
        <v>651</v>
      </c>
      <c r="Q998" s="20" t="n">
        <v>46294</v>
      </c>
      <c r="R998" s="16" t="s">
        <v>3293</v>
      </c>
      <c r="S998" s="16" t="s">
        <v>404</v>
      </c>
      <c r="T998" s="17"/>
      <c r="U998" s="21" t="n">
        <v>3</v>
      </c>
      <c r="V998" s="21" t="n">
        <v>1</v>
      </c>
      <c r="W998" s="22" t="n">
        <v>11.3</v>
      </c>
      <c r="X998" s="16" t="s">
        <v>335</v>
      </c>
      <c r="Y998" s="16" t="s">
        <v>338</v>
      </c>
      <c r="Z998" s="16" t="s">
        <v>405</v>
      </c>
      <c r="AA998" s="16"/>
      <c r="AB998" s="23"/>
      <c r="AC998" s="17"/>
      <c r="AD998" s="16" t="s">
        <v>338</v>
      </c>
      <c r="AE998" s="16"/>
      <c r="AF998" s="16" t="str">
        <f aca="false">IF(COUNTIF(لیست_سفید!$A$2:$A$21,B998)&gt;0,"بله","خیر")</f>
        <v>خیر</v>
      </c>
      <c r="AG998" s="24" t="n">
        <f aca="false">IF(H998="","",IF(AD998="فیش مفقودی",تنظیمات!$B$6,(INT(I998/1440)*تنظیمات!$B$5+IF(MOD(I998,1440)&lt;=تنظیمات!$B$2,0,MIN(تنظیمات!$B$5,تنظیمات!$B$3+MAX(0,ROUNDUP((MOD(I998,1440)-60)/60,0))*تنظیمات!$B$4)))*INDEX(تعرفه!$B$2:$B$7,MATCH(AD998,تعرفه!$A$2:$A$7,0))))</f>
        <v>90000</v>
      </c>
      <c r="AH998" s="24" t="n">
        <v>90000</v>
      </c>
      <c r="AI998" s="24" t="n">
        <f aca="false">IF(AG998="","",AH998-AG998)</f>
        <v>0</v>
      </c>
      <c r="AJ998" s="21" t="n">
        <v>0</v>
      </c>
      <c r="AK998" s="21" t="n">
        <v>0</v>
      </c>
      <c r="AL998" s="16" t="s">
        <v>335</v>
      </c>
      <c r="AM998" s="16"/>
      <c r="AN998" s="16" t="s">
        <v>340</v>
      </c>
      <c r="AO998" s="16" t="s">
        <v>340</v>
      </c>
      <c r="AP998" s="16" t="s">
        <v>335</v>
      </c>
      <c r="AQ998" s="16"/>
      <c r="AR998" s="21" t="n">
        <f aca="false">IF(AND(T998&lt;&gt;"",H998&lt;&gt;""),IF(AND((T998-H998)*86400&gt;=0,(T998-H998)*86400&lt;تنظیمات!$B$13),1,0),0)</f>
        <v>0</v>
      </c>
      <c r="AS998" s="21" t="n">
        <f aca="false">IF(Z998="پوز",IF(OR(AB998="",COUNTIF(پوزها!$A$2:$A$5,AA998)=0),1,0),0)</f>
        <v>0</v>
      </c>
      <c r="AT998" s="21" t="n">
        <f aca="false">IF(AI998="",0,IF(AI998&gt;0,1,0))</f>
        <v>0</v>
      </c>
      <c r="AU998" s="21" t="n">
        <f aca="false">IF(AI998="",0,IF(AI998&lt;0,1,0))</f>
        <v>0</v>
      </c>
      <c r="AV998" s="21" t="n">
        <f aca="false">IF(U998&gt;V998,1,0)</f>
        <v>1</v>
      </c>
      <c r="AW998" s="21" t="n">
        <f aca="false">IF(OR(W998&gt;تنظیمات!$B$8,X998="بله"),1,0)</f>
        <v>0</v>
      </c>
      <c r="AX998" s="21" t="n">
        <f aca="false">IF(AND(N998="بله",L998&gt;تنظیمات!$B$9),1,0)</f>
        <v>0</v>
      </c>
      <c r="AY998" s="21" t="n">
        <f aca="false">IF(Y998="معکوس",1,0)</f>
        <v>0</v>
      </c>
      <c r="AZ998" s="21" t="n">
        <f aca="false">IF(ABS(AJ998)&gt;تنظیمات!$B$10,1,0)</f>
        <v>0</v>
      </c>
      <c r="BA998" s="21" t="n">
        <f aca="false">IF(AND(OR(AD998="رایگان/VIP",AD998="جانباز"),AF998="خیر"),1,0)</f>
        <v>0</v>
      </c>
      <c r="BB998" s="21" t="n">
        <f aca="false">IF(AE998="",0,IF(COUNTIF($AE$2:$AE$1001,AE998)&gt;1,1,0))</f>
        <v>0</v>
      </c>
      <c r="BC998" s="21" t="n">
        <f aca="false">IF(AND(H998="",I998&gt;تنظیمات!$B$12*60,AM998="خالی"),1,0)</f>
        <v>0</v>
      </c>
      <c r="BD998" s="21" t="n">
        <f aca="false">IF(AND(AP998="بله",I998&lt;تنظیمات!$B$14,AO998="خیر"),1,0)</f>
        <v>0</v>
      </c>
      <c r="BE998" s="21" t="n">
        <f aca="false">IF(AN998="خیر",1,0)</f>
        <v>0</v>
      </c>
      <c r="BF998" s="21" t="n">
        <f aca="false">IF(AND(AD998="فیش مفقودی",AQ998="بله",I998&gt;تنظیمات!$B$12*60),1,0)</f>
        <v>0</v>
      </c>
      <c r="BG998" s="21" t="n">
        <f aca="false">IF(AND(AK998&gt;تنظیمات!$B$11,AL998="بله"),1,0)</f>
        <v>0</v>
      </c>
      <c r="BH998" s="21" t="n">
        <f aca="false">MIN(100,AR998*تنظیمات!$B$21+AS998*تنظیمات!$B$22+AT998*تنظیمات!$B$23+AU998*تنظیمات!$B$24+AV998*تنظیمات!$B$25+AW998*تنظیمات!$B$26+AX998*تنظیمات!$B$27+AY998*تنظیمات!$B$28+AZ998*تنظیمات!$B$29+BA998*تنظیمات!$B$30+BB998*تنظیمات!$B$31+BC998*تنظیمات!$B$32+BD998*تنظیمات!$B$33+BE998*تنظیمات!$B$34+BF998*تنظیمات!$B$35+BG998*تنظیمات!$B$36)</f>
        <v>30</v>
      </c>
      <c r="BI998" s="16" t="str">
        <f aca="false">IF(BH998&gt;=60,"بحرانی",IF(BH998&gt;=30,"مشکوک",IF(BH998&gt;0,"هشدار","عادی")))</f>
        <v>مشکوک</v>
      </c>
      <c r="BJ998" s="16" t="s">
        <v>516</v>
      </c>
    </row>
    <row r="999" customFormat="false" ht="15" hidden="false" customHeight="false" outlineLevel="0" collapsed="false">
      <c r="A999" s="16" t="s">
        <v>3294</v>
      </c>
      <c r="B999" s="16" t="s">
        <v>417</v>
      </c>
      <c r="C999" s="16"/>
      <c r="D999" s="16" t="s">
        <v>418</v>
      </c>
      <c r="E999" s="16" t="s">
        <v>351</v>
      </c>
      <c r="F999" s="16" t="s">
        <v>333</v>
      </c>
      <c r="G999" s="17" t="n">
        <v>46294.961087963</v>
      </c>
      <c r="H999" s="17" t="n">
        <v>46294.9916435185</v>
      </c>
      <c r="I999" s="18" t="n">
        <f aca="false">IF(H999="",ROUND((تنظیمات!$B$7-G999)*1440,0),ROUND((H999-G999)*1440,0))</f>
        <v>44</v>
      </c>
      <c r="J999" s="16" t="s">
        <v>334</v>
      </c>
      <c r="K999" s="16" t="s">
        <v>400</v>
      </c>
      <c r="L999" s="19" t="n">
        <v>0.983</v>
      </c>
      <c r="M999" s="19" t="n">
        <v>0.934</v>
      </c>
      <c r="N999" s="16" t="s">
        <v>335</v>
      </c>
      <c r="O999" s="16" t="s">
        <v>666</v>
      </c>
      <c r="P999" s="16" t="s">
        <v>651</v>
      </c>
      <c r="Q999" s="20" t="n">
        <v>46294</v>
      </c>
      <c r="R999" s="16" t="s">
        <v>3295</v>
      </c>
      <c r="S999" s="16" t="s">
        <v>404</v>
      </c>
      <c r="T999" s="17"/>
      <c r="U999" s="21" t="n">
        <v>1</v>
      </c>
      <c r="V999" s="21" t="n">
        <v>1</v>
      </c>
      <c r="W999" s="22" t="n">
        <v>5.6</v>
      </c>
      <c r="X999" s="16" t="s">
        <v>335</v>
      </c>
      <c r="Y999" s="16" t="s">
        <v>338</v>
      </c>
      <c r="Z999" s="16" t="s">
        <v>405</v>
      </c>
      <c r="AA999" s="16"/>
      <c r="AB999" s="23"/>
      <c r="AC999" s="17"/>
      <c r="AD999" s="16" t="s">
        <v>338</v>
      </c>
      <c r="AE999" s="16"/>
      <c r="AF999" s="16" t="str">
        <f aca="false">IF(COUNTIF(لیست_سفید!$A$2:$A$21,B999)&gt;0,"بله","خیر")</f>
        <v>خیر</v>
      </c>
      <c r="AG999" s="24" t="n">
        <f aca="false">IF(H999="","",IF(AD999="فیش مفقودی",تنظیمات!$B$6,(INT(I999/1440)*تنظیمات!$B$5+IF(MOD(I999,1440)&lt;=تنظیمات!$B$2,0,MIN(تنظیمات!$B$5,تنظیمات!$B$3+MAX(0,ROUNDUP((MOD(I999,1440)-60)/60,0))*تنظیمات!$B$4)))*INDEX(تعرفه!$B$2:$B$7,MATCH(AD999,تعرفه!$A$2:$A$7,0))))</f>
        <v>20000</v>
      </c>
      <c r="AH999" s="24" t="n">
        <v>20000</v>
      </c>
      <c r="AI999" s="24" t="n">
        <f aca="false">IF(AG999="","",AH999-AG999)</f>
        <v>0</v>
      </c>
      <c r="AJ999" s="21" t="n">
        <v>-4</v>
      </c>
      <c r="AK999" s="21" t="n">
        <v>0</v>
      </c>
      <c r="AL999" s="16" t="s">
        <v>335</v>
      </c>
      <c r="AM999" s="16"/>
      <c r="AN999" s="16" t="s">
        <v>340</v>
      </c>
      <c r="AO999" s="16" t="s">
        <v>340</v>
      </c>
      <c r="AP999" s="16" t="s">
        <v>335</v>
      </c>
      <c r="AQ999" s="16"/>
      <c r="AR999" s="21" t="n">
        <f aca="false">IF(AND(T999&lt;&gt;"",H999&lt;&gt;""),IF(AND((T999-H999)*86400&gt;=0,(T999-H999)*86400&lt;تنظیمات!$B$13),1,0),0)</f>
        <v>0</v>
      </c>
      <c r="AS999" s="21" t="n">
        <f aca="false">IF(Z999="پوز",IF(OR(AB999="",COUNTIF(پوزها!$A$2:$A$5,AA999)=0),1,0),0)</f>
        <v>0</v>
      </c>
      <c r="AT999" s="21" t="n">
        <f aca="false">IF(AI999="",0,IF(AI999&gt;0,1,0))</f>
        <v>0</v>
      </c>
      <c r="AU999" s="21" t="n">
        <f aca="false">IF(AI999="",0,IF(AI999&lt;0,1,0))</f>
        <v>0</v>
      </c>
      <c r="AV999" s="21" t="n">
        <f aca="false">IF(U999&gt;V999,1,0)</f>
        <v>0</v>
      </c>
      <c r="AW999" s="21" t="n">
        <f aca="false">IF(OR(W999&gt;تنظیمات!$B$8,X999="بله"),1,0)</f>
        <v>0</v>
      </c>
      <c r="AX999" s="21" t="n">
        <f aca="false">IF(AND(N999="بله",L999&gt;تنظیمات!$B$9),1,0)</f>
        <v>0</v>
      </c>
      <c r="AY999" s="21" t="n">
        <f aca="false">IF(Y999="معکوس",1,0)</f>
        <v>0</v>
      </c>
      <c r="AZ999" s="21" t="n">
        <f aca="false">IF(ABS(AJ999)&gt;تنظیمات!$B$10,1,0)</f>
        <v>0</v>
      </c>
      <c r="BA999" s="21" t="n">
        <f aca="false">IF(AND(OR(AD999="رایگان/VIP",AD999="جانباز"),AF999="خیر"),1,0)</f>
        <v>0</v>
      </c>
      <c r="BB999" s="21" t="n">
        <f aca="false">IF(AE999="",0,IF(COUNTIF($AE$2:$AE$1001,AE999)&gt;1,1,0))</f>
        <v>0</v>
      </c>
      <c r="BC999" s="21" t="n">
        <f aca="false">IF(AND(H999="",I999&gt;تنظیمات!$B$12*60,AM999="خالی"),1,0)</f>
        <v>0</v>
      </c>
      <c r="BD999" s="21" t="n">
        <f aca="false">IF(AND(AP999="بله",I999&lt;تنظیمات!$B$14,AO999="خیر"),1,0)</f>
        <v>0</v>
      </c>
      <c r="BE999" s="21" t="n">
        <f aca="false">IF(AN999="خیر",1,0)</f>
        <v>0</v>
      </c>
      <c r="BF999" s="21" t="n">
        <f aca="false">IF(AND(AD999="فیش مفقودی",AQ999="بله",I999&gt;تنظیمات!$B$12*60),1,0)</f>
        <v>0</v>
      </c>
      <c r="BG999" s="21" t="n">
        <f aca="false">IF(AND(AK999&gt;تنظیمات!$B$11,AL999="بله"),1,0)</f>
        <v>0</v>
      </c>
      <c r="BH999" s="21" t="n">
        <f aca="false">MIN(100,AR999*تنظیمات!$B$21+AS999*تنظیمات!$B$22+AT999*تنظیمات!$B$23+AU999*تنظیمات!$B$24+AV999*تنظیمات!$B$25+AW999*تنظیمات!$B$26+AX999*تنظیمات!$B$27+AY999*تنظیمات!$B$28+AZ999*تنظیمات!$B$29+BA999*تنظیمات!$B$30+BB999*تنظیمات!$B$31+BC999*تنظیمات!$B$32+BD999*تنظیمات!$B$33+BE999*تنظیمات!$B$34+BF999*تنظیمات!$B$35+BG999*تنظیمات!$B$36)</f>
        <v>0</v>
      </c>
      <c r="BI999" s="16" t="str">
        <f aca="false">IF(BH999&gt;=60,"بحرانی",IF(BH999&gt;=30,"مشکوک",IF(BH999&gt;0,"هشدار","عادی")))</f>
        <v>عادی</v>
      </c>
      <c r="BJ999" s="16" t="s">
        <v>338</v>
      </c>
    </row>
    <row r="1000" customFormat="false" ht="15" hidden="false" customHeight="false" outlineLevel="0" collapsed="false">
      <c r="A1000" s="16" t="s">
        <v>3296</v>
      </c>
      <c r="B1000" s="16" t="s">
        <v>385</v>
      </c>
      <c r="C1000" s="16" t="s">
        <v>3297</v>
      </c>
      <c r="D1000" s="16" t="s">
        <v>386</v>
      </c>
      <c r="E1000" s="16" t="s">
        <v>351</v>
      </c>
      <c r="F1000" s="16" t="s">
        <v>333</v>
      </c>
      <c r="G1000" s="17" t="n">
        <v>46294.9778356482</v>
      </c>
      <c r="H1000" s="17" t="n">
        <v>46294.9931134259</v>
      </c>
      <c r="I1000" s="18" t="n">
        <f aca="false">IF(H1000="",ROUND((تنظیمات!$B$7-G1000)*1440,0),ROUND((H1000-G1000)*1440,0))</f>
        <v>22</v>
      </c>
      <c r="J1000" s="16" t="s">
        <v>334</v>
      </c>
      <c r="K1000" s="16" t="s">
        <v>400</v>
      </c>
      <c r="L1000" s="19" t="n">
        <v>0.958</v>
      </c>
      <c r="M1000" s="19" t="n">
        <v>0.961</v>
      </c>
      <c r="N1000" s="16" t="s">
        <v>340</v>
      </c>
      <c r="O1000" s="16" t="s">
        <v>666</v>
      </c>
      <c r="P1000" s="16" t="s">
        <v>651</v>
      </c>
      <c r="Q1000" s="20" t="n">
        <v>46294</v>
      </c>
      <c r="R1000" s="16" t="s">
        <v>3298</v>
      </c>
      <c r="S1000" s="16" t="s">
        <v>404</v>
      </c>
      <c r="T1000" s="17"/>
      <c r="U1000" s="21" t="n">
        <v>1</v>
      </c>
      <c r="V1000" s="21" t="n">
        <v>1</v>
      </c>
      <c r="W1000" s="22" t="n">
        <v>15.6</v>
      </c>
      <c r="X1000" s="16" t="s">
        <v>335</v>
      </c>
      <c r="Y1000" s="16" t="s">
        <v>338</v>
      </c>
      <c r="Z1000" s="16" t="s">
        <v>405</v>
      </c>
      <c r="AA1000" s="16"/>
      <c r="AB1000" s="23"/>
      <c r="AC1000" s="17"/>
      <c r="AD1000" s="16" t="s">
        <v>338</v>
      </c>
      <c r="AE1000" s="16"/>
      <c r="AF1000" s="16" t="str">
        <f aca="false">IF(COUNTIF(لیست_سفید!$A$2:$A$21,B1000)&gt;0,"بله","خیر")</f>
        <v>خیر</v>
      </c>
      <c r="AG1000" s="24" t="n">
        <f aca="false">IF(H1000="","",IF(AD1000="فیش مفقودی",تنظیمات!$B$6,(INT(I1000/1440)*تنظیمات!$B$5+IF(MOD(I1000,1440)&lt;=تنظیمات!$B$2,0,MIN(تنظیمات!$B$5,تنظیمات!$B$3+MAX(0,ROUNDUP((MOD(I1000,1440)-60)/60,0))*تنظیمات!$B$4)))*INDEX(تعرفه!$B$2:$B$7,MATCH(AD1000,تعرفه!$A$2:$A$7,0))))</f>
        <v>20000</v>
      </c>
      <c r="AH1000" s="24" t="n">
        <v>20000</v>
      </c>
      <c r="AI1000" s="24" t="n">
        <f aca="false">IF(AG1000="","",AH1000-AG1000)</f>
        <v>0</v>
      </c>
      <c r="AJ1000" s="21" t="n">
        <v>-1</v>
      </c>
      <c r="AK1000" s="21" t="n">
        <v>0</v>
      </c>
      <c r="AL1000" s="16" t="s">
        <v>335</v>
      </c>
      <c r="AM1000" s="16"/>
      <c r="AN1000" s="16" t="s">
        <v>340</v>
      </c>
      <c r="AO1000" s="16" t="s">
        <v>340</v>
      </c>
      <c r="AP1000" s="16" t="s">
        <v>335</v>
      </c>
      <c r="AQ1000" s="16"/>
      <c r="AR1000" s="21" t="n">
        <f aca="false">IF(AND(T1000&lt;&gt;"",H1000&lt;&gt;""),IF(AND((T1000-H1000)*86400&gt;=0,(T1000-H1000)*86400&lt;تنظیمات!$B$13),1,0),0)</f>
        <v>0</v>
      </c>
      <c r="AS1000" s="21" t="n">
        <f aca="false">IF(Z1000="پوز",IF(OR(AB1000="",COUNTIF(پوزها!$A$2:$A$5,AA1000)=0),1,0),0)</f>
        <v>0</v>
      </c>
      <c r="AT1000" s="21" t="n">
        <f aca="false">IF(AI1000="",0,IF(AI1000&gt;0,1,0))</f>
        <v>0</v>
      </c>
      <c r="AU1000" s="21" t="n">
        <f aca="false">IF(AI1000="",0,IF(AI1000&lt;0,1,0))</f>
        <v>0</v>
      </c>
      <c r="AV1000" s="21" t="n">
        <f aca="false">IF(U1000&gt;V1000,1,0)</f>
        <v>0</v>
      </c>
      <c r="AW1000" s="21" t="n">
        <f aca="false">IF(OR(W1000&gt;تنظیمات!$B$8,X1000="بله"),1,0)</f>
        <v>1</v>
      </c>
      <c r="AX1000" s="21" t="n">
        <f aca="false">IF(AND(N1000="بله",L1000&gt;تنظیمات!$B$9),1,0)</f>
        <v>1</v>
      </c>
      <c r="AY1000" s="21" t="n">
        <f aca="false">IF(Y1000="معکوس",1,0)</f>
        <v>0</v>
      </c>
      <c r="AZ1000" s="21" t="n">
        <f aca="false">IF(ABS(AJ1000)&gt;تنظیمات!$B$10,1,0)</f>
        <v>0</v>
      </c>
      <c r="BA1000" s="21" t="n">
        <f aca="false">IF(AND(OR(AD1000="رایگان/VIP",AD1000="جانباز"),AF1000="خیر"),1,0)</f>
        <v>0</v>
      </c>
      <c r="BB1000" s="21" t="n">
        <f aca="false">IF(AE1000="",0,IF(COUNTIF($AE$2:$AE$1001,AE1000)&gt;1,1,0))</f>
        <v>0</v>
      </c>
      <c r="BC1000" s="21" t="n">
        <f aca="false">IF(AND(H1000="",I1000&gt;تنظیمات!$B$12*60,AM1000="خالی"),1,0)</f>
        <v>0</v>
      </c>
      <c r="BD1000" s="21" t="n">
        <f aca="false">IF(AND(AP1000="بله",I1000&lt;تنظیمات!$B$14,AO1000="خیر"),1,0)</f>
        <v>0</v>
      </c>
      <c r="BE1000" s="21" t="n">
        <f aca="false">IF(AN1000="خیر",1,0)</f>
        <v>0</v>
      </c>
      <c r="BF1000" s="21" t="n">
        <f aca="false">IF(AND(AD1000="فیش مفقودی",AQ1000="بله",I1000&gt;تنظیمات!$B$12*60),1,0)</f>
        <v>0</v>
      </c>
      <c r="BG1000" s="21" t="n">
        <f aca="false">IF(AND(AK1000&gt;تنظیمات!$B$11,AL1000="بله"),1,0)</f>
        <v>0</v>
      </c>
      <c r="BH1000" s="21" t="n">
        <f aca="false">MIN(100,AR1000*تنظیمات!$B$21+AS1000*تنظیمات!$B$22+AT1000*تنظیمات!$B$23+AU1000*تنظیمات!$B$24+AV1000*تنظیمات!$B$25+AW1000*تنظیمات!$B$26+AX1000*تنظیمات!$B$27+AY1000*تنظیمات!$B$28+AZ1000*تنظیمات!$B$29+BA1000*تنظیمات!$B$30+BB1000*تنظیمات!$B$31+BC1000*تنظیمات!$B$32+BD1000*تنظیمات!$B$33+BE1000*تنظیمات!$B$34+BF1000*تنظیمات!$B$35+BG1000*تنظیمات!$B$36)</f>
        <v>55</v>
      </c>
      <c r="BI1000" s="16" t="str">
        <f aca="false">IF(BH1000&gt;=60,"بحرانی",IF(BH1000&gt;=30,"مشکوک",IF(BH1000&gt;0,"هشدار","عادی")))</f>
        <v>مشکوک</v>
      </c>
      <c r="BJ1000" s="16" t="s">
        <v>700</v>
      </c>
    </row>
    <row r="1001" customFormat="false" ht="15" hidden="false" customHeight="false" outlineLevel="0" collapsed="false">
      <c r="A1001" s="16" t="s">
        <v>3299</v>
      </c>
      <c r="B1001" s="16" t="s">
        <v>1384</v>
      </c>
      <c r="C1001" s="16"/>
      <c r="D1001" s="16" t="s">
        <v>418</v>
      </c>
      <c r="E1001" s="16" t="s">
        <v>345</v>
      </c>
      <c r="F1001" s="16" t="s">
        <v>333</v>
      </c>
      <c r="G1001" s="17" t="n">
        <v>46295.1329976852</v>
      </c>
      <c r="H1001" s="17" t="n">
        <v>46295.2149421296</v>
      </c>
      <c r="I1001" s="18" t="n">
        <f aca="false">IF(H1001="",ROUND((تنظیمات!$B$7-G1001)*1440,0),ROUND((H1001-G1001)*1440,0))</f>
        <v>118</v>
      </c>
      <c r="J1001" s="16" t="s">
        <v>346</v>
      </c>
      <c r="K1001" s="16" t="s">
        <v>400</v>
      </c>
      <c r="L1001" s="19" t="n">
        <v>0.965</v>
      </c>
      <c r="M1001" s="19" t="n">
        <v>0.934</v>
      </c>
      <c r="N1001" s="16" t="s">
        <v>335</v>
      </c>
      <c r="O1001" s="16" t="s">
        <v>666</v>
      </c>
      <c r="P1001" s="16" t="s">
        <v>651</v>
      </c>
      <c r="Q1001" s="20" t="n">
        <v>46294</v>
      </c>
      <c r="R1001" s="16" t="s">
        <v>3300</v>
      </c>
      <c r="S1001" s="16" t="s">
        <v>404</v>
      </c>
      <c r="T1001" s="17"/>
      <c r="U1001" s="21" t="n">
        <v>1</v>
      </c>
      <c r="V1001" s="21" t="n">
        <v>1</v>
      </c>
      <c r="W1001" s="22" t="n">
        <v>4.7</v>
      </c>
      <c r="X1001" s="16" t="s">
        <v>335</v>
      </c>
      <c r="Y1001" s="16" t="s">
        <v>338</v>
      </c>
      <c r="Z1001" s="16" t="s">
        <v>413</v>
      </c>
      <c r="AA1001" s="16" t="s">
        <v>720</v>
      </c>
      <c r="AB1001" s="23" t="s">
        <v>3301</v>
      </c>
      <c r="AC1001" s="17" t="n">
        <v>46295.2146412037</v>
      </c>
      <c r="AD1001" s="16" t="s">
        <v>338</v>
      </c>
      <c r="AE1001" s="16"/>
      <c r="AF1001" s="16" t="str">
        <f aca="false">IF(COUNTIF(لیست_سفید!$A$2:$A$21,B1001)&gt;0,"بله","خیر")</f>
        <v>خیر</v>
      </c>
      <c r="AG1001" s="24" t="n">
        <f aca="false">IF(H1001="","",IF(AD1001="فیش مفقودی",تنظیمات!$B$6,(INT(I1001/1440)*تنظیمات!$B$5+IF(MOD(I1001,1440)&lt;=تنظیمات!$B$2,0,MIN(تنظیمات!$B$5,تنظیمات!$B$3+MAX(0,ROUNDUP((MOD(I1001,1440)-60)/60,0))*تنظیمات!$B$4)))*INDEX(تعرفه!$B$2:$B$7,MATCH(AD1001,تعرفه!$A$2:$A$7,0))))</f>
        <v>34000</v>
      </c>
      <c r="AH1001" s="24" t="n">
        <v>34000</v>
      </c>
      <c r="AI1001" s="24" t="n">
        <f aca="false">IF(AG1001="","",AH1001-AG1001)</f>
        <v>0</v>
      </c>
      <c r="AJ1001" s="21" t="n">
        <v>0</v>
      </c>
      <c r="AK1001" s="21" t="n">
        <v>0</v>
      </c>
      <c r="AL1001" s="16" t="s">
        <v>335</v>
      </c>
      <c r="AM1001" s="16"/>
      <c r="AN1001" s="16" t="s">
        <v>340</v>
      </c>
      <c r="AO1001" s="16" t="s">
        <v>340</v>
      </c>
      <c r="AP1001" s="16" t="s">
        <v>335</v>
      </c>
      <c r="AQ1001" s="16"/>
      <c r="AR1001" s="21" t="n">
        <f aca="false">IF(AND(T1001&lt;&gt;"",H1001&lt;&gt;""),IF(AND((T1001-H1001)*86400&gt;=0,(T1001-H1001)*86400&lt;تنظیمات!$B$13),1,0),0)</f>
        <v>0</v>
      </c>
      <c r="AS1001" s="21" t="n">
        <f aca="false">IF(Z1001="پوز",IF(OR(AB1001="",COUNTIF(پوزها!$A$2:$A$5,AA1001)=0),1,0),0)</f>
        <v>1</v>
      </c>
      <c r="AT1001" s="21" t="n">
        <f aca="false">IF(AI1001="",0,IF(AI1001&gt;0,1,0))</f>
        <v>0</v>
      </c>
      <c r="AU1001" s="21" t="n">
        <f aca="false">IF(AI1001="",0,IF(AI1001&lt;0,1,0))</f>
        <v>0</v>
      </c>
      <c r="AV1001" s="21" t="n">
        <f aca="false">IF(U1001&gt;V1001,1,0)</f>
        <v>0</v>
      </c>
      <c r="AW1001" s="21" t="n">
        <f aca="false">IF(OR(W1001&gt;تنظیمات!$B$8,X1001="بله"),1,0)</f>
        <v>0</v>
      </c>
      <c r="AX1001" s="21" t="n">
        <f aca="false">IF(AND(N1001="بله",L1001&gt;تنظیمات!$B$9),1,0)</f>
        <v>0</v>
      </c>
      <c r="AY1001" s="21" t="n">
        <f aca="false">IF(Y1001="معکوس",1,0)</f>
        <v>0</v>
      </c>
      <c r="AZ1001" s="21" t="n">
        <f aca="false">IF(ABS(AJ1001)&gt;تنظیمات!$B$10,1,0)</f>
        <v>0</v>
      </c>
      <c r="BA1001" s="21" t="n">
        <f aca="false">IF(AND(OR(AD1001="رایگان/VIP",AD1001="جانباز"),AF1001="خیر"),1,0)</f>
        <v>0</v>
      </c>
      <c r="BB1001" s="21" t="n">
        <f aca="false">IF(AE1001="",0,IF(COUNTIF($AE$2:$AE$1001,AE1001)&gt;1,1,0))</f>
        <v>0</v>
      </c>
      <c r="BC1001" s="21" t="n">
        <f aca="false">IF(AND(H1001="",I1001&gt;تنظیمات!$B$12*60,AM1001="خالی"),1,0)</f>
        <v>0</v>
      </c>
      <c r="BD1001" s="21" t="n">
        <f aca="false">IF(AND(AP1001="بله",I1001&lt;تنظیمات!$B$14,AO1001="خیر"),1,0)</f>
        <v>0</v>
      </c>
      <c r="BE1001" s="21" t="n">
        <f aca="false">IF(AN1001="خیر",1,0)</f>
        <v>0</v>
      </c>
      <c r="BF1001" s="21" t="n">
        <f aca="false">IF(AND(AD1001="فیش مفقودی",AQ1001="بله",I1001&gt;تنظیمات!$B$12*60),1,0)</f>
        <v>0</v>
      </c>
      <c r="BG1001" s="21" t="n">
        <f aca="false">IF(AND(AK1001&gt;تنظیمات!$B$11,AL1001="بله"),1,0)</f>
        <v>0</v>
      </c>
      <c r="BH1001" s="21" t="n">
        <f aca="false">MIN(100,AR1001*تنظیمات!$B$21+AS1001*تنظیمات!$B$22+AT1001*تنظیمات!$B$23+AU1001*تنظیمات!$B$24+AV1001*تنظیمات!$B$25+AW1001*تنظیمات!$B$26+AX1001*تنظیمات!$B$27+AY1001*تنظیمات!$B$28+AZ1001*تنظیمات!$B$29+BA1001*تنظیمات!$B$30+BB1001*تنظیمات!$B$31+BC1001*تنظیمات!$B$32+BD1001*تنظیمات!$B$33+BE1001*تنظیمات!$B$34+BF1001*تنظیمات!$B$35+BG1001*تنظیمات!$B$36)</f>
        <v>35</v>
      </c>
      <c r="BI1001" s="16" t="str">
        <f aca="false">IF(BH1001&gt;=60,"بحرانی",IF(BH1001&gt;=30,"مشکوک",IF(BH1001&gt;0,"هشدار","عادی")))</f>
        <v>مشکوک</v>
      </c>
      <c r="BJ1001" s="16" t="s">
        <v>722</v>
      </c>
    </row>
  </sheetData>
  <autoFilter ref="A1:BJ1001"/>
  <conditionalFormatting sqref="AR2:BG1001">
    <cfRule type="cellIs" priority="2" operator="equal" aboveAverage="0" equalAverage="0" bottom="0" percent="0" rank="0" text="" dxfId="13">
      <formula>1</formula>
    </cfRule>
  </conditionalFormatting>
  <conditionalFormatting sqref="BI2:BI1001">
    <cfRule type="cellIs" priority="3" operator="equal" aboveAverage="0" equalAverage="0" bottom="0" percent="0" rank="0" text="" dxfId="14">
      <formula>"بحرانی"</formula>
    </cfRule>
    <cfRule type="cellIs" priority="4" operator="equal" aboveAverage="0" equalAverage="0" bottom="0" percent="0" rank="0" text="" dxfId="15">
      <formula>"مشکوک"</formula>
    </cfRule>
    <cfRule type="cellIs" priority="5" operator="equal" aboveAverage="0" equalAverage="0" bottom="0" percent="0" rank="0" text="" dxfId="16">
      <formula>"هشدار"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4" t="s">
        <v>3302</v>
      </c>
      <c r="B1" s="4" t="s">
        <v>3303</v>
      </c>
      <c r="C1" s="4" t="s">
        <v>3304</v>
      </c>
    </row>
    <row r="2" customFormat="false" ht="15" hidden="false" customHeight="false" outlineLevel="0" collapsed="false">
      <c r="A2" s="5" t="s">
        <v>3305</v>
      </c>
      <c r="B2" s="25" t="n">
        <v>10</v>
      </c>
      <c r="C2" s="7" t="s">
        <v>3306</v>
      </c>
    </row>
    <row r="3" customFormat="false" ht="15" hidden="false" customHeight="false" outlineLevel="0" collapsed="false">
      <c r="A3" s="5" t="s">
        <v>3307</v>
      </c>
      <c r="B3" s="25" t="n">
        <v>20000</v>
      </c>
      <c r="C3" s="7" t="s">
        <v>3308</v>
      </c>
    </row>
    <row r="4" customFormat="false" ht="15" hidden="false" customHeight="false" outlineLevel="0" collapsed="false">
      <c r="A4" s="5" t="s">
        <v>3309</v>
      </c>
      <c r="B4" s="25" t="n">
        <v>14000</v>
      </c>
      <c r="C4" s="7" t="s">
        <v>3310</v>
      </c>
    </row>
    <row r="5" customFormat="false" ht="15" hidden="false" customHeight="false" outlineLevel="0" collapsed="false">
      <c r="A5" s="5" t="s">
        <v>3311</v>
      </c>
      <c r="B5" s="25" t="n">
        <v>180000</v>
      </c>
      <c r="C5" s="7" t="s">
        <v>3312</v>
      </c>
    </row>
    <row r="6" customFormat="false" ht="15" hidden="false" customHeight="false" outlineLevel="0" collapsed="false">
      <c r="A6" s="5" t="s">
        <v>3313</v>
      </c>
      <c r="B6" s="25" t="n">
        <v>300000</v>
      </c>
      <c r="C6" s="7" t="s">
        <v>3314</v>
      </c>
    </row>
    <row r="7" customFormat="false" ht="15" hidden="false" customHeight="false" outlineLevel="0" collapsed="false">
      <c r="A7" s="5" t="s">
        <v>3315</v>
      </c>
      <c r="B7" s="26" t="n">
        <v>46295.25</v>
      </c>
      <c r="C7" s="7" t="s">
        <v>3316</v>
      </c>
    </row>
    <row r="8" customFormat="false" ht="15" hidden="false" customHeight="false" outlineLevel="0" collapsed="false">
      <c r="A8" s="5" t="s">
        <v>3317</v>
      </c>
      <c r="B8" s="25" t="n">
        <v>12</v>
      </c>
      <c r="C8" s="7" t="s">
        <v>3318</v>
      </c>
    </row>
    <row r="9" customFormat="false" ht="15" hidden="false" customHeight="false" outlineLevel="0" collapsed="false">
      <c r="A9" s="5" t="s">
        <v>3319</v>
      </c>
      <c r="B9" s="27" t="n">
        <v>0.85</v>
      </c>
      <c r="C9" s="7" t="s">
        <v>3320</v>
      </c>
    </row>
    <row r="10" customFormat="false" ht="15" hidden="false" customHeight="false" outlineLevel="0" collapsed="false">
      <c r="A10" s="5" t="s">
        <v>3321</v>
      </c>
      <c r="B10" s="25" t="n">
        <v>30</v>
      </c>
      <c r="C10" s="7" t="s">
        <v>3322</v>
      </c>
    </row>
    <row r="11" customFormat="false" ht="15" hidden="false" customHeight="false" outlineLevel="0" collapsed="false">
      <c r="A11" s="5" t="s">
        <v>3323</v>
      </c>
      <c r="B11" s="25" t="n">
        <v>120</v>
      </c>
      <c r="C11" s="7" t="s">
        <v>3324</v>
      </c>
    </row>
    <row r="12" customFormat="false" ht="15" hidden="false" customHeight="false" outlineLevel="0" collapsed="false">
      <c r="A12" s="5" t="s">
        <v>3325</v>
      </c>
      <c r="B12" s="25" t="n">
        <v>48</v>
      </c>
      <c r="C12" s="7" t="s">
        <v>3326</v>
      </c>
    </row>
    <row r="13" customFormat="false" ht="15" hidden="false" customHeight="false" outlineLevel="0" collapsed="false">
      <c r="A13" s="5" t="s">
        <v>3327</v>
      </c>
      <c r="B13" s="25" t="n">
        <v>180</v>
      </c>
      <c r="C13" s="7" t="s">
        <v>3328</v>
      </c>
    </row>
    <row r="14" customFormat="false" ht="15" hidden="false" customHeight="false" outlineLevel="0" collapsed="false">
      <c r="A14" s="5" t="s">
        <v>3329</v>
      </c>
      <c r="B14" s="25" t="n">
        <v>15</v>
      </c>
      <c r="C14" s="7" t="s">
        <v>3330</v>
      </c>
    </row>
    <row r="15" customFormat="false" ht="15" hidden="false" customHeight="false" outlineLevel="0" collapsed="false">
      <c r="A15" s="5" t="s">
        <v>3331</v>
      </c>
      <c r="B15" s="25" t="n">
        <v>2</v>
      </c>
      <c r="C15" s="7" t="s">
        <v>3332</v>
      </c>
    </row>
    <row r="16" customFormat="false" ht="15" hidden="false" customHeight="false" outlineLevel="0" collapsed="false">
      <c r="A16" s="5" t="s">
        <v>3333</v>
      </c>
      <c r="B16" s="25" t="n">
        <v>150</v>
      </c>
      <c r="C16" s="7" t="s">
        <v>3334</v>
      </c>
    </row>
    <row r="17" customFormat="false" ht="15" hidden="false" customHeight="false" outlineLevel="0" collapsed="false">
      <c r="A17" s="5" t="s">
        <v>3335</v>
      </c>
      <c r="B17" s="28" t="n">
        <v>0.015</v>
      </c>
      <c r="C17" s="7" t="s">
        <v>3336</v>
      </c>
    </row>
    <row r="19" customFormat="false" ht="15" hidden="false" customHeight="false" outlineLevel="0" collapsed="false">
      <c r="A19" s="3" t="s">
        <v>3337</v>
      </c>
    </row>
    <row r="20" customFormat="false" ht="31.5" hidden="false" customHeight="true" outlineLevel="0" collapsed="false">
      <c r="A20" s="4" t="s">
        <v>3338</v>
      </c>
      <c r="B20" s="4" t="s">
        <v>3339</v>
      </c>
      <c r="C20" s="4" t="s">
        <v>3340</v>
      </c>
    </row>
    <row r="21" customFormat="false" ht="15" hidden="false" customHeight="false" outlineLevel="0" collapsed="false">
      <c r="A21" s="5" t="s">
        <v>191</v>
      </c>
      <c r="B21" s="25" t="n">
        <v>40</v>
      </c>
      <c r="C21" s="7" t="s">
        <v>193</v>
      </c>
    </row>
    <row r="22" customFormat="false" ht="15" hidden="false" customHeight="false" outlineLevel="0" collapsed="false">
      <c r="A22" s="5" t="s">
        <v>196</v>
      </c>
      <c r="B22" s="25" t="n">
        <v>35</v>
      </c>
      <c r="C22" s="7" t="s">
        <v>197</v>
      </c>
    </row>
    <row r="23" customFormat="false" ht="15" hidden="false" customHeight="false" outlineLevel="0" collapsed="false">
      <c r="A23" s="5" t="s">
        <v>200</v>
      </c>
      <c r="B23" s="25" t="n">
        <v>25</v>
      </c>
      <c r="C23" s="7" t="s">
        <v>201</v>
      </c>
    </row>
    <row r="24" customFormat="false" ht="15" hidden="false" customHeight="false" outlineLevel="0" collapsed="false">
      <c r="A24" s="5" t="s">
        <v>204</v>
      </c>
      <c r="B24" s="25" t="n">
        <v>25</v>
      </c>
      <c r="C24" s="7" t="s">
        <v>205</v>
      </c>
    </row>
    <row r="25" customFormat="false" ht="15" hidden="false" customHeight="false" outlineLevel="0" collapsed="false">
      <c r="A25" s="5" t="s">
        <v>208</v>
      </c>
      <c r="B25" s="25" t="n">
        <v>30</v>
      </c>
      <c r="C25" s="7" t="s">
        <v>209</v>
      </c>
    </row>
    <row r="26" customFormat="false" ht="15" hidden="false" customHeight="false" outlineLevel="0" collapsed="false">
      <c r="A26" s="5" t="s">
        <v>212</v>
      </c>
      <c r="B26" s="25" t="n">
        <v>25</v>
      </c>
      <c r="C26" s="7" t="s">
        <v>213</v>
      </c>
    </row>
    <row r="27" customFormat="false" ht="15" hidden="false" customHeight="false" outlineLevel="0" collapsed="false">
      <c r="A27" s="5" t="s">
        <v>216</v>
      </c>
      <c r="B27" s="25" t="n">
        <v>30</v>
      </c>
      <c r="C27" s="7" t="s">
        <v>217</v>
      </c>
    </row>
    <row r="28" customFormat="false" ht="15" hidden="false" customHeight="false" outlineLevel="0" collapsed="false">
      <c r="A28" s="5" t="s">
        <v>220</v>
      </c>
      <c r="B28" s="25" t="n">
        <v>30</v>
      </c>
      <c r="C28" s="7" t="s">
        <v>221</v>
      </c>
    </row>
    <row r="29" customFormat="false" ht="15" hidden="false" customHeight="false" outlineLevel="0" collapsed="false">
      <c r="A29" s="5" t="s">
        <v>224</v>
      </c>
      <c r="B29" s="25" t="n">
        <v>30</v>
      </c>
      <c r="C29" s="8" t="s">
        <v>225</v>
      </c>
    </row>
    <row r="30" customFormat="false" ht="15" hidden="false" customHeight="false" outlineLevel="0" collapsed="false">
      <c r="A30" s="5" t="s">
        <v>228</v>
      </c>
      <c r="B30" s="25" t="n">
        <v>35</v>
      </c>
      <c r="C30" s="7" t="s">
        <v>229</v>
      </c>
    </row>
    <row r="31" customFormat="false" ht="15" hidden="false" customHeight="false" outlineLevel="0" collapsed="false">
      <c r="A31" s="5" t="s">
        <v>232</v>
      </c>
      <c r="B31" s="25" t="n">
        <v>25</v>
      </c>
      <c r="C31" s="7" t="s">
        <v>233</v>
      </c>
    </row>
    <row r="32" customFormat="false" ht="15" hidden="false" customHeight="false" outlineLevel="0" collapsed="false">
      <c r="A32" s="5" t="s">
        <v>236</v>
      </c>
      <c r="B32" s="25" t="n">
        <v>15</v>
      </c>
      <c r="C32" s="7" t="s">
        <v>237</v>
      </c>
    </row>
    <row r="33" customFormat="false" ht="15" hidden="false" customHeight="false" outlineLevel="0" collapsed="false">
      <c r="A33" s="5" t="s">
        <v>240</v>
      </c>
      <c r="B33" s="25" t="n">
        <v>40</v>
      </c>
      <c r="C33" s="7" t="s">
        <v>241</v>
      </c>
    </row>
    <row r="34" customFormat="false" ht="15" hidden="false" customHeight="false" outlineLevel="0" collapsed="false">
      <c r="A34" s="5" t="s">
        <v>244</v>
      </c>
      <c r="B34" s="25" t="n">
        <v>30</v>
      </c>
      <c r="C34" s="7" t="s">
        <v>245</v>
      </c>
    </row>
    <row r="35" customFormat="false" ht="15" hidden="false" customHeight="false" outlineLevel="0" collapsed="false">
      <c r="A35" s="5" t="s">
        <v>248</v>
      </c>
      <c r="B35" s="25" t="n">
        <v>30</v>
      </c>
      <c r="C35" s="7" t="s">
        <v>249</v>
      </c>
    </row>
    <row r="36" customFormat="false" ht="15" hidden="false" customHeight="false" outlineLevel="0" collapsed="false">
      <c r="A36" s="5" t="s">
        <v>252</v>
      </c>
      <c r="B36" s="25" t="n">
        <v>15</v>
      </c>
      <c r="C36" s="7" t="s">
        <v>253</v>
      </c>
    </row>
    <row r="38" customFormat="false" ht="15" hidden="false" customHeight="false" outlineLevel="0" collapsed="false">
      <c r="A38" s="29" t="s">
        <v>3341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4" t="s">
        <v>135</v>
      </c>
      <c r="B1" s="4" t="s">
        <v>3342</v>
      </c>
      <c r="C1" s="4" t="s">
        <v>13</v>
      </c>
    </row>
    <row r="2" customFormat="false" ht="15" hidden="false" customHeight="false" outlineLevel="0" collapsed="false">
      <c r="A2" s="6" t="s">
        <v>338</v>
      </c>
      <c r="B2" s="25" t="n">
        <v>1</v>
      </c>
      <c r="C2" s="6" t="s">
        <v>3343</v>
      </c>
    </row>
    <row r="3" customFormat="false" ht="15" hidden="false" customHeight="false" outlineLevel="0" collapsed="false">
      <c r="A3" s="6" t="s">
        <v>481</v>
      </c>
      <c r="B3" s="25" t="n">
        <v>0.5</v>
      </c>
      <c r="C3" s="6" t="s">
        <v>3344</v>
      </c>
    </row>
    <row r="4" customFormat="false" ht="15" hidden="false" customHeight="false" outlineLevel="0" collapsed="false">
      <c r="A4" s="6" t="s">
        <v>444</v>
      </c>
      <c r="B4" s="25" t="n">
        <v>0</v>
      </c>
      <c r="C4" s="6" t="s">
        <v>3345</v>
      </c>
    </row>
    <row r="5" customFormat="false" ht="15" hidden="false" customHeight="false" outlineLevel="0" collapsed="false">
      <c r="A5" s="6" t="s">
        <v>3346</v>
      </c>
      <c r="B5" s="25" t="n">
        <v>0</v>
      </c>
      <c r="C5" s="6" t="s">
        <v>3347</v>
      </c>
    </row>
    <row r="6" customFormat="false" ht="15" hidden="false" customHeight="false" outlineLevel="0" collapsed="false">
      <c r="A6" s="6" t="s">
        <v>602</v>
      </c>
      <c r="B6" s="25" t="n">
        <v>0</v>
      </c>
      <c r="C6" s="6" t="s">
        <v>3348</v>
      </c>
    </row>
    <row r="7" customFormat="false" ht="15" hidden="false" customHeight="false" outlineLevel="0" collapsed="false">
      <c r="A7" s="6" t="s">
        <v>406</v>
      </c>
      <c r="B7" s="25" t="n">
        <v>1</v>
      </c>
      <c r="C7" s="6" t="s">
        <v>3349</v>
      </c>
    </row>
    <row r="9" customFormat="false" ht="15" hidden="false" customHeight="false" outlineLevel="0" collapsed="false">
      <c r="A9" s="29" t="s">
        <v>3350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21" min="5" style="0" width="13"/>
  </cols>
  <sheetData>
    <row r="1" customFormat="false" ht="43.5" hidden="false" customHeight="true" outlineLevel="0" collapsed="false">
      <c r="A1" s="4" t="s">
        <v>3351</v>
      </c>
      <c r="B1" s="4" t="s">
        <v>3352</v>
      </c>
      <c r="C1" s="4" t="s">
        <v>3353</v>
      </c>
      <c r="D1" s="4" t="s">
        <v>3354</v>
      </c>
      <c r="E1" s="4" t="s">
        <v>3355</v>
      </c>
      <c r="F1" s="4" t="s">
        <v>3356</v>
      </c>
      <c r="G1" s="4" t="s">
        <v>3357</v>
      </c>
      <c r="H1" s="4" t="s">
        <v>3358</v>
      </c>
      <c r="I1" s="4" t="s">
        <v>3359</v>
      </c>
      <c r="J1" s="4" t="s">
        <v>3360</v>
      </c>
      <c r="K1" s="4" t="s">
        <v>3361</v>
      </c>
      <c r="L1" s="4" t="s">
        <v>3362</v>
      </c>
      <c r="M1" s="4" t="s">
        <v>3363</v>
      </c>
      <c r="N1" s="4" t="s">
        <v>3364</v>
      </c>
      <c r="O1" s="4" t="s">
        <v>3365</v>
      </c>
      <c r="P1" s="4" t="s">
        <v>3366</v>
      </c>
      <c r="Q1" s="4" t="s">
        <v>3367</v>
      </c>
      <c r="R1" s="4" t="s">
        <v>3368</v>
      </c>
      <c r="S1" s="4" t="s">
        <v>3369</v>
      </c>
      <c r="T1" s="4" t="s">
        <v>3370</v>
      </c>
      <c r="U1" s="4" t="s">
        <v>3371</v>
      </c>
    </row>
    <row r="2" customFormat="false" ht="15" hidden="false" customHeight="false" outlineLevel="0" collapsed="false">
      <c r="A2" s="5" t="s">
        <v>441</v>
      </c>
      <c r="B2" s="6" t="s">
        <v>3372</v>
      </c>
      <c r="C2" s="30" t="n">
        <v>45363</v>
      </c>
      <c r="D2" s="6" t="s">
        <v>338</v>
      </c>
      <c r="E2" s="5" t="n">
        <f aca="false">COUNTIF(تراکنش_تردد!$O$2:$O$1001,A2)</f>
        <v>130</v>
      </c>
      <c r="F2" s="5" t="n">
        <f aca="false">COUNTIFS(تراکنش_تردد!$O$2:$O$1001,A2,تراکنش_تردد!$Z$2:$Z$1001,"نقد")</f>
        <v>26</v>
      </c>
      <c r="G2" s="31" t="n">
        <f aca="false">IF(E2=0,0,F2/E2)</f>
        <v>0.2</v>
      </c>
      <c r="H2" s="5" t="n">
        <f aca="false">COUNTIFS(تراکنش_تردد!$O$2:$O$1001,A2,تراکنش_تردد!$T$2:$T$1001,"&gt;0")</f>
        <v>1</v>
      </c>
      <c r="I2" s="31" t="n">
        <f aca="false">IF(E2=0,0,H2/E2)</f>
        <v>0.00769230769230769</v>
      </c>
      <c r="J2" s="5" t="n">
        <f aca="false">COUNTIFS(تراکنش_تردد!$O$2:$O$1001,A2,تراکنش_تردد!$Z$2:$Z$1001,"فرجه رایگان")</f>
        <v>4</v>
      </c>
      <c r="K2" s="31" t="n">
        <f aca="false">IF(E2=0,0,J2/E2)</f>
        <v>0.0307692307692308</v>
      </c>
      <c r="L2" s="31" t="n">
        <f aca="false">IF(E2=0,0,COUNTIFS(تراکنش_تردد!$O$2:$O$1001,A2,تراکنش_تردد!$N$2:$N$1001,"بله")/E2)</f>
        <v>0.0384615384615385</v>
      </c>
      <c r="M2" s="32" t="n">
        <f aca="false">AVERAGEIFS(تراکنش_تردد!$W$2:$W$1001,تراکنش_تردد!$O$2:$O$1001,A2)</f>
        <v>5.34461538461538</v>
      </c>
      <c r="N2" s="32" t="n">
        <f aca="false">AVERAGEIFS(تراکنش_تردد!$BH$2:$BH$1001,تراکنش_تردد!$O$2:$O$1001,A2)</f>
        <v>0.461538461538462</v>
      </c>
      <c r="O2" s="33" t="n">
        <f aca="false">IF(STDEV(G$2:G$9)=0,0,(G2-AVERAGE(G$2:G$9))/STDEV(G$2:G$9))</f>
        <v>-0.714348176182666</v>
      </c>
      <c r="P2" s="33" t="n">
        <f aca="false">IF(STDEV(I$2:I$9)=0,0,(I2-AVERAGE(I$2:I$9))/STDEV(I$2:I$9))</f>
        <v>-0.867453821074999</v>
      </c>
      <c r="Q2" s="33" t="n">
        <f aca="false">IF(STDEV(K$2:K$9)=0,0,(K2-AVERAGE(K$2:K$9))/STDEV(K$2:K$9))</f>
        <v>-0.859959550879087</v>
      </c>
      <c r="R2" s="33" t="n">
        <f aca="false">IF(STDEV(L$2:L$9)=0,0,(L2-AVERAGE(L$2:L$9))/STDEV(L$2:L$9))</f>
        <v>-0.135900711292509</v>
      </c>
      <c r="S2" s="33" t="n">
        <f aca="false">IF(STDEV(M$2:M$9)=0,0,(M2-AVERAGE(M$2:M$9))/STDEV(M$2:M$9))</f>
        <v>-0.459477768959834</v>
      </c>
      <c r="T2" s="33" t="n">
        <f aca="false">AVERAGE(O2:S2)</f>
        <v>-0.607428005677819</v>
      </c>
      <c r="U2" s="34" t="str">
        <f aca="false">IF(OR(MAX(O2:S2)&gt;تنظیمات!$B$15,T2&gt;1),"نیازمند بازرسی","عادی")</f>
        <v>عادی</v>
      </c>
    </row>
    <row r="3" customFormat="false" ht="15" hidden="false" customHeight="false" outlineLevel="0" collapsed="false">
      <c r="A3" s="5" t="s">
        <v>411</v>
      </c>
      <c r="B3" s="6" t="s">
        <v>3373</v>
      </c>
      <c r="C3" s="30" t="n">
        <v>45760</v>
      </c>
      <c r="D3" s="6" t="s">
        <v>338</v>
      </c>
      <c r="E3" s="5" t="n">
        <f aca="false">COUNTIF(تراکنش_تردد!$O$2:$O$1001,A3)</f>
        <v>127</v>
      </c>
      <c r="F3" s="5" t="n">
        <f aca="false">COUNTIFS(تراکنش_تردد!$O$2:$O$1001,A3,تراکنش_تردد!$Z$2:$Z$1001,"نقد")</f>
        <v>20</v>
      </c>
      <c r="G3" s="31" t="n">
        <f aca="false">IF(E3=0,0,F3/E3)</f>
        <v>0.15748031496063</v>
      </c>
      <c r="H3" s="5" t="n">
        <f aca="false">COUNTIFS(تراکنش_تردد!$O$2:$O$1001,A3,تراکنش_تردد!$T$2:$T$1001,"&gt;0")</f>
        <v>3</v>
      </c>
      <c r="I3" s="31" t="n">
        <f aca="false">IF(E3=0,0,H3/E3)</f>
        <v>0.0236220472440945</v>
      </c>
      <c r="J3" s="5" t="n">
        <f aca="false">COUNTIFS(تراکنش_تردد!$O$2:$O$1001,A3,تراکنش_تردد!$Z$2:$Z$1001,"فرجه رایگان")</f>
        <v>5</v>
      </c>
      <c r="K3" s="31" t="n">
        <f aca="false">IF(E3=0,0,J3/E3)</f>
        <v>0.0393700787401575</v>
      </c>
      <c r="L3" s="31" t="n">
        <f aca="false">IF(E3=0,0,COUNTIFS(تراکنش_تردد!$O$2:$O$1001,A3,تراکنش_تردد!$N$2:$N$1001,"بله")/E3)</f>
        <v>0.0078740157480315</v>
      </c>
      <c r="M3" s="32" t="n">
        <f aca="false">AVERAGEIFS(تراکنش_تردد!$W$2:$W$1001,تراکنش_تردد!$O$2:$O$1001,A3)</f>
        <v>5.60472440944882</v>
      </c>
      <c r="N3" s="32" t="n">
        <f aca="false">AVERAGEIFS(تراکنش_تردد!$BH$2:$BH$1001,تراکنش_تردد!$O$2:$O$1001,A3)</f>
        <v>2.63779527559055</v>
      </c>
      <c r="O3" s="33" t="n">
        <f aca="false">IF(STDEV(G$2:G$9)=0,0,(G3-AVERAGE(G$2:G$9))/STDEV(G$2:G$9))</f>
        <v>-1.12307205540371</v>
      </c>
      <c r="P3" s="33" t="n">
        <f aca="false">IF(STDEV(I$2:I$9)=0,0,(I3-AVERAGE(I$2:I$9))/STDEV(I$2:I$9))</f>
        <v>-0.269835667799075</v>
      </c>
      <c r="Q3" s="33" t="n">
        <f aca="false">IF(STDEV(K$2:K$9)=0,0,(K3-AVERAGE(K$2:K$9))/STDEV(K$2:K$9))</f>
        <v>-0.570559775629616</v>
      </c>
      <c r="R3" s="33" t="n">
        <f aca="false">IF(STDEV(L$2:L$9)=0,0,(L3-AVERAGE(L$2:L$9))/STDEV(L$2:L$9))</f>
        <v>-0.729034234567997</v>
      </c>
      <c r="S3" s="33" t="n">
        <f aca="false">IF(STDEV(M$2:M$9)=0,0,(M3-AVERAGE(M$2:M$9))/STDEV(M$2:M$9))</f>
        <v>-0.156478072972936</v>
      </c>
      <c r="T3" s="33" t="n">
        <f aca="false">AVERAGE(O3:S3)</f>
        <v>-0.569795961274668</v>
      </c>
      <c r="U3" s="34" t="str">
        <f aca="false">IF(OR(MAX(O3:S3)&gt;تنظیمات!$B$15,T3&gt;1),"نیازمند بازرسی","عادی")</f>
        <v>عادی</v>
      </c>
    </row>
    <row r="4" customFormat="false" ht="15" hidden="false" customHeight="false" outlineLevel="0" collapsed="false">
      <c r="A4" s="5" t="s">
        <v>401</v>
      </c>
      <c r="B4" s="6" t="s">
        <v>3374</v>
      </c>
      <c r="C4" s="30" t="n">
        <v>44695</v>
      </c>
      <c r="D4" s="6" t="s">
        <v>3375</v>
      </c>
      <c r="E4" s="5" t="n">
        <f aca="false">COUNTIF(تراکنش_تردد!$O$2:$O$1001,A4)</f>
        <v>138</v>
      </c>
      <c r="F4" s="5" t="n">
        <f aca="false">COUNTIFS(تراکنش_تردد!$O$2:$O$1001,A4,تراکنش_تردد!$Z$2:$Z$1001,"نقد")</f>
        <v>56</v>
      </c>
      <c r="G4" s="31" t="n">
        <f aca="false">IF(E4=0,0,F4/E4)</f>
        <v>0.405797101449275</v>
      </c>
      <c r="H4" s="5" t="n">
        <f aca="false">COUNTIFS(تراکنش_تردد!$O$2:$O$1001,A4,تراکنش_تردد!$T$2:$T$1001,"&gt;0")</f>
        <v>12</v>
      </c>
      <c r="I4" s="31" t="n">
        <f aca="false">IF(E4=0,0,H4/E4)</f>
        <v>0.0869565217391304</v>
      </c>
      <c r="J4" s="5" t="n">
        <f aca="false">COUNTIFS(تراکنش_تردد!$O$2:$O$1001,A4,تراکنش_تردد!$Z$2:$Z$1001,"فرجه رایگان")</f>
        <v>17</v>
      </c>
      <c r="K4" s="31" t="n">
        <f aca="false">IF(E4=0,0,J4/E4)</f>
        <v>0.123188405797101</v>
      </c>
      <c r="L4" s="31" t="n">
        <f aca="false">IF(E4=0,0,COUNTIFS(تراکنش_تردد!$O$2:$O$1001,A4,تراکنش_تردد!$N$2:$N$1001,"بله")/E4)</f>
        <v>0.0434782608695652</v>
      </c>
      <c r="M4" s="32" t="n">
        <f aca="false">AVERAGEIFS(تراکنش_تردد!$W$2:$W$1001,تراکنش_تردد!$O$2:$O$1001,A4)</f>
        <v>5.23695652173913</v>
      </c>
      <c r="N4" s="32" t="n">
        <f aca="false">AVERAGEIFS(تراکنش_تردد!$BH$2:$BH$1001,تراکنش_تردد!$O$2:$O$1001,A4)</f>
        <v>15.5434782608696</v>
      </c>
      <c r="O4" s="33" t="n">
        <f aca="false">IF(STDEV(G$2:G$9)=0,0,(G4-AVERAGE(G$2:G$9))/STDEV(G$2:G$9))</f>
        <v>1.26389295046048</v>
      </c>
      <c r="P4" s="33" t="n">
        <f aca="false">IF(STDEV(I$2:I$9)=0,0,(I4-AVERAGE(I$2:I$9))/STDEV(I$2:I$9))</f>
        <v>2.10621270156544</v>
      </c>
      <c r="Q4" s="33" t="n">
        <f aca="false">IF(STDEV(K$2:K$9)=0,0,(K4-AVERAGE(K$2:K$9))/STDEV(K$2:K$9))</f>
        <v>2.24974411697048</v>
      </c>
      <c r="R4" s="33" t="n">
        <f aca="false">IF(STDEV(L$2:L$9)=0,0,(L4-AVERAGE(L$2:L$9))/STDEV(L$2:L$9))</f>
        <v>-0.038619664212026</v>
      </c>
      <c r="S4" s="33" t="n">
        <f aca="false">IF(STDEV(M$2:M$9)=0,0,(M4-AVERAGE(M$2:M$9))/STDEV(M$2:M$9))</f>
        <v>-0.584889037341195</v>
      </c>
      <c r="T4" s="33" t="n">
        <f aca="false">AVERAGE(O4:S4)</f>
        <v>0.999268213488636</v>
      </c>
      <c r="U4" s="34" t="str">
        <f aca="false">IF(OR(MAX(O4:S4)&gt;تنظیمات!$B$15,T4&gt;1),"نیازمند بازرسی","عادی")</f>
        <v>نیازمند بازرسی</v>
      </c>
    </row>
    <row r="5" customFormat="false" ht="15" hidden="false" customHeight="false" outlineLevel="0" collapsed="false">
      <c r="A5" s="5" t="s">
        <v>419</v>
      </c>
      <c r="B5" s="6" t="s">
        <v>3376</v>
      </c>
      <c r="C5" s="30" t="n">
        <v>45092</v>
      </c>
      <c r="D5" s="6" t="s">
        <v>338</v>
      </c>
      <c r="E5" s="5" t="n">
        <f aca="false">COUNTIF(تراکنش_تردد!$O$2:$O$1001,A5)</f>
        <v>120</v>
      </c>
      <c r="F5" s="5" t="n">
        <f aca="false">COUNTIFS(تراکنش_تردد!$O$2:$O$1001,A5,تراکنش_تردد!$Z$2:$Z$1001,"نقد")</f>
        <v>27</v>
      </c>
      <c r="G5" s="31" t="n">
        <f aca="false">IF(E5=0,0,F5/E5)</f>
        <v>0.225</v>
      </c>
      <c r="H5" s="5" t="n">
        <f aca="false">COUNTIFS(تراکنش_تردد!$O$2:$O$1001,A5,تراکنش_تردد!$T$2:$T$1001,"&gt;0")</f>
        <v>0</v>
      </c>
      <c r="I5" s="31" t="n">
        <f aca="false">IF(E5=0,0,H5/E5)</f>
        <v>0</v>
      </c>
      <c r="J5" s="5" t="n">
        <f aca="false">COUNTIFS(تراکنش_تردد!$O$2:$O$1001,A5,تراکنش_تردد!$Z$2:$Z$1001,"فرجه رایگان")</f>
        <v>8</v>
      </c>
      <c r="K5" s="31" t="n">
        <f aca="false">IF(E5=0,0,J5/E5)</f>
        <v>0.0666666666666667</v>
      </c>
      <c r="L5" s="31" t="n">
        <f aca="false">IF(E5=0,0,COUNTIFS(تراکنش_تردد!$O$2:$O$1001,A5,تراکنش_تردد!$N$2:$N$1001,"بله")/E5)</f>
        <v>0.0166666666666667</v>
      </c>
      <c r="M5" s="32" t="n">
        <f aca="false">AVERAGEIFS(تراکنش_تردد!$W$2:$W$1001,تراکنش_تردد!$O$2:$O$1001,A5)</f>
        <v>5.39416666666667</v>
      </c>
      <c r="N5" s="32" t="n">
        <f aca="false">AVERAGEIFS(تراکنش_تردد!$BH$2:$BH$1001,تراکنش_تردد!$O$2:$O$1001,A5)</f>
        <v>2.70833333333333</v>
      </c>
      <c r="O5" s="33" t="n">
        <f aca="false">IF(STDEV(G$2:G$9)=0,0,(G5-AVERAGE(G$2:G$9))/STDEV(G$2:G$9))</f>
        <v>-0.474033673122143</v>
      </c>
      <c r="P5" s="33" t="n">
        <f aca="false">IF(STDEV(I$2:I$9)=0,0,(I5-AVERAGE(I$2:I$9))/STDEV(I$2:I$9))</f>
        <v>-1.15603749204854</v>
      </c>
      <c r="Q5" s="33" t="n">
        <f aca="false">IF(STDEV(K$2:K$9)=0,0,(K5-AVERAGE(K$2:K$9))/STDEV(K$2:K$9))</f>
        <v>0.347910872579971</v>
      </c>
      <c r="R5" s="33" t="n">
        <f aca="false">IF(STDEV(L$2:L$9)=0,0,(L5-AVERAGE(L$2:L$9))/STDEV(L$2:L$9))</f>
        <v>-0.55853281583105</v>
      </c>
      <c r="S5" s="33" t="n">
        <f aca="false">IF(STDEV(M$2:M$9)=0,0,(M5-AVERAGE(M$2:M$9))/STDEV(M$2:M$9))</f>
        <v>-0.401755729492292</v>
      </c>
      <c r="T5" s="33" t="n">
        <f aca="false">AVERAGE(O5:S5)</f>
        <v>-0.448489767582812</v>
      </c>
      <c r="U5" s="34" t="str">
        <f aca="false">IF(OR(MAX(O5:S5)&gt;تنظیمات!$B$15,T5&gt;1),"نیازمند بازرسی","عادی")</f>
        <v>عادی</v>
      </c>
    </row>
    <row r="6" customFormat="false" ht="15" hidden="false" customHeight="false" outlineLevel="0" collapsed="false">
      <c r="A6" s="5" t="s">
        <v>650</v>
      </c>
      <c r="B6" s="6" t="s">
        <v>3377</v>
      </c>
      <c r="C6" s="30" t="n">
        <v>45489</v>
      </c>
      <c r="D6" s="6" t="s">
        <v>338</v>
      </c>
      <c r="E6" s="5" t="n">
        <f aca="false">COUNTIF(تراکنش_تردد!$O$2:$O$1001,A6)</f>
        <v>107</v>
      </c>
      <c r="F6" s="5" t="n">
        <f aca="false">COUNTIFS(تراکنش_تردد!$O$2:$O$1001,A6,تراکنش_تردد!$Z$2:$Z$1001,"نقد")</f>
        <v>26</v>
      </c>
      <c r="G6" s="31" t="n">
        <f aca="false">IF(E6=0,0,F6/E6)</f>
        <v>0.242990654205607</v>
      </c>
      <c r="H6" s="5" t="n">
        <f aca="false">COUNTIFS(تراکنش_تردد!$O$2:$O$1001,A6,تراکنش_تردد!$T$2:$T$1001,"&gt;0")</f>
        <v>2</v>
      </c>
      <c r="I6" s="31" t="n">
        <f aca="false">IF(E6=0,0,H6/E6)</f>
        <v>0.0186915887850467</v>
      </c>
      <c r="J6" s="5" t="n">
        <f aca="false">COUNTIFS(تراکنش_تردد!$O$2:$O$1001,A6,تراکنش_تردد!$Z$2:$Z$1001,"فرجه رایگان")</f>
        <v>6</v>
      </c>
      <c r="K6" s="31" t="n">
        <f aca="false">IF(E6=0,0,J6/E6)</f>
        <v>0.0560747663551402</v>
      </c>
      <c r="L6" s="31" t="n">
        <f aca="false">IF(E6=0,0,COUNTIFS(تراکنش_تردد!$O$2:$O$1001,A6,تراکنش_تردد!$N$2:$N$1001,"بله")/E6)</f>
        <v>0.0186915887850467</v>
      </c>
      <c r="M6" s="32" t="n">
        <f aca="false">AVERAGEIFS(تراکنش_تردد!$W$2:$W$1001,تراکنش_تردد!$O$2:$O$1001,A6)</f>
        <v>5.49719626168224</v>
      </c>
      <c r="N6" s="32" t="n">
        <f aca="false">AVERAGEIFS(تراکنش_تردد!$BH$2:$BH$1001,تراکنش_تردد!$O$2:$O$1001,A6)</f>
        <v>1.58878504672897</v>
      </c>
      <c r="O6" s="33" t="n">
        <f aca="false">IF(STDEV(G$2:G$9)=0,0,(G6-AVERAGE(G$2:G$9))/STDEV(G$2:G$9))</f>
        <v>-0.301097068115972</v>
      </c>
      <c r="P6" s="33" t="n">
        <f aca="false">IF(STDEV(I$2:I$9)=0,0,(I6-AVERAGE(I$2:I$9))/STDEV(I$2:I$9))</f>
        <v>-0.454806142019369</v>
      </c>
      <c r="Q6" s="33" t="n">
        <f aca="false">IF(STDEV(K$2:K$9)=0,0,(K6-AVERAGE(K$2:K$9))/STDEV(K$2:K$9))</f>
        <v>-0.00848347132450408</v>
      </c>
      <c r="R6" s="33" t="n">
        <f aca="false">IF(STDEV(L$2:L$9)=0,0,(L6-AVERAGE(L$2:L$9))/STDEV(L$2:L$9))</f>
        <v>-0.519266831407183</v>
      </c>
      <c r="S6" s="33" t="n">
        <f aca="false">IF(STDEV(M$2:M$9)=0,0,(M6-AVERAGE(M$2:M$9))/STDEV(M$2:M$9))</f>
        <v>-0.281737071979873</v>
      </c>
      <c r="T6" s="33" t="n">
        <f aca="false">AVERAGE(O6:S6)</f>
        <v>-0.31307811696938</v>
      </c>
      <c r="U6" s="34" t="str">
        <f aca="false">IF(OR(MAX(O6:S6)&gt;تنظیمات!$B$15,T6&gt;1),"نیازمند بازرسی","عادی")</f>
        <v>عادی</v>
      </c>
    </row>
    <row r="7" customFormat="false" ht="15" hidden="false" customHeight="false" outlineLevel="0" collapsed="false">
      <c r="A7" s="5" t="s">
        <v>666</v>
      </c>
      <c r="B7" s="6" t="s">
        <v>3378</v>
      </c>
      <c r="C7" s="30" t="n">
        <v>45886</v>
      </c>
      <c r="D7" s="6" t="s">
        <v>3379</v>
      </c>
      <c r="E7" s="5" t="n">
        <f aca="false">COUNTIF(تراکنش_تردد!$O$2:$O$1001,A7)</f>
        <v>124</v>
      </c>
      <c r="F7" s="5" t="n">
        <f aca="false">COUNTIFS(تراکنش_تردد!$O$2:$O$1001,A7,تراکنش_تردد!$Z$2:$Z$1001,"نقد")</f>
        <v>57</v>
      </c>
      <c r="G7" s="31" t="n">
        <f aca="false">IF(E7=0,0,F7/E7)</f>
        <v>0.459677419354839</v>
      </c>
      <c r="H7" s="5" t="n">
        <f aca="false">COUNTIFS(تراکنش_تردد!$O$2:$O$1001,A7,تراکنش_تردد!$T$2:$T$1001,"&gt;0")</f>
        <v>5</v>
      </c>
      <c r="I7" s="31" t="n">
        <f aca="false">IF(E7=0,0,H7/E7)</f>
        <v>0.0403225806451613</v>
      </c>
      <c r="J7" s="5" t="n">
        <f aca="false">COUNTIFS(تراکنش_تردد!$O$2:$O$1001,A7,تراکنش_تردد!$Z$2:$Z$1001,"فرجه رایگان")</f>
        <v>4</v>
      </c>
      <c r="K7" s="31" t="n">
        <f aca="false">IF(E7=0,0,J7/E7)</f>
        <v>0.032258064516129</v>
      </c>
      <c r="L7" s="31" t="n">
        <f aca="false">IF(E7=0,0,COUNTIFS(تراکنش_تردد!$O$2:$O$1001,A7,تراکنش_تردد!$N$2:$N$1001,"بله")/E7)</f>
        <v>0.169354838709677</v>
      </c>
      <c r="M7" s="32" t="n">
        <f aca="false">AVERAGEIFS(تراکنش_تردد!$W$2:$W$1001,تراکنش_تردد!$O$2:$O$1001,A7)</f>
        <v>7.83064516129032</v>
      </c>
      <c r="N7" s="32" t="n">
        <f aca="false">AVERAGEIFS(تراکنش_تردد!$BH$2:$BH$1001,تراکنش_تردد!$O$2:$O$1001,A7)</f>
        <v>16.8548387096774</v>
      </c>
      <c r="O7" s="33" t="n">
        <f aca="false">IF(STDEV(G$2:G$9)=0,0,(G7-AVERAGE(G$2:G$9))/STDEV(G$2:G$9))</f>
        <v>1.78182182334922</v>
      </c>
      <c r="P7" s="33" t="n">
        <f aca="false">IF(STDEV(I$2:I$9)=0,0,(I7-AVERAGE(I$2:I$9))/STDEV(I$2:I$9))</f>
        <v>0.356699492893426</v>
      </c>
      <c r="Q7" s="33" t="n">
        <f aca="false">IF(STDEV(K$2:K$9)=0,0,(K7-AVERAGE(K$2:K$9))/STDEV(K$2:K$9))</f>
        <v>-0.809863542532859</v>
      </c>
      <c r="R7" s="33" t="n">
        <f aca="false">IF(STDEV(L$2:L$9)=0,0,(L7-AVERAGE(L$2:L$9))/STDEV(L$2:L$9))</f>
        <v>2.40229779129664</v>
      </c>
      <c r="S7" s="33" t="n">
        <f aca="false">IF(STDEV(M$2:M$9)=0,0,(M7-AVERAGE(M$2:M$9))/STDEV(M$2:M$9))</f>
        <v>2.43648582564919</v>
      </c>
      <c r="T7" s="33" t="n">
        <f aca="false">AVERAGE(O7:S7)</f>
        <v>1.23348827813113</v>
      </c>
      <c r="U7" s="34" t="str">
        <f aca="false">IF(OR(MAX(O7:S7)&gt;تنظیمات!$B$15,T7&gt;1),"نیازمند بازرسی","عادی")</f>
        <v>نیازمند بازرسی</v>
      </c>
    </row>
    <row r="8" customFormat="false" ht="15" hidden="false" customHeight="false" outlineLevel="0" collapsed="false">
      <c r="A8" s="5" t="s">
        <v>677</v>
      </c>
      <c r="B8" s="6" t="s">
        <v>3380</v>
      </c>
      <c r="C8" s="30" t="n">
        <v>44822</v>
      </c>
      <c r="D8" s="6" t="s">
        <v>338</v>
      </c>
      <c r="E8" s="5" t="n">
        <f aca="false">COUNTIF(تراکنش_تردد!$O$2:$O$1001,A8)</f>
        <v>106</v>
      </c>
      <c r="F8" s="5" t="n">
        <f aca="false">COUNTIFS(تراکنش_تردد!$O$2:$O$1001,A8,تراکنش_تردد!$Z$2:$Z$1001,"نقد")</f>
        <v>25</v>
      </c>
      <c r="G8" s="31" t="n">
        <f aca="false">IF(E8=0,0,F8/E8)</f>
        <v>0.235849056603774</v>
      </c>
      <c r="H8" s="5" t="n">
        <f aca="false">COUNTIFS(تراکنش_تردد!$O$2:$O$1001,A8,تراکنش_تردد!$T$2:$T$1001,"&gt;0")</f>
        <v>4</v>
      </c>
      <c r="I8" s="31" t="n">
        <f aca="false">IF(E8=0,0,H8/E8)</f>
        <v>0.0377358490566038</v>
      </c>
      <c r="J8" s="5" t="n">
        <f aca="false">COUNTIFS(تراکنش_تردد!$O$2:$O$1001,A8,تراکنش_تردد!$Z$2:$Z$1001,"فرجه رایگان")</f>
        <v>5</v>
      </c>
      <c r="K8" s="31" t="n">
        <f aca="false">IF(E8=0,0,J8/E8)</f>
        <v>0.0471698113207547</v>
      </c>
      <c r="L8" s="31" t="n">
        <f aca="false">IF(E8=0,0,COUNTIFS(تراکنش_تردد!$O$2:$O$1001,A8,تراکنش_تردد!$N$2:$N$1001,"بله")/E8)</f>
        <v>0.0377358490566038</v>
      </c>
      <c r="M8" s="32" t="n">
        <f aca="false">AVERAGEIFS(تراکنش_تردد!$W$2:$W$1001,تراکنش_تردد!$O$2:$O$1001,A8)</f>
        <v>5.68679245283019</v>
      </c>
      <c r="N8" s="32" t="n">
        <f aca="false">AVERAGEIFS(تراکنش_تردد!$BH$2:$BH$1001,تراکنش_تردد!$O$2:$O$1001,A8)</f>
        <v>1.74528301886792</v>
      </c>
      <c r="O8" s="33" t="n">
        <f aca="false">IF(STDEV(G$2:G$9)=0,0,(G8-AVERAGE(G$2:G$9))/STDEV(G$2:G$9))</f>
        <v>-0.36974624726569</v>
      </c>
      <c r="P8" s="33" t="n">
        <f aca="false">IF(STDEV(I$2:I$9)=0,0,(I8-AVERAGE(I$2:I$9))/STDEV(I$2:I$9))</f>
        <v>0.259655988199036</v>
      </c>
      <c r="Q8" s="33" t="n">
        <f aca="false">IF(STDEV(K$2:K$9)=0,0,(K8-AVERAGE(K$2:K$9))/STDEV(K$2:K$9))</f>
        <v>-0.308115785983372</v>
      </c>
      <c r="R8" s="33" t="n">
        <f aca="false">IF(STDEV(L$2:L$9)=0,0,(L8-AVERAGE(L$2:L$9))/STDEV(L$2:L$9))</f>
        <v>-0.149972812442516</v>
      </c>
      <c r="S8" s="33" t="n">
        <f aca="false">IF(STDEV(M$2:M$9)=0,0,(M8-AVERAGE(M$2:M$9))/STDEV(M$2:M$9))</f>
        <v>-0.0608774216279158</v>
      </c>
      <c r="T8" s="33" t="n">
        <f aca="false">AVERAGE(O8:S8)</f>
        <v>-0.125811255824091</v>
      </c>
      <c r="U8" s="34" t="str">
        <f aca="false">IF(OR(MAX(O8:S8)&gt;تنظیمات!$B$15,T8&gt;1),"نیازمند بازرسی","عادی")</f>
        <v>عادی</v>
      </c>
    </row>
    <row r="9" customFormat="false" ht="15" hidden="false" customHeight="false" outlineLevel="0" collapsed="false">
      <c r="A9" s="5" t="s">
        <v>425</v>
      </c>
      <c r="B9" s="6" t="s">
        <v>3381</v>
      </c>
      <c r="C9" s="30" t="n">
        <v>45218</v>
      </c>
      <c r="D9" s="6" t="s">
        <v>338</v>
      </c>
      <c r="E9" s="5" t="n">
        <f aca="false">COUNTIF(تراکنش_تردد!$O$2:$O$1001,A9)</f>
        <v>127</v>
      </c>
      <c r="F9" s="5" t="n">
        <f aca="false">COUNTIFS(تراکنش_تردد!$O$2:$O$1001,A9,تراکنش_تردد!$Z$2:$Z$1001,"نقد")</f>
        <v>34</v>
      </c>
      <c r="G9" s="31" t="n">
        <f aca="false">IF(E9=0,0,F9/E9)</f>
        <v>0.267716535433071</v>
      </c>
      <c r="H9" s="5" t="n">
        <f aca="false">COUNTIFS(تراکنش_تردد!$O$2:$O$1001,A9,تراکنش_تردد!$T$2:$T$1001,"&gt;0")</f>
        <v>4</v>
      </c>
      <c r="I9" s="31" t="n">
        <f aca="false">IF(E9=0,0,H9/E9)</f>
        <v>0.031496062992126</v>
      </c>
      <c r="J9" s="5" t="n">
        <f aca="false">COUNTIFS(تراکنش_تردد!$O$2:$O$1001,A9,تراکنش_تردد!$Z$2:$Z$1001,"فرجه رایگان")</f>
        <v>7</v>
      </c>
      <c r="K9" s="31" t="n">
        <f aca="false">IF(E9=0,0,J9/E9)</f>
        <v>0.0551181102362205</v>
      </c>
      <c r="L9" s="31" t="n">
        <f aca="false">IF(E9=0,0,COUNTIFS(تراکنش_تردد!$O$2:$O$1001,A9,تراکنش_تردد!$N$2:$N$1001,"بله")/E9)</f>
        <v>0.031496062992126</v>
      </c>
      <c r="M9" s="32" t="n">
        <f aca="false">AVERAGEIFS(تراکنش_تردد!$W$2:$W$1001,تراکنش_تردد!$O$2:$O$1001,A9)</f>
        <v>5.31732283464567</v>
      </c>
      <c r="N9" s="32" t="n">
        <f aca="false">AVERAGEIFS(تراکنش_تردد!$BH$2:$BH$1001,تراکنش_تردد!$O$2:$O$1001,A9)</f>
        <v>2.8740157480315</v>
      </c>
      <c r="O9" s="33" t="n">
        <f aca="false">IF(STDEV(G$2:G$9)=0,0,(G9-AVERAGE(G$2:G$9))/STDEV(G$2:G$9))</f>
        <v>-0.0634175537195167</v>
      </c>
      <c r="P9" s="33" t="n">
        <f aca="false">IF(STDEV(I$2:I$9)=0,0,(I9-AVERAGE(I$2:I$9))/STDEV(I$2:I$9))</f>
        <v>0.0255649402840815</v>
      </c>
      <c r="Q9" s="33" t="n">
        <f aca="false">IF(STDEV(K$2:K$9)=0,0,(K9-AVERAGE(K$2:K$9))/STDEV(K$2:K$9))</f>
        <v>-0.0406728632010083</v>
      </c>
      <c r="R9" s="33" t="n">
        <f aca="false">IF(STDEV(L$2:L$9)=0,0,(L9-AVERAGE(L$2:L$9))/STDEV(L$2:L$9))</f>
        <v>-0.270970721543363</v>
      </c>
      <c r="S9" s="33" t="n">
        <f aca="false">IF(STDEV(M$2:M$9)=0,0,(M9-AVERAGE(M$2:M$9))/STDEV(M$2:M$9))</f>
        <v>-0.491270723275151</v>
      </c>
      <c r="T9" s="33" t="n">
        <f aca="false">AVERAGE(O9:S9)</f>
        <v>-0.168153384290991</v>
      </c>
      <c r="U9" s="34" t="str">
        <f aca="false">IF(OR(MAX(O9:S9)&gt;تنظیمات!$B$15,T9&gt;1),"نیازمند بازرسی","عادی")</f>
        <v>عادی</v>
      </c>
    </row>
    <row r="11" customFormat="false" ht="15" hidden="false" customHeight="false" outlineLevel="0" collapsed="false">
      <c r="A11" s="29" t="s">
        <v>3382</v>
      </c>
    </row>
  </sheetData>
  <conditionalFormatting sqref="U2:U9">
    <cfRule type="cellIs" priority="2" operator="equal" aboveAverage="0" equalAverage="0" bottom="0" percent="0" rank="0" text="" dxfId="14">
      <formula>"نیازمند بازرسی"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10"/>
  </cols>
  <sheetData>
    <row r="1" customFormat="false" ht="31.5" hidden="false" customHeight="true" outlineLevel="0" collapsed="false">
      <c r="A1" s="4" t="s">
        <v>3383</v>
      </c>
      <c r="B1" s="4" t="s">
        <v>3384</v>
      </c>
      <c r="C1" s="4" t="s">
        <v>3371</v>
      </c>
      <c r="D1" s="4" t="s">
        <v>3385</v>
      </c>
    </row>
    <row r="2" customFormat="false" ht="15" hidden="false" customHeight="false" outlineLevel="0" collapsed="false">
      <c r="A2" s="5" t="s">
        <v>427</v>
      </c>
      <c r="B2" s="6" t="s">
        <v>3386</v>
      </c>
      <c r="C2" s="6" t="s">
        <v>3387</v>
      </c>
      <c r="D2" s="5" t="s">
        <v>3388</v>
      </c>
    </row>
    <row r="3" customFormat="false" ht="15" hidden="false" customHeight="false" outlineLevel="0" collapsed="false">
      <c r="A3" s="5" t="s">
        <v>414</v>
      </c>
      <c r="B3" s="6" t="s">
        <v>3389</v>
      </c>
      <c r="C3" s="6" t="s">
        <v>3387</v>
      </c>
      <c r="D3" s="5" t="s">
        <v>3388</v>
      </c>
    </row>
    <row r="4" customFormat="false" ht="15" hidden="false" customHeight="false" outlineLevel="0" collapsed="false">
      <c r="A4" s="5" t="s">
        <v>3390</v>
      </c>
      <c r="B4" s="6" t="s">
        <v>3391</v>
      </c>
      <c r="C4" s="6" t="s">
        <v>3387</v>
      </c>
      <c r="D4" s="5" t="s">
        <v>3392</v>
      </c>
    </row>
    <row r="5" customFormat="false" ht="15" hidden="false" customHeight="false" outlineLevel="0" collapsed="false">
      <c r="A5" s="5" t="s">
        <v>3393</v>
      </c>
      <c r="B5" s="6" t="s">
        <v>3391</v>
      </c>
      <c r="C5" s="6" t="s">
        <v>3387</v>
      </c>
      <c r="D5" s="5" t="s">
        <v>3392</v>
      </c>
    </row>
    <row r="7" customFormat="false" ht="15" hidden="false" customHeight="false" outlineLevel="0" collapsed="false">
      <c r="A7" s="29" t="s">
        <v>3394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2"/>
  </cols>
  <sheetData>
    <row r="1" customFormat="false" ht="31.5" hidden="false" customHeight="true" outlineLevel="0" collapsed="false">
      <c r="A1" s="4" t="s">
        <v>3395</v>
      </c>
      <c r="B1" s="4" t="s">
        <v>3396</v>
      </c>
      <c r="C1" s="4" t="s">
        <v>3397</v>
      </c>
      <c r="D1" s="4" t="s">
        <v>3398</v>
      </c>
    </row>
    <row r="2" customFormat="false" ht="15" hidden="false" customHeight="false" outlineLevel="0" collapsed="false">
      <c r="A2" s="5" t="s">
        <v>3399</v>
      </c>
      <c r="B2" s="6" t="s">
        <v>3400</v>
      </c>
      <c r="C2" s="5" t="s">
        <v>3401</v>
      </c>
      <c r="D2" s="30" t="n">
        <v>46466</v>
      </c>
    </row>
    <row r="3" customFormat="false" ht="15" hidden="false" customHeight="false" outlineLevel="0" collapsed="false">
      <c r="A3" s="5" t="s">
        <v>3402</v>
      </c>
      <c r="B3" s="6" t="s">
        <v>3400</v>
      </c>
      <c r="C3" s="5" t="s">
        <v>3403</v>
      </c>
      <c r="D3" s="30" t="n">
        <v>46466</v>
      </c>
    </row>
    <row r="4" customFormat="false" ht="15" hidden="false" customHeight="false" outlineLevel="0" collapsed="false">
      <c r="A4" s="5" t="s">
        <v>3404</v>
      </c>
      <c r="B4" s="6" t="s">
        <v>3400</v>
      </c>
      <c r="C4" s="5" t="s">
        <v>3405</v>
      </c>
      <c r="D4" s="30" t="n">
        <v>46466</v>
      </c>
    </row>
    <row r="5" customFormat="false" ht="15" hidden="false" customHeight="false" outlineLevel="0" collapsed="false">
      <c r="A5" s="5" t="s">
        <v>3406</v>
      </c>
      <c r="B5" s="6" t="s">
        <v>3400</v>
      </c>
      <c r="C5" s="5" t="s">
        <v>3407</v>
      </c>
      <c r="D5" s="30" t="n">
        <v>46466</v>
      </c>
    </row>
    <row r="6" customFormat="false" ht="15" hidden="false" customHeight="false" outlineLevel="0" collapsed="false">
      <c r="A6" s="5" t="s">
        <v>3408</v>
      </c>
      <c r="B6" s="6" t="s">
        <v>3400</v>
      </c>
      <c r="C6" s="5" t="s">
        <v>3409</v>
      </c>
      <c r="D6" s="30" t="n">
        <v>46466</v>
      </c>
    </row>
    <row r="7" customFormat="false" ht="15" hidden="false" customHeight="false" outlineLevel="0" collapsed="false">
      <c r="A7" s="5" t="s">
        <v>3410</v>
      </c>
      <c r="B7" s="6" t="s">
        <v>3400</v>
      </c>
      <c r="C7" s="5" t="s">
        <v>3411</v>
      </c>
      <c r="D7" s="30" t="n">
        <v>46466</v>
      </c>
    </row>
    <row r="8" customFormat="false" ht="15" hidden="false" customHeight="false" outlineLevel="0" collapsed="false">
      <c r="A8" s="5" t="s">
        <v>3412</v>
      </c>
      <c r="B8" s="6" t="s">
        <v>3400</v>
      </c>
      <c r="C8" s="5" t="s">
        <v>3413</v>
      </c>
      <c r="D8" s="30" t="n">
        <v>46466</v>
      </c>
    </row>
    <row r="9" customFormat="false" ht="15" hidden="false" customHeight="false" outlineLevel="0" collapsed="false">
      <c r="A9" s="5" t="s">
        <v>3414</v>
      </c>
      <c r="B9" s="6" t="s">
        <v>3400</v>
      </c>
      <c r="C9" s="5" t="s">
        <v>3415</v>
      </c>
      <c r="D9" s="30" t="n">
        <v>46466</v>
      </c>
    </row>
    <row r="10" customFormat="false" ht="15" hidden="false" customHeight="false" outlineLevel="0" collapsed="false">
      <c r="A10" s="5" t="s">
        <v>3416</v>
      </c>
      <c r="B10" s="6" t="s">
        <v>602</v>
      </c>
      <c r="C10" s="5" t="s">
        <v>3417</v>
      </c>
      <c r="D10" s="30" t="n">
        <v>46466</v>
      </c>
    </row>
    <row r="11" customFormat="false" ht="15" hidden="false" customHeight="false" outlineLevel="0" collapsed="false">
      <c r="A11" s="5" t="s">
        <v>3418</v>
      </c>
      <c r="B11" s="6" t="s">
        <v>602</v>
      </c>
      <c r="C11" s="5" t="s">
        <v>3419</v>
      </c>
      <c r="D11" s="30" t="n">
        <v>46466</v>
      </c>
    </row>
    <row r="12" customFormat="false" ht="15" hidden="false" customHeight="false" outlineLevel="0" collapsed="false">
      <c r="A12" s="5" t="s">
        <v>3420</v>
      </c>
      <c r="B12" s="6" t="s">
        <v>602</v>
      </c>
      <c r="C12" s="5" t="s">
        <v>3421</v>
      </c>
      <c r="D12" s="30" t="n">
        <v>46466</v>
      </c>
    </row>
    <row r="13" customFormat="false" ht="15" hidden="false" customHeight="false" outlineLevel="0" collapsed="false">
      <c r="A13" s="5" t="s">
        <v>3422</v>
      </c>
      <c r="B13" s="6" t="s">
        <v>602</v>
      </c>
      <c r="C13" s="5" t="s">
        <v>3423</v>
      </c>
      <c r="D13" s="30" t="n">
        <v>46466</v>
      </c>
    </row>
    <row r="14" customFormat="false" ht="15" hidden="false" customHeight="false" outlineLevel="0" collapsed="false">
      <c r="A14" s="5" t="s">
        <v>3424</v>
      </c>
      <c r="B14" s="6" t="s">
        <v>602</v>
      </c>
      <c r="C14" s="5" t="s">
        <v>3425</v>
      </c>
      <c r="D14" s="30" t="n">
        <v>46466</v>
      </c>
    </row>
    <row r="15" customFormat="false" ht="15" hidden="false" customHeight="false" outlineLevel="0" collapsed="false">
      <c r="A15" s="5" t="s">
        <v>3426</v>
      </c>
      <c r="B15" s="6" t="s">
        <v>602</v>
      </c>
      <c r="C15" s="5" t="s">
        <v>3427</v>
      </c>
      <c r="D15" s="30" t="n">
        <v>46466</v>
      </c>
    </row>
    <row r="16" customFormat="false" ht="15" hidden="false" customHeight="false" outlineLevel="0" collapsed="false">
      <c r="A16" s="5" t="s">
        <v>3428</v>
      </c>
      <c r="B16" s="6" t="s">
        <v>3429</v>
      </c>
      <c r="C16" s="5" t="s">
        <v>3430</v>
      </c>
      <c r="D16" s="30" t="n">
        <v>46466</v>
      </c>
    </row>
    <row r="17" customFormat="false" ht="15" hidden="false" customHeight="false" outlineLevel="0" collapsed="false">
      <c r="A17" s="5" t="s">
        <v>3431</v>
      </c>
      <c r="B17" s="6" t="s">
        <v>3429</v>
      </c>
      <c r="C17" s="5" t="s">
        <v>3432</v>
      </c>
      <c r="D17" s="30" t="n">
        <v>46466</v>
      </c>
    </row>
    <row r="18" customFormat="false" ht="15" hidden="false" customHeight="false" outlineLevel="0" collapsed="false">
      <c r="A18" s="5" t="s">
        <v>3433</v>
      </c>
      <c r="B18" s="6" t="s">
        <v>3429</v>
      </c>
      <c r="C18" s="5" t="s">
        <v>3434</v>
      </c>
      <c r="D18" s="30" t="n">
        <v>46466</v>
      </c>
    </row>
    <row r="19" customFormat="false" ht="15" hidden="false" customHeight="false" outlineLevel="0" collapsed="false">
      <c r="A19" s="5" t="s">
        <v>3435</v>
      </c>
      <c r="B19" s="6" t="s">
        <v>3429</v>
      </c>
      <c r="C19" s="5" t="s">
        <v>3436</v>
      </c>
      <c r="D19" s="30" t="n">
        <v>46466</v>
      </c>
    </row>
    <row r="20" customFormat="false" ht="15" hidden="false" customHeight="false" outlineLevel="0" collapsed="false">
      <c r="A20" s="5" t="s">
        <v>3437</v>
      </c>
      <c r="B20" s="6" t="s">
        <v>3429</v>
      </c>
      <c r="C20" s="5" t="s">
        <v>3438</v>
      </c>
      <c r="D20" s="30" t="n">
        <v>46466</v>
      </c>
    </row>
    <row r="21" customFormat="false" ht="15" hidden="false" customHeight="false" outlineLevel="0" collapsed="false">
      <c r="A21" s="5" t="s">
        <v>3439</v>
      </c>
      <c r="B21" s="6" t="s">
        <v>3429</v>
      </c>
      <c r="C21" s="5" t="s">
        <v>3440</v>
      </c>
      <c r="D21" s="30" t="n">
        <v>46466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7"/>
  </cols>
  <sheetData>
    <row r="1" customFormat="false" ht="39.75" hidden="false" customHeight="true" outlineLevel="0" collapsed="false">
      <c r="A1" s="4" t="s">
        <v>84</v>
      </c>
      <c r="B1" s="4" t="s">
        <v>80</v>
      </c>
      <c r="C1" s="4" t="s">
        <v>3441</v>
      </c>
      <c r="D1" s="4" t="s">
        <v>3442</v>
      </c>
      <c r="E1" s="4" t="s">
        <v>3443</v>
      </c>
      <c r="F1" s="4" t="s">
        <v>3444</v>
      </c>
      <c r="G1" s="4" t="s">
        <v>3445</v>
      </c>
      <c r="H1" s="4" t="s">
        <v>3446</v>
      </c>
      <c r="I1" s="4" t="s">
        <v>3447</v>
      </c>
      <c r="J1" s="4" t="s">
        <v>3448</v>
      </c>
      <c r="K1" s="4" t="s">
        <v>3357</v>
      </c>
    </row>
    <row r="2" customFormat="false" ht="15" hidden="false" customHeight="false" outlineLevel="0" collapsed="false">
      <c r="A2" s="30" t="n">
        <v>46281</v>
      </c>
      <c r="B2" s="6" t="s">
        <v>402</v>
      </c>
      <c r="C2" s="5" t="s">
        <v>441</v>
      </c>
      <c r="D2" s="35" t="n">
        <f aca="false">SUMIFS(تراکنش_تردد!$AH$2:$AH$1001,تراکنش_تردد!$O$2:$O$1001,C2,تراکنش_تردد!$Q$2:$Q$1001,A2,تراکنش_تردد!$P$2:$P$1001,B2,تراکنش_تردد!$Z$2:$Z$1001,"نقد")</f>
        <v>116000</v>
      </c>
      <c r="E2" s="36" t="n">
        <v>116000</v>
      </c>
      <c r="F2" s="37" t="n">
        <f aca="false">D2-E2</f>
        <v>0</v>
      </c>
      <c r="G2" s="31" t="n">
        <f aca="false">IF(D2=0,0,F2/D2)</f>
        <v>0</v>
      </c>
      <c r="H2" s="34" t="str">
        <f aca="false">IF(G2&gt;تنظیمات!$B$17,"قرمز","عادی")</f>
        <v>عادی</v>
      </c>
      <c r="I2" s="5" t="n">
        <f aca="false">COUNTIFS(تراکنش_تردد!$O$2:$O$1001,C2,تراکنش_تردد!$Q$2:$Q$1001,A2,تراکنش_تردد!$P$2:$P$1001,B2,تراکنش_تردد!$Z$2:$Z$1001,"نقد")</f>
        <v>3</v>
      </c>
      <c r="J2" s="5" t="n">
        <f aca="false">COUNTIFS(تراکنش_تردد!$O$2:$O$1001,C2,تراکنش_تردد!$Q$2:$Q$1001,A2,تراکنش_تردد!$P$2:$P$1001,B2)</f>
        <v>21</v>
      </c>
      <c r="K2" s="31" t="n">
        <f aca="false">IF(J2=0,0,I2/J2)</f>
        <v>0.142857142857143</v>
      </c>
    </row>
    <row r="3" customFormat="false" ht="15" hidden="false" customHeight="false" outlineLevel="0" collapsed="false">
      <c r="A3" s="30" t="n">
        <v>46281</v>
      </c>
      <c r="B3" s="6" t="s">
        <v>402</v>
      </c>
      <c r="C3" s="5" t="s">
        <v>411</v>
      </c>
      <c r="D3" s="35" t="n">
        <f aca="false">SUMIFS(تراکنش_تردد!$AH$2:$AH$1001,تراکنش_تردد!$O$2:$O$1001,C3,تراکنش_تردد!$Q$2:$Q$1001,A3,تراکنش_تردد!$P$2:$P$1001,B3,تراکنش_تردد!$Z$2:$Z$1001,"نقد")</f>
        <v>102000</v>
      </c>
      <c r="E3" s="36" t="n">
        <v>102000</v>
      </c>
      <c r="F3" s="37" t="n">
        <f aca="false">D3-E3</f>
        <v>0</v>
      </c>
      <c r="G3" s="31" t="n">
        <f aca="false">IF(D3=0,0,F3/D3)</f>
        <v>0</v>
      </c>
      <c r="H3" s="34" t="str">
        <f aca="false">IF(G3&gt;تنظیمات!$B$17,"قرمز","عادی")</f>
        <v>عادی</v>
      </c>
      <c r="I3" s="5" t="n">
        <f aca="false">COUNTIFS(تراکنش_تردد!$O$2:$O$1001,C3,تراکنش_تردد!$Q$2:$Q$1001,A3,تراکنش_تردد!$P$2:$P$1001,B3,تراکنش_تردد!$Z$2:$Z$1001,"نقد")</f>
        <v>3</v>
      </c>
      <c r="J3" s="5" t="n">
        <f aca="false">COUNTIFS(تراکنش_تردد!$O$2:$O$1001,C3,تراکنش_تردد!$Q$2:$Q$1001,A3,تراکنش_تردد!$P$2:$P$1001,B3)</f>
        <v>20</v>
      </c>
      <c r="K3" s="31" t="n">
        <f aca="false">IF(J3=0,0,I3/J3)</f>
        <v>0.15</v>
      </c>
    </row>
    <row r="4" customFormat="false" ht="15" hidden="false" customHeight="false" outlineLevel="0" collapsed="false">
      <c r="A4" s="30" t="n">
        <v>46281</v>
      </c>
      <c r="B4" s="6" t="s">
        <v>420</v>
      </c>
      <c r="C4" s="5" t="s">
        <v>401</v>
      </c>
      <c r="D4" s="35" t="n">
        <f aca="false">SUMIFS(تراکنش_تردد!$AH$2:$AH$1001,تراکنش_تردد!$O$2:$O$1001,C4,تراکنش_تردد!$Q$2:$Q$1001,A4,تراکنش_تردد!$P$2:$P$1001,B4,تراکنش_تردد!$Z$2:$Z$1001,"نقد")</f>
        <v>143000</v>
      </c>
      <c r="E4" s="36" t="n">
        <v>143000</v>
      </c>
      <c r="F4" s="37" t="n">
        <f aca="false">D4-E4</f>
        <v>0</v>
      </c>
      <c r="G4" s="31" t="n">
        <f aca="false">IF(D4=0,0,F4/D4)</f>
        <v>0</v>
      </c>
      <c r="H4" s="34" t="str">
        <f aca="false">IF(G4&gt;تنظیمات!$B$17,"قرمز","عادی")</f>
        <v>عادی</v>
      </c>
      <c r="I4" s="5" t="n">
        <f aca="false">COUNTIFS(تراکنش_تردد!$O$2:$O$1001,C4,تراکنش_تردد!$Q$2:$Q$1001,A4,تراکنش_تردد!$P$2:$P$1001,B4,تراکنش_تردد!$Z$2:$Z$1001,"نقد")</f>
        <v>7</v>
      </c>
      <c r="J4" s="5" t="n">
        <f aca="false">COUNTIFS(تراکنش_تردد!$O$2:$O$1001,C4,تراکنش_تردد!$Q$2:$Q$1001,A4,تراکنش_تردد!$P$2:$P$1001,B4)</f>
        <v>12</v>
      </c>
      <c r="K4" s="31" t="n">
        <f aca="false">IF(J4=0,0,I4/J4)</f>
        <v>0.583333333333333</v>
      </c>
    </row>
    <row r="5" customFormat="false" ht="15" hidden="false" customHeight="false" outlineLevel="0" collapsed="false">
      <c r="A5" s="30" t="n">
        <v>46281</v>
      </c>
      <c r="B5" s="6" t="s">
        <v>420</v>
      </c>
      <c r="C5" s="5" t="s">
        <v>419</v>
      </c>
      <c r="D5" s="35" t="n">
        <f aca="false">SUMIFS(تراکنش_تردد!$AH$2:$AH$1001,تراکنش_تردد!$O$2:$O$1001,C5,تراکنش_تردد!$Q$2:$Q$1001,A5,تراکنش_تردد!$P$2:$P$1001,B5,تراکنش_تردد!$Z$2:$Z$1001,"نقد")</f>
        <v>34000</v>
      </c>
      <c r="E5" s="36" t="n">
        <v>34000</v>
      </c>
      <c r="F5" s="37" t="n">
        <f aca="false">D5-E5</f>
        <v>0</v>
      </c>
      <c r="G5" s="31" t="n">
        <f aca="false">IF(D5=0,0,F5/D5)</f>
        <v>0</v>
      </c>
      <c r="H5" s="34" t="str">
        <f aca="false">IF(G5&gt;تنظیمات!$B$17,"قرمز","عادی")</f>
        <v>عادی</v>
      </c>
      <c r="I5" s="5" t="n">
        <f aca="false">COUNTIFS(تراکنش_تردد!$O$2:$O$1001,C5,تراکنش_تردد!$Q$2:$Q$1001,A5,تراکنش_تردد!$P$2:$P$1001,B5,تراکنش_تردد!$Z$2:$Z$1001,"نقد")</f>
        <v>1</v>
      </c>
      <c r="J5" s="5" t="n">
        <f aca="false">COUNTIFS(تراکنش_تردد!$O$2:$O$1001,C5,تراکنش_تردد!$Q$2:$Q$1001,A5,تراکنش_تردد!$P$2:$P$1001,B5)</f>
        <v>7</v>
      </c>
      <c r="K5" s="31" t="n">
        <f aca="false">IF(J5=0,0,I5/J5)</f>
        <v>0.142857142857143</v>
      </c>
    </row>
    <row r="6" customFormat="false" ht="15" hidden="false" customHeight="false" outlineLevel="0" collapsed="false">
      <c r="A6" s="30" t="n">
        <v>46281</v>
      </c>
      <c r="B6" s="6" t="s">
        <v>651</v>
      </c>
      <c r="C6" s="5" t="s">
        <v>650</v>
      </c>
      <c r="D6" s="35" t="n">
        <f aca="false">SUMIFS(تراکنش_تردد!$AH$2:$AH$1001,تراکنش_تردد!$O$2:$O$1001,C6,تراکنش_تردد!$Q$2:$Q$1001,A6,تراکنش_تردد!$P$2:$P$1001,B6,تراکنش_تردد!$Z$2:$Z$1001,"نقد")</f>
        <v>20000</v>
      </c>
      <c r="E6" s="36" t="n">
        <v>20000</v>
      </c>
      <c r="F6" s="37" t="n">
        <f aca="false">D6-E6</f>
        <v>0</v>
      </c>
      <c r="G6" s="31" t="n">
        <f aca="false">IF(D6=0,0,F6/D6)</f>
        <v>0</v>
      </c>
      <c r="H6" s="34" t="str">
        <f aca="false">IF(G6&gt;تنظیمات!$B$17,"قرمز","عادی")</f>
        <v>عادی</v>
      </c>
      <c r="I6" s="5" t="n">
        <f aca="false">COUNTIFS(تراکنش_تردد!$O$2:$O$1001,C6,تراکنش_تردد!$Q$2:$Q$1001,A6,تراکنش_تردد!$P$2:$P$1001,B6,تراکنش_تردد!$Z$2:$Z$1001,"نقد")</f>
        <v>1</v>
      </c>
      <c r="J6" s="5" t="n">
        <f aca="false">COUNTIFS(تراکنش_تردد!$O$2:$O$1001,C6,تراکنش_تردد!$Q$2:$Q$1001,A6,تراکنش_تردد!$P$2:$P$1001,B6)</f>
        <v>5</v>
      </c>
      <c r="K6" s="31" t="n">
        <f aca="false">IF(J6=0,0,I6/J6)</f>
        <v>0.2</v>
      </c>
    </row>
    <row r="7" customFormat="false" ht="15" hidden="false" customHeight="false" outlineLevel="0" collapsed="false">
      <c r="A7" s="30" t="n">
        <v>46282</v>
      </c>
      <c r="B7" s="6" t="s">
        <v>402</v>
      </c>
      <c r="C7" s="5" t="s">
        <v>666</v>
      </c>
      <c r="D7" s="35" t="n">
        <f aca="false">SUMIFS(تراکنش_تردد!$AH$2:$AH$1001,تراکنش_تردد!$O$2:$O$1001,C7,تراکنش_تردد!$Q$2:$Q$1001,A7,تراکنش_تردد!$P$2:$P$1001,B7,تراکنش_تردد!$Z$2:$Z$1001,"نقد")</f>
        <v>426000</v>
      </c>
      <c r="E7" s="36" t="n">
        <v>426000</v>
      </c>
      <c r="F7" s="37" t="n">
        <f aca="false">D7-E7</f>
        <v>0</v>
      </c>
      <c r="G7" s="31" t="n">
        <f aca="false">IF(D7=0,0,F7/D7)</f>
        <v>0</v>
      </c>
      <c r="H7" s="34" t="str">
        <f aca="false">IF(G7&gt;تنظیمات!$B$17,"قرمز","عادی")</f>
        <v>عادی</v>
      </c>
      <c r="I7" s="5" t="n">
        <f aca="false">COUNTIFS(تراکنش_تردد!$O$2:$O$1001,C7,تراکنش_تردد!$Q$2:$Q$1001,A7,تراکنش_تردد!$P$2:$P$1001,B7,تراکنش_تردد!$Z$2:$Z$1001,"نقد")</f>
        <v>9</v>
      </c>
      <c r="J7" s="5" t="n">
        <f aca="false">COUNTIFS(تراکنش_تردد!$O$2:$O$1001,C7,تراکنش_تردد!$Q$2:$Q$1001,A7,تراکنش_تردد!$P$2:$P$1001,B7)</f>
        <v>12</v>
      </c>
      <c r="K7" s="31" t="n">
        <f aca="false">IF(J7=0,0,I7/J7)</f>
        <v>0.75</v>
      </c>
    </row>
    <row r="8" customFormat="false" ht="15" hidden="false" customHeight="false" outlineLevel="0" collapsed="false">
      <c r="A8" s="30" t="n">
        <v>46282</v>
      </c>
      <c r="B8" s="6" t="s">
        <v>402</v>
      </c>
      <c r="C8" s="5" t="s">
        <v>677</v>
      </c>
      <c r="D8" s="35" t="n">
        <f aca="false">SUMIFS(تراکنش_تردد!$AH$2:$AH$1001,تراکنش_تردد!$O$2:$O$1001,C8,تراکنش_تردد!$Q$2:$Q$1001,A8,تراکنش_تردد!$P$2:$P$1001,B8,تراکنش_تردد!$Z$2:$Z$1001,"نقد")</f>
        <v>130000</v>
      </c>
      <c r="E8" s="36" t="n">
        <v>130000</v>
      </c>
      <c r="F8" s="37" t="n">
        <f aca="false">D8-E8</f>
        <v>0</v>
      </c>
      <c r="G8" s="31" t="n">
        <f aca="false">IF(D8=0,0,F8/D8)</f>
        <v>0</v>
      </c>
      <c r="H8" s="34" t="str">
        <f aca="false">IF(G8&gt;تنظیمات!$B$17,"قرمز","عادی")</f>
        <v>عادی</v>
      </c>
      <c r="I8" s="5" t="n">
        <f aca="false">COUNTIFS(تراکنش_تردد!$O$2:$O$1001,C8,تراکنش_تردد!$Q$2:$Q$1001,A8,تراکنش_تردد!$P$2:$P$1001,B8,تراکنش_تردد!$Z$2:$Z$1001,"نقد")</f>
        <v>3</v>
      </c>
      <c r="J8" s="5" t="n">
        <f aca="false">COUNTIFS(تراکنش_تردد!$O$2:$O$1001,C8,تراکنش_تردد!$Q$2:$Q$1001,A8,تراکنش_تردد!$P$2:$P$1001,B8)</f>
        <v>14</v>
      </c>
      <c r="K8" s="31" t="n">
        <f aca="false">IF(J8=0,0,I8/J8)</f>
        <v>0.214285714285714</v>
      </c>
    </row>
    <row r="9" customFormat="false" ht="15" hidden="false" customHeight="false" outlineLevel="0" collapsed="false">
      <c r="A9" s="30" t="n">
        <v>46282</v>
      </c>
      <c r="B9" s="6" t="s">
        <v>420</v>
      </c>
      <c r="C9" s="5" t="s">
        <v>441</v>
      </c>
      <c r="D9" s="35" t="n">
        <f aca="false">SUMIFS(تراکنش_تردد!$AH$2:$AH$1001,تراکنش_تردد!$O$2:$O$1001,C9,تراکنش_تردد!$Q$2:$Q$1001,A9,تراکنش_تردد!$P$2:$P$1001,B9,تراکنش_تردد!$Z$2:$Z$1001,"نقد")</f>
        <v>130000</v>
      </c>
      <c r="E9" s="36" t="n">
        <v>130000</v>
      </c>
      <c r="F9" s="37" t="n">
        <f aca="false">D9-E9</f>
        <v>0</v>
      </c>
      <c r="G9" s="31" t="n">
        <f aca="false">IF(D9=0,0,F9/D9)</f>
        <v>0</v>
      </c>
      <c r="H9" s="34" t="str">
        <f aca="false">IF(G9&gt;تنظیمات!$B$17,"قرمز","عادی")</f>
        <v>عادی</v>
      </c>
      <c r="I9" s="5" t="n">
        <f aca="false">COUNTIFS(تراکنش_تردد!$O$2:$O$1001,C9,تراکنش_تردد!$Q$2:$Q$1001,A9,تراکنش_تردد!$P$2:$P$1001,B9,تراکنش_تردد!$Z$2:$Z$1001,"نقد")</f>
        <v>3</v>
      </c>
      <c r="J9" s="5" t="n">
        <f aca="false">COUNTIFS(تراکنش_تردد!$O$2:$O$1001,C9,تراکنش_تردد!$Q$2:$Q$1001,A9,تراکنش_تردد!$P$2:$P$1001,B9)</f>
        <v>18</v>
      </c>
      <c r="K9" s="31" t="n">
        <f aca="false">IF(J9=0,0,I9/J9)</f>
        <v>0.166666666666667</v>
      </c>
    </row>
    <row r="10" customFormat="false" ht="15" hidden="false" customHeight="false" outlineLevel="0" collapsed="false">
      <c r="A10" s="30" t="n">
        <v>46282</v>
      </c>
      <c r="B10" s="6" t="s">
        <v>420</v>
      </c>
      <c r="C10" s="5" t="s">
        <v>425</v>
      </c>
      <c r="D10" s="35" t="n">
        <f aca="false">SUMIFS(تراکنش_تردد!$AH$2:$AH$1001,تراکنش_تردد!$O$2:$O$1001,C10,تراکنش_تردد!$Q$2:$Q$1001,A10,تراکنش_تردد!$P$2:$P$1001,B10,تراکنش_تردد!$Z$2:$Z$1001,"نقد")</f>
        <v>374000</v>
      </c>
      <c r="E10" s="36" t="n">
        <v>374000</v>
      </c>
      <c r="F10" s="37" t="n">
        <f aca="false">D10-E10</f>
        <v>0</v>
      </c>
      <c r="G10" s="31" t="n">
        <f aca="false">IF(D10=0,0,F10/D10)</f>
        <v>0</v>
      </c>
      <c r="H10" s="34" t="str">
        <f aca="false">IF(G10&gt;تنظیمات!$B$17,"قرمز","عادی")</f>
        <v>عادی</v>
      </c>
      <c r="I10" s="5" t="n">
        <f aca="false">COUNTIFS(تراکنش_تردد!$O$2:$O$1001,C10,تراکنش_تردد!$Q$2:$Q$1001,A10,تراکنش_تردد!$P$2:$P$1001,B10,تراکنش_تردد!$Z$2:$Z$1001,"نقد")</f>
        <v>4</v>
      </c>
      <c r="J10" s="5" t="n">
        <f aca="false">COUNTIFS(تراکنش_تردد!$O$2:$O$1001,C10,تراکنش_تردد!$Q$2:$Q$1001,A10,تراکنش_تردد!$P$2:$P$1001,B10)</f>
        <v>14</v>
      </c>
      <c r="K10" s="31" t="n">
        <f aca="false">IF(J10=0,0,I10/J10)</f>
        <v>0.285714285714286</v>
      </c>
    </row>
    <row r="11" customFormat="false" ht="15" hidden="false" customHeight="false" outlineLevel="0" collapsed="false">
      <c r="A11" s="30" t="n">
        <v>46282</v>
      </c>
      <c r="B11" s="6" t="s">
        <v>651</v>
      </c>
      <c r="C11" s="5" t="s">
        <v>411</v>
      </c>
      <c r="D11" s="35" t="n">
        <f aca="false">SUMIFS(تراکنش_تردد!$AH$2:$AH$1001,تراکنش_تردد!$O$2:$O$1001,C11,تراکنش_تردد!$Q$2:$Q$1001,A11,تراکنش_تردد!$P$2:$P$1001,B11,تراکنش_تردد!$Z$2:$Z$1001,"نقد")</f>
        <v>0</v>
      </c>
      <c r="E11" s="36" t="n">
        <v>0</v>
      </c>
      <c r="F11" s="37" t="n">
        <f aca="false">D11-E11</f>
        <v>0</v>
      </c>
      <c r="G11" s="31" t="n">
        <f aca="false">IF(D11=0,0,F11/D11)</f>
        <v>0</v>
      </c>
      <c r="H11" s="34" t="str">
        <f aca="false">IF(G11&gt;تنظیمات!$B$17,"قرمز","عادی")</f>
        <v>عادی</v>
      </c>
      <c r="I11" s="5" t="n">
        <f aca="false">COUNTIFS(تراکنش_تردد!$O$2:$O$1001,C11,تراکنش_تردد!$Q$2:$Q$1001,A11,تراکنش_تردد!$P$2:$P$1001,B11,تراکنش_تردد!$Z$2:$Z$1001,"نقد")</f>
        <v>0</v>
      </c>
      <c r="J11" s="5" t="n">
        <f aca="false">COUNTIFS(تراکنش_تردد!$O$2:$O$1001,C11,تراکنش_تردد!$Q$2:$Q$1001,A11,تراکنش_تردد!$P$2:$P$1001,B11)</f>
        <v>4</v>
      </c>
      <c r="K11" s="31" t="n">
        <f aca="false">IF(J11=0,0,I11/J11)</f>
        <v>0</v>
      </c>
    </row>
    <row r="12" customFormat="false" ht="15" hidden="false" customHeight="false" outlineLevel="0" collapsed="false">
      <c r="A12" s="30" t="n">
        <v>46283</v>
      </c>
      <c r="B12" s="6" t="s">
        <v>402</v>
      </c>
      <c r="C12" s="5" t="s">
        <v>401</v>
      </c>
      <c r="D12" s="35" t="n">
        <f aca="false">SUMIFS(تراکنش_تردد!$AH$2:$AH$1001,تراکنش_تردد!$O$2:$O$1001,C12,تراکنش_تردد!$Q$2:$Q$1001,A12,تراکنش_تردد!$P$2:$P$1001,B12,تراکنش_تردد!$Z$2:$Z$1001,"نقد")</f>
        <v>379000</v>
      </c>
      <c r="E12" s="36" t="n">
        <v>359000</v>
      </c>
      <c r="F12" s="37" t="n">
        <f aca="false">D12-E12</f>
        <v>20000</v>
      </c>
      <c r="G12" s="31" t="n">
        <f aca="false">IF(D12=0,0,F12/D12)</f>
        <v>0.0527704485488127</v>
      </c>
      <c r="H12" s="34" t="str">
        <f aca="false">IF(G12&gt;تنظیمات!$B$17,"قرمز","عادی")</f>
        <v>قرمز</v>
      </c>
      <c r="I12" s="5" t="n">
        <f aca="false">COUNTIFS(تراکنش_تردد!$O$2:$O$1001,C12,تراکنش_تردد!$Q$2:$Q$1001,A12,تراکنش_تردد!$P$2:$P$1001,B12,تراکنش_تردد!$Z$2:$Z$1001,"نقد")</f>
        <v>8</v>
      </c>
      <c r="J12" s="5" t="n">
        <f aca="false">COUNTIFS(تراکنش_تردد!$O$2:$O$1001,C12,تراکنش_تردد!$Q$2:$Q$1001,A12,تراکنش_تردد!$P$2:$P$1001,B12)</f>
        <v>17</v>
      </c>
      <c r="K12" s="31" t="n">
        <f aca="false">IF(J12=0,0,I12/J12)</f>
        <v>0.470588235294118</v>
      </c>
    </row>
    <row r="13" customFormat="false" ht="15" hidden="false" customHeight="false" outlineLevel="0" collapsed="false">
      <c r="A13" s="30" t="n">
        <v>46283</v>
      </c>
      <c r="B13" s="6" t="s">
        <v>402</v>
      </c>
      <c r="C13" s="5" t="s">
        <v>419</v>
      </c>
      <c r="D13" s="35" t="n">
        <f aca="false">SUMIFS(تراکنش_تردد!$AH$2:$AH$1001,تراکنش_تردد!$O$2:$O$1001,C13,تراکنش_تردد!$Q$2:$Q$1001,A13,تراکنش_تردد!$P$2:$P$1001,B13,تراکنش_تردد!$Z$2:$Z$1001,"نقد")</f>
        <v>138000</v>
      </c>
      <c r="E13" s="36" t="n">
        <v>137000</v>
      </c>
      <c r="F13" s="37" t="n">
        <f aca="false">D13-E13</f>
        <v>1000</v>
      </c>
      <c r="G13" s="31" t="n">
        <f aca="false">IF(D13=0,0,F13/D13)</f>
        <v>0.0072463768115942</v>
      </c>
      <c r="H13" s="34" t="str">
        <f aca="false">IF(G13&gt;تنظیمات!$B$17,"قرمز","عادی")</f>
        <v>عادی</v>
      </c>
      <c r="I13" s="5" t="n">
        <f aca="false">COUNTIFS(تراکنش_تردد!$O$2:$O$1001,C13,تراکنش_تردد!$Q$2:$Q$1001,A13,تراکنش_تردد!$P$2:$P$1001,B13,تراکنش_تردد!$Z$2:$Z$1001,"نقد")</f>
        <v>2</v>
      </c>
      <c r="J13" s="5" t="n">
        <f aca="false">COUNTIFS(تراکنش_تردد!$O$2:$O$1001,C13,تراکنش_تردد!$Q$2:$Q$1001,A13,تراکنش_تردد!$P$2:$P$1001,B13)</f>
        <v>11</v>
      </c>
      <c r="K13" s="31" t="n">
        <f aca="false">IF(J13=0,0,I13/J13)</f>
        <v>0.181818181818182</v>
      </c>
    </row>
    <row r="14" customFormat="false" ht="15" hidden="false" customHeight="false" outlineLevel="0" collapsed="false">
      <c r="A14" s="30" t="n">
        <v>46283</v>
      </c>
      <c r="B14" s="6" t="s">
        <v>420</v>
      </c>
      <c r="C14" s="5" t="s">
        <v>650</v>
      </c>
      <c r="D14" s="35" t="n">
        <f aca="false">SUMIFS(تراکنش_تردد!$AH$2:$AH$1001,تراکنش_تردد!$O$2:$O$1001,C14,تراکنش_تردد!$Q$2:$Q$1001,A14,تراکنش_تردد!$P$2:$P$1001,B14,تراکنش_تردد!$Z$2:$Z$1001,"نقد")</f>
        <v>96000</v>
      </c>
      <c r="E14" s="36" t="n">
        <v>96000</v>
      </c>
      <c r="F14" s="37" t="n">
        <f aca="false">D14-E14</f>
        <v>0</v>
      </c>
      <c r="G14" s="31" t="n">
        <f aca="false">IF(D14=0,0,F14/D14)</f>
        <v>0</v>
      </c>
      <c r="H14" s="34" t="str">
        <f aca="false">IF(G14&gt;تنظیمات!$B$17,"قرمز","عادی")</f>
        <v>عادی</v>
      </c>
      <c r="I14" s="5" t="n">
        <f aca="false">COUNTIFS(تراکنش_تردد!$O$2:$O$1001,C14,تراکنش_تردد!$Q$2:$Q$1001,A14,تراکنش_تردد!$P$2:$P$1001,B14,تراکنش_تردد!$Z$2:$Z$1001,"نقد")</f>
        <v>2</v>
      </c>
      <c r="J14" s="5" t="n">
        <f aca="false">COUNTIFS(تراکنش_تردد!$O$2:$O$1001,C14,تراکنش_تردد!$Q$2:$Q$1001,A14,تراکنش_تردد!$P$2:$P$1001,B14)</f>
        <v>14</v>
      </c>
      <c r="K14" s="31" t="n">
        <f aca="false">IF(J14=0,0,I14/J14)</f>
        <v>0.142857142857143</v>
      </c>
    </row>
    <row r="15" customFormat="false" ht="15" hidden="false" customHeight="false" outlineLevel="0" collapsed="false">
      <c r="A15" s="30" t="n">
        <v>46283</v>
      </c>
      <c r="B15" s="6" t="s">
        <v>420</v>
      </c>
      <c r="C15" s="5" t="s">
        <v>666</v>
      </c>
      <c r="D15" s="35" t="n">
        <f aca="false">SUMIFS(تراکنش_تردد!$AH$2:$AH$1001,تراکنش_تردد!$O$2:$O$1001,C15,تراکنش_تردد!$Q$2:$Q$1001,A15,تراکنش_تردد!$P$2:$P$1001,B15,تراکنش_تردد!$Z$2:$Z$1001,"نقد")</f>
        <v>77000</v>
      </c>
      <c r="E15" s="36" t="n">
        <v>77000</v>
      </c>
      <c r="F15" s="37" t="n">
        <f aca="false">D15-E15</f>
        <v>0</v>
      </c>
      <c r="G15" s="31" t="n">
        <f aca="false">IF(D15=0,0,F15/D15)</f>
        <v>0</v>
      </c>
      <c r="H15" s="34" t="str">
        <f aca="false">IF(G15&gt;تنظیمات!$B$17,"قرمز","عادی")</f>
        <v>عادی</v>
      </c>
      <c r="I15" s="5" t="n">
        <f aca="false">COUNTIFS(تراکنش_تردد!$O$2:$O$1001,C15,تراکنش_تردد!$Q$2:$Q$1001,A15,تراکنش_تردد!$P$2:$P$1001,B15,تراکنش_تردد!$Z$2:$Z$1001,"نقد")</f>
        <v>5</v>
      </c>
      <c r="J15" s="5" t="n">
        <f aca="false">COUNTIFS(تراکنش_تردد!$O$2:$O$1001,C15,تراکنش_تردد!$Q$2:$Q$1001,A15,تراکنش_تردد!$P$2:$P$1001,B15)</f>
        <v>18</v>
      </c>
      <c r="K15" s="31" t="n">
        <f aca="false">IF(J15=0,0,I15/J15)</f>
        <v>0.277777777777778</v>
      </c>
    </row>
    <row r="16" customFormat="false" ht="15" hidden="false" customHeight="false" outlineLevel="0" collapsed="false">
      <c r="A16" s="30" t="n">
        <v>46283</v>
      </c>
      <c r="B16" s="6" t="s">
        <v>651</v>
      </c>
      <c r="C16" s="5" t="s">
        <v>677</v>
      </c>
      <c r="D16" s="35" t="n">
        <f aca="false">SUMIFS(تراکنش_تردد!$AH$2:$AH$1001,تراکنش_تردد!$O$2:$O$1001,C16,تراکنش_تردد!$Q$2:$Q$1001,A16,تراکنش_تردد!$P$2:$P$1001,B16,تراکنش_تردد!$Z$2:$Z$1001,"نقد")</f>
        <v>0</v>
      </c>
      <c r="E16" s="36" t="n">
        <v>0</v>
      </c>
      <c r="F16" s="37" t="n">
        <f aca="false">D16-E16</f>
        <v>0</v>
      </c>
      <c r="G16" s="31" t="n">
        <f aca="false">IF(D16=0,0,F16/D16)</f>
        <v>0</v>
      </c>
      <c r="H16" s="34" t="str">
        <f aca="false">IF(G16&gt;تنظیمات!$B$17,"قرمز","عادی")</f>
        <v>عادی</v>
      </c>
      <c r="I16" s="5" t="n">
        <f aca="false">COUNTIFS(تراکنش_تردد!$O$2:$O$1001,C16,تراکنش_تردد!$Q$2:$Q$1001,A16,تراکنش_تردد!$P$2:$P$1001,B16,تراکنش_تردد!$Z$2:$Z$1001,"نقد")</f>
        <v>0</v>
      </c>
      <c r="J16" s="5" t="n">
        <f aca="false">COUNTIFS(تراکنش_تردد!$O$2:$O$1001,C16,تراکنش_تردد!$Q$2:$Q$1001,A16,تراکنش_تردد!$P$2:$P$1001,B16)</f>
        <v>4</v>
      </c>
      <c r="K16" s="31" t="n">
        <f aca="false">IF(J16=0,0,I16/J16)</f>
        <v>0</v>
      </c>
    </row>
    <row r="17" customFormat="false" ht="15" hidden="false" customHeight="false" outlineLevel="0" collapsed="false">
      <c r="A17" s="30" t="n">
        <v>46284</v>
      </c>
      <c r="B17" s="6" t="s">
        <v>402</v>
      </c>
      <c r="C17" s="5" t="s">
        <v>441</v>
      </c>
      <c r="D17" s="35" t="n">
        <f aca="false">SUMIFS(تراکنش_تردد!$AH$2:$AH$1001,تراکنش_تردد!$O$2:$O$1001,C17,تراکنش_تردد!$Q$2:$Q$1001,A17,تراکنش_تردد!$P$2:$P$1001,B17,تراکنش_تردد!$Z$2:$Z$1001,"نقد")</f>
        <v>68000</v>
      </c>
      <c r="E17" s="36" t="n">
        <v>68000</v>
      </c>
      <c r="F17" s="37" t="n">
        <f aca="false">D17-E17</f>
        <v>0</v>
      </c>
      <c r="G17" s="31" t="n">
        <f aca="false">IF(D17=0,0,F17/D17)</f>
        <v>0</v>
      </c>
      <c r="H17" s="34" t="str">
        <f aca="false">IF(G17&gt;تنظیمات!$B$17,"قرمز","عادی")</f>
        <v>عادی</v>
      </c>
      <c r="I17" s="5" t="n">
        <f aca="false">COUNTIFS(تراکنش_تردد!$O$2:$O$1001,C17,تراکنش_تردد!$Q$2:$Q$1001,A17,تراکنش_تردد!$P$2:$P$1001,B17,تراکنش_تردد!$Z$2:$Z$1001,"نقد")</f>
        <v>2</v>
      </c>
      <c r="J17" s="5" t="n">
        <f aca="false">COUNTIFS(تراکنش_تردد!$O$2:$O$1001,C17,تراکنش_تردد!$Q$2:$Q$1001,A17,تراکنش_تردد!$P$2:$P$1001,B17)</f>
        <v>12</v>
      </c>
      <c r="K17" s="31" t="n">
        <f aca="false">IF(J17=0,0,I17/J17)</f>
        <v>0.166666666666667</v>
      </c>
    </row>
    <row r="18" customFormat="false" ht="15" hidden="false" customHeight="false" outlineLevel="0" collapsed="false">
      <c r="A18" s="30" t="n">
        <v>46284</v>
      </c>
      <c r="B18" s="6" t="s">
        <v>402</v>
      </c>
      <c r="C18" s="5" t="s">
        <v>425</v>
      </c>
      <c r="D18" s="35" t="n">
        <f aca="false">SUMIFS(تراکنش_تردد!$AH$2:$AH$1001,تراکنش_تردد!$O$2:$O$1001,C18,تراکنش_تردد!$Q$2:$Q$1001,A18,تراکنش_تردد!$P$2:$P$1001,B18,تراکنش_تردد!$Z$2:$Z$1001,"نقد")</f>
        <v>249000</v>
      </c>
      <c r="E18" s="36" t="n">
        <v>249000</v>
      </c>
      <c r="F18" s="37" t="n">
        <f aca="false">D18-E18</f>
        <v>0</v>
      </c>
      <c r="G18" s="31" t="n">
        <f aca="false">IF(D18=0,0,F18/D18)</f>
        <v>0</v>
      </c>
      <c r="H18" s="34" t="str">
        <f aca="false">IF(G18&gt;تنظیمات!$B$17,"قرمز","عادی")</f>
        <v>عادی</v>
      </c>
      <c r="I18" s="5" t="n">
        <f aca="false">COUNTIFS(تراکنش_تردد!$O$2:$O$1001,C18,تراکنش_تردد!$Q$2:$Q$1001,A18,تراکنش_تردد!$P$2:$P$1001,B18,تراکنش_تردد!$Z$2:$Z$1001,"نقد")</f>
        <v>7</v>
      </c>
      <c r="J18" s="5" t="n">
        <f aca="false">COUNTIFS(تراکنش_تردد!$O$2:$O$1001,C18,تراکنش_تردد!$Q$2:$Q$1001,A18,تراکنش_تردد!$P$2:$P$1001,B18)</f>
        <v>18</v>
      </c>
      <c r="K18" s="31" t="n">
        <f aca="false">IF(J18=0,0,I18/J18)</f>
        <v>0.388888888888889</v>
      </c>
    </row>
    <row r="19" customFormat="false" ht="15" hidden="false" customHeight="false" outlineLevel="0" collapsed="false">
      <c r="A19" s="30" t="n">
        <v>46284</v>
      </c>
      <c r="B19" s="6" t="s">
        <v>420</v>
      </c>
      <c r="C19" s="5" t="s">
        <v>411</v>
      </c>
      <c r="D19" s="35" t="n">
        <f aca="false">SUMIFS(تراکنش_تردد!$AH$2:$AH$1001,تراکنش_تردد!$O$2:$O$1001,C19,تراکنش_تردد!$Q$2:$Q$1001,A19,تراکنش_تردد!$P$2:$P$1001,B19,تراکنش_تردد!$Z$2:$Z$1001,"نقد")</f>
        <v>150000</v>
      </c>
      <c r="E19" s="36" t="n">
        <v>150000</v>
      </c>
      <c r="F19" s="37" t="n">
        <f aca="false">D19-E19</f>
        <v>0</v>
      </c>
      <c r="G19" s="31" t="n">
        <f aca="false">IF(D19=0,0,F19/D19)</f>
        <v>0</v>
      </c>
      <c r="H19" s="34" t="str">
        <f aca="false">IF(G19&gt;تنظیمات!$B$17,"قرمز","عادی")</f>
        <v>عادی</v>
      </c>
      <c r="I19" s="5" t="n">
        <f aca="false">COUNTIFS(تراکنش_تردد!$O$2:$O$1001,C19,تراکنش_تردد!$Q$2:$Q$1001,A19,تراکنش_تردد!$P$2:$P$1001,B19,تراکنش_تردد!$Z$2:$Z$1001,"نقد")</f>
        <v>4</v>
      </c>
      <c r="J19" s="5" t="n">
        <f aca="false">COUNTIFS(تراکنش_تردد!$O$2:$O$1001,C19,تراکنش_تردد!$Q$2:$Q$1001,A19,تراکنش_تردد!$P$2:$P$1001,B19)</f>
        <v>24</v>
      </c>
      <c r="K19" s="31" t="n">
        <f aca="false">IF(J19=0,0,I19/J19)</f>
        <v>0.166666666666667</v>
      </c>
    </row>
    <row r="20" customFormat="false" ht="15" hidden="false" customHeight="false" outlineLevel="0" collapsed="false">
      <c r="A20" s="30" t="n">
        <v>46284</v>
      </c>
      <c r="B20" s="6" t="s">
        <v>420</v>
      </c>
      <c r="C20" s="5" t="s">
        <v>401</v>
      </c>
      <c r="D20" s="35" t="n">
        <f aca="false">SUMIFS(تراکنش_تردد!$AH$2:$AH$1001,تراکنش_تردد!$O$2:$O$1001,C20,تراکنش_تردد!$Q$2:$Q$1001,A20,تراکنش_تردد!$P$2:$P$1001,B20,تراکنش_تردد!$Z$2:$Z$1001,"نقد")</f>
        <v>203000</v>
      </c>
      <c r="E20" s="36" t="n">
        <v>187000</v>
      </c>
      <c r="F20" s="37" t="n">
        <f aca="false">D20-E20</f>
        <v>16000</v>
      </c>
      <c r="G20" s="31" t="n">
        <f aca="false">IF(D20=0,0,F20/D20)</f>
        <v>0.0788177339901478</v>
      </c>
      <c r="H20" s="34" t="str">
        <f aca="false">IF(G20&gt;تنظیمات!$B$17,"قرمز","عادی")</f>
        <v>قرمز</v>
      </c>
      <c r="I20" s="5" t="n">
        <f aca="false">COUNTIFS(تراکنش_تردد!$O$2:$O$1001,C20,تراکنش_تردد!$Q$2:$Q$1001,A20,تراکنش_تردد!$P$2:$P$1001,B20,تراکنش_تردد!$Z$2:$Z$1001,"نقد")</f>
        <v>10</v>
      </c>
      <c r="J20" s="5" t="n">
        <f aca="false">COUNTIFS(تراکنش_تردد!$O$2:$O$1001,C20,تراکنش_تردد!$Q$2:$Q$1001,A20,تراکنش_تردد!$P$2:$P$1001,B20)</f>
        <v>22</v>
      </c>
      <c r="K20" s="31" t="n">
        <f aca="false">IF(J20=0,0,I20/J20)</f>
        <v>0.454545454545455</v>
      </c>
    </row>
    <row r="21" customFormat="false" ht="15" hidden="false" customHeight="false" outlineLevel="0" collapsed="false">
      <c r="A21" s="30" t="n">
        <v>46284</v>
      </c>
      <c r="B21" s="6" t="s">
        <v>651</v>
      </c>
      <c r="C21" s="5" t="s">
        <v>419</v>
      </c>
      <c r="D21" s="35" t="n">
        <f aca="false">SUMIFS(تراکنش_تردد!$AH$2:$AH$1001,تراکنش_تردد!$O$2:$O$1001,C21,تراکنش_تردد!$Q$2:$Q$1001,A21,تراکنش_تردد!$P$2:$P$1001,B21,تراکنش_تردد!$Z$2:$Z$1001,"نقد")</f>
        <v>0</v>
      </c>
      <c r="E21" s="36" t="n">
        <v>0</v>
      </c>
      <c r="F21" s="37" t="n">
        <f aca="false">D21-E21</f>
        <v>0</v>
      </c>
      <c r="G21" s="31" t="n">
        <f aca="false">IF(D21=0,0,F21/D21)</f>
        <v>0</v>
      </c>
      <c r="H21" s="34" t="str">
        <f aca="false">IF(G21&gt;تنظیمات!$B$17,"قرمز","عادی")</f>
        <v>عادی</v>
      </c>
      <c r="I21" s="5" t="n">
        <f aca="false">COUNTIFS(تراکنش_تردد!$O$2:$O$1001,C21,تراکنش_تردد!$Q$2:$Q$1001,A21,تراکنش_تردد!$P$2:$P$1001,B21,تراکنش_تردد!$Z$2:$Z$1001,"نقد")</f>
        <v>0</v>
      </c>
      <c r="J21" s="5" t="n">
        <f aca="false">COUNTIFS(تراکنش_تردد!$O$2:$O$1001,C21,تراکنش_تردد!$Q$2:$Q$1001,A21,تراکنش_تردد!$P$2:$P$1001,B21)</f>
        <v>2</v>
      </c>
      <c r="K21" s="31" t="n">
        <f aca="false">IF(J21=0,0,I21/J21)</f>
        <v>0</v>
      </c>
    </row>
    <row r="22" customFormat="false" ht="15" hidden="false" customHeight="false" outlineLevel="0" collapsed="false">
      <c r="A22" s="30" t="n">
        <v>46285</v>
      </c>
      <c r="B22" s="6" t="s">
        <v>402</v>
      </c>
      <c r="C22" s="5" t="s">
        <v>650</v>
      </c>
      <c r="D22" s="35" t="n">
        <f aca="false">SUMIFS(تراکنش_تردد!$AH$2:$AH$1001,تراکنش_تردد!$O$2:$O$1001,C22,تراکنش_تردد!$Q$2:$Q$1001,A22,تراکنش_تردد!$P$2:$P$1001,B22,تراکنش_تردد!$Z$2:$Z$1001,"نقد")</f>
        <v>218000</v>
      </c>
      <c r="E22" s="36" t="n">
        <v>218000</v>
      </c>
      <c r="F22" s="37" t="n">
        <f aca="false">D22-E22</f>
        <v>0</v>
      </c>
      <c r="G22" s="31" t="n">
        <f aca="false">IF(D22=0,0,F22/D22)</f>
        <v>0</v>
      </c>
      <c r="H22" s="34" t="str">
        <f aca="false">IF(G22&gt;تنظیمات!$B$17,"قرمز","عادی")</f>
        <v>عادی</v>
      </c>
      <c r="I22" s="5" t="n">
        <f aca="false">COUNTIFS(تراکنش_تردد!$O$2:$O$1001,C22,تراکنش_تردد!$Q$2:$Q$1001,A22,تراکنش_تردد!$P$2:$P$1001,B22,تراکنش_تردد!$Z$2:$Z$1001,"نقد")</f>
        <v>6</v>
      </c>
      <c r="J22" s="5" t="n">
        <f aca="false">COUNTIFS(تراکنش_تردد!$O$2:$O$1001,C22,تراکنش_تردد!$Q$2:$Q$1001,A22,تراکنش_تردد!$P$2:$P$1001,B22)</f>
        <v>18</v>
      </c>
      <c r="K22" s="31" t="n">
        <f aca="false">IF(J22=0,0,I22/J22)</f>
        <v>0.333333333333333</v>
      </c>
    </row>
    <row r="23" customFormat="false" ht="15" hidden="false" customHeight="false" outlineLevel="0" collapsed="false">
      <c r="A23" s="30" t="n">
        <v>46285</v>
      </c>
      <c r="B23" s="6" t="s">
        <v>402</v>
      </c>
      <c r="C23" s="5" t="s">
        <v>666</v>
      </c>
      <c r="D23" s="35" t="n">
        <f aca="false">SUMIFS(تراکنش_تردد!$AH$2:$AH$1001,تراکنش_تردد!$O$2:$O$1001,C23,تراکنش_تردد!$Q$2:$Q$1001,A23,تراکنش_تردد!$P$2:$P$1001,B23,تراکنش_تردد!$Z$2:$Z$1001,"نقد")</f>
        <v>395000</v>
      </c>
      <c r="E23" s="36" t="n">
        <v>395000</v>
      </c>
      <c r="F23" s="37" t="n">
        <f aca="false">D23-E23</f>
        <v>0</v>
      </c>
      <c r="G23" s="31" t="n">
        <f aca="false">IF(D23=0,0,F23/D23)</f>
        <v>0</v>
      </c>
      <c r="H23" s="34" t="str">
        <f aca="false">IF(G23&gt;تنظیمات!$B$17,"قرمز","عادی")</f>
        <v>عادی</v>
      </c>
      <c r="I23" s="5" t="n">
        <f aca="false">COUNTIFS(تراکنش_تردد!$O$2:$O$1001,C23,تراکنش_تردد!$Q$2:$Q$1001,A23,تراکنش_تردد!$P$2:$P$1001,B23,تراکنش_تردد!$Z$2:$Z$1001,"نقد")</f>
        <v>10</v>
      </c>
      <c r="J23" s="5" t="n">
        <f aca="false">COUNTIFS(تراکنش_تردد!$O$2:$O$1001,C23,تراکنش_تردد!$Q$2:$Q$1001,A23,تراکنش_تردد!$P$2:$P$1001,B23)</f>
        <v>18</v>
      </c>
      <c r="K23" s="31" t="n">
        <f aca="false">IF(J23=0,0,I23/J23)</f>
        <v>0.555555555555556</v>
      </c>
    </row>
    <row r="24" customFormat="false" ht="15" hidden="false" customHeight="false" outlineLevel="0" collapsed="false">
      <c r="A24" s="30" t="n">
        <v>46285</v>
      </c>
      <c r="B24" s="6" t="s">
        <v>420</v>
      </c>
      <c r="C24" s="5" t="s">
        <v>677</v>
      </c>
      <c r="D24" s="35" t="n">
        <f aca="false">SUMIFS(تراکنش_تردد!$AH$2:$AH$1001,تراکنش_تردد!$O$2:$O$1001,C24,تراکنش_تردد!$Q$2:$Q$1001,A24,تراکنش_تردد!$P$2:$P$1001,B24,تراکنش_تردد!$Z$2:$Z$1001,"نقد")</f>
        <v>596000</v>
      </c>
      <c r="E24" s="36" t="n">
        <v>596000</v>
      </c>
      <c r="F24" s="37" t="n">
        <f aca="false">D24-E24</f>
        <v>0</v>
      </c>
      <c r="G24" s="31" t="n">
        <f aca="false">IF(D24=0,0,F24/D24)</f>
        <v>0</v>
      </c>
      <c r="H24" s="34" t="str">
        <f aca="false">IF(G24&gt;تنظیمات!$B$17,"قرمز","عادی")</f>
        <v>عادی</v>
      </c>
      <c r="I24" s="5" t="n">
        <f aca="false">COUNTIFS(تراکنش_تردد!$O$2:$O$1001,C24,تراکنش_تردد!$Q$2:$Q$1001,A24,تراکنش_تردد!$P$2:$P$1001,B24,تراکنش_تردد!$Z$2:$Z$1001,"نقد")</f>
        <v>5</v>
      </c>
      <c r="J24" s="5" t="n">
        <f aca="false">COUNTIFS(تراکنش_تردد!$O$2:$O$1001,C24,تراکنش_تردد!$Q$2:$Q$1001,A24,تراکنش_تردد!$P$2:$P$1001,B24)</f>
        <v>22</v>
      </c>
      <c r="K24" s="31" t="n">
        <f aca="false">IF(J24=0,0,I24/J24)</f>
        <v>0.227272727272727</v>
      </c>
    </row>
    <row r="25" customFormat="false" ht="15" hidden="false" customHeight="false" outlineLevel="0" collapsed="false">
      <c r="A25" s="30" t="n">
        <v>46285</v>
      </c>
      <c r="B25" s="6" t="s">
        <v>420</v>
      </c>
      <c r="C25" s="5" t="s">
        <v>425</v>
      </c>
      <c r="D25" s="35" t="n">
        <f aca="false">SUMIFS(تراکنش_تردد!$AH$2:$AH$1001,تراکنش_تردد!$O$2:$O$1001,C25,تراکنش_تردد!$Q$2:$Q$1001,A25,تراکنش_تردد!$P$2:$P$1001,B25,تراکنش_تردد!$Z$2:$Z$1001,"نقد")</f>
        <v>128000</v>
      </c>
      <c r="E25" s="36" t="n">
        <v>127000</v>
      </c>
      <c r="F25" s="37" t="n">
        <f aca="false">D25-E25</f>
        <v>1000</v>
      </c>
      <c r="G25" s="31" t="n">
        <f aca="false">IF(D25=0,0,F25/D25)</f>
        <v>0.0078125</v>
      </c>
      <c r="H25" s="34" t="str">
        <f aca="false">IF(G25&gt;تنظیمات!$B$17,"قرمز","عادی")</f>
        <v>عادی</v>
      </c>
      <c r="I25" s="5" t="n">
        <f aca="false">COUNTIFS(تراکنش_تردد!$O$2:$O$1001,C25,تراکنش_تردد!$Q$2:$Q$1001,A25,تراکنش_تردد!$P$2:$P$1001,B25,تراکنش_تردد!$Z$2:$Z$1001,"نقد")</f>
        <v>5</v>
      </c>
      <c r="J25" s="5" t="n">
        <f aca="false">COUNTIFS(تراکنش_تردد!$O$2:$O$1001,C25,تراکنش_تردد!$Q$2:$Q$1001,A25,تراکنش_تردد!$P$2:$P$1001,B25)</f>
        <v>21</v>
      </c>
      <c r="K25" s="31" t="n">
        <f aca="false">IF(J25=0,0,I25/J25)</f>
        <v>0.238095238095238</v>
      </c>
    </row>
    <row r="26" customFormat="false" ht="15" hidden="false" customHeight="false" outlineLevel="0" collapsed="false">
      <c r="A26" s="30" t="n">
        <v>46285</v>
      </c>
      <c r="B26" s="6" t="s">
        <v>651</v>
      </c>
      <c r="C26" s="5" t="s">
        <v>441</v>
      </c>
      <c r="D26" s="35" t="n">
        <f aca="false">SUMIFS(تراکنش_تردد!$AH$2:$AH$1001,تراکنش_تردد!$O$2:$O$1001,C26,تراکنش_تردد!$Q$2:$Q$1001,A26,تراکنش_تردد!$P$2:$P$1001,B26,تراکنش_تردد!$Z$2:$Z$1001,"نقد")</f>
        <v>0</v>
      </c>
      <c r="E26" s="36" t="n">
        <v>0</v>
      </c>
      <c r="F26" s="37" t="n">
        <f aca="false">D26-E26</f>
        <v>0</v>
      </c>
      <c r="G26" s="31" t="n">
        <f aca="false">IF(D26=0,0,F26/D26)</f>
        <v>0</v>
      </c>
      <c r="H26" s="34" t="str">
        <f aca="false">IF(G26&gt;تنظیمات!$B$17,"قرمز","عادی")</f>
        <v>عادی</v>
      </c>
      <c r="I26" s="5" t="n">
        <f aca="false">COUNTIFS(تراکنش_تردد!$O$2:$O$1001,C26,تراکنش_تردد!$Q$2:$Q$1001,A26,تراکنش_تردد!$P$2:$P$1001,B26,تراکنش_تردد!$Z$2:$Z$1001,"نقد")</f>
        <v>0</v>
      </c>
      <c r="J26" s="5" t="n">
        <f aca="false">COUNTIFS(تراکنش_تردد!$O$2:$O$1001,C26,تراکنش_تردد!$Q$2:$Q$1001,A26,تراکنش_تردد!$P$2:$P$1001,B26)</f>
        <v>4</v>
      </c>
      <c r="K26" s="31" t="n">
        <f aca="false">IF(J26=0,0,I26/J26)</f>
        <v>0</v>
      </c>
    </row>
    <row r="27" customFormat="false" ht="15" hidden="false" customHeight="false" outlineLevel="0" collapsed="false">
      <c r="A27" s="30" t="n">
        <v>46286</v>
      </c>
      <c r="B27" s="6" t="s">
        <v>402</v>
      </c>
      <c r="C27" s="5" t="s">
        <v>411</v>
      </c>
      <c r="D27" s="35" t="n">
        <f aca="false">SUMIFS(تراکنش_تردد!$AH$2:$AH$1001,تراکنش_تردد!$O$2:$O$1001,C27,تراکنش_تردد!$Q$2:$Q$1001,A27,تراکنش_تردد!$P$2:$P$1001,B27,تراکنش_تردد!$Z$2:$Z$1001,"نقد")</f>
        <v>175000</v>
      </c>
      <c r="E27" s="36" t="n">
        <v>175000</v>
      </c>
      <c r="F27" s="37" t="n">
        <f aca="false">D27-E27</f>
        <v>0</v>
      </c>
      <c r="G27" s="31" t="n">
        <f aca="false">IF(D27=0,0,F27/D27)</f>
        <v>0</v>
      </c>
      <c r="H27" s="34" t="str">
        <f aca="false">IF(G27&gt;تنظیمات!$B$17,"قرمز","عادی")</f>
        <v>عادی</v>
      </c>
      <c r="I27" s="5" t="n">
        <f aca="false">COUNTIFS(تراکنش_تردد!$O$2:$O$1001,C27,تراکنش_تردد!$Q$2:$Q$1001,A27,تراکنش_تردد!$P$2:$P$1001,B27,تراکنش_تردد!$Z$2:$Z$1001,"نقد")</f>
        <v>4</v>
      </c>
      <c r="J27" s="5" t="n">
        <f aca="false">COUNTIFS(تراکنش_تردد!$O$2:$O$1001,C27,تراکنش_تردد!$Q$2:$Q$1001,A27,تراکنش_تردد!$P$2:$P$1001,B27)</f>
        <v>17</v>
      </c>
      <c r="K27" s="31" t="n">
        <f aca="false">IF(J27=0,0,I27/J27)</f>
        <v>0.235294117647059</v>
      </c>
    </row>
    <row r="28" customFormat="false" ht="15" hidden="false" customHeight="false" outlineLevel="0" collapsed="false">
      <c r="A28" s="30" t="n">
        <v>46286</v>
      </c>
      <c r="B28" s="6" t="s">
        <v>402</v>
      </c>
      <c r="C28" s="5" t="s">
        <v>401</v>
      </c>
      <c r="D28" s="35" t="n">
        <f aca="false">SUMIFS(تراکنش_تردد!$AH$2:$AH$1001,تراکنش_تردد!$O$2:$O$1001,C28,تراکنش_تردد!$Q$2:$Q$1001,A28,تراکنش_تردد!$P$2:$P$1001,B28,تراکنش_تردد!$Z$2:$Z$1001,"نقد")</f>
        <v>54000</v>
      </c>
      <c r="E28" s="36" t="n">
        <v>52000</v>
      </c>
      <c r="F28" s="37" t="n">
        <f aca="false">D28-E28</f>
        <v>2000</v>
      </c>
      <c r="G28" s="31" t="n">
        <f aca="false">IF(D28=0,0,F28/D28)</f>
        <v>0.037037037037037</v>
      </c>
      <c r="H28" s="34" t="str">
        <f aca="false">IF(G28&gt;تنظیمات!$B$17,"قرمز","عادی")</f>
        <v>قرمز</v>
      </c>
      <c r="I28" s="5" t="n">
        <f aca="false">COUNTIFS(تراکنش_تردد!$O$2:$O$1001,C28,تراکنش_تردد!$Q$2:$Q$1001,A28,تراکنش_تردد!$P$2:$P$1001,B28,تراکنش_تردد!$Z$2:$Z$1001,"نقد")</f>
        <v>4</v>
      </c>
      <c r="J28" s="5" t="n">
        <f aca="false">COUNTIFS(تراکنش_تردد!$O$2:$O$1001,C28,تراکنش_تردد!$Q$2:$Q$1001,A28,تراکنش_تردد!$P$2:$P$1001,B28)</f>
        <v>12</v>
      </c>
      <c r="K28" s="31" t="n">
        <f aca="false">IF(J28=0,0,I28/J28)</f>
        <v>0.333333333333333</v>
      </c>
    </row>
    <row r="29" customFormat="false" ht="15" hidden="false" customHeight="false" outlineLevel="0" collapsed="false">
      <c r="A29" s="30" t="n">
        <v>46286</v>
      </c>
      <c r="B29" s="6" t="s">
        <v>420</v>
      </c>
      <c r="C29" s="5" t="s">
        <v>419</v>
      </c>
      <c r="D29" s="35" t="n">
        <f aca="false">SUMIFS(تراکنش_تردد!$AH$2:$AH$1001,تراکنش_تردد!$O$2:$O$1001,C29,تراکنش_تردد!$Q$2:$Q$1001,A29,تراکنش_تردد!$P$2:$P$1001,B29,تراکنش_تردد!$Z$2:$Z$1001,"نقد")</f>
        <v>108000</v>
      </c>
      <c r="E29" s="36" t="n">
        <v>108000</v>
      </c>
      <c r="F29" s="37" t="n">
        <f aca="false">D29-E29</f>
        <v>0</v>
      </c>
      <c r="G29" s="31" t="n">
        <f aca="false">IF(D29=0,0,F29/D29)</f>
        <v>0</v>
      </c>
      <c r="H29" s="34" t="str">
        <f aca="false">IF(G29&gt;تنظیمات!$B$17,"قرمز","عادی")</f>
        <v>عادی</v>
      </c>
      <c r="I29" s="5" t="n">
        <f aca="false">COUNTIFS(تراکنش_تردد!$O$2:$O$1001,C29,تراکنش_تردد!$Q$2:$Q$1001,A29,تراکنش_تردد!$P$2:$P$1001,B29,تراکنش_تردد!$Z$2:$Z$1001,"نقد")</f>
        <v>4</v>
      </c>
      <c r="J29" s="5" t="n">
        <f aca="false">COUNTIFS(تراکنش_تردد!$O$2:$O$1001,C29,تراکنش_تردد!$Q$2:$Q$1001,A29,تراکنش_تردد!$P$2:$P$1001,B29)</f>
        <v>16</v>
      </c>
      <c r="K29" s="31" t="n">
        <f aca="false">IF(J29=0,0,I29/J29)</f>
        <v>0.25</v>
      </c>
    </row>
    <row r="30" customFormat="false" ht="15" hidden="false" customHeight="false" outlineLevel="0" collapsed="false">
      <c r="A30" s="30" t="n">
        <v>46286</v>
      </c>
      <c r="B30" s="6" t="s">
        <v>420</v>
      </c>
      <c r="C30" s="5" t="s">
        <v>650</v>
      </c>
      <c r="D30" s="35" t="n">
        <f aca="false">SUMIFS(تراکنش_تردد!$AH$2:$AH$1001,تراکنش_تردد!$O$2:$O$1001,C30,تراکنش_تردد!$Q$2:$Q$1001,A30,تراکنش_تردد!$P$2:$P$1001,B30,تراکنش_تردد!$Z$2:$Z$1001,"نقد")</f>
        <v>402000</v>
      </c>
      <c r="E30" s="36" t="n">
        <v>402000</v>
      </c>
      <c r="F30" s="37" t="n">
        <f aca="false">D30-E30</f>
        <v>0</v>
      </c>
      <c r="G30" s="31" t="n">
        <f aca="false">IF(D30=0,0,F30/D30)</f>
        <v>0</v>
      </c>
      <c r="H30" s="34" t="str">
        <f aca="false">IF(G30&gt;تنظیمات!$B$17,"قرمز","عادی")</f>
        <v>عادی</v>
      </c>
      <c r="I30" s="5" t="n">
        <f aca="false">COUNTIFS(تراکنش_تردد!$O$2:$O$1001,C30,تراکنش_تردد!$Q$2:$Q$1001,A30,تراکنش_تردد!$P$2:$P$1001,B30,تراکنش_تردد!$Z$2:$Z$1001,"نقد")</f>
        <v>4</v>
      </c>
      <c r="J30" s="5" t="n">
        <f aca="false">COUNTIFS(تراکنش_تردد!$O$2:$O$1001,C30,تراکنش_تردد!$Q$2:$Q$1001,A30,تراکنش_تردد!$P$2:$P$1001,B30)</f>
        <v>15</v>
      </c>
      <c r="K30" s="31" t="n">
        <f aca="false">IF(J30=0,0,I30/J30)</f>
        <v>0.266666666666667</v>
      </c>
    </row>
    <row r="31" customFormat="false" ht="15" hidden="false" customHeight="false" outlineLevel="0" collapsed="false">
      <c r="A31" s="30" t="n">
        <v>46286</v>
      </c>
      <c r="B31" s="6" t="s">
        <v>651</v>
      </c>
      <c r="C31" s="5" t="s">
        <v>666</v>
      </c>
      <c r="D31" s="35" t="n">
        <f aca="false">SUMIFS(تراکنش_تردد!$AH$2:$AH$1001,تراکنش_تردد!$O$2:$O$1001,C31,تراکنش_تردد!$Q$2:$Q$1001,A31,تراکنش_تردد!$P$2:$P$1001,B31,تراکنش_تردد!$Z$2:$Z$1001,"نقد")</f>
        <v>34000</v>
      </c>
      <c r="E31" s="36" t="n">
        <v>34000</v>
      </c>
      <c r="F31" s="37" t="n">
        <f aca="false">D31-E31</f>
        <v>0</v>
      </c>
      <c r="G31" s="31" t="n">
        <f aca="false">IF(D31=0,0,F31/D31)</f>
        <v>0</v>
      </c>
      <c r="H31" s="34" t="str">
        <f aca="false">IF(G31&gt;تنظیمات!$B$17,"قرمز","عادی")</f>
        <v>عادی</v>
      </c>
      <c r="I31" s="5" t="n">
        <f aca="false">COUNTIFS(تراکنش_تردد!$O$2:$O$1001,C31,تراکنش_تردد!$Q$2:$Q$1001,A31,تراکنش_تردد!$P$2:$P$1001,B31,تراکنش_تردد!$Z$2:$Z$1001,"نقد")</f>
        <v>1</v>
      </c>
      <c r="J31" s="5" t="n">
        <f aca="false">COUNTIFS(تراکنش_تردد!$O$2:$O$1001,C31,تراکنش_تردد!$Q$2:$Q$1001,A31,تراکنش_تردد!$P$2:$P$1001,B31)</f>
        <v>2</v>
      </c>
      <c r="K31" s="31" t="n">
        <f aca="false">IF(J31=0,0,I31/J31)</f>
        <v>0.5</v>
      </c>
    </row>
    <row r="32" customFormat="false" ht="15" hidden="false" customHeight="false" outlineLevel="0" collapsed="false">
      <c r="A32" s="30" t="n">
        <v>46287</v>
      </c>
      <c r="B32" s="6" t="s">
        <v>402</v>
      </c>
      <c r="C32" s="5" t="s">
        <v>677</v>
      </c>
      <c r="D32" s="35" t="n">
        <f aca="false">SUMIFS(تراکنش_تردد!$AH$2:$AH$1001,تراکنش_تردد!$O$2:$O$1001,C32,تراکنش_تردد!$Q$2:$Q$1001,A32,تراکنش_تردد!$P$2:$P$1001,B32,تراکنش_تردد!$Z$2:$Z$1001,"نقد")</f>
        <v>79000</v>
      </c>
      <c r="E32" s="36" t="n">
        <v>79000</v>
      </c>
      <c r="F32" s="37" t="n">
        <f aca="false">D32-E32</f>
        <v>0</v>
      </c>
      <c r="G32" s="31" t="n">
        <f aca="false">IF(D32=0,0,F32/D32)</f>
        <v>0</v>
      </c>
      <c r="H32" s="34" t="str">
        <f aca="false">IF(G32&gt;تنظیمات!$B$17,"قرمز","عادی")</f>
        <v>عادی</v>
      </c>
      <c r="I32" s="5" t="n">
        <f aca="false">COUNTIFS(تراکنش_تردد!$O$2:$O$1001,C32,تراکنش_تردد!$Q$2:$Q$1001,A32,تراکنش_تردد!$P$2:$P$1001,B32,تراکنش_تردد!$Z$2:$Z$1001,"نقد")</f>
        <v>2</v>
      </c>
      <c r="J32" s="5" t="n">
        <f aca="false">COUNTIFS(تراکنش_تردد!$O$2:$O$1001,C32,تراکنش_تردد!$Q$2:$Q$1001,A32,تراکنش_تردد!$P$2:$P$1001,B32)</f>
        <v>16</v>
      </c>
      <c r="K32" s="31" t="n">
        <f aca="false">IF(J32=0,0,I32/J32)</f>
        <v>0.125</v>
      </c>
    </row>
    <row r="33" customFormat="false" ht="15" hidden="false" customHeight="false" outlineLevel="0" collapsed="false">
      <c r="A33" s="30" t="n">
        <v>46287</v>
      </c>
      <c r="B33" s="6" t="s">
        <v>402</v>
      </c>
      <c r="C33" s="5" t="s">
        <v>425</v>
      </c>
      <c r="D33" s="35" t="n">
        <f aca="false">SUMIFS(تراکنش_تردد!$AH$2:$AH$1001,تراکنش_تردد!$O$2:$O$1001,C33,تراکنش_تردد!$Q$2:$Q$1001,A33,تراکنش_تردد!$P$2:$P$1001,B33,تراکنش_تردد!$Z$2:$Z$1001,"نقد")</f>
        <v>228000</v>
      </c>
      <c r="E33" s="36" t="n">
        <v>228000</v>
      </c>
      <c r="F33" s="37" t="n">
        <f aca="false">D33-E33</f>
        <v>0</v>
      </c>
      <c r="G33" s="31" t="n">
        <f aca="false">IF(D33=0,0,F33/D33)</f>
        <v>0</v>
      </c>
      <c r="H33" s="34" t="str">
        <f aca="false">IF(G33&gt;تنظیمات!$B$17,"قرمز","عادی")</f>
        <v>عادی</v>
      </c>
      <c r="I33" s="5" t="n">
        <f aca="false">COUNTIFS(تراکنش_تردد!$O$2:$O$1001,C33,تراکنش_تردد!$Q$2:$Q$1001,A33,تراکنش_تردد!$P$2:$P$1001,B33,تراکنش_تردد!$Z$2:$Z$1001,"نقد")</f>
        <v>3</v>
      </c>
      <c r="J33" s="5" t="n">
        <f aca="false">COUNTIFS(تراکنش_تردد!$O$2:$O$1001,C33,تراکنش_تردد!$Q$2:$Q$1001,A33,تراکنش_تردد!$P$2:$P$1001,B33)</f>
        <v>17</v>
      </c>
      <c r="K33" s="31" t="n">
        <f aca="false">IF(J33=0,0,I33/J33)</f>
        <v>0.176470588235294</v>
      </c>
    </row>
    <row r="34" customFormat="false" ht="15" hidden="false" customHeight="false" outlineLevel="0" collapsed="false">
      <c r="A34" s="30" t="n">
        <v>46287</v>
      </c>
      <c r="B34" s="6" t="s">
        <v>420</v>
      </c>
      <c r="C34" s="5" t="s">
        <v>441</v>
      </c>
      <c r="D34" s="35" t="n">
        <f aca="false">SUMIFS(تراکنش_تردد!$AH$2:$AH$1001,تراکنش_تردد!$O$2:$O$1001,C34,تراکنش_تردد!$Q$2:$Q$1001,A34,تراکنش_تردد!$P$2:$P$1001,B34,تراکنش_تردد!$Z$2:$Z$1001,"نقد")</f>
        <v>484000</v>
      </c>
      <c r="E34" s="36" t="n">
        <v>480000</v>
      </c>
      <c r="F34" s="37" t="n">
        <f aca="false">D34-E34</f>
        <v>4000</v>
      </c>
      <c r="G34" s="31" t="n">
        <f aca="false">IF(D34=0,0,F34/D34)</f>
        <v>0.00826446280991736</v>
      </c>
      <c r="H34" s="34" t="str">
        <f aca="false">IF(G34&gt;تنظیمات!$B$17,"قرمز","عادی")</f>
        <v>عادی</v>
      </c>
      <c r="I34" s="5" t="n">
        <f aca="false">COUNTIFS(تراکنش_تردد!$O$2:$O$1001,C34,تراکنش_تردد!$Q$2:$Q$1001,A34,تراکنش_تردد!$P$2:$P$1001,B34,تراکنش_تردد!$Z$2:$Z$1001,"نقد")</f>
        <v>5</v>
      </c>
      <c r="J34" s="5" t="n">
        <f aca="false">COUNTIFS(تراکنش_تردد!$O$2:$O$1001,C34,تراکنش_تردد!$Q$2:$Q$1001,A34,تراکنش_تردد!$P$2:$P$1001,B34)</f>
        <v>10</v>
      </c>
      <c r="K34" s="31" t="n">
        <f aca="false">IF(J34=0,0,I34/J34)</f>
        <v>0.5</v>
      </c>
    </row>
    <row r="35" customFormat="false" ht="15" hidden="false" customHeight="false" outlineLevel="0" collapsed="false">
      <c r="A35" s="30" t="n">
        <v>46287</v>
      </c>
      <c r="B35" s="6" t="s">
        <v>420</v>
      </c>
      <c r="C35" s="5" t="s">
        <v>411</v>
      </c>
      <c r="D35" s="35" t="n">
        <f aca="false">SUMIFS(تراکنش_تردد!$AH$2:$AH$1001,تراکنش_تردد!$O$2:$O$1001,C35,تراکنش_تردد!$Q$2:$Q$1001,A35,تراکنش_تردد!$P$2:$P$1001,B35,تراکنش_تردد!$Z$2:$Z$1001,"نقد")</f>
        <v>588000</v>
      </c>
      <c r="E35" s="36" t="n">
        <v>588000</v>
      </c>
      <c r="F35" s="37" t="n">
        <f aca="false">D35-E35</f>
        <v>0</v>
      </c>
      <c r="G35" s="31" t="n">
        <f aca="false">IF(D35=0,0,F35/D35)</f>
        <v>0</v>
      </c>
      <c r="H35" s="34" t="str">
        <f aca="false">IF(G35&gt;تنظیمات!$B$17,"قرمز","عادی")</f>
        <v>عادی</v>
      </c>
      <c r="I35" s="5" t="n">
        <f aca="false">COUNTIFS(تراکنش_تردد!$O$2:$O$1001,C35,تراکنش_تردد!$Q$2:$Q$1001,A35,تراکنش_تردد!$P$2:$P$1001,B35,تراکنش_تردد!$Z$2:$Z$1001,"نقد")</f>
        <v>3</v>
      </c>
      <c r="J35" s="5" t="n">
        <f aca="false">COUNTIFS(تراکنش_تردد!$O$2:$O$1001,C35,تراکنش_تردد!$Q$2:$Q$1001,A35,تراکنش_تردد!$P$2:$P$1001,B35)</f>
        <v>17</v>
      </c>
      <c r="K35" s="31" t="n">
        <f aca="false">IF(J35=0,0,I35/J35)</f>
        <v>0.176470588235294</v>
      </c>
    </row>
    <row r="36" customFormat="false" ht="15" hidden="false" customHeight="false" outlineLevel="0" collapsed="false">
      <c r="A36" s="30" t="n">
        <v>46287</v>
      </c>
      <c r="B36" s="6" t="s">
        <v>651</v>
      </c>
      <c r="C36" s="5" t="s">
        <v>401</v>
      </c>
      <c r="D36" s="35" t="n">
        <f aca="false">SUMIFS(تراکنش_تردد!$AH$2:$AH$1001,تراکنش_تردد!$O$2:$O$1001,C36,تراکنش_تردد!$Q$2:$Q$1001,A36,تراکنش_تردد!$P$2:$P$1001,B36,تراکنش_تردد!$Z$2:$Z$1001,"نقد")</f>
        <v>0</v>
      </c>
      <c r="E36" s="36" t="n">
        <v>0</v>
      </c>
      <c r="F36" s="37" t="n">
        <f aca="false">D36-E36</f>
        <v>0</v>
      </c>
      <c r="G36" s="31" t="n">
        <f aca="false">IF(D36=0,0,F36/D36)</f>
        <v>0</v>
      </c>
      <c r="H36" s="34" t="str">
        <f aca="false">IF(G36&gt;تنظیمات!$B$17,"قرمز","عادی")</f>
        <v>عادی</v>
      </c>
      <c r="I36" s="5" t="n">
        <f aca="false">COUNTIFS(تراکنش_تردد!$O$2:$O$1001,C36,تراکنش_تردد!$Q$2:$Q$1001,A36,تراکنش_تردد!$P$2:$P$1001,B36,تراکنش_تردد!$Z$2:$Z$1001,"نقد")</f>
        <v>0</v>
      </c>
      <c r="J36" s="5" t="n">
        <f aca="false">COUNTIFS(تراکنش_تردد!$O$2:$O$1001,C36,تراکنش_تردد!$Q$2:$Q$1001,A36,تراکنش_تردد!$P$2:$P$1001,B36)</f>
        <v>2</v>
      </c>
      <c r="K36" s="31" t="n">
        <f aca="false">IF(J36=0,0,I36/J36)</f>
        <v>0</v>
      </c>
    </row>
    <row r="37" customFormat="false" ht="15" hidden="false" customHeight="false" outlineLevel="0" collapsed="false">
      <c r="A37" s="30" t="n">
        <v>46288</v>
      </c>
      <c r="B37" s="6" t="s">
        <v>402</v>
      </c>
      <c r="C37" s="5" t="s">
        <v>419</v>
      </c>
      <c r="D37" s="35" t="n">
        <f aca="false">SUMIFS(تراکنش_تردد!$AH$2:$AH$1001,تراکنش_تردد!$O$2:$O$1001,C37,تراکنش_تردد!$Q$2:$Q$1001,A37,تراکنش_تردد!$P$2:$P$1001,B37,تراکنش_تردد!$Z$2:$Z$1001,"نقد")</f>
        <v>898000</v>
      </c>
      <c r="E37" s="36" t="n">
        <v>898000</v>
      </c>
      <c r="F37" s="37" t="n">
        <f aca="false">D37-E37</f>
        <v>0</v>
      </c>
      <c r="G37" s="31" t="n">
        <f aca="false">IF(D37=0,0,F37/D37)</f>
        <v>0</v>
      </c>
      <c r="H37" s="34" t="str">
        <f aca="false">IF(G37&gt;تنظیمات!$B$17,"قرمز","عادی")</f>
        <v>عادی</v>
      </c>
      <c r="I37" s="5" t="n">
        <f aca="false">COUNTIFS(تراکنش_تردد!$O$2:$O$1001,C37,تراکنش_تردد!$Q$2:$Q$1001,A37,تراکنش_تردد!$P$2:$P$1001,B37,تراکنش_تردد!$Z$2:$Z$1001,"نقد")</f>
        <v>6</v>
      </c>
      <c r="J37" s="5" t="n">
        <f aca="false">COUNTIFS(تراکنش_تردد!$O$2:$O$1001,C37,تراکنش_تردد!$Q$2:$Q$1001,A37,تراکنش_تردد!$P$2:$P$1001,B37)</f>
        <v>17</v>
      </c>
      <c r="K37" s="31" t="n">
        <f aca="false">IF(J37=0,0,I37/J37)</f>
        <v>0.352941176470588</v>
      </c>
    </row>
    <row r="38" customFormat="false" ht="15" hidden="false" customHeight="false" outlineLevel="0" collapsed="false">
      <c r="A38" s="30" t="n">
        <v>46288</v>
      </c>
      <c r="B38" s="6" t="s">
        <v>402</v>
      </c>
      <c r="C38" s="5" t="s">
        <v>650</v>
      </c>
      <c r="D38" s="35" t="n">
        <f aca="false">SUMIFS(تراکنش_تردد!$AH$2:$AH$1001,تراکنش_تردد!$O$2:$O$1001,C38,تراکنش_تردد!$Q$2:$Q$1001,A38,تراکنش_تردد!$P$2:$P$1001,B38,تراکنش_تردد!$Z$2:$Z$1001,"نقد")</f>
        <v>48000</v>
      </c>
      <c r="E38" s="36" t="n">
        <v>48000</v>
      </c>
      <c r="F38" s="37" t="n">
        <f aca="false">D38-E38</f>
        <v>0</v>
      </c>
      <c r="G38" s="31" t="n">
        <f aca="false">IF(D38=0,0,F38/D38)</f>
        <v>0</v>
      </c>
      <c r="H38" s="34" t="str">
        <f aca="false">IF(G38&gt;تنظیمات!$B$17,"قرمز","عادی")</f>
        <v>عادی</v>
      </c>
      <c r="I38" s="5" t="n">
        <f aca="false">COUNTIFS(تراکنش_تردد!$O$2:$O$1001,C38,تراکنش_تردد!$Q$2:$Q$1001,A38,تراکنش_تردد!$P$2:$P$1001,B38,تراکنش_تردد!$Z$2:$Z$1001,"نقد")</f>
        <v>1</v>
      </c>
      <c r="J38" s="5" t="n">
        <f aca="false">COUNTIFS(تراکنش_تردد!$O$2:$O$1001,C38,تراکنش_تردد!$Q$2:$Q$1001,A38,تراکنش_تردد!$P$2:$P$1001,B38)</f>
        <v>17</v>
      </c>
      <c r="K38" s="31" t="n">
        <f aca="false">IF(J38=0,0,I38/J38)</f>
        <v>0.0588235294117647</v>
      </c>
    </row>
    <row r="39" customFormat="false" ht="15" hidden="false" customHeight="false" outlineLevel="0" collapsed="false">
      <c r="A39" s="30" t="n">
        <v>46288</v>
      </c>
      <c r="B39" s="6" t="s">
        <v>420</v>
      </c>
      <c r="C39" s="5" t="s">
        <v>666</v>
      </c>
      <c r="D39" s="35" t="n">
        <f aca="false">SUMIFS(تراکنش_تردد!$AH$2:$AH$1001,تراکنش_تردد!$O$2:$O$1001,C39,تراکنش_تردد!$Q$2:$Q$1001,A39,تراکنش_تردد!$P$2:$P$1001,B39,تراکنش_تردد!$Z$2:$Z$1001,"نقد")</f>
        <v>292000</v>
      </c>
      <c r="E39" s="36" t="n">
        <v>292000</v>
      </c>
      <c r="F39" s="37" t="n">
        <f aca="false">D39-E39</f>
        <v>0</v>
      </c>
      <c r="G39" s="31" t="n">
        <f aca="false">IF(D39=0,0,F39/D39)</f>
        <v>0</v>
      </c>
      <c r="H39" s="34" t="str">
        <f aca="false">IF(G39&gt;تنظیمات!$B$17,"قرمز","عادی")</f>
        <v>عادی</v>
      </c>
      <c r="I39" s="5" t="n">
        <f aca="false">COUNTIFS(تراکنش_تردد!$O$2:$O$1001,C39,تراکنش_تردد!$Q$2:$Q$1001,A39,تراکنش_تردد!$P$2:$P$1001,B39,تراکنش_تردد!$Z$2:$Z$1001,"نقد")</f>
        <v>4</v>
      </c>
      <c r="J39" s="5" t="n">
        <f aca="false">COUNTIFS(تراکنش_تردد!$O$2:$O$1001,C39,تراکنش_تردد!$Q$2:$Q$1001,A39,تراکنش_تردد!$P$2:$P$1001,B39)</f>
        <v>15</v>
      </c>
      <c r="K39" s="31" t="n">
        <f aca="false">IF(J39=0,0,I39/J39)</f>
        <v>0.266666666666667</v>
      </c>
    </row>
    <row r="40" customFormat="false" ht="15" hidden="false" customHeight="false" outlineLevel="0" collapsed="false">
      <c r="A40" s="30" t="n">
        <v>46288</v>
      </c>
      <c r="B40" s="6" t="s">
        <v>420</v>
      </c>
      <c r="C40" s="5" t="s">
        <v>677</v>
      </c>
      <c r="D40" s="35" t="n">
        <f aca="false">SUMIFS(تراکنش_تردد!$AH$2:$AH$1001,تراکنش_تردد!$O$2:$O$1001,C40,تراکنش_تردد!$Q$2:$Q$1001,A40,تراکنش_تردد!$P$2:$P$1001,B40,تراکنش_تردد!$Z$2:$Z$1001,"نقد")</f>
        <v>257000</v>
      </c>
      <c r="E40" s="36" t="n">
        <v>257000</v>
      </c>
      <c r="F40" s="37" t="n">
        <f aca="false">D40-E40</f>
        <v>0</v>
      </c>
      <c r="G40" s="31" t="n">
        <f aca="false">IF(D40=0,0,F40/D40)</f>
        <v>0</v>
      </c>
      <c r="H40" s="34" t="str">
        <f aca="false">IF(G40&gt;تنظیمات!$B$17,"قرمز","عادی")</f>
        <v>عادی</v>
      </c>
      <c r="I40" s="5" t="n">
        <f aca="false">COUNTIFS(تراکنش_تردد!$O$2:$O$1001,C40,تراکنش_تردد!$Q$2:$Q$1001,A40,تراکنش_تردد!$P$2:$P$1001,B40,تراکنش_تردد!$Z$2:$Z$1001,"نقد")</f>
        <v>6</v>
      </c>
      <c r="J40" s="5" t="n">
        <f aca="false">COUNTIFS(تراکنش_تردد!$O$2:$O$1001,C40,تراکنش_تردد!$Q$2:$Q$1001,A40,تراکنش_تردد!$P$2:$P$1001,B40)</f>
        <v>20</v>
      </c>
      <c r="K40" s="31" t="n">
        <f aca="false">IF(J40=0,0,I40/J40)</f>
        <v>0.3</v>
      </c>
    </row>
    <row r="41" customFormat="false" ht="15" hidden="false" customHeight="false" outlineLevel="0" collapsed="false">
      <c r="A41" s="30" t="n">
        <v>46288</v>
      </c>
      <c r="B41" s="6" t="s">
        <v>651</v>
      </c>
      <c r="C41" s="5" t="s">
        <v>425</v>
      </c>
      <c r="D41" s="35" t="n">
        <f aca="false">SUMIFS(تراکنش_تردد!$AH$2:$AH$1001,تراکنش_تردد!$O$2:$O$1001,C41,تراکنش_تردد!$Q$2:$Q$1001,A41,تراکنش_تردد!$P$2:$P$1001,B41,تراکنش_تردد!$Z$2:$Z$1001,"نقد")</f>
        <v>34000</v>
      </c>
      <c r="E41" s="36" t="n">
        <v>34000</v>
      </c>
      <c r="F41" s="37" t="n">
        <f aca="false">D41-E41</f>
        <v>0</v>
      </c>
      <c r="G41" s="31" t="n">
        <f aca="false">IF(D41=0,0,F41/D41)</f>
        <v>0</v>
      </c>
      <c r="H41" s="34" t="str">
        <f aca="false">IF(G41&gt;تنظیمات!$B$17,"قرمز","عادی")</f>
        <v>عادی</v>
      </c>
      <c r="I41" s="5" t="n">
        <f aca="false">COUNTIFS(تراکنش_تردد!$O$2:$O$1001,C41,تراکنش_تردد!$Q$2:$Q$1001,A41,تراکنش_تردد!$P$2:$P$1001,B41,تراکنش_تردد!$Z$2:$Z$1001,"نقد")</f>
        <v>1</v>
      </c>
      <c r="J41" s="5" t="n">
        <f aca="false">COUNTIFS(تراکنش_تردد!$O$2:$O$1001,C41,تراکنش_تردد!$Q$2:$Q$1001,A41,تراکنش_تردد!$P$2:$P$1001,B41)</f>
        <v>4</v>
      </c>
      <c r="K41" s="31" t="n">
        <f aca="false">IF(J41=0,0,I41/J41)</f>
        <v>0.25</v>
      </c>
    </row>
    <row r="42" customFormat="false" ht="15" hidden="false" customHeight="false" outlineLevel="0" collapsed="false">
      <c r="A42" s="30" t="n">
        <v>46289</v>
      </c>
      <c r="B42" s="6" t="s">
        <v>402</v>
      </c>
      <c r="C42" s="5" t="s">
        <v>441</v>
      </c>
      <c r="D42" s="35" t="n">
        <f aca="false">SUMIFS(تراکنش_تردد!$AH$2:$AH$1001,تراکنش_تردد!$O$2:$O$1001,C42,تراکنش_تردد!$Q$2:$Q$1001,A42,تراکنش_تردد!$P$2:$P$1001,B42,تراکنش_تردد!$Z$2:$Z$1001,"نقد")</f>
        <v>130000</v>
      </c>
      <c r="E42" s="36" t="n">
        <v>130000</v>
      </c>
      <c r="F42" s="37" t="n">
        <f aca="false">D42-E42</f>
        <v>0</v>
      </c>
      <c r="G42" s="31" t="n">
        <f aca="false">IF(D42=0,0,F42/D42)</f>
        <v>0</v>
      </c>
      <c r="H42" s="34" t="str">
        <f aca="false">IF(G42&gt;تنظیمات!$B$17,"قرمز","عادی")</f>
        <v>عادی</v>
      </c>
      <c r="I42" s="5" t="n">
        <f aca="false">COUNTIFS(تراکنش_تردد!$O$2:$O$1001,C42,تراکنش_تردد!$Q$2:$Q$1001,A42,تراکنش_تردد!$P$2:$P$1001,B42,تراکنش_تردد!$Z$2:$Z$1001,"نقد")</f>
        <v>3</v>
      </c>
      <c r="J42" s="5" t="n">
        <f aca="false">COUNTIFS(تراکنش_تردد!$O$2:$O$1001,C42,تراکنش_تردد!$Q$2:$Q$1001,A42,تراکنش_تردد!$P$2:$P$1001,B42)</f>
        <v>14</v>
      </c>
      <c r="K42" s="31" t="n">
        <f aca="false">IF(J42=0,0,I42/J42)</f>
        <v>0.214285714285714</v>
      </c>
    </row>
    <row r="43" customFormat="false" ht="15" hidden="false" customHeight="false" outlineLevel="0" collapsed="false">
      <c r="A43" s="30" t="n">
        <v>46289</v>
      </c>
      <c r="B43" s="6" t="s">
        <v>402</v>
      </c>
      <c r="C43" s="5" t="s">
        <v>411</v>
      </c>
      <c r="D43" s="35" t="n">
        <f aca="false">SUMIFS(تراکنش_تردد!$AH$2:$AH$1001,تراکنش_تردد!$O$2:$O$1001,C43,تراکنش_تردد!$Q$2:$Q$1001,A43,تراکنش_تردد!$P$2:$P$1001,B43,تراکنش_تردد!$Z$2:$Z$1001,"نقد")</f>
        <v>68000</v>
      </c>
      <c r="E43" s="36" t="n">
        <v>68000</v>
      </c>
      <c r="F43" s="37" t="n">
        <f aca="false">D43-E43</f>
        <v>0</v>
      </c>
      <c r="G43" s="31" t="n">
        <f aca="false">IF(D43=0,0,F43/D43)</f>
        <v>0</v>
      </c>
      <c r="H43" s="34" t="str">
        <f aca="false">IF(G43&gt;تنظیمات!$B$17,"قرمز","عادی")</f>
        <v>عادی</v>
      </c>
      <c r="I43" s="5" t="n">
        <f aca="false">COUNTIFS(تراکنش_تردد!$O$2:$O$1001,C43,تراکنش_تردد!$Q$2:$Q$1001,A43,تراکنش_تردد!$P$2:$P$1001,B43,تراکنش_تردد!$Z$2:$Z$1001,"نقد")</f>
        <v>2</v>
      </c>
      <c r="J43" s="5" t="n">
        <f aca="false">COUNTIFS(تراکنش_تردد!$O$2:$O$1001,C43,تراکنش_تردد!$Q$2:$Q$1001,A43,تراکنش_تردد!$P$2:$P$1001,B43)</f>
        <v>15</v>
      </c>
      <c r="K43" s="31" t="n">
        <f aca="false">IF(J43=0,0,I43/J43)</f>
        <v>0.133333333333333</v>
      </c>
    </row>
    <row r="44" customFormat="false" ht="15" hidden="false" customHeight="false" outlineLevel="0" collapsed="false">
      <c r="A44" s="30" t="n">
        <v>46289</v>
      </c>
      <c r="B44" s="6" t="s">
        <v>420</v>
      </c>
      <c r="C44" s="5" t="s">
        <v>401</v>
      </c>
      <c r="D44" s="35" t="n">
        <f aca="false">SUMIFS(تراکنش_تردد!$AH$2:$AH$1001,تراکنش_تردد!$O$2:$O$1001,C44,تراکنش_تردد!$Q$2:$Q$1001,A44,تراکنش_تردد!$P$2:$P$1001,B44,تراکنش_تردد!$Z$2:$Z$1001,"نقد")</f>
        <v>216000</v>
      </c>
      <c r="E44" s="36" t="n">
        <v>205000</v>
      </c>
      <c r="F44" s="37" t="n">
        <f aca="false">D44-E44</f>
        <v>11000</v>
      </c>
      <c r="G44" s="31" t="n">
        <f aca="false">IF(D44=0,0,F44/D44)</f>
        <v>0.0509259259259259</v>
      </c>
      <c r="H44" s="34" t="str">
        <f aca="false">IF(G44&gt;تنظیمات!$B$17,"قرمز","عادی")</f>
        <v>قرمز</v>
      </c>
      <c r="I44" s="5" t="n">
        <f aca="false">COUNTIFS(تراکنش_تردد!$O$2:$O$1001,C44,تراکنش_تردد!$Q$2:$Q$1001,A44,تراکنش_تردد!$P$2:$P$1001,B44,تراکنش_تردد!$Z$2:$Z$1001,"نقد")</f>
        <v>7</v>
      </c>
      <c r="J44" s="5" t="n">
        <f aca="false">COUNTIFS(تراکنش_تردد!$O$2:$O$1001,C44,تراکنش_تردد!$Q$2:$Q$1001,A44,تراکنش_تردد!$P$2:$P$1001,B44)</f>
        <v>17</v>
      </c>
      <c r="K44" s="31" t="n">
        <f aca="false">IF(J44=0,0,I44/J44)</f>
        <v>0.411764705882353</v>
      </c>
    </row>
    <row r="45" customFormat="false" ht="15" hidden="false" customHeight="false" outlineLevel="0" collapsed="false">
      <c r="A45" s="30" t="n">
        <v>46289</v>
      </c>
      <c r="B45" s="6" t="s">
        <v>420</v>
      </c>
      <c r="C45" s="5" t="s">
        <v>419</v>
      </c>
      <c r="D45" s="35" t="n">
        <f aca="false">SUMIFS(تراکنش_تردد!$AH$2:$AH$1001,تراکنش_تردد!$O$2:$O$1001,C45,تراکنش_تردد!$Q$2:$Q$1001,A45,تراکنش_تردد!$P$2:$P$1001,B45,تراکنش_تردد!$Z$2:$Z$1001,"نقد")</f>
        <v>345000</v>
      </c>
      <c r="E45" s="36" t="n">
        <v>345000</v>
      </c>
      <c r="F45" s="37" t="n">
        <f aca="false">D45-E45</f>
        <v>0</v>
      </c>
      <c r="G45" s="31" t="n">
        <f aca="false">IF(D45=0,0,F45/D45)</f>
        <v>0</v>
      </c>
      <c r="H45" s="34" t="str">
        <f aca="false">IF(G45&gt;تنظیمات!$B$17,"قرمز","عادی")</f>
        <v>عادی</v>
      </c>
      <c r="I45" s="5" t="n">
        <f aca="false">COUNTIFS(تراکنش_تردد!$O$2:$O$1001,C45,تراکنش_تردد!$Q$2:$Q$1001,A45,تراکنش_تردد!$P$2:$P$1001,B45,تراکنش_تردد!$Z$2:$Z$1001,"نقد")</f>
        <v>6</v>
      </c>
      <c r="J45" s="5" t="n">
        <f aca="false">COUNTIFS(تراکنش_تردد!$O$2:$O$1001,C45,تراکنش_تردد!$Q$2:$Q$1001,A45,تراکنش_تردد!$P$2:$P$1001,B45)</f>
        <v>25</v>
      </c>
      <c r="K45" s="31" t="n">
        <f aca="false">IF(J45=0,0,I45/J45)</f>
        <v>0.24</v>
      </c>
    </row>
    <row r="46" customFormat="false" ht="15" hidden="false" customHeight="false" outlineLevel="0" collapsed="false">
      <c r="A46" s="30" t="n">
        <v>46289</v>
      </c>
      <c r="B46" s="6" t="s">
        <v>651</v>
      </c>
      <c r="C46" s="5" t="s">
        <v>650</v>
      </c>
      <c r="D46" s="35" t="n">
        <f aca="false">SUMIFS(تراکنش_تردد!$AH$2:$AH$1001,تراکنش_تردد!$O$2:$O$1001,C46,تراکنش_تردد!$Q$2:$Q$1001,A46,تراکنش_تردد!$P$2:$P$1001,B46,تراکنش_تردد!$Z$2:$Z$1001,"نقد")</f>
        <v>0</v>
      </c>
      <c r="E46" s="36" t="n">
        <v>0</v>
      </c>
      <c r="F46" s="37" t="n">
        <f aca="false">D46-E46</f>
        <v>0</v>
      </c>
      <c r="G46" s="31" t="n">
        <f aca="false">IF(D46=0,0,F46/D46)</f>
        <v>0</v>
      </c>
      <c r="H46" s="34" t="str">
        <f aca="false">IF(G46&gt;تنظیمات!$B$17,"قرمز","عادی")</f>
        <v>عادی</v>
      </c>
      <c r="I46" s="5" t="n">
        <f aca="false">COUNTIFS(تراکنش_تردد!$O$2:$O$1001,C46,تراکنش_تردد!$Q$2:$Q$1001,A46,تراکنش_تردد!$P$2:$P$1001,B46,تراکنش_تردد!$Z$2:$Z$1001,"نقد")</f>
        <v>0</v>
      </c>
      <c r="J46" s="5" t="n">
        <f aca="false">COUNTIFS(تراکنش_تردد!$O$2:$O$1001,C46,تراکنش_تردد!$Q$2:$Q$1001,A46,تراکنش_تردد!$P$2:$P$1001,B46)</f>
        <v>3</v>
      </c>
      <c r="K46" s="31" t="n">
        <f aca="false">IF(J46=0,0,I46/J46)</f>
        <v>0</v>
      </c>
    </row>
    <row r="47" customFormat="false" ht="15" hidden="false" customHeight="false" outlineLevel="0" collapsed="false">
      <c r="A47" s="30" t="n">
        <v>46290</v>
      </c>
      <c r="B47" s="6" t="s">
        <v>402</v>
      </c>
      <c r="C47" s="5" t="s">
        <v>666</v>
      </c>
      <c r="D47" s="35" t="n">
        <f aca="false">SUMIFS(تراکنش_تردد!$AH$2:$AH$1001,تراکنش_تردد!$O$2:$O$1001,C47,تراکنش_تردد!$Q$2:$Q$1001,A47,تراکنش_تردد!$P$2:$P$1001,B47,تراکنش_تردد!$Z$2:$Z$1001,"نقد")</f>
        <v>233000</v>
      </c>
      <c r="E47" s="36" t="n">
        <v>224000</v>
      </c>
      <c r="F47" s="37" t="n">
        <f aca="false">D47-E47</f>
        <v>9000</v>
      </c>
      <c r="G47" s="31" t="n">
        <f aca="false">IF(D47=0,0,F47/D47)</f>
        <v>0.0386266094420601</v>
      </c>
      <c r="H47" s="34" t="str">
        <f aca="false">IF(G47&gt;تنظیمات!$B$17,"قرمز","عادی")</f>
        <v>قرمز</v>
      </c>
      <c r="I47" s="5" t="n">
        <f aca="false">COUNTIFS(تراکنش_تردد!$O$2:$O$1001,C47,تراکنش_تردد!$Q$2:$Q$1001,A47,تراکنش_تردد!$P$2:$P$1001,B47,تراکنش_تردد!$Z$2:$Z$1001,"نقد")</f>
        <v>9</v>
      </c>
      <c r="J47" s="5" t="n">
        <f aca="false">COUNTIFS(تراکنش_تردد!$O$2:$O$1001,C47,تراکنش_تردد!$Q$2:$Q$1001,A47,تراکنش_تردد!$P$2:$P$1001,B47)</f>
        <v>21</v>
      </c>
      <c r="K47" s="31" t="n">
        <f aca="false">IF(J47=0,0,I47/J47)</f>
        <v>0.428571428571429</v>
      </c>
    </row>
    <row r="48" customFormat="false" ht="15" hidden="false" customHeight="false" outlineLevel="0" collapsed="false">
      <c r="A48" s="30" t="n">
        <v>46290</v>
      </c>
      <c r="B48" s="6" t="s">
        <v>402</v>
      </c>
      <c r="C48" s="5" t="s">
        <v>677</v>
      </c>
      <c r="D48" s="35" t="n">
        <f aca="false">SUMIFS(تراکنش_تردد!$AH$2:$AH$1001,تراکنش_تردد!$O$2:$O$1001,C48,تراکنش_تردد!$Q$2:$Q$1001,A48,تراکنش_تردد!$P$2:$P$1001,B48,تراکنش_تردد!$Z$2:$Z$1001,"نقد")</f>
        <v>114000</v>
      </c>
      <c r="E48" s="36" t="n">
        <v>114000</v>
      </c>
      <c r="F48" s="37" t="n">
        <f aca="false">D48-E48</f>
        <v>0</v>
      </c>
      <c r="G48" s="31" t="n">
        <f aca="false">IF(D48=0,0,F48/D48)</f>
        <v>0</v>
      </c>
      <c r="H48" s="34" t="str">
        <f aca="false">IF(G48&gt;تنظیمات!$B$17,"قرمز","عادی")</f>
        <v>عادی</v>
      </c>
      <c r="I48" s="5" t="n">
        <f aca="false">COUNTIFS(تراکنش_تردد!$O$2:$O$1001,C48,تراکنش_تردد!$Q$2:$Q$1001,A48,تراکنش_تردد!$P$2:$P$1001,B48,تراکنش_تردد!$Z$2:$Z$1001,"نقد")</f>
        <v>5</v>
      </c>
      <c r="J48" s="5" t="n">
        <f aca="false">COUNTIFS(تراکنش_تردد!$O$2:$O$1001,C48,تراکنش_تردد!$Q$2:$Q$1001,A48,تراکنش_تردد!$P$2:$P$1001,B48)</f>
        <v>12</v>
      </c>
      <c r="K48" s="31" t="n">
        <f aca="false">IF(J48=0,0,I48/J48)</f>
        <v>0.416666666666667</v>
      </c>
    </row>
    <row r="49" customFormat="false" ht="15" hidden="false" customHeight="false" outlineLevel="0" collapsed="false">
      <c r="A49" s="30" t="n">
        <v>46290</v>
      </c>
      <c r="B49" s="6" t="s">
        <v>420</v>
      </c>
      <c r="C49" s="5" t="s">
        <v>441</v>
      </c>
      <c r="D49" s="35" t="n">
        <f aca="false">SUMIFS(تراکنش_تردد!$AH$2:$AH$1001,تراکنش_تردد!$O$2:$O$1001,C49,تراکنش_تردد!$Q$2:$Q$1001,A49,تراکنش_تردد!$P$2:$P$1001,B49,تراکنش_تردد!$Z$2:$Z$1001,"نقد")</f>
        <v>350000</v>
      </c>
      <c r="E49" s="36" t="n">
        <v>350000</v>
      </c>
      <c r="F49" s="37" t="n">
        <f aca="false">D49-E49</f>
        <v>0</v>
      </c>
      <c r="G49" s="31" t="n">
        <f aca="false">IF(D49=0,0,F49/D49)</f>
        <v>0</v>
      </c>
      <c r="H49" s="34" t="str">
        <f aca="false">IF(G49&gt;تنظیمات!$B$17,"قرمز","عادی")</f>
        <v>عادی</v>
      </c>
      <c r="I49" s="5" t="n">
        <f aca="false">COUNTIFS(تراکنش_تردد!$O$2:$O$1001,C49,تراکنش_تردد!$Q$2:$Q$1001,A49,تراکنش_تردد!$P$2:$P$1001,B49,تراکنش_تردد!$Z$2:$Z$1001,"نقد")</f>
        <v>7</v>
      </c>
      <c r="J49" s="5" t="n">
        <f aca="false">COUNTIFS(تراکنش_تردد!$O$2:$O$1001,C49,تراکنش_تردد!$Q$2:$Q$1001,A49,تراکنش_تردد!$P$2:$P$1001,B49)</f>
        <v>27</v>
      </c>
      <c r="K49" s="31" t="n">
        <f aca="false">IF(J49=0,0,I49/J49)</f>
        <v>0.259259259259259</v>
      </c>
    </row>
    <row r="50" customFormat="false" ht="15" hidden="false" customHeight="false" outlineLevel="0" collapsed="false">
      <c r="A50" s="30" t="n">
        <v>46290</v>
      </c>
      <c r="B50" s="6" t="s">
        <v>420</v>
      </c>
      <c r="C50" s="5" t="s">
        <v>425</v>
      </c>
      <c r="D50" s="35" t="n">
        <f aca="false">SUMIFS(تراکنش_تردد!$AH$2:$AH$1001,تراکنش_تردد!$O$2:$O$1001,C50,تراکنش_تردد!$Q$2:$Q$1001,A50,تراکنش_تردد!$P$2:$P$1001,B50,تراکنش_تردد!$Z$2:$Z$1001,"نقد")</f>
        <v>418000</v>
      </c>
      <c r="E50" s="36" t="n">
        <v>413000</v>
      </c>
      <c r="F50" s="37" t="n">
        <f aca="false">D50-E50</f>
        <v>5000</v>
      </c>
      <c r="G50" s="31" t="n">
        <f aca="false">IF(D50=0,0,F50/D50)</f>
        <v>0.0119617224880383</v>
      </c>
      <c r="H50" s="34" t="str">
        <f aca="false">IF(G50&gt;تنظیمات!$B$17,"قرمز","عادی")</f>
        <v>عادی</v>
      </c>
      <c r="I50" s="5" t="n">
        <f aca="false">COUNTIFS(تراکنش_تردد!$O$2:$O$1001,C50,تراکنش_تردد!$Q$2:$Q$1001,A50,تراکنش_تردد!$P$2:$P$1001,B50,تراکنش_تردد!$Z$2:$Z$1001,"نقد")</f>
        <v>6</v>
      </c>
      <c r="J50" s="5" t="n">
        <f aca="false">COUNTIFS(تراکنش_تردد!$O$2:$O$1001,C50,تراکنش_تردد!$Q$2:$Q$1001,A50,تراکنش_تردد!$P$2:$P$1001,B50)</f>
        <v>19</v>
      </c>
      <c r="K50" s="31" t="n">
        <f aca="false">IF(J50=0,0,I50/J50)</f>
        <v>0.315789473684211</v>
      </c>
    </row>
    <row r="51" customFormat="false" ht="15" hidden="false" customHeight="false" outlineLevel="0" collapsed="false">
      <c r="A51" s="30" t="n">
        <v>46290</v>
      </c>
      <c r="B51" s="6" t="s">
        <v>651</v>
      </c>
      <c r="C51" s="5" t="s">
        <v>411</v>
      </c>
      <c r="D51" s="35" t="n">
        <f aca="false">SUMIFS(تراکنش_تردد!$AH$2:$AH$1001,تراکنش_تردد!$O$2:$O$1001,C51,تراکنش_تردد!$Q$2:$Q$1001,A51,تراکنش_تردد!$P$2:$P$1001,B51,تراکنش_تردد!$Z$2:$Z$1001,"نقد")</f>
        <v>20000</v>
      </c>
      <c r="E51" s="36" t="n">
        <v>20000</v>
      </c>
      <c r="F51" s="37" t="n">
        <f aca="false">D51-E51</f>
        <v>0</v>
      </c>
      <c r="G51" s="31" t="n">
        <f aca="false">IF(D51=0,0,F51/D51)</f>
        <v>0</v>
      </c>
      <c r="H51" s="34" t="str">
        <f aca="false">IF(G51&gt;تنظیمات!$B$17,"قرمز","عادی")</f>
        <v>عادی</v>
      </c>
      <c r="I51" s="5" t="n">
        <f aca="false">COUNTIFS(تراکنش_تردد!$O$2:$O$1001,C51,تراکنش_تردد!$Q$2:$Q$1001,A51,تراکنش_تردد!$P$2:$P$1001,B51,تراکنش_تردد!$Z$2:$Z$1001,"نقد")</f>
        <v>1</v>
      </c>
      <c r="J51" s="5" t="n">
        <f aca="false">COUNTIFS(تراکنش_تردد!$O$2:$O$1001,C51,تراکنش_تردد!$Q$2:$Q$1001,A51,تراکنش_تردد!$P$2:$P$1001,B51)</f>
        <v>2</v>
      </c>
      <c r="K51" s="31" t="n">
        <f aca="false">IF(J51=0,0,I51/J51)</f>
        <v>0.5</v>
      </c>
    </row>
    <row r="52" customFormat="false" ht="15" hidden="false" customHeight="false" outlineLevel="0" collapsed="false">
      <c r="A52" s="30" t="n">
        <v>46291</v>
      </c>
      <c r="B52" s="6" t="s">
        <v>402</v>
      </c>
      <c r="C52" s="5" t="s">
        <v>401</v>
      </c>
      <c r="D52" s="35" t="n">
        <f aca="false">SUMIFS(تراکنش_تردد!$AH$2:$AH$1001,تراکنش_تردد!$O$2:$O$1001,C52,تراکنش_تردد!$Q$2:$Q$1001,A52,تراکنش_تردد!$P$2:$P$1001,B52,تراکنش_تردد!$Z$2:$Z$1001,"نقد")</f>
        <v>92000</v>
      </c>
      <c r="E52" s="36" t="n">
        <v>86000</v>
      </c>
      <c r="F52" s="37" t="n">
        <f aca="false">D52-E52</f>
        <v>6000</v>
      </c>
      <c r="G52" s="31" t="n">
        <f aca="false">IF(D52=0,0,F52/D52)</f>
        <v>0.0652173913043478</v>
      </c>
      <c r="H52" s="34" t="str">
        <f aca="false">IF(G52&gt;تنظیمات!$B$17,"قرمز","عادی")</f>
        <v>قرمز</v>
      </c>
      <c r="I52" s="5" t="n">
        <f aca="false">COUNTIFS(تراکنش_تردد!$O$2:$O$1001,C52,تراکنش_تردد!$Q$2:$Q$1001,A52,تراکنش_تردد!$P$2:$P$1001,B52,تراکنش_تردد!$Z$2:$Z$1001,"نقد")</f>
        <v>4</v>
      </c>
      <c r="J52" s="5" t="n">
        <f aca="false">COUNTIFS(تراکنش_تردد!$O$2:$O$1001,C52,تراکنش_تردد!$Q$2:$Q$1001,A52,تراکنش_تردد!$P$2:$P$1001,B52)</f>
        <v>14</v>
      </c>
      <c r="K52" s="31" t="n">
        <f aca="false">IF(J52=0,0,I52/J52)</f>
        <v>0.285714285714286</v>
      </c>
    </row>
    <row r="53" customFormat="false" ht="15" hidden="false" customHeight="false" outlineLevel="0" collapsed="false">
      <c r="A53" s="30" t="n">
        <v>46291</v>
      </c>
      <c r="B53" s="6" t="s">
        <v>402</v>
      </c>
      <c r="C53" s="5" t="s">
        <v>419</v>
      </c>
      <c r="D53" s="35" t="n">
        <f aca="false">SUMIFS(تراکنش_تردد!$AH$2:$AH$1001,تراکنش_تردد!$O$2:$O$1001,C53,تراکنش_تردد!$Q$2:$Q$1001,A53,تراکنش_تردد!$P$2:$P$1001,B53,تراکنش_تردد!$Z$2:$Z$1001,"نقد")</f>
        <v>74000</v>
      </c>
      <c r="E53" s="36" t="n">
        <v>74000</v>
      </c>
      <c r="F53" s="37" t="n">
        <f aca="false">D53-E53</f>
        <v>0</v>
      </c>
      <c r="G53" s="31" t="n">
        <f aca="false">IF(D53=0,0,F53/D53)</f>
        <v>0</v>
      </c>
      <c r="H53" s="34" t="str">
        <f aca="false">IF(G53&gt;تنظیمات!$B$17,"قرمز","عادی")</f>
        <v>عادی</v>
      </c>
      <c r="I53" s="5" t="n">
        <f aca="false">COUNTIFS(تراکنش_تردد!$O$2:$O$1001,C53,تراکنش_تردد!$Q$2:$Q$1001,A53,تراکنش_تردد!$P$2:$P$1001,B53,تراکنش_تردد!$Z$2:$Z$1001,"نقد")</f>
        <v>3</v>
      </c>
      <c r="J53" s="5" t="n">
        <f aca="false">COUNTIFS(تراکنش_تردد!$O$2:$O$1001,C53,تراکنش_تردد!$Q$2:$Q$1001,A53,تراکنش_تردد!$P$2:$P$1001,B53)</f>
        <v>15</v>
      </c>
      <c r="K53" s="31" t="n">
        <f aca="false">IF(J53=0,0,I53/J53)</f>
        <v>0.2</v>
      </c>
    </row>
    <row r="54" customFormat="false" ht="15" hidden="false" customHeight="false" outlineLevel="0" collapsed="false">
      <c r="A54" s="30" t="n">
        <v>46291</v>
      </c>
      <c r="B54" s="6" t="s">
        <v>420</v>
      </c>
      <c r="C54" s="5" t="s">
        <v>650</v>
      </c>
      <c r="D54" s="35" t="n">
        <f aca="false">SUMIFS(تراکنش_تردد!$AH$2:$AH$1001,تراکنش_تردد!$O$2:$O$1001,C54,تراکنش_تردد!$Q$2:$Q$1001,A54,تراکنش_تردد!$P$2:$P$1001,B54,تراکنش_تردد!$Z$2:$Z$1001,"نقد")</f>
        <v>296000</v>
      </c>
      <c r="E54" s="36" t="n">
        <v>296000</v>
      </c>
      <c r="F54" s="37" t="n">
        <f aca="false">D54-E54</f>
        <v>0</v>
      </c>
      <c r="G54" s="31" t="n">
        <f aca="false">IF(D54=0,0,F54/D54)</f>
        <v>0</v>
      </c>
      <c r="H54" s="34" t="str">
        <f aca="false">IF(G54&gt;تنظیمات!$B$17,"قرمز","عادی")</f>
        <v>عادی</v>
      </c>
      <c r="I54" s="5" t="n">
        <f aca="false">COUNTIFS(تراکنش_تردد!$O$2:$O$1001,C54,تراکنش_تردد!$Q$2:$Q$1001,A54,تراکنش_تردد!$P$2:$P$1001,B54,تراکنش_تردد!$Z$2:$Z$1001,"نقد")</f>
        <v>4</v>
      </c>
      <c r="J54" s="5" t="n">
        <f aca="false">COUNTIFS(تراکنش_تردد!$O$2:$O$1001,C54,تراکنش_تردد!$Q$2:$Q$1001,A54,تراکنش_تردد!$P$2:$P$1001,B54)</f>
        <v>13</v>
      </c>
      <c r="K54" s="31" t="n">
        <f aca="false">IF(J54=0,0,I54/J54)</f>
        <v>0.307692307692308</v>
      </c>
    </row>
    <row r="55" customFormat="false" ht="15" hidden="false" customHeight="false" outlineLevel="0" collapsed="false">
      <c r="A55" s="30" t="n">
        <v>46291</v>
      </c>
      <c r="B55" s="6" t="s">
        <v>420</v>
      </c>
      <c r="C55" s="5" t="s">
        <v>666</v>
      </c>
      <c r="D55" s="35" t="n">
        <f aca="false">SUMIFS(تراکنش_تردد!$AH$2:$AH$1001,تراکنش_تردد!$O$2:$O$1001,C55,تراکنش_تردد!$Q$2:$Q$1001,A55,تراکنش_تردد!$P$2:$P$1001,B55,تراکنش_تردد!$Z$2:$Z$1001,"نقد")</f>
        <v>318000</v>
      </c>
      <c r="E55" s="36" t="n">
        <v>307000</v>
      </c>
      <c r="F55" s="37" t="n">
        <f aca="false">D55-E55</f>
        <v>11000</v>
      </c>
      <c r="G55" s="31" t="n">
        <f aca="false">IF(D55=0,0,F55/D55)</f>
        <v>0.0345911949685535</v>
      </c>
      <c r="H55" s="34" t="str">
        <f aca="false">IF(G55&gt;تنظیمات!$B$17,"قرمز","عادی")</f>
        <v>قرمز</v>
      </c>
      <c r="I55" s="5" t="n">
        <f aca="false">COUNTIFS(تراکنش_تردد!$O$2:$O$1001,C55,تراکنش_تردد!$Q$2:$Q$1001,A55,تراکنش_تردد!$P$2:$P$1001,B55,تراکنش_تردد!$Z$2:$Z$1001,"نقد")</f>
        <v>10</v>
      </c>
      <c r="J55" s="5" t="n">
        <f aca="false">COUNTIFS(تراکنش_تردد!$O$2:$O$1001,C55,تراکنش_تردد!$Q$2:$Q$1001,A55,تراکنش_تردد!$P$2:$P$1001,B55)</f>
        <v>18</v>
      </c>
      <c r="K55" s="31" t="n">
        <f aca="false">IF(J55=0,0,I55/J55)</f>
        <v>0.555555555555556</v>
      </c>
    </row>
    <row r="56" customFormat="false" ht="15" hidden="false" customHeight="false" outlineLevel="0" collapsed="false">
      <c r="A56" s="30" t="n">
        <v>46291</v>
      </c>
      <c r="B56" s="6" t="s">
        <v>651</v>
      </c>
      <c r="C56" s="5" t="s">
        <v>677</v>
      </c>
      <c r="D56" s="35" t="n">
        <f aca="false">SUMIFS(تراکنش_تردد!$AH$2:$AH$1001,تراکنش_تردد!$O$2:$O$1001,C56,تراکنش_تردد!$Q$2:$Q$1001,A56,تراکنش_تردد!$P$2:$P$1001,B56,تراکنش_تردد!$Z$2:$Z$1001,"نقد")</f>
        <v>34000</v>
      </c>
      <c r="E56" s="36" t="n">
        <v>34000</v>
      </c>
      <c r="F56" s="37" t="n">
        <f aca="false">D56-E56</f>
        <v>0</v>
      </c>
      <c r="G56" s="31" t="n">
        <f aca="false">IF(D56=0,0,F56/D56)</f>
        <v>0</v>
      </c>
      <c r="H56" s="34" t="str">
        <f aca="false">IF(G56&gt;تنظیمات!$B$17,"قرمز","عادی")</f>
        <v>عادی</v>
      </c>
      <c r="I56" s="5" t="n">
        <f aca="false">COUNTIFS(تراکنش_تردد!$O$2:$O$1001,C56,تراکنش_تردد!$Q$2:$Q$1001,A56,تراکنش_تردد!$P$2:$P$1001,B56,تراکنش_تردد!$Z$2:$Z$1001,"نقد")</f>
        <v>1</v>
      </c>
      <c r="J56" s="5" t="n">
        <f aca="false">COUNTIFS(تراکنش_تردد!$O$2:$O$1001,C56,تراکنش_تردد!$Q$2:$Q$1001,A56,تراکنش_تردد!$P$2:$P$1001,B56)</f>
        <v>2</v>
      </c>
      <c r="K56" s="31" t="n">
        <f aca="false">IF(J56=0,0,I56/J56)</f>
        <v>0.5</v>
      </c>
    </row>
    <row r="57" customFormat="false" ht="15" hidden="false" customHeight="false" outlineLevel="0" collapsed="false">
      <c r="A57" s="30" t="n">
        <v>46292</v>
      </c>
      <c r="B57" s="6" t="s">
        <v>402</v>
      </c>
      <c r="C57" s="5" t="s">
        <v>441</v>
      </c>
      <c r="D57" s="35" t="n">
        <f aca="false">SUMIFS(تراکنش_تردد!$AH$2:$AH$1001,تراکنش_تردد!$O$2:$O$1001,C57,تراکنش_تردد!$Q$2:$Q$1001,A57,تراکنش_تردد!$P$2:$P$1001,B57,تراکنش_تردد!$Z$2:$Z$1001,"نقد")</f>
        <v>54000</v>
      </c>
      <c r="E57" s="36" t="n">
        <v>54000</v>
      </c>
      <c r="F57" s="37" t="n">
        <f aca="false">D57-E57</f>
        <v>0</v>
      </c>
      <c r="G57" s="31" t="n">
        <f aca="false">IF(D57=0,0,F57/D57)</f>
        <v>0</v>
      </c>
      <c r="H57" s="34" t="str">
        <f aca="false">IF(G57&gt;تنظیمات!$B$17,"قرمز","عادی")</f>
        <v>عادی</v>
      </c>
      <c r="I57" s="5" t="n">
        <f aca="false">COUNTIFS(تراکنش_تردد!$O$2:$O$1001,C57,تراکنش_تردد!$Q$2:$Q$1001,A57,تراکنش_تردد!$P$2:$P$1001,B57,تراکنش_تردد!$Z$2:$Z$1001,"نقد")</f>
        <v>2</v>
      </c>
      <c r="J57" s="5" t="n">
        <f aca="false">COUNTIFS(تراکنش_تردد!$O$2:$O$1001,C57,تراکنش_تردد!$Q$2:$Q$1001,A57,تراکنش_تردد!$P$2:$P$1001,B57)</f>
        <v>18</v>
      </c>
      <c r="K57" s="31" t="n">
        <f aca="false">IF(J57=0,0,I57/J57)</f>
        <v>0.111111111111111</v>
      </c>
    </row>
    <row r="58" customFormat="false" ht="15" hidden="false" customHeight="false" outlineLevel="0" collapsed="false">
      <c r="A58" s="30" t="n">
        <v>46292</v>
      </c>
      <c r="B58" s="6" t="s">
        <v>402</v>
      </c>
      <c r="C58" s="5" t="s">
        <v>425</v>
      </c>
      <c r="D58" s="35" t="n">
        <f aca="false">SUMIFS(تراکنش_تردد!$AH$2:$AH$1001,تراکنش_تردد!$O$2:$O$1001,C58,تراکنش_تردد!$Q$2:$Q$1001,A58,تراکنش_تردد!$P$2:$P$1001,B58,تراکنش_تردد!$Z$2:$Z$1001,"نقد")</f>
        <v>82000</v>
      </c>
      <c r="E58" s="36" t="n">
        <v>82000</v>
      </c>
      <c r="F58" s="37" t="n">
        <f aca="false">D58-E58</f>
        <v>0</v>
      </c>
      <c r="G58" s="31" t="n">
        <f aca="false">IF(D58=0,0,F58/D58)</f>
        <v>0</v>
      </c>
      <c r="H58" s="34" t="str">
        <f aca="false">IF(G58&gt;تنظیمات!$B$17,"قرمز","عادی")</f>
        <v>عادی</v>
      </c>
      <c r="I58" s="5" t="n">
        <f aca="false">COUNTIFS(تراکنش_تردد!$O$2:$O$1001,C58,تراکنش_تردد!$Q$2:$Q$1001,A58,تراکنش_تردد!$P$2:$P$1001,B58,تراکنش_تردد!$Z$2:$Z$1001,"نقد")</f>
        <v>2</v>
      </c>
      <c r="J58" s="5" t="n">
        <f aca="false">COUNTIFS(تراکنش_تردد!$O$2:$O$1001,C58,تراکنش_تردد!$Q$2:$Q$1001,A58,تراکنش_تردد!$P$2:$P$1001,B58)</f>
        <v>16</v>
      </c>
      <c r="K58" s="31" t="n">
        <f aca="false">IF(J58=0,0,I58/J58)</f>
        <v>0.125</v>
      </c>
    </row>
    <row r="59" customFormat="false" ht="15" hidden="false" customHeight="false" outlineLevel="0" collapsed="false">
      <c r="A59" s="30" t="n">
        <v>46292</v>
      </c>
      <c r="B59" s="6" t="s">
        <v>420</v>
      </c>
      <c r="C59" s="5" t="s">
        <v>411</v>
      </c>
      <c r="D59" s="35" t="n">
        <f aca="false">SUMIFS(تراکنش_تردد!$AH$2:$AH$1001,تراکنش_تردد!$O$2:$O$1001,C59,تراکنش_تردد!$Q$2:$Q$1001,A59,تراکنش_تردد!$P$2:$P$1001,B59,تراکنش_تردد!$Z$2:$Z$1001,"نقد")</f>
        <v>424000</v>
      </c>
      <c r="E59" s="36" t="n">
        <v>424000</v>
      </c>
      <c r="F59" s="37" t="n">
        <f aca="false">D59-E59</f>
        <v>0</v>
      </c>
      <c r="G59" s="31" t="n">
        <f aca="false">IF(D59=0,0,F59/D59)</f>
        <v>0</v>
      </c>
      <c r="H59" s="34" t="str">
        <f aca="false">IF(G59&gt;تنظیمات!$B$17,"قرمز","عادی")</f>
        <v>عادی</v>
      </c>
      <c r="I59" s="5" t="n">
        <f aca="false">COUNTIFS(تراکنش_تردد!$O$2:$O$1001,C59,تراکنش_تردد!$Q$2:$Q$1001,A59,تراکنش_تردد!$P$2:$P$1001,B59,تراکنش_تردد!$Z$2:$Z$1001,"نقد")</f>
        <v>3</v>
      </c>
      <c r="J59" s="5" t="n">
        <f aca="false">COUNTIFS(تراکنش_تردد!$O$2:$O$1001,C59,تراکنش_تردد!$Q$2:$Q$1001,A59,تراکنش_تردد!$P$2:$P$1001,B59)</f>
        <v>19</v>
      </c>
      <c r="K59" s="31" t="n">
        <f aca="false">IF(J59=0,0,I59/J59)</f>
        <v>0.157894736842105</v>
      </c>
    </row>
    <row r="60" customFormat="false" ht="15" hidden="false" customHeight="false" outlineLevel="0" collapsed="false">
      <c r="A60" s="30" t="n">
        <v>46292</v>
      </c>
      <c r="B60" s="6" t="s">
        <v>420</v>
      </c>
      <c r="C60" s="5" t="s">
        <v>401</v>
      </c>
      <c r="D60" s="35" t="n">
        <f aca="false">SUMIFS(تراکنش_تردد!$AH$2:$AH$1001,تراکنش_تردد!$O$2:$O$1001,C60,تراکنش_تردد!$Q$2:$Q$1001,A60,تراکنش_تردد!$P$2:$P$1001,B60,تراکنش_تردد!$Z$2:$Z$1001,"نقد")</f>
        <v>824000</v>
      </c>
      <c r="E60" s="36" t="n">
        <v>754000</v>
      </c>
      <c r="F60" s="37" t="n">
        <f aca="false">D60-E60</f>
        <v>70000</v>
      </c>
      <c r="G60" s="31" t="n">
        <f aca="false">IF(D60=0,0,F60/D60)</f>
        <v>0.0849514563106796</v>
      </c>
      <c r="H60" s="34" t="str">
        <f aca="false">IF(G60&gt;تنظیمات!$B$17,"قرمز","عادی")</f>
        <v>قرمز</v>
      </c>
      <c r="I60" s="5" t="n">
        <f aca="false">COUNTIFS(تراکنش_تردد!$O$2:$O$1001,C60,تراکنش_تردد!$Q$2:$Q$1001,A60,تراکنش_تردد!$P$2:$P$1001,B60,تراکنش_تردد!$Z$2:$Z$1001,"نقد")</f>
        <v>8</v>
      </c>
      <c r="J60" s="5" t="n">
        <f aca="false">COUNTIFS(تراکنش_تردد!$O$2:$O$1001,C60,تراکنش_تردد!$Q$2:$Q$1001,A60,تراکنش_تردد!$P$2:$P$1001,B60)</f>
        <v>21</v>
      </c>
      <c r="K60" s="31" t="n">
        <f aca="false">IF(J60=0,0,I60/J60)</f>
        <v>0.380952380952381</v>
      </c>
    </row>
    <row r="61" customFormat="false" ht="15" hidden="false" customHeight="false" outlineLevel="0" collapsed="false">
      <c r="A61" s="30" t="n">
        <v>46292</v>
      </c>
      <c r="B61" s="6" t="s">
        <v>651</v>
      </c>
      <c r="C61" s="5" t="s">
        <v>419</v>
      </c>
      <c r="D61" s="35" t="n">
        <f aca="false">SUMIFS(تراکنش_تردد!$AH$2:$AH$1001,تراکنش_تردد!$O$2:$O$1001,C61,تراکنش_تردد!$Q$2:$Q$1001,A61,تراکنش_تردد!$P$2:$P$1001,B61,تراکنش_تردد!$Z$2:$Z$1001,"نقد")</f>
        <v>34000</v>
      </c>
      <c r="E61" s="36" t="n">
        <v>34000</v>
      </c>
      <c r="F61" s="37" t="n">
        <f aca="false">D61-E61</f>
        <v>0</v>
      </c>
      <c r="G61" s="31" t="n">
        <f aca="false">IF(D61=0,0,F61/D61)</f>
        <v>0</v>
      </c>
      <c r="H61" s="34" t="str">
        <f aca="false">IF(G61&gt;تنظیمات!$B$17,"قرمز","عادی")</f>
        <v>عادی</v>
      </c>
      <c r="I61" s="5" t="n">
        <f aca="false">COUNTIFS(تراکنش_تردد!$O$2:$O$1001,C61,تراکنش_تردد!$Q$2:$Q$1001,A61,تراکنش_تردد!$P$2:$P$1001,B61,تراکنش_تردد!$Z$2:$Z$1001,"نقد")</f>
        <v>1</v>
      </c>
      <c r="J61" s="5" t="n">
        <f aca="false">COUNTIFS(تراکنش_تردد!$O$2:$O$1001,C61,تراکنش_تردد!$Q$2:$Q$1001,A61,تراکنش_تردد!$P$2:$P$1001,B61)</f>
        <v>3</v>
      </c>
      <c r="K61" s="31" t="n">
        <f aca="false">IF(J61=0,0,I61/J61)</f>
        <v>0.333333333333333</v>
      </c>
    </row>
    <row r="62" customFormat="false" ht="15" hidden="false" customHeight="false" outlineLevel="0" collapsed="false">
      <c r="A62" s="30" t="n">
        <v>46293</v>
      </c>
      <c r="B62" s="6" t="s">
        <v>402</v>
      </c>
      <c r="C62" s="5" t="s">
        <v>650</v>
      </c>
      <c r="D62" s="35" t="n">
        <f aca="false">SUMIFS(تراکنش_تردد!$AH$2:$AH$1001,تراکنش_تردد!$O$2:$O$1001,C62,تراکنش_تردد!$Q$2:$Q$1001,A62,تراکنش_تردد!$P$2:$P$1001,B62,تراکنش_تردد!$Z$2:$Z$1001,"نقد")</f>
        <v>150000</v>
      </c>
      <c r="E62" s="36" t="n">
        <v>150000</v>
      </c>
      <c r="F62" s="37" t="n">
        <f aca="false">D62-E62</f>
        <v>0</v>
      </c>
      <c r="G62" s="31" t="n">
        <f aca="false">IF(D62=0,0,F62/D62)</f>
        <v>0</v>
      </c>
      <c r="H62" s="34" t="str">
        <f aca="false">IF(G62&gt;تنظیمات!$B$17,"قرمز","عادی")</f>
        <v>عادی</v>
      </c>
      <c r="I62" s="5" t="n">
        <f aca="false">COUNTIFS(تراکنش_تردد!$O$2:$O$1001,C62,تراکنش_تردد!$Q$2:$Q$1001,A62,تراکنش_تردد!$P$2:$P$1001,B62,تراکنش_تردد!$Z$2:$Z$1001,"نقد")</f>
        <v>4</v>
      </c>
      <c r="J62" s="5" t="n">
        <f aca="false">COUNTIFS(تراکنش_تردد!$O$2:$O$1001,C62,تراکنش_تردد!$Q$2:$Q$1001,A62,تراکنش_تردد!$P$2:$P$1001,B62)</f>
        <v>12</v>
      </c>
      <c r="K62" s="31" t="n">
        <f aca="false">IF(J62=0,0,I62/J62)</f>
        <v>0.333333333333333</v>
      </c>
    </row>
    <row r="63" customFormat="false" ht="15" hidden="false" customHeight="false" outlineLevel="0" collapsed="false">
      <c r="A63" s="30" t="n">
        <v>46293</v>
      </c>
      <c r="B63" s="6" t="s">
        <v>402</v>
      </c>
      <c r="C63" s="5" t="s">
        <v>666</v>
      </c>
      <c r="D63" s="35" t="n">
        <f aca="false">SUMIFS(تراکنش_تردد!$AH$2:$AH$1001,تراکنش_تردد!$O$2:$O$1001,C63,تراکنش_تردد!$Q$2:$Q$1001,A63,تراکنش_تردد!$P$2:$P$1001,B63,تراکنش_تردد!$Z$2:$Z$1001,"نقد")</f>
        <v>428000</v>
      </c>
      <c r="E63" s="36" t="n">
        <v>428000</v>
      </c>
      <c r="F63" s="37" t="n">
        <f aca="false">D63-E63</f>
        <v>0</v>
      </c>
      <c r="G63" s="31" t="n">
        <f aca="false">IF(D63=0,0,F63/D63)</f>
        <v>0</v>
      </c>
      <c r="H63" s="34" t="str">
        <f aca="false">IF(G63&gt;تنظیمات!$B$17,"قرمز","عادی")</f>
        <v>عادی</v>
      </c>
      <c r="I63" s="5" t="n">
        <f aca="false">COUNTIFS(تراکنش_تردد!$O$2:$O$1001,C63,تراکنش_تردد!$Q$2:$Q$1001,A63,تراکنش_تردد!$P$2:$P$1001,B63,تراکنش_تردد!$Z$2:$Z$1001,"نقد")</f>
        <v>5</v>
      </c>
      <c r="J63" s="5" t="n">
        <f aca="false">COUNTIFS(تراکنش_تردد!$O$2:$O$1001,C63,تراکنش_تردد!$Q$2:$Q$1001,A63,تراکنش_تردد!$P$2:$P$1001,B63)</f>
        <v>14</v>
      </c>
      <c r="K63" s="31" t="n">
        <f aca="false">IF(J63=0,0,I63/J63)</f>
        <v>0.357142857142857</v>
      </c>
    </row>
    <row r="64" customFormat="false" ht="15" hidden="false" customHeight="false" outlineLevel="0" collapsed="false">
      <c r="A64" s="30" t="n">
        <v>46293</v>
      </c>
      <c r="B64" s="6" t="s">
        <v>420</v>
      </c>
      <c r="C64" s="5" t="s">
        <v>677</v>
      </c>
      <c r="D64" s="35" t="n">
        <f aca="false">SUMIFS(تراکنش_تردد!$AH$2:$AH$1001,تراکنش_تردد!$O$2:$O$1001,C64,تراکنش_تردد!$Q$2:$Q$1001,A64,تراکنش_تردد!$P$2:$P$1001,B64,تراکنش_تردد!$Z$2:$Z$1001,"نقد")</f>
        <v>658000</v>
      </c>
      <c r="E64" s="36" t="n">
        <v>658000</v>
      </c>
      <c r="F64" s="37" t="n">
        <f aca="false">D64-E64</f>
        <v>0</v>
      </c>
      <c r="G64" s="31" t="n">
        <f aca="false">IF(D64=0,0,F64/D64)</f>
        <v>0</v>
      </c>
      <c r="H64" s="34" t="str">
        <f aca="false">IF(G64&gt;تنظیمات!$B$17,"قرمز","عادی")</f>
        <v>عادی</v>
      </c>
      <c r="I64" s="5" t="n">
        <f aca="false">COUNTIFS(تراکنش_تردد!$O$2:$O$1001,C64,تراکنش_تردد!$Q$2:$Q$1001,A64,تراکنش_تردد!$P$2:$P$1001,B64,تراکنش_تردد!$Z$2:$Z$1001,"نقد")</f>
        <v>3</v>
      </c>
      <c r="J64" s="5" t="n">
        <f aca="false">COUNTIFS(تراکنش_تردد!$O$2:$O$1001,C64,تراکنش_تردد!$Q$2:$Q$1001,A64,تراکنش_تردد!$P$2:$P$1001,B64)</f>
        <v>16</v>
      </c>
      <c r="K64" s="31" t="n">
        <f aca="false">IF(J64=0,0,I64/J64)</f>
        <v>0.1875</v>
      </c>
    </row>
    <row r="65" customFormat="false" ht="15" hidden="false" customHeight="false" outlineLevel="0" collapsed="false">
      <c r="A65" s="30" t="n">
        <v>46293</v>
      </c>
      <c r="B65" s="6" t="s">
        <v>420</v>
      </c>
      <c r="C65" s="5" t="s">
        <v>425</v>
      </c>
      <c r="D65" s="35" t="n">
        <f aca="false">SUMIFS(تراکنش_تردد!$AH$2:$AH$1001,تراکنش_تردد!$O$2:$O$1001,C65,تراکنش_تردد!$Q$2:$Q$1001,A65,تراکنش_تردد!$P$2:$P$1001,B65,تراکنش_تردد!$Z$2:$Z$1001,"نقد")</f>
        <v>448000</v>
      </c>
      <c r="E65" s="36" t="n">
        <v>448000</v>
      </c>
      <c r="F65" s="37" t="n">
        <f aca="false">D65-E65</f>
        <v>0</v>
      </c>
      <c r="G65" s="31" t="n">
        <f aca="false">IF(D65=0,0,F65/D65)</f>
        <v>0</v>
      </c>
      <c r="H65" s="34" t="str">
        <f aca="false">IF(G65&gt;تنظیمات!$B$17,"قرمز","عادی")</f>
        <v>عادی</v>
      </c>
      <c r="I65" s="5" t="n">
        <f aca="false">COUNTIFS(تراکنش_تردد!$O$2:$O$1001,C65,تراکنش_تردد!$Q$2:$Q$1001,A65,تراکنش_تردد!$P$2:$P$1001,B65,تراکنش_تردد!$Z$2:$Z$1001,"نقد")</f>
        <v>6</v>
      </c>
      <c r="J65" s="5" t="n">
        <f aca="false">COUNTIFS(تراکنش_تردد!$O$2:$O$1001,C65,تراکنش_تردد!$Q$2:$Q$1001,A65,تراکنش_تردد!$P$2:$P$1001,B65)</f>
        <v>18</v>
      </c>
      <c r="K65" s="31" t="n">
        <f aca="false">IF(J65=0,0,I65/J65)</f>
        <v>0.333333333333333</v>
      </c>
    </row>
    <row r="66" customFormat="false" ht="15" hidden="false" customHeight="false" outlineLevel="0" collapsed="false">
      <c r="A66" s="30" t="n">
        <v>46293</v>
      </c>
      <c r="B66" s="6" t="s">
        <v>651</v>
      </c>
      <c r="C66" s="5" t="s">
        <v>441</v>
      </c>
      <c r="D66" s="35" t="n">
        <f aca="false">SUMIFS(تراکنش_تردد!$AH$2:$AH$1001,تراکنش_تردد!$O$2:$O$1001,C66,تراکنش_تردد!$Q$2:$Q$1001,A66,تراکنش_تردد!$P$2:$P$1001,B66,تراکنش_تردد!$Z$2:$Z$1001,"نقد")</f>
        <v>90000</v>
      </c>
      <c r="E66" s="36" t="n">
        <v>90000</v>
      </c>
      <c r="F66" s="37" t="n">
        <f aca="false">D66-E66</f>
        <v>0</v>
      </c>
      <c r="G66" s="31" t="n">
        <f aca="false">IF(D66=0,0,F66/D66)</f>
        <v>0</v>
      </c>
      <c r="H66" s="34" t="str">
        <f aca="false">IF(G66&gt;تنظیمات!$B$17,"قرمز","عادی")</f>
        <v>عادی</v>
      </c>
      <c r="I66" s="5" t="n">
        <f aca="false">COUNTIFS(تراکنش_تردد!$O$2:$O$1001,C66,تراکنش_تردد!$Q$2:$Q$1001,A66,تراکنش_تردد!$P$2:$P$1001,B66,تراکنش_تردد!$Z$2:$Z$1001,"نقد")</f>
        <v>1</v>
      </c>
      <c r="J66" s="5" t="n">
        <f aca="false">COUNTIFS(تراکنش_تردد!$O$2:$O$1001,C66,تراکنش_تردد!$Q$2:$Q$1001,A66,تراکنش_تردد!$P$2:$P$1001,B66)</f>
        <v>6</v>
      </c>
      <c r="K66" s="31" t="n">
        <f aca="false">IF(J66=0,0,I66/J66)</f>
        <v>0.166666666666667</v>
      </c>
    </row>
    <row r="67" customFormat="false" ht="15" hidden="false" customHeight="false" outlineLevel="0" collapsed="false">
      <c r="A67" s="30" t="n">
        <v>46294</v>
      </c>
      <c r="B67" s="6" t="s">
        <v>402</v>
      </c>
      <c r="C67" s="5" t="s">
        <v>411</v>
      </c>
      <c r="D67" s="35" t="n">
        <f aca="false">SUMIFS(تراکنش_تردد!$AH$2:$AH$1001,تراکنش_تردد!$O$2:$O$1001,C67,تراکنش_تردد!$Q$2:$Q$1001,A67,تراکنش_تردد!$P$2:$P$1001,B67,تراکنش_تردد!$Z$2:$Z$1001,"نقد")</f>
        <v>0</v>
      </c>
      <c r="E67" s="36" t="n">
        <v>0</v>
      </c>
      <c r="F67" s="37" t="n">
        <f aca="false">D67-E67</f>
        <v>0</v>
      </c>
      <c r="G67" s="31" t="n">
        <f aca="false">IF(D67=0,0,F67/D67)</f>
        <v>0</v>
      </c>
      <c r="H67" s="34" t="str">
        <f aca="false">IF(G67&gt;تنظیمات!$B$17,"قرمز","عادی")</f>
        <v>عادی</v>
      </c>
      <c r="I67" s="5" t="n">
        <f aca="false">COUNTIFS(تراکنش_تردد!$O$2:$O$1001,C67,تراکنش_تردد!$Q$2:$Q$1001,A67,تراکنش_تردد!$P$2:$P$1001,B67,تراکنش_تردد!$Z$2:$Z$1001,"نقد")</f>
        <v>0</v>
      </c>
      <c r="J67" s="5" t="n">
        <f aca="false">COUNTIFS(تراکنش_تردد!$O$2:$O$1001,C67,تراکنش_تردد!$Q$2:$Q$1001,A67,تراکنش_تردد!$P$2:$P$1001,B67)</f>
        <v>9</v>
      </c>
      <c r="K67" s="31" t="n">
        <f aca="false">IF(J67=0,0,I67/J67)</f>
        <v>0</v>
      </c>
    </row>
    <row r="68" customFormat="false" ht="15" hidden="false" customHeight="false" outlineLevel="0" collapsed="false">
      <c r="A68" s="30" t="n">
        <v>46294</v>
      </c>
      <c r="B68" s="6" t="s">
        <v>402</v>
      </c>
      <c r="C68" s="5" t="s">
        <v>401</v>
      </c>
      <c r="D68" s="35" t="n">
        <f aca="false">SUMIFS(تراکنش_تردد!$AH$2:$AH$1001,تراکنش_تردد!$O$2:$O$1001,C68,تراکنش_تردد!$Q$2:$Q$1001,A68,تراکنش_تردد!$P$2:$P$1001,B68,تراکنش_تردد!$Z$2:$Z$1001,"نقد")</f>
        <v>422000</v>
      </c>
      <c r="E68" s="36" t="n">
        <v>422000</v>
      </c>
      <c r="F68" s="37" t="n">
        <f aca="false">D68-E68</f>
        <v>0</v>
      </c>
      <c r="G68" s="31" t="n">
        <f aca="false">IF(D68=0,0,F68/D68)</f>
        <v>0</v>
      </c>
      <c r="H68" s="34" t="str">
        <f aca="false">IF(G68&gt;تنظیمات!$B$17,"قرمز","عادی")</f>
        <v>عادی</v>
      </c>
      <c r="I68" s="5" t="n">
        <f aca="false">COUNTIFS(تراکنش_تردد!$O$2:$O$1001,C68,تراکنش_تردد!$Q$2:$Q$1001,A68,تراکنش_تردد!$P$2:$P$1001,B68,تراکنش_تردد!$Z$2:$Z$1001,"نقد")</f>
        <v>8</v>
      </c>
      <c r="J68" s="5" t="n">
        <f aca="false">COUNTIFS(تراکنش_تردد!$O$2:$O$1001,C68,تراکنش_تردد!$Q$2:$Q$1001,A68,تراکنش_تردد!$P$2:$P$1001,B68)</f>
        <v>21</v>
      </c>
      <c r="K68" s="31" t="n">
        <f aca="false">IF(J68=0,0,I68/J68)</f>
        <v>0.380952380952381</v>
      </c>
    </row>
    <row r="69" customFormat="false" ht="15" hidden="false" customHeight="false" outlineLevel="0" collapsed="false">
      <c r="A69" s="30" t="n">
        <v>46294</v>
      </c>
      <c r="B69" s="6" t="s">
        <v>420</v>
      </c>
      <c r="C69" s="5" t="s">
        <v>419</v>
      </c>
      <c r="D69" s="35" t="n">
        <f aca="false">SUMIFS(تراکنش_تردد!$AH$2:$AH$1001,تراکنش_تردد!$O$2:$O$1001,C69,تراکنش_تردد!$Q$2:$Q$1001,A69,تراکنش_تردد!$P$2:$P$1001,B69,تراکنش_تردد!$Z$2:$Z$1001,"نقد")</f>
        <v>154000</v>
      </c>
      <c r="E69" s="36" t="n">
        <v>154000</v>
      </c>
      <c r="F69" s="37" t="n">
        <f aca="false">D69-E69</f>
        <v>0</v>
      </c>
      <c r="G69" s="31" t="n">
        <f aca="false">IF(D69=0,0,F69/D69)</f>
        <v>0</v>
      </c>
      <c r="H69" s="34" t="str">
        <f aca="false">IF(G69&gt;تنظیمات!$B$17,"قرمز","عادی")</f>
        <v>عادی</v>
      </c>
      <c r="I69" s="5" t="n">
        <f aca="false">COUNTIFS(تراکنش_تردد!$O$2:$O$1001,C69,تراکنش_تردد!$Q$2:$Q$1001,A69,تراکنش_تردد!$P$2:$P$1001,B69,تراکنش_تردد!$Z$2:$Z$1001,"نقد")</f>
        <v>4</v>
      </c>
      <c r="J69" s="5" t="n">
        <f aca="false">COUNTIFS(تراکنش_تردد!$O$2:$O$1001,C69,تراکنش_تردد!$Q$2:$Q$1001,A69,تراکنش_تردد!$P$2:$P$1001,B69)</f>
        <v>24</v>
      </c>
      <c r="K69" s="31" t="n">
        <f aca="false">IF(J69=0,0,I69/J69)</f>
        <v>0.166666666666667</v>
      </c>
    </row>
    <row r="70" customFormat="false" ht="15" hidden="false" customHeight="false" outlineLevel="0" collapsed="false">
      <c r="A70" s="30" t="n">
        <v>46294</v>
      </c>
      <c r="B70" s="6" t="s">
        <v>420</v>
      </c>
      <c r="C70" s="5" t="s">
        <v>650</v>
      </c>
      <c r="D70" s="35" t="n">
        <f aca="false">SUMIFS(تراکنش_تردد!$AH$2:$AH$1001,تراکنش_تردد!$O$2:$O$1001,C70,تراکنش_تردد!$Q$2:$Q$1001,A70,تراکنش_تردد!$P$2:$P$1001,B70,تراکنش_تردد!$Z$2:$Z$1001,"نقد")</f>
        <v>122000</v>
      </c>
      <c r="E70" s="36" t="n">
        <v>122000</v>
      </c>
      <c r="F70" s="37" t="n">
        <f aca="false">D70-E70</f>
        <v>0</v>
      </c>
      <c r="G70" s="31" t="n">
        <f aca="false">IF(D70=0,0,F70/D70)</f>
        <v>0</v>
      </c>
      <c r="H70" s="34" t="str">
        <f aca="false">IF(G70&gt;تنظیمات!$B$17,"قرمز","عادی")</f>
        <v>عادی</v>
      </c>
      <c r="I70" s="5" t="n">
        <f aca="false">COUNTIFS(تراکنش_تردد!$O$2:$O$1001,C70,تراکنش_تردد!$Q$2:$Q$1001,A70,تراکنش_تردد!$P$2:$P$1001,B70,تراکنش_تردد!$Z$2:$Z$1001,"نقد")</f>
        <v>4</v>
      </c>
      <c r="J70" s="5" t="n">
        <f aca="false">COUNTIFS(تراکنش_تردد!$O$2:$O$1001,C70,تراکنش_تردد!$Q$2:$Q$1001,A70,تراکنش_تردد!$P$2:$P$1001,B70)</f>
        <v>10</v>
      </c>
      <c r="K70" s="31" t="n">
        <f aca="false">IF(J70=0,0,I70/J70)</f>
        <v>0.4</v>
      </c>
    </row>
    <row r="71" customFormat="false" ht="15" hidden="false" customHeight="false" outlineLevel="0" collapsed="false">
      <c r="A71" s="30" t="n">
        <v>46294</v>
      </c>
      <c r="B71" s="6" t="s">
        <v>651</v>
      </c>
      <c r="C71" s="5" t="s">
        <v>666</v>
      </c>
      <c r="D71" s="35" t="n">
        <f aca="false">SUMIFS(تراکنش_تردد!$AH$2:$AH$1001,تراکنش_تردد!$O$2:$O$1001,C71,تراکنش_تردد!$Q$2:$Q$1001,A71,تراکنش_تردد!$P$2:$P$1001,B71,تراکنش_تردد!$Z$2:$Z$1001,"نقد")</f>
        <v>234000</v>
      </c>
      <c r="E71" s="36" t="n">
        <v>227000</v>
      </c>
      <c r="F71" s="37" t="n">
        <f aca="false">D71-E71</f>
        <v>7000</v>
      </c>
      <c r="G71" s="31" t="n">
        <f aca="false">IF(D71=0,0,F71/D71)</f>
        <v>0.0299145299145299</v>
      </c>
      <c r="H71" s="34" t="str">
        <f aca="false">IF(G71&gt;تنظیمات!$B$17,"قرمز","عادی")</f>
        <v>قرمز</v>
      </c>
      <c r="I71" s="5" t="n">
        <f aca="false">COUNTIFS(تراکنش_تردد!$O$2:$O$1001,C71,تراکنش_تردد!$Q$2:$Q$1001,A71,تراکنش_تردد!$P$2:$P$1001,B71,تراکنش_تردد!$Z$2:$Z$1001,"نقد")</f>
        <v>4</v>
      </c>
      <c r="J71" s="5" t="n">
        <f aca="false">COUNTIFS(تراکنش_تردد!$O$2:$O$1001,C71,تراکنش_تردد!$Q$2:$Q$1001,A71,تراکنش_تردد!$P$2:$P$1001,B71)</f>
        <v>6</v>
      </c>
      <c r="K71" s="31" t="n">
        <f aca="false">IF(J71=0,0,I71/J71)</f>
        <v>0.666666666666667</v>
      </c>
    </row>
    <row r="73" customFormat="false" ht="15" hidden="false" customHeight="false" outlineLevel="0" collapsed="false">
      <c r="A73" s="29" t="s">
        <v>3449</v>
      </c>
    </row>
  </sheetData>
  <autoFilter ref="A1:K71"/>
  <conditionalFormatting sqref="H2:H71">
    <cfRule type="cellIs" priority="2" operator="equal" aboveAverage="0" equalAverage="0" bottom="0" percent="0" rank="0" text="" dxfId="14">
      <formula>"قرمز"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13" min="3" style="0" width="17"/>
  </cols>
  <sheetData>
    <row r="1" customFormat="false" ht="48" hidden="false" customHeight="true" outlineLevel="0" collapsed="false">
      <c r="A1" s="4" t="s">
        <v>3450</v>
      </c>
      <c r="B1" s="4" t="s">
        <v>3451</v>
      </c>
      <c r="C1" s="4" t="s">
        <v>80</v>
      </c>
      <c r="D1" s="4" t="s">
        <v>3452</v>
      </c>
      <c r="E1" s="4" t="s">
        <v>3453</v>
      </c>
      <c r="F1" s="4" t="s">
        <v>3454</v>
      </c>
      <c r="G1" s="4" t="s">
        <v>3455</v>
      </c>
      <c r="H1" s="4" t="s">
        <v>3456</v>
      </c>
      <c r="I1" s="4" t="s">
        <v>3457</v>
      </c>
      <c r="J1" s="4" t="s">
        <v>3458</v>
      </c>
      <c r="K1" s="4" t="s">
        <v>3459</v>
      </c>
      <c r="L1" s="4" t="s">
        <v>3460</v>
      </c>
      <c r="M1" s="4" t="s">
        <v>3446</v>
      </c>
    </row>
    <row r="2" customFormat="false" ht="15" hidden="false" customHeight="false" outlineLevel="0" collapsed="false">
      <c r="A2" s="38" t="n">
        <v>46281.25</v>
      </c>
      <c r="B2" s="38" t="n">
        <v>46281.5833333333</v>
      </c>
      <c r="C2" s="6" t="s">
        <v>402</v>
      </c>
      <c r="D2" s="5" t="n">
        <f aca="false">COUNTIFS(تراکنش_تردد!$G$2:$G$1001,"&gt;="&amp;A2,تراکنش_تردد!$G$2:$G$1001,"&lt;"&amp;B2)</f>
        <v>33</v>
      </c>
      <c r="E2" s="5" t="n">
        <f aca="false">COUNTIFS(تراکنش_تردد!$H$2:$H$1001,"&gt;="&amp;A2,تراکنش_تردد!$H$2:$H$1001,"&lt;"&amp;B2)</f>
        <v>41</v>
      </c>
      <c r="F2" s="5" t="n">
        <f aca="false">COUNTIFS(تراکنش_تردد!$G$2:$G$1001,"&lt;"&amp;A2)+D2-E2</f>
        <v>23</v>
      </c>
      <c r="G2" s="25" t="n">
        <v>23</v>
      </c>
      <c r="H2" s="25" t="n">
        <v>8</v>
      </c>
      <c r="I2" s="5" t="n">
        <f aca="false">ABS(G2-F2)</f>
        <v>0</v>
      </c>
      <c r="J2" s="5" t="n">
        <f aca="false">COUNTIFS(تراکنش_تردد!$BC$2:$BC$1001,1,تراکنش_تردد!$G$2:$G$1001,"&lt;"&amp;B2)</f>
        <v>15</v>
      </c>
      <c r="K2" s="5" t="n">
        <f aca="false">ABS(G2-H2-J2)</f>
        <v>0</v>
      </c>
      <c r="L2" s="5" t="n">
        <f aca="false">تنظیمات!$B$16</f>
        <v>150</v>
      </c>
      <c r="M2" s="34" t="str">
        <f aca="false">IF(OR(F2&lt;0,G2&lt;0,I2&gt;2,K2&gt;2,G2&gt;L2),"هشدار","OK")</f>
        <v>OK</v>
      </c>
    </row>
    <row r="3" customFormat="false" ht="15" hidden="false" customHeight="false" outlineLevel="0" collapsed="false">
      <c r="A3" s="38" t="n">
        <v>46281.5833333333</v>
      </c>
      <c r="B3" s="38" t="n">
        <v>46281.9166666667</v>
      </c>
      <c r="C3" s="6" t="s">
        <v>420</v>
      </c>
      <c r="D3" s="5" t="n">
        <f aca="false">COUNTIFS(تراکنش_تردد!$G$2:$G$1001,"&gt;="&amp;A3,تراکنش_تردد!$G$2:$G$1001,"&lt;"&amp;B3)</f>
        <v>15</v>
      </c>
      <c r="E3" s="5" t="n">
        <f aca="false">COUNTIFS(تراکنش_تردد!$H$2:$H$1001,"&gt;="&amp;A3,تراکنش_تردد!$H$2:$H$1001,"&lt;"&amp;B3)</f>
        <v>19</v>
      </c>
      <c r="F3" s="5" t="n">
        <f aca="false">F2+D3-E3</f>
        <v>19</v>
      </c>
      <c r="G3" s="25" t="n">
        <v>19</v>
      </c>
      <c r="H3" s="25" t="n">
        <v>3</v>
      </c>
      <c r="I3" s="5" t="n">
        <f aca="false">ABS(G3-F3)</f>
        <v>0</v>
      </c>
      <c r="J3" s="5" t="n">
        <f aca="false">COUNTIFS(تراکنش_تردد!$BC$2:$BC$1001,1,تراکنش_تردد!$G$2:$G$1001,"&lt;"&amp;B3)</f>
        <v>15</v>
      </c>
      <c r="K3" s="5" t="n">
        <f aca="false">ABS(G3-H3-J3)</f>
        <v>1</v>
      </c>
      <c r="L3" s="5" t="n">
        <f aca="false">تنظیمات!$B$16</f>
        <v>150</v>
      </c>
      <c r="M3" s="34" t="str">
        <f aca="false">IF(OR(F3&lt;0,G3&lt;0,I3&gt;2,K3&gt;2,G3&gt;L3),"هشدار","OK")</f>
        <v>OK</v>
      </c>
    </row>
    <row r="4" customFormat="false" ht="15" hidden="false" customHeight="false" outlineLevel="0" collapsed="false">
      <c r="A4" s="38" t="n">
        <v>46281.9166666667</v>
      </c>
      <c r="B4" s="38" t="n">
        <v>46282.25</v>
      </c>
      <c r="C4" s="6" t="s">
        <v>651</v>
      </c>
      <c r="D4" s="5" t="n">
        <f aca="false">COUNTIFS(تراکنش_تردد!$G$2:$G$1001,"&gt;="&amp;A4,تراکنش_تردد!$G$2:$G$1001,"&lt;"&amp;B4)</f>
        <v>8</v>
      </c>
      <c r="E4" s="5" t="n">
        <f aca="false">COUNTIFS(تراکنش_تردد!$H$2:$H$1001,"&gt;="&amp;A4,تراکنش_تردد!$H$2:$H$1001,"&lt;"&amp;B4)</f>
        <v>5</v>
      </c>
      <c r="F4" s="5" t="n">
        <f aca="false">F3+D4-E4</f>
        <v>22</v>
      </c>
      <c r="G4" s="25" t="n">
        <v>21</v>
      </c>
      <c r="H4" s="25" t="n">
        <v>7</v>
      </c>
      <c r="I4" s="5" t="n">
        <f aca="false">ABS(G4-F4)</f>
        <v>1</v>
      </c>
      <c r="J4" s="5" t="n">
        <f aca="false">COUNTIFS(تراکنش_تردد!$BC$2:$BC$1001,1,تراکنش_تردد!$G$2:$G$1001,"&lt;"&amp;B4)</f>
        <v>15</v>
      </c>
      <c r="K4" s="5" t="n">
        <f aca="false">ABS(G4-H4-J4)</f>
        <v>1</v>
      </c>
      <c r="L4" s="5" t="n">
        <f aca="false">تنظیمات!$B$16</f>
        <v>150</v>
      </c>
      <c r="M4" s="34" t="str">
        <f aca="false">IF(OR(F4&lt;0,G4&lt;0,I4&gt;2,K4&gt;2,G4&gt;L4),"هشدار","OK")</f>
        <v>OK</v>
      </c>
    </row>
    <row r="5" customFormat="false" ht="15" hidden="false" customHeight="false" outlineLevel="0" collapsed="false">
      <c r="A5" s="38" t="n">
        <v>46282.25</v>
      </c>
      <c r="B5" s="38" t="n">
        <v>46282.5833333333</v>
      </c>
      <c r="C5" s="6" t="s">
        <v>402</v>
      </c>
      <c r="D5" s="5" t="n">
        <f aca="false">COUNTIFS(تراکنش_تردد!$G$2:$G$1001,"&gt;="&amp;A5,تراکنش_تردد!$G$2:$G$1001,"&lt;"&amp;B5)</f>
        <v>33</v>
      </c>
      <c r="E5" s="5" t="n">
        <f aca="false">COUNTIFS(تراکنش_تردد!$H$2:$H$1001,"&gt;="&amp;A5,تراکنش_تردد!$H$2:$H$1001,"&lt;"&amp;B5)</f>
        <v>26</v>
      </c>
      <c r="F5" s="5" t="n">
        <f aca="false">F4+D5-E5</f>
        <v>29</v>
      </c>
      <c r="G5" s="25" t="n">
        <v>28</v>
      </c>
      <c r="H5" s="25" t="n">
        <v>14</v>
      </c>
      <c r="I5" s="5" t="n">
        <f aca="false">ABS(G5-F5)</f>
        <v>1</v>
      </c>
      <c r="J5" s="5" t="n">
        <f aca="false">COUNTIFS(تراکنش_تردد!$BC$2:$BC$1001,1,تراکنش_تردد!$G$2:$G$1001,"&lt;"&amp;B5)</f>
        <v>15</v>
      </c>
      <c r="K5" s="5" t="n">
        <f aca="false">ABS(G5-H5-J5)</f>
        <v>1</v>
      </c>
      <c r="L5" s="5" t="n">
        <f aca="false">تنظیمات!$B$16</f>
        <v>150</v>
      </c>
      <c r="M5" s="34" t="str">
        <f aca="false">IF(OR(F5&lt;0,G5&lt;0,I5&gt;2,K5&gt;2,G5&gt;L5),"هشدار","OK")</f>
        <v>OK</v>
      </c>
    </row>
    <row r="6" customFormat="false" ht="15" hidden="false" customHeight="false" outlineLevel="0" collapsed="false">
      <c r="A6" s="38" t="n">
        <v>46282.5833333333</v>
      </c>
      <c r="B6" s="38" t="n">
        <v>46282.9166666667</v>
      </c>
      <c r="C6" s="6" t="s">
        <v>420</v>
      </c>
      <c r="D6" s="5" t="n">
        <f aca="false">COUNTIFS(تراکنش_تردد!$G$2:$G$1001,"&gt;="&amp;A6,تراکنش_تردد!$G$2:$G$1001,"&lt;"&amp;B6)</f>
        <v>22</v>
      </c>
      <c r="E6" s="5" t="n">
        <f aca="false">COUNTIFS(تراکنش_تردد!$H$2:$H$1001,"&gt;="&amp;A6,تراکنش_تردد!$H$2:$H$1001,"&lt;"&amp;B6)</f>
        <v>32</v>
      </c>
      <c r="F6" s="5" t="n">
        <f aca="false">F5+D6-E6</f>
        <v>19</v>
      </c>
      <c r="G6" s="25" t="n">
        <v>19</v>
      </c>
      <c r="H6" s="25" t="n">
        <v>4</v>
      </c>
      <c r="I6" s="5" t="n">
        <f aca="false">ABS(G6-F6)</f>
        <v>0</v>
      </c>
      <c r="J6" s="5" t="n">
        <f aca="false">COUNTIFS(تراکنش_تردد!$BC$2:$BC$1001,1,تراکنش_تردد!$G$2:$G$1001,"&lt;"&amp;B6)</f>
        <v>15</v>
      </c>
      <c r="K6" s="5" t="n">
        <f aca="false">ABS(G6-H6-J6)</f>
        <v>0</v>
      </c>
      <c r="L6" s="5" t="n">
        <f aca="false">تنظیمات!$B$16</f>
        <v>150</v>
      </c>
      <c r="M6" s="34" t="str">
        <f aca="false">IF(OR(F6&lt;0,G6&lt;0,I6&gt;2,K6&gt;2,G6&gt;L6),"هشدار","OK")</f>
        <v>OK</v>
      </c>
    </row>
    <row r="7" customFormat="false" ht="15" hidden="false" customHeight="false" outlineLevel="0" collapsed="false">
      <c r="A7" s="38" t="n">
        <v>46282.9166666667</v>
      </c>
      <c r="B7" s="38" t="n">
        <v>46283.25</v>
      </c>
      <c r="C7" s="6" t="s">
        <v>651</v>
      </c>
      <c r="D7" s="5" t="n">
        <f aca="false">COUNTIFS(تراکنش_تردد!$G$2:$G$1001,"&gt;="&amp;A7,تراکنش_تردد!$G$2:$G$1001,"&lt;"&amp;B7)</f>
        <v>6</v>
      </c>
      <c r="E7" s="5" t="n">
        <f aca="false">COUNTIFS(تراکنش_تردد!$H$2:$H$1001,"&gt;="&amp;A7,تراکنش_تردد!$H$2:$H$1001,"&lt;"&amp;B7)</f>
        <v>4</v>
      </c>
      <c r="F7" s="5" t="n">
        <f aca="false">F6+D7-E7</f>
        <v>21</v>
      </c>
      <c r="G7" s="25" t="n">
        <v>22</v>
      </c>
      <c r="H7" s="25" t="n">
        <v>6</v>
      </c>
      <c r="I7" s="5" t="n">
        <f aca="false">ABS(G7-F7)</f>
        <v>1</v>
      </c>
      <c r="J7" s="5" t="n">
        <f aca="false">COUNTIFS(تراکنش_تردد!$BC$2:$BC$1001,1,تراکنش_تردد!$G$2:$G$1001,"&lt;"&amp;B7)</f>
        <v>15</v>
      </c>
      <c r="K7" s="5" t="n">
        <f aca="false">ABS(G7-H7-J7)</f>
        <v>1</v>
      </c>
      <c r="L7" s="5" t="n">
        <f aca="false">تنظیمات!$B$16</f>
        <v>150</v>
      </c>
      <c r="M7" s="34" t="str">
        <f aca="false">IF(OR(F7&lt;0,G7&lt;0,I7&gt;2,K7&gt;2,G7&gt;L7),"هشدار","OK")</f>
        <v>OK</v>
      </c>
    </row>
    <row r="8" customFormat="false" ht="15" hidden="false" customHeight="false" outlineLevel="0" collapsed="false">
      <c r="A8" s="38" t="n">
        <v>46283.25</v>
      </c>
      <c r="B8" s="38" t="n">
        <v>46283.5833333333</v>
      </c>
      <c r="C8" s="6" t="s">
        <v>402</v>
      </c>
      <c r="D8" s="5" t="n">
        <f aca="false">COUNTIFS(تراکنش_تردد!$G$2:$G$1001,"&gt;="&amp;A8,تراکنش_تردد!$G$2:$G$1001,"&lt;"&amp;B8)</f>
        <v>34</v>
      </c>
      <c r="E8" s="5" t="n">
        <f aca="false">COUNTIFS(تراکنش_تردد!$H$2:$H$1001,"&gt;="&amp;A8,تراکنش_تردد!$H$2:$H$1001,"&lt;"&amp;B8)</f>
        <v>28</v>
      </c>
      <c r="F8" s="5" t="n">
        <f aca="false">F7+D8-E8</f>
        <v>27</v>
      </c>
      <c r="G8" s="25" t="n">
        <v>27</v>
      </c>
      <c r="H8" s="25" t="n">
        <v>12</v>
      </c>
      <c r="I8" s="5" t="n">
        <f aca="false">ABS(G8-F8)</f>
        <v>0</v>
      </c>
      <c r="J8" s="5" t="n">
        <f aca="false">COUNTIFS(تراکنش_تردد!$BC$2:$BC$1001,1,تراکنش_تردد!$G$2:$G$1001,"&lt;"&amp;B8)</f>
        <v>15</v>
      </c>
      <c r="K8" s="5" t="n">
        <f aca="false">ABS(G8-H8-J8)</f>
        <v>0</v>
      </c>
      <c r="L8" s="5" t="n">
        <f aca="false">تنظیمات!$B$16</f>
        <v>150</v>
      </c>
      <c r="M8" s="34" t="str">
        <f aca="false">IF(OR(F8&lt;0,G8&lt;0,I8&gt;2,K8&gt;2,G8&gt;L8),"هشدار","OK")</f>
        <v>OK</v>
      </c>
    </row>
    <row r="9" customFormat="false" ht="15" hidden="false" customHeight="false" outlineLevel="0" collapsed="false">
      <c r="A9" s="38" t="n">
        <v>46283.5833333333</v>
      </c>
      <c r="B9" s="38" t="n">
        <v>46283.9166666667</v>
      </c>
      <c r="C9" s="6" t="s">
        <v>420</v>
      </c>
      <c r="D9" s="5" t="n">
        <f aca="false">COUNTIFS(تراکنش_تردد!$G$2:$G$1001,"&gt;="&amp;A9,تراکنش_تردد!$G$2:$G$1001,"&lt;"&amp;B9)</f>
        <v>24</v>
      </c>
      <c r="E9" s="5" t="n">
        <f aca="false">COUNTIFS(تراکنش_تردد!$H$2:$H$1001,"&gt;="&amp;A9,تراکنش_تردد!$H$2:$H$1001,"&lt;"&amp;B9)</f>
        <v>32</v>
      </c>
      <c r="F9" s="5" t="n">
        <f aca="false">F8+D9-E9</f>
        <v>19</v>
      </c>
      <c r="G9" s="25" t="n">
        <v>25</v>
      </c>
      <c r="H9" s="25" t="n">
        <v>5</v>
      </c>
      <c r="I9" s="5" t="n">
        <f aca="false">ABS(G9-F9)</f>
        <v>6</v>
      </c>
      <c r="J9" s="5" t="n">
        <f aca="false">COUNTIFS(تراکنش_تردد!$BC$2:$BC$1001,1,تراکنش_تردد!$G$2:$G$1001,"&lt;"&amp;B9)</f>
        <v>15</v>
      </c>
      <c r="K9" s="5" t="n">
        <f aca="false">ABS(G9-H9-J9)</f>
        <v>5</v>
      </c>
      <c r="L9" s="5" t="n">
        <f aca="false">تنظیمات!$B$16</f>
        <v>150</v>
      </c>
      <c r="M9" s="34" t="str">
        <f aca="false">IF(OR(F9&lt;0,G9&lt;0,I9&gt;2,K9&gt;2,G9&gt;L9),"هشدار","OK")</f>
        <v>هشدار</v>
      </c>
    </row>
    <row r="10" customFormat="false" ht="15" hidden="false" customHeight="false" outlineLevel="0" collapsed="false">
      <c r="A10" s="38" t="n">
        <v>46283.9166666667</v>
      </c>
      <c r="B10" s="38" t="n">
        <v>46284.25</v>
      </c>
      <c r="C10" s="6" t="s">
        <v>651</v>
      </c>
      <c r="D10" s="5" t="n">
        <f aca="false">COUNTIFS(تراکنش_تردد!$G$2:$G$1001,"&gt;="&amp;A10,تراکنش_تردد!$G$2:$G$1001,"&lt;"&amp;B10)</f>
        <v>13</v>
      </c>
      <c r="E10" s="5" t="n">
        <f aca="false">COUNTIFS(تراکنش_تردد!$H$2:$H$1001,"&gt;="&amp;A10,تراکنش_تردد!$H$2:$H$1001,"&lt;"&amp;B10)</f>
        <v>4</v>
      </c>
      <c r="F10" s="5" t="n">
        <f aca="false">F9+D10-E10</f>
        <v>28</v>
      </c>
      <c r="G10" s="25" t="n">
        <v>28</v>
      </c>
      <c r="H10" s="25" t="n">
        <v>14</v>
      </c>
      <c r="I10" s="5" t="n">
        <f aca="false">ABS(G10-F10)</f>
        <v>0</v>
      </c>
      <c r="J10" s="5" t="n">
        <f aca="false">COUNTIFS(تراکنش_تردد!$BC$2:$BC$1001,1,تراکنش_تردد!$G$2:$G$1001,"&lt;"&amp;B10)</f>
        <v>15</v>
      </c>
      <c r="K10" s="5" t="n">
        <f aca="false">ABS(G10-H10-J10)</f>
        <v>1</v>
      </c>
      <c r="L10" s="5" t="n">
        <f aca="false">تنظیمات!$B$16</f>
        <v>150</v>
      </c>
      <c r="M10" s="34" t="str">
        <f aca="false">IF(OR(F10&lt;0,G10&lt;0,I10&gt;2,K10&gt;2,G10&gt;L10),"هشدار","OK")</f>
        <v>OK</v>
      </c>
    </row>
    <row r="11" customFormat="false" ht="15" hidden="false" customHeight="false" outlineLevel="0" collapsed="false">
      <c r="A11" s="38" t="n">
        <v>46284.25</v>
      </c>
      <c r="B11" s="38" t="n">
        <v>46284.5833333333</v>
      </c>
      <c r="C11" s="6" t="s">
        <v>402</v>
      </c>
      <c r="D11" s="5" t="n">
        <f aca="false">COUNTIFS(تراکنش_تردد!$G$2:$G$1001,"&gt;="&amp;A11,تراکنش_تردد!$G$2:$G$1001,"&lt;"&amp;B11)</f>
        <v>32</v>
      </c>
      <c r="E11" s="5" t="n">
        <f aca="false">COUNTIFS(تراکنش_تردد!$H$2:$H$1001,"&gt;="&amp;A11,تراکنش_تردد!$H$2:$H$1001,"&lt;"&amp;B11)</f>
        <v>30</v>
      </c>
      <c r="F11" s="5" t="n">
        <f aca="false">F10+D11-E11</f>
        <v>30</v>
      </c>
      <c r="G11" s="25" t="n">
        <v>30</v>
      </c>
      <c r="H11" s="25" t="n">
        <v>16</v>
      </c>
      <c r="I11" s="5" t="n">
        <f aca="false">ABS(G11-F11)</f>
        <v>0</v>
      </c>
      <c r="J11" s="5" t="n">
        <f aca="false">COUNTIFS(تراکنش_تردد!$BC$2:$BC$1001,1,تراکنش_تردد!$G$2:$G$1001,"&lt;"&amp;B11)</f>
        <v>15</v>
      </c>
      <c r="K11" s="5" t="n">
        <f aca="false">ABS(G11-H11-J11)</f>
        <v>1</v>
      </c>
      <c r="L11" s="5" t="n">
        <f aca="false">تنظیمات!$B$16</f>
        <v>150</v>
      </c>
      <c r="M11" s="34" t="str">
        <f aca="false">IF(OR(F11&lt;0,G11&lt;0,I11&gt;2,K11&gt;2,G11&gt;L11),"هشدار","OK")</f>
        <v>OK</v>
      </c>
    </row>
    <row r="12" customFormat="false" ht="15" hidden="false" customHeight="false" outlineLevel="0" collapsed="false">
      <c r="A12" s="38" t="n">
        <v>46284.5833333333</v>
      </c>
      <c r="B12" s="38" t="n">
        <v>46284.9166666667</v>
      </c>
      <c r="C12" s="6" t="s">
        <v>420</v>
      </c>
      <c r="D12" s="5" t="n">
        <f aca="false">COUNTIFS(تراکنش_تردد!$G$2:$G$1001,"&gt;="&amp;A12,تراکنش_تردد!$G$2:$G$1001,"&lt;"&amp;B12)</f>
        <v>37</v>
      </c>
      <c r="E12" s="5" t="n">
        <f aca="false">COUNTIFS(تراکنش_تردد!$H$2:$H$1001,"&gt;="&amp;A12,تراکنش_تردد!$H$2:$H$1001,"&lt;"&amp;B12)</f>
        <v>46</v>
      </c>
      <c r="F12" s="5" t="n">
        <f aca="false">F11+D12-E12</f>
        <v>21</v>
      </c>
      <c r="G12" s="25" t="n">
        <v>21</v>
      </c>
      <c r="H12" s="25" t="n">
        <v>7</v>
      </c>
      <c r="I12" s="5" t="n">
        <f aca="false">ABS(G12-F12)</f>
        <v>0</v>
      </c>
      <c r="J12" s="5" t="n">
        <f aca="false">COUNTIFS(تراکنش_تردد!$BC$2:$BC$1001,1,تراکنش_تردد!$G$2:$G$1001,"&lt;"&amp;B12)</f>
        <v>15</v>
      </c>
      <c r="K12" s="5" t="n">
        <f aca="false">ABS(G12-H12-J12)</f>
        <v>1</v>
      </c>
      <c r="L12" s="5" t="n">
        <f aca="false">تنظیمات!$B$16</f>
        <v>150</v>
      </c>
      <c r="M12" s="34" t="str">
        <f aca="false">IF(OR(F12&lt;0,G12&lt;0,I12&gt;2,K12&gt;2,G12&gt;L12),"هشدار","OK")</f>
        <v>OK</v>
      </c>
    </row>
    <row r="13" customFormat="false" ht="15" hidden="false" customHeight="false" outlineLevel="0" collapsed="false">
      <c r="A13" s="38" t="n">
        <v>46284.9166666667</v>
      </c>
      <c r="B13" s="38" t="n">
        <v>46285.25</v>
      </c>
      <c r="C13" s="6" t="s">
        <v>651</v>
      </c>
      <c r="D13" s="5" t="n">
        <f aca="false">COUNTIFS(تراکنش_تردد!$G$2:$G$1001,"&gt;="&amp;A13,تراکنش_تردد!$G$2:$G$1001,"&lt;"&amp;B13)</f>
        <v>9</v>
      </c>
      <c r="E13" s="5" t="n">
        <f aca="false">COUNTIFS(تراکنش_تردد!$H$2:$H$1001,"&gt;="&amp;A13,تراکنش_تردد!$H$2:$H$1001,"&lt;"&amp;B13)</f>
        <v>2</v>
      </c>
      <c r="F13" s="5" t="n">
        <f aca="false">F12+D13-E13</f>
        <v>28</v>
      </c>
      <c r="G13" s="25" t="n">
        <v>28</v>
      </c>
      <c r="H13" s="25" t="n">
        <v>18</v>
      </c>
      <c r="I13" s="5" t="n">
        <f aca="false">ABS(G13-F13)</f>
        <v>0</v>
      </c>
      <c r="J13" s="5" t="n">
        <f aca="false">COUNTIFS(تراکنش_تردد!$BC$2:$BC$1001,1,تراکنش_تردد!$G$2:$G$1001,"&lt;"&amp;B13)</f>
        <v>15</v>
      </c>
      <c r="K13" s="5" t="n">
        <f aca="false">ABS(G13-H13-J13)</f>
        <v>5</v>
      </c>
      <c r="L13" s="5" t="n">
        <f aca="false">تنظیمات!$B$16</f>
        <v>150</v>
      </c>
      <c r="M13" s="34" t="str">
        <f aca="false">IF(OR(F13&lt;0,G13&lt;0,I13&gt;2,K13&gt;2,G13&gt;L13),"هشدار","OK")</f>
        <v>هشدار</v>
      </c>
    </row>
    <row r="14" customFormat="false" ht="15" hidden="false" customHeight="false" outlineLevel="0" collapsed="false">
      <c r="A14" s="38" t="n">
        <v>46285.25</v>
      </c>
      <c r="B14" s="38" t="n">
        <v>46285.5833333333</v>
      </c>
      <c r="C14" s="6" t="s">
        <v>402</v>
      </c>
      <c r="D14" s="5" t="n">
        <f aca="false">COUNTIFS(تراکنش_تردد!$G$2:$G$1001,"&gt;="&amp;A14,تراکنش_تردد!$G$2:$G$1001,"&lt;"&amp;B14)</f>
        <v>41</v>
      </c>
      <c r="E14" s="5" t="n">
        <f aca="false">COUNTIFS(تراکنش_تردد!$H$2:$H$1001,"&gt;="&amp;A14,تراکنش_تردد!$H$2:$H$1001,"&lt;"&amp;B14)</f>
        <v>36</v>
      </c>
      <c r="F14" s="5" t="n">
        <f aca="false">F13+D14-E14</f>
        <v>33</v>
      </c>
      <c r="G14" s="25" t="n">
        <v>33</v>
      </c>
      <c r="H14" s="25" t="n">
        <v>19</v>
      </c>
      <c r="I14" s="5" t="n">
        <f aca="false">ABS(G14-F14)</f>
        <v>0</v>
      </c>
      <c r="J14" s="5" t="n">
        <f aca="false">COUNTIFS(تراکنش_تردد!$BC$2:$BC$1001,1,تراکنش_تردد!$G$2:$G$1001,"&lt;"&amp;B14)</f>
        <v>15</v>
      </c>
      <c r="K14" s="5" t="n">
        <f aca="false">ABS(G14-H14-J14)</f>
        <v>1</v>
      </c>
      <c r="L14" s="5" t="n">
        <f aca="false">تنظیمات!$B$16</f>
        <v>150</v>
      </c>
      <c r="M14" s="34" t="str">
        <f aca="false">IF(OR(F14&lt;0,G14&lt;0,I14&gt;2,K14&gt;2,G14&gt;L14),"هشدار","OK")</f>
        <v>OK</v>
      </c>
    </row>
    <row r="15" customFormat="false" ht="15" hidden="false" customHeight="false" outlineLevel="0" collapsed="false">
      <c r="A15" s="38" t="n">
        <v>46285.5833333333</v>
      </c>
      <c r="B15" s="38" t="n">
        <v>46285.9166666667</v>
      </c>
      <c r="C15" s="6" t="s">
        <v>420</v>
      </c>
      <c r="D15" s="5" t="n">
        <f aca="false">COUNTIFS(تراکنش_تردد!$G$2:$G$1001,"&gt;="&amp;A15,تراکنش_تردد!$G$2:$G$1001,"&lt;"&amp;B15)</f>
        <v>33</v>
      </c>
      <c r="E15" s="5" t="n">
        <f aca="false">COUNTIFS(تراکنش_تردد!$H$2:$H$1001,"&gt;="&amp;A15,تراکنش_تردد!$H$2:$H$1001,"&lt;"&amp;B15)</f>
        <v>43</v>
      </c>
      <c r="F15" s="5" t="n">
        <f aca="false">F14+D15-E15</f>
        <v>23</v>
      </c>
      <c r="G15" s="25" t="n">
        <v>24</v>
      </c>
      <c r="H15" s="25" t="n">
        <v>8</v>
      </c>
      <c r="I15" s="5" t="n">
        <f aca="false">ABS(G15-F15)</f>
        <v>1</v>
      </c>
      <c r="J15" s="5" t="n">
        <f aca="false">COUNTIFS(تراکنش_تردد!$BC$2:$BC$1001,1,تراکنش_تردد!$G$2:$G$1001,"&lt;"&amp;B15)</f>
        <v>15</v>
      </c>
      <c r="K15" s="5" t="n">
        <f aca="false">ABS(G15-H15-J15)</f>
        <v>1</v>
      </c>
      <c r="L15" s="5" t="n">
        <f aca="false">تنظیمات!$B$16</f>
        <v>150</v>
      </c>
      <c r="M15" s="34" t="str">
        <f aca="false">IF(OR(F15&lt;0,G15&lt;0,I15&gt;2,K15&gt;2,G15&gt;L15),"هشدار","OK")</f>
        <v>OK</v>
      </c>
    </row>
    <row r="16" customFormat="false" ht="15" hidden="false" customHeight="false" outlineLevel="0" collapsed="false">
      <c r="A16" s="38" t="n">
        <v>46285.9166666667</v>
      </c>
      <c r="B16" s="38" t="n">
        <v>46286.25</v>
      </c>
      <c r="C16" s="6" t="s">
        <v>651</v>
      </c>
      <c r="D16" s="5" t="n">
        <f aca="false">COUNTIFS(تراکنش_تردد!$G$2:$G$1001,"&gt;="&amp;A16,تراکنش_تردد!$G$2:$G$1001,"&lt;"&amp;B16)</f>
        <v>12</v>
      </c>
      <c r="E16" s="5" t="n">
        <f aca="false">COUNTIFS(تراکنش_تردد!$H$2:$H$1001,"&gt;="&amp;A16,تراکنش_تردد!$H$2:$H$1001,"&lt;"&amp;B16)</f>
        <v>4</v>
      </c>
      <c r="F16" s="5" t="n">
        <f aca="false">F15+D16-E16</f>
        <v>31</v>
      </c>
      <c r="G16" s="25" t="n">
        <v>31</v>
      </c>
      <c r="H16" s="25" t="n">
        <v>15</v>
      </c>
      <c r="I16" s="5" t="n">
        <f aca="false">ABS(G16-F16)</f>
        <v>0</v>
      </c>
      <c r="J16" s="5" t="n">
        <f aca="false">COUNTIFS(تراکنش_تردد!$BC$2:$BC$1001,1,تراکنش_تردد!$G$2:$G$1001,"&lt;"&amp;B16)</f>
        <v>15</v>
      </c>
      <c r="K16" s="5" t="n">
        <f aca="false">ABS(G16-H16-J16)</f>
        <v>1</v>
      </c>
      <c r="L16" s="5" t="n">
        <f aca="false">تنظیمات!$B$16</f>
        <v>150</v>
      </c>
      <c r="M16" s="34" t="str">
        <f aca="false">IF(OR(F16&lt;0,G16&lt;0,I16&gt;2,K16&gt;2,G16&gt;L16),"هشدار","OK")</f>
        <v>OK</v>
      </c>
    </row>
    <row r="17" customFormat="false" ht="15" hidden="false" customHeight="false" outlineLevel="0" collapsed="false">
      <c r="A17" s="38" t="n">
        <v>46286.25</v>
      </c>
      <c r="B17" s="38" t="n">
        <v>46286.5833333333</v>
      </c>
      <c r="C17" s="6" t="s">
        <v>402</v>
      </c>
      <c r="D17" s="5" t="n">
        <f aca="false">COUNTIFS(تراکنش_تردد!$G$2:$G$1001,"&gt;="&amp;A17,تراکنش_تردد!$G$2:$G$1001,"&lt;"&amp;B17)</f>
        <v>31</v>
      </c>
      <c r="E17" s="5" t="n">
        <f aca="false">COUNTIFS(تراکنش_تردد!$H$2:$H$1001,"&gt;="&amp;A17,تراکنش_تردد!$H$2:$H$1001,"&lt;"&amp;B17)</f>
        <v>29</v>
      </c>
      <c r="F17" s="5" t="n">
        <f aca="false">F16+D17-E17</f>
        <v>33</v>
      </c>
      <c r="G17" s="25" t="n">
        <v>26</v>
      </c>
      <c r="H17" s="25" t="n">
        <v>19</v>
      </c>
      <c r="I17" s="5" t="n">
        <f aca="false">ABS(G17-F17)</f>
        <v>7</v>
      </c>
      <c r="J17" s="5" t="n">
        <f aca="false">COUNTIFS(تراکنش_تردد!$BC$2:$BC$1001,1,تراکنش_تردد!$G$2:$G$1001,"&lt;"&amp;B17)</f>
        <v>15</v>
      </c>
      <c r="K17" s="5" t="n">
        <f aca="false">ABS(G17-H17-J17)</f>
        <v>8</v>
      </c>
      <c r="L17" s="5" t="n">
        <f aca="false">تنظیمات!$B$16</f>
        <v>150</v>
      </c>
      <c r="M17" s="34" t="str">
        <f aca="false">IF(OR(F17&lt;0,G17&lt;0,I17&gt;2,K17&gt;2,G17&gt;L17),"هشدار","OK")</f>
        <v>هشدار</v>
      </c>
    </row>
    <row r="18" customFormat="false" ht="15" hidden="false" customHeight="false" outlineLevel="0" collapsed="false">
      <c r="A18" s="38" t="n">
        <v>46286.5833333333</v>
      </c>
      <c r="B18" s="38" t="n">
        <v>46286.9166666667</v>
      </c>
      <c r="C18" s="6" t="s">
        <v>420</v>
      </c>
      <c r="D18" s="5" t="n">
        <f aca="false">COUNTIFS(تراکنش_تردد!$G$2:$G$1001,"&gt;="&amp;A18,تراکنش_تردد!$G$2:$G$1001,"&lt;"&amp;B18)</f>
        <v>24</v>
      </c>
      <c r="E18" s="5" t="n">
        <f aca="false">COUNTIFS(تراکنش_تردد!$H$2:$H$1001,"&gt;="&amp;A18,تراکنش_تردد!$H$2:$H$1001,"&lt;"&amp;B18)</f>
        <v>31</v>
      </c>
      <c r="F18" s="5" t="n">
        <f aca="false">F17+D18-E18</f>
        <v>26</v>
      </c>
      <c r="G18" s="25" t="n">
        <v>27</v>
      </c>
      <c r="H18" s="25" t="n">
        <v>11</v>
      </c>
      <c r="I18" s="5" t="n">
        <f aca="false">ABS(G18-F18)</f>
        <v>1</v>
      </c>
      <c r="J18" s="5" t="n">
        <f aca="false">COUNTIFS(تراکنش_تردد!$BC$2:$BC$1001,1,تراکنش_تردد!$G$2:$G$1001,"&lt;"&amp;B18)</f>
        <v>15</v>
      </c>
      <c r="K18" s="5" t="n">
        <f aca="false">ABS(G18-H18-J18)</f>
        <v>1</v>
      </c>
      <c r="L18" s="5" t="n">
        <f aca="false">تنظیمات!$B$16</f>
        <v>150</v>
      </c>
      <c r="M18" s="34" t="str">
        <f aca="false">IF(OR(F18&lt;0,G18&lt;0,I18&gt;2,K18&gt;2,G18&gt;L18),"هشدار","OK")</f>
        <v>OK</v>
      </c>
    </row>
    <row r="19" customFormat="false" ht="15" hidden="false" customHeight="false" outlineLevel="0" collapsed="false">
      <c r="A19" s="38" t="n">
        <v>46286.9166666667</v>
      </c>
      <c r="B19" s="38" t="n">
        <v>46287.25</v>
      </c>
      <c r="C19" s="6" t="s">
        <v>651</v>
      </c>
      <c r="D19" s="5" t="n">
        <f aca="false">COUNTIFS(تراکنش_تردد!$G$2:$G$1001,"&gt;="&amp;A19,تراکنش_تردد!$G$2:$G$1001,"&lt;"&amp;B19)</f>
        <v>9</v>
      </c>
      <c r="E19" s="5" t="n">
        <f aca="false">COUNTIFS(تراکنش_تردد!$H$2:$H$1001,"&gt;="&amp;A19,تراکنش_تردد!$H$2:$H$1001,"&lt;"&amp;B19)</f>
        <v>2</v>
      </c>
      <c r="F19" s="5" t="n">
        <f aca="false">F18+D19-E19</f>
        <v>33</v>
      </c>
      <c r="G19" s="25" t="n">
        <v>33</v>
      </c>
      <c r="H19" s="25" t="n">
        <v>18</v>
      </c>
      <c r="I19" s="5" t="n">
        <f aca="false">ABS(G19-F19)</f>
        <v>0</v>
      </c>
      <c r="J19" s="5" t="n">
        <f aca="false">COUNTIFS(تراکنش_تردد!$BC$2:$BC$1001,1,تراکنش_تردد!$G$2:$G$1001,"&lt;"&amp;B19)</f>
        <v>15</v>
      </c>
      <c r="K19" s="5" t="n">
        <f aca="false">ABS(G19-H19-J19)</f>
        <v>0</v>
      </c>
      <c r="L19" s="5" t="n">
        <f aca="false">تنظیمات!$B$16</f>
        <v>150</v>
      </c>
      <c r="M19" s="34" t="str">
        <f aca="false">IF(OR(F19&lt;0,G19&lt;0,I19&gt;2,K19&gt;2,G19&gt;L19),"هشدار","OK")</f>
        <v>OK</v>
      </c>
    </row>
    <row r="20" customFormat="false" ht="15" hidden="false" customHeight="false" outlineLevel="0" collapsed="false">
      <c r="A20" s="38" t="n">
        <v>46287.25</v>
      </c>
      <c r="B20" s="38" t="n">
        <v>46287.5833333333</v>
      </c>
      <c r="C20" s="6" t="s">
        <v>402</v>
      </c>
      <c r="D20" s="5" t="n">
        <f aca="false">COUNTIFS(تراکنش_تردد!$G$2:$G$1001,"&gt;="&amp;A20,تراکنش_تردد!$G$2:$G$1001,"&lt;"&amp;B20)</f>
        <v>34</v>
      </c>
      <c r="E20" s="5" t="n">
        <f aca="false">COUNTIFS(تراکنش_تردد!$H$2:$H$1001,"&gt;="&amp;A20,تراکنش_تردد!$H$2:$H$1001,"&lt;"&amp;B20)</f>
        <v>33</v>
      </c>
      <c r="F20" s="5" t="n">
        <f aca="false">F19+D20-E20</f>
        <v>34</v>
      </c>
      <c r="G20" s="25" t="n">
        <v>34</v>
      </c>
      <c r="H20" s="25" t="n">
        <v>19</v>
      </c>
      <c r="I20" s="5" t="n">
        <f aca="false">ABS(G20-F20)</f>
        <v>0</v>
      </c>
      <c r="J20" s="5" t="n">
        <f aca="false">COUNTIFS(تراکنش_تردد!$BC$2:$BC$1001,1,تراکنش_تردد!$G$2:$G$1001,"&lt;"&amp;B20)</f>
        <v>15</v>
      </c>
      <c r="K20" s="5" t="n">
        <f aca="false">ABS(G20-H20-J20)</f>
        <v>0</v>
      </c>
      <c r="L20" s="5" t="n">
        <f aca="false">تنظیمات!$B$16</f>
        <v>150</v>
      </c>
      <c r="M20" s="34" t="str">
        <f aca="false">IF(OR(F20&lt;0,G20&lt;0,I20&gt;2,K20&gt;2,G20&gt;L20),"هشدار","OK")</f>
        <v>OK</v>
      </c>
    </row>
    <row r="21" customFormat="false" ht="15" hidden="false" customHeight="false" outlineLevel="0" collapsed="false">
      <c r="A21" s="38" t="n">
        <v>46287.5833333333</v>
      </c>
      <c r="B21" s="38" t="n">
        <v>46287.9166666667</v>
      </c>
      <c r="C21" s="6" t="s">
        <v>420</v>
      </c>
      <c r="D21" s="5" t="n">
        <f aca="false">COUNTIFS(تراکنش_تردد!$G$2:$G$1001,"&gt;="&amp;A21,تراکنش_تردد!$G$2:$G$1001,"&lt;"&amp;B21)</f>
        <v>15</v>
      </c>
      <c r="E21" s="5" t="n">
        <f aca="false">COUNTIFS(تراکنش_تردد!$H$2:$H$1001,"&gt;="&amp;A21,تراکنش_تردد!$H$2:$H$1001,"&lt;"&amp;B21)</f>
        <v>27</v>
      </c>
      <c r="F21" s="5" t="n">
        <f aca="false">F20+D21-E21</f>
        <v>22</v>
      </c>
      <c r="G21" s="25" t="n">
        <v>21</v>
      </c>
      <c r="H21" s="25" t="n">
        <v>8</v>
      </c>
      <c r="I21" s="5" t="n">
        <f aca="false">ABS(G21-F21)</f>
        <v>1</v>
      </c>
      <c r="J21" s="5" t="n">
        <f aca="false">COUNTIFS(تراکنش_تردد!$BC$2:$BC$1001,1,تراکنش_تردد!$G$2:$G$1001,"&lt;"&amp;B21)</f>
        <v>15</v>
      </c>
      <c r="K21" s="5" t="n">
        <f aca="false">ABS(G21-H21-J21)</f>
        <v>2</v>
      </c>
      <c r="L21" s="5" t="n">
        <f aca="false">تنظیمات!$B$16</f>
        <v>150</v>
      </c>
      <c r="M21" s="34" t="str">
        <f aca="false">IF(OR(F21&lt;0,G21&lt;0,I21&gt;2,K21&gt;2,G21&gt;L21),"هشدار","OK")</f>
        <v>OK</v>
      </c>
    </row>
    <row r="22" customFormat="false" ht="15" hidden="false" customHeight="false" outlineLevel="0" collapsed="false">
      <c r="A22" s="38" t="n">
        <v>46287.9166666667</v>
      </c>
      <c r="B22" s="38" t="n">
        <v>46288.25</v>
      </c>
      <c r="C22" s="6" t="s">
        <v>651</v>
      </c>
      <c r="D22" s="5" t="n">
        <f aca="false">COUNTIFS(تراکنش_تردد!$G$2:$G$1001,"&gt;="&amp;A22,تراکنش_تردد!$G$2:$G$1001,"&lt;"&amp;B22)</f>
        <v>14</v>
      </c>
      <c r="E22" s="5" t="n">
        <f aca="false">COUNTIFS(تراکنش_تردد!$H$2:$H$1001,"&gt;="&amp;A22,تراکنش_تردد!$H$2:$H$1001,"&lt;"&amp;B22)</f>
        <v>2</v>
      </c>
      <c r="F22" s="5" t="n">
        <f aca="false">F21+D22-E22</f>
        <v>34</v>
      </c>
      <c r="G22" s="25" t="n">
        <v>33</v>
      </c>
      <c r="H22" s="25" t="n">
        <v>19</v>
      </c>
      <c r="I22" s="5" t="n">
        <f aca="false">ABS(G22-F22)</f>
        <v>1</v>
      </c>
      <c r="J22" s="5" t="n">
        <f aca="false">COUNTIFS(تراکنش_تردد!$BC$2:$BC$1001,1,تراکنش_تردد!$G$2:$G$1001,"&lt;"&amp;B22)</f>
        <v>15</v>
      </c>
      <c r="K22" s="5" t="n">
        <f aca="false">ABS(G22-H22-J22)</f>
        <v>1</v>
      </c>
      <c r="L22" s="5" t="n">
        <f aca="false">تنظیمات!$B$16</f>
        <v>150</v>
      </c>
      <c r="M22" s="34" t="str">
        <f aca="false">IF(OR(F22&lt;0,G22&lt;0,I22&gt;2,K22&gt;2,G22&gt;L22),"هشدار","OK")</f>
        <v>OK</v>
      </c>
    </row>
    <row r="23" customFormat="false" ht="15" hidden="false" customHeight="false" outlineLevel="0" collapsed="false">
      <c r="A23" s="38" t="n">
        <v>46288.25</v>
      </c>
      <c r="B23" s="38" t="n">
        <v>46288.5833333333</v>
      </c>
      <c r="C23" s="6" t="s">
        <v>402</v>
      </c>
      <c r="D23" s="5" t="n">
        <f aca="false">COUNTIFS(تراکنش_تردد!$G$2:$G$1001,"&gt;="&amp;A23,تراکنش_تردد!$G$2:$G$1001,"&lt;"&amp;B23)</f>
        <v>33</v>
      </c>
      <c r="E23" s="5" t="n">
        <f aca="false">COUNTIFS(تراکنش_تردد!$H$2:$H$1001,"&gt;="&amp;A23,تراکنش_تردد!$H$2:$H$1001,"&lt;"&amp;B23)</f>
        <v>34</v>
      </c>
      <c r="F23" s="5" t="n">
        <f aca="false">F22+D23-E23</f>
        <v>33</v>
      </c>
      <c r="G23" s="25" t="n">
        <v>33</v>
      </c>
      <c r="H23" s="25" t="n">
        <v>17</v>
      </c>
      <c r="I23" s="5" t="n">
        <f aca="false">ABS(G23-F23)</f>
        <v>0</v>
      </c>
      <c r="J23" s="5" t="n">
        <f aca="false">COUNTIFS(تراکنش_تردد!$BC$2:$BC$1001,1,تراکنش_تردد!$G$2:$G$1001,"&lt;"&amp;B23)</f>
        <v>15</v>
      </c>
      <c r="K23" s="5" t="n">
        <f aca="false">ABS(G23-H23-J23)</f>
        <v>1</v>
      </c>
      <c r="L23" s="5" t="n">
        <f aca="false">تنظیمات!$B$16</f>
        <v>150</v>
      </c>
      <c r="M23" s="34" t="str">
        <f aca="false">IF(OR(F23&lt;0,G23&lt;0,I23&gt;2,K23&gt;2,G23&gt;L23),"هشدار","OK")</f>
        <v>OK</v>
      </c>
    </row>
    <row r="24" customFormat="false" ht="15" hidden="false" customHeight="false" outlineLevel="0" collapsed="false">
      <c r="A24" s="38" t="n">
        <v>46288.5833333333</v>
      </c>
      <c r="B24" s="38" t="n">
        <v>46288.9166666667</v>
      </c>
      <c r="C24" s="6" t="s">
        <v>420</v>
      </c>
      <c r="D24" s="5" t="n">
        <f aca="false">COUNTIFS(تراکنش_تردد!$G$2:$G$1001,"&gt;="&amp;A24,تراکنش_تردد!$G$2:$G$1001,"&lt;"&amp;B24)</f>
        <v>25</v>
      </c>
      <c r="E24" s="5" t="n">
        <f aca="false">COUNTIFS(تراکنش_تردد!$H$2:$H$1001,"&gt;="&amp;A24,تراکنش_تردد!$H$2:$H$1001,"&lt;"&amp;B24)</f>
        <v>35</v>
      </c>
      <c r="F24" s="5" t="n">
        <f aca="false">F23+D24-E24</f>
        <v>23</v>
      </c>
      <c r="G24" s="25" t="n">
        <v>23</v>
      </c>
      <c r="H24" s="25" t="n">
        <v>8</v>
      </c>
      <c r="I24" s="5" t="n">
        <f aca="false">ABS(G24-F24)</f>
        <v>0</v>
      </c>
      <c r="J24" s="5" t="n">
        <f aca="false">COUNTIFS(تراکنش_تردد!$BC$2:$BC$1001,1,تراکنش_تردد!$G$2:$G$1001,"&lt;"&amp;B24)</f>
        <v>15</v>
      </c>
      <c r="K24" s="5" t="n">
        <f aca="false">ABS(G24-H24-J24)</f>
        <v>0</v>
      </c>
      <c r="L24" s="5" t="n">
        <f aca="false">تنظیمات!$B$16</f>
        <v>150</v>
      </c>
      <c r="M24" s="34" t="str">
        <f aca="false">IF(OR(F24&lt;0,G24&lt;0,I24&gt;2,K24&gt;2,G24&gt;L24),"هشدار","OK")</f>
        <v>OK</v>
      </c>
    </row>
    <row r="25" customFormat="false" ht="15" hidden="false" customHeight="false" outlineLevel="0" collapsed="false">
      <c r="A25" s="38" t="n">
        <v>46288.9166666667</v>
      </c>
      <c r="B25" s="38" t="n">
        <v>46289.25</v>
      </c>
      <c r="C25" s="6" t="s">
        <v>651</v>
      </c>
      <c r="D25" s="5" t="n">
        <f aca="false">COUNTIFS(تراکنش_تردد!$G$2:$G$1001,"&gt;="&amp;A25,تراکنش_تردد!$G$2:$G$1001,"&lt;"&amp;B25)</f>
        <v>11</v>
      </c>
      <c r="E25" s="5" t="n">
        <f aca="false">COUNTIFS(تراکنش_تردد!$H$2:$H$1001,"&gt;="&amp;A25,تراکنش_تردد!$H$2:$H$1001,"&lt;"&amp;B25)</f>
        <v>4</v>
      </c>
      <c r="F25" s="5" t="n">
        <f aca="false">F24+D25-E25</f>
        <v>30</v>
      </c>
      <c r="G25" s="25" t="n">
        <v>35</v>
      </c>
      <c r="H25" s="25" t="n">
        <v>15</v>
      </c>
      <c r="I25" s="5" t="n">
        <f aca="false">ABS(G25-F25)</f>
        <v>5</v>
      </c>
      <c r="J25" s="5" t="n">
        <f aca="false">COUNTIFS(تراکنش_تردد!$BC$2:$BC$1001,1,تراکنش_تردد!$G$2:$G$1001,"&lt;"&amp;B25)</f>
        <v>15</v>
      </c>
      <c r="K25" s="5" t="n">
        <f aca="false">ABS(G25-H25-J25)</f>
        <v>5</v>
      </c>
      <c r="L25" s="5" t="n">
        <f aca="false">تنظیمات!$B$16</f>
        <v>150</v>
      </c>
      <c r="M25" s="34" t="str">
        <f aca="false">IF(OR(F25&lt;0,G25&lt;0,I25&gt;2,K25&gt;2,G25&gt;L25),"هشدار","OK")</f>
        <v>هشدار</v>
      </c>
    </row>
    <row r="26" customFormat="false" ht="15" hidden="false" customHeight="false" outlineLevel="0" collapsed="false">
      <c r="A26" s="38" t="n">
        <v>46289.25</v>
      </c>
      <c r="B26" s="38" t="n">
        <v>46289.5833333333</v>
      </c>
      <c r="C26" s="6" t="s">
        <v>402</v>
      </c>
      <c r="D26" s="5" t="n">
        <f aca="false">COUNTIFS(تراکنش_تردد!$G$2:$G$1001,"&gt;="&amp;A26,تراکنش_تردد!$G$2:$G$1001,"&lt;"&amp;B26)</f>
        <v>39</v>
      </c>
      <c r="E26" s="5" t="n">
        <f aca="false">COUNTIFS(تراکنش_تردد!$H$2:$H$1001,"&gt;="&amp;A26,تراکنش_تردد!$H$2:$H$1001,"&lt;"&amp;B26)</f>
        <v>29</v>
      </c>
      <c r="F26" s="5" t="n">
        <f aca="false">F25+D26-E26</f>
        <v>40</v>
      </c>
      <c r="G26" s="25" t="n">
        <v>40</v>
      </c>
      <c r="H26" s="25" t="n">
        <v>25</v>
      </c>
      <c r="I26" s="5" t="n">
        <f aca="false">ABS(G26-F26)</f>
        <v>0</v>
      </c>
      <c r="J26" s="5" t="n">
        <f aca="false">COUNTIFS(تراکنش_تردد!$BC$2:$BC$1001,1,تراکنش_تردد!$G$2:$G$1001,"&lt;"&amp;B26)</f>
        <v>15</v>
      </c>
      <c r="K26" s="5" t="n">
        <f aca="false">ABS(G26-H26-J26)</f>
        <v>0</v>
      </c>
      <c r="L26" s="5" t="n">
        <f aca="false">تنظیمات!$B$16</f>
        <v>150</v>
      </c>
      <c r="M26" s="34" t="str">
        <f aca="false">IF(OR(F26&lt;0,G26&lt;0,I26&gt;2,K26&gt;2,G26&gt;L26),"هشدار","OK")</f>
        <v>OK</v>
      </c>
    </row>
    <row r="27" customFormat="false" ht="15" hidden="false" customHeight="false" outlineLevel="0" collapsed="false">
      <c r="A27" s="38" t="n">
        <v>46289.5833333333</v>
      </c>
      <c r="B27" s="38" t="n">
        <v>46289.9166666667</v>
      </c>
      <c r="C27" s="6" t="s">
        <v>420</v>
      </c>
      <c r="D27" s="5" t="n">
        <f aca="false">COUNTIFS(تراکنش_تردد!$G$2:$G$1001,"&gt;="&amp;A27,تراکنش_تردد!$G$2:$G$1001,"&lt;"&amp;B27)</f>
        <v>27</v>
      </c>
      <c r="E27" s="5" t="n">
        <f aca="false">COUNTIFS(تراکنش_تردد!$H$2:$H$1001,"&gt;="&amp;A27,تراکنش_تردد!$H$2:$H$1001,"&lt;"&amp;B27)</f>
        <v>42</v>
      </c>
      <c r="F27" s="5" t="n">
        <f aca="false">F26+D27-E27</f>
        <v>25</v>
      </c>
      <c r="G27" s="25" t="n">
        <v>24</v>
      </c>
      <c r="H27" s="25" t="n">
        <v>10</v>
      </c>
      <c r="I27" s="5" t="n">
        <f aca="false">ABS(G27-F27)</f>
        <v>1</v>
      </c>
      <c r="J27" s="5" t="n">
        <f aca="false">COUNTIFS(تراکنش_تردد!$BC$2:$BC$1001,1,تراکنش_تردد!$G$2:$G$1001,"&lt;"&amp;B27)</f>
        <v>15</v>
      </c>
      <c r="K27" s="5" t="n">
        <f aca="false">ABS(G27-H27-J27)</f>
        <v>1</v>
      </c>
      <c r="L27" s="5" t="n">
        <f aca="false">تنظیمات!$B$16</f>
        <v>150</v>
      </c>
      <c r="M27" s="34" t="str">
        <f aca="false">IF(OR(F27&lt;0,G27&lt;0,I27&gt;2,K27&gt;2,G27&gt;L27),"هشدار","OK")</f>
        <v>OK</v>
      </c>
    </row>
    <row r="28" customFormat="false" ht="15" hidden="false" customHeight="false" outlineLevel="0" collapsed="false">
      <c r="A28" s="38" t="n">
        <v>46289.9166666667</v>
      </c>
      <c r="B28" s="38" t="n">
        <v>46290.25</v>
      </c>
      <c r="C28" s="6" t="s">
        <v>651</v>
      </c>
      <c r="D28" s="5" t="n">
        <f aca="false">COUNTIFS(تراکنش_تردد!$G$2:$G$1001,"&gt;="&amp;A28,تراکنش_تردد!$G$2:$G$1001,"&lt;"&amp;B28)</f>
        <v>12</v>
      </c>
      <c r="E28" s="5" t="n">
        <f aca="false">COUNTIFS(تراکنش_تردد!$H$2:$H$1001,"&gt;="&amp;A28,تراکنش_تردد!$H$2:$H$1001,"&lt;"&amp;B28)</f>
        <v>3</v>
      </c>
      <c r="F28" s="5" t="n">
        <f aca="false">F27+D28-E28</f>
        <v>34</v>
      </c>
      <c r="G28" s="25" t="n">
        <v>35</v>
      </c>
      <c r="H28" s="25" t="n">
        <v>18</v>
      </c>
      <c r="I28" s="5" t="n">
        <f aca="false">ABS(G28-F28)</f>
        <v>1</v>
      </c>
      <c r="J28" s="5" t="n">
        <f aca="false">COUNTIFS(تراکنش_تردد!$BC$2:$BC$1001,1,تراکنش_تردد!$G$2:$G$1001,"&lt;"&amp;B28)</f>
        <v>15</v>
      </c>
      <c r="K28" s="5" t="n">
        <f aca="false">ABS(G28-H28-J28)</f>
        <v>2</v>
      </c>
      <c r="L28" s="5" t="n">
        <f aca="false">تنظیمات!$B$16</f>
        <v>150</v>
      </c>
      <c r="M28" s="34" t="str">
        <f aca="false">IF(OR(F28&lt;0,G28&lt;0,I28&gt;2,K28&gt;2,G28&gt;L28),"هشدار","OK")</f>
        <v>OK</v>
      </c>
    </row>
    <row r="29" customFormat="false" ht="15" hidden="false" customHeight="false" outlineLevel="0" collapsed="false">
      <c r="A29" s="38" t="n">
        <v>46290.25</v>
      </c>
      <c r="B29" s="38" t="n">
        <v>46290.5833333333</v>
      </c>
      <c r="C29" s="6" t="s">
        <v>402</v>
      </c>
      <c r="D29" s="5" t="n">
        <f aca="false">COUNTIFS(تراکنش_تردد!$G$2:$G$1001,"&gt;="&amp;A29,تراکنش_تردد!$G$2:$G$1001,"&lt;"&amp;B29)</f>
        <v>39</v>
      </c>
      <c r="E29" s="5" t="n">
        <f aca="false">COUNTIFS(تراکنش_تردد!$H$2:$H$1001,"&gt;="&amp;A29,تراکنش_تردد!$H$2:$H$1001,"&lt;"&amp;B29)</f>
        <v>33</v>
      </c>
      <c r="F29" s="5" t="n">
        <f aca="false">F28+D29-E29</f>
        <v>40</v>
      </c>
      <c r="G29" s="25" t="n">
        <v>39</v>
      </c>
      <c r="H29" s="25" t="n">
        <v>19</v>
      </c>
      <c r="I29" s="5" t="n">
        <f aca="false">ABS(G29-F29)</f>
        <v>1</v>
      </c>
      <c r="J29" s="5" t="n">
        <f aca="false">COUNTIFS(تراکنش_تردد!$BC$2:$BC$1001,1,تراکنش_تردد!$G$2:$G$1001,"&lt;"&amp;B29)</f>
        <v>15</v>
      </c>
      <c r="K29" s="5" t="n">
        <f aca="false">ABS(G29-H29-J29)</f>
        <v>5</v>
      </c>
      <c r="L29" s="5" t="n">
        <f aca="false">تنظیمات!$B$16</f>
        <v>150</v>
      </c>
      <c r="M29" s="34" t="str">
        <f aca="false">IF(OR(F29&lt;0,G29&lt;0,I29&gt;2,K29&gt;2,G29&gt;L29),"هشدار","OK")</f>
        <v>هشدار</v>
      </c>
    </row>
    <row r="30" customFormat="false" ht="15" hidden="false" customHeight="false" outlineLevel="0" collapsed="false">
      <c r="A30" s="38" t="n">
        <v>46290.5833333333</v>
      </c>
      <c r="B30" s="38" t="n">
        <v>46290.9166666667</v>
      </c>
      <c r="C30" s="6" t="s">
        <v>420</v>
      </c>
      <c r="D30" s="5" t="n">
        <f aca="false">COUNTIFS(تراکنش_تردد!$G$2:$G$1001,"&gt;="&amp;A30,تراکنش_تردد!$G$2:$G$1001,"&lt;"&amp;B30)</f>
        <v>31</v>
      </c>
      <c r="E30" s="5" t="n">
        <f aca="false">COUNTIFS(تراکنش_تردد!$H$2:$H$1001,"&gt;="&amp;A30,تراکنش_تردد!$H$2:$H$1001,"&lt;"&amp;B30)</f>
        <v>46</v>
      </c>
      <c r="F30" s="5" t="n">
        <f aca="false">F29+D30-E30</f>
        <v>25</v>
      </c>
      <c r="G30" s="25" t="n">
        <v>25</v>
      </c>
      <c r="H30" s="25" t="n">
        <v>10</v>
      </c>
      <c r="I30" s="5" t="n">
        <f aca="false">ABS(G30-F30)</f>
        <v>0</v>
      </c>
      <c r="J30" s="5" t="n">
        <f aca="false">COUNTIFS(تراکنش_تردد!$BC$2:$BC$1001,1,تراکنش_تردد!$G$2:$G$1001,"&lt;"&amp;B30)</f>
        <v>15</v>
      </c>
      <c r="K30" s="5" t="n">
        <f aca="false">ABS(G30-H30-J30)</f>
        <v>0</v>
      </c>
      <c r="L30" s="5" t="n">
        <f aca="false">تنظیمات!$B$16</f>
        <v>150</v>
      </c>
      <c r="M30" s="34" t="str">
        <f aca="false">IF(OR(F30&lt;0,G30&lt;0,I30&gt;2,K30&gt;2,G30&gt;L30),"هشدار","OK")</f>
        <v>OK</v>
      </c>
    </row>
    <row r="31" customFormat="false" ht="15" hidden="false" customHeight="false" outlineLevel="0" collapsed="false">
      <c r="A31" s="38" t="n">
        <v>46290.9166666667</v>
      </c>
      <c r="B31" s="38" t="n">
        <v>46291.25</v>
      </c>
      <c r="C31" s="6" t="s">
        <v>651</v>
      </c>
      <c r="D31" s="5" t="n">
        <f aca="false">COUNTIFS(تراکنش_تردد!$G$2:$G$1001,"&gt;="&amp;A31,تراکنش_تردد!$G$2:$G$1001,"&lt;"&amp;B31)</f>
        <v>7</v>
      </c>
      <c r="E31" s="5" t="n">
        <f aca="false">COUNTIFS(تراکنش_تردد!$H$2:$H$1001,"&gt;="&amp;A31,تراکنش_تردد!$H$2:$H$1001,"&lt;"&amp;B31)</f>
        <v>2</v>
      </c>
      <c r="F31" s="5" t="n">
        <f aca="false">F30+D31-E31</f>
        <v>30</v>
      </c>
      <c r="G31" s="25" t="n">
        <v>29</v>
      </c>
      <c r="H31" s="25" t="n">
        <v>14</v>
      </c>
      <c r="I31" s="5" t="n">
        <f aca="false">ABS(G31-F31)</f>
        <v>1</v>
      </c>
      <c r="J31" s="5" t="n">
        <f aca="false">COUNTIFS(تراکنش_تردد!$BC$2:$BC$1001,1,تراکنش_تردد!$G$2:$G$1001,"&lt;"&amp;B31)</f>
        <v>15</v>
      </c>
      <c r="K31" s="5" t="n">
        <f aca="false">ABS(G31-H31-J31)</f>
        <v>0</v>
      </c>
      <c r="L31" s="5" t="n">
        <f aca="false">تنظیمات!$B$16</f>
        <v>150</v>
      </c>
      <c r="M31" s="34" t="str">
        <f aca="false">IF(OR(F31&lt;0,G31&lt;0,I31&gt;2,K31&gt;2,G31&gt;L31),"هشدار","OK")</f>
        <v>OK</v>
      </c>
    </row>
    <row r="32" customFormat="false" ht="15" hidden="false" customHeight="false" outlineLevel="0" collapsed="false">
      <c r="A32" s="38" t="n">
        <v>46291.25</v>
      </c>
      <c r="B32" s="38" t="n">
        <v>46291.5833333333</v>
      </c>
      <c r="C32" s="6" t="s">
        <v>402</v>
      </c>
      <c r="D32" s="5" t="n">
        <f aca="false">COUNTIFS(تراکنش_تردد!$G$2:$G$1001,"&gt;="&amp;A32,تراکنش_تردد!$G$2:$G$1001,"&lt;"&amp;B32)</f>
        <v>36</v>
      </c>
      <c r="E32" s="5" t="n">
        <f aca="false">COUNTIFS(تراکنش_تردد!$H$2:$H$1001,"&gt;="&amp;A32,تراکنش_تردد!$H$2:$H$1001,"&lt;"&amp;B32)</f>
        <v>29</v>
      </c>
      <c r="F32" s="5" t="n">
        <f aca="false">F31+D32-E32</f>
        <v>37</v>
      </c>
      <c r="G32" s="25" t="n">
        <v>37</v>
      </c>
      <c r="H32" s="25" t="n">
        <v>21</v>
      </c>
      <c r="I32" s="5" t="n">
        <f aca="false">ABS(G32-F32)</f>
        <v>0</v>
      </c>
      <c r="J32" s="5" t="n">
        <f aca="false">COUNTIFS(تراکنش_تردد!$BC$2:$BC$1001,1,تراکنش_تردد!$G$2:$G$1001,"&lt;"&amp;B32)</f>
        <v>15</v>
      </c>
      <c r="K32" s="5" t="n">
        <f aca="false">ABS(G32-H32-J32)</f>
        <v>1</v>
      </c>
      <c r="L32" s="5" t="n">
        <f aca="false">تنظیمات!$B$16</f>
        <v>150</v>
      </c>
      <c r="M32" s="34" t="str">
        <f aca="false">IF(OR(F32&lt;0,G32&lt;0,I32&gt;2,K32&gt;2,G32&gt;L32),"هشدار","OK")</f>
        <v>OK</v>
      </c>
    </row>
    <row r="33" customFormat="false" ht="15" hidden="false" customHeight="false" outlineLevel="0" collapsed="false">
      <c r="A33" s="38" t="n">
        <v>46291.5833333333</v>
      </c>
      <c r="B33" s="38" t="n">
        <v>46291.9166666667</v>
      </c>
      <c r="C33" s="6" t="s">
        <v>420</v>
      </c>
      <c r="D33" s="5" t="n">
        <f aca="false">COUNTIFS(تراکنش_تردد!$G$2:$G$1001,"&gt;="&amp;A33,تراکنش_تردد!$G$2:$G$1001,"&lt;"&amp;B33)</f>
        <v>22</v>
      </c>
      <c r="E33" s="5" t="n">
        <f aca="false">COUNTIFS(تراکنش_تردد!$H$2:$H$1001,"&gt;="&amp;A33,تراکنش_تردد!$H$2:$H$1001,"&lt;"&amp;B33)</f>
        <v>31</v>
      </c>
      <c r="F33" s="5" t="n">
        <f aca="false">F32+D33-E33</f>
        <v>28</v>
      </c>
      <c r="G33" s="25" t="n">
        <v>37</v>
      </c>
      <c r="H33" s="25" t="n">
        <v>14</v>
      </c>
      <c r="I33" s="5" t="n">
        <f aca="false">ABS(G33-F33)</f>
        <v>9</v>
      </c>
      <c r="J33" s="5" t="n">
        <f aca="false">COUNTIFS(تراکنش_تردد!$BC$2:$BC$1001,1,تراکنش_تردد!$G$2:$G$1001,"&lt;"&amp;B33)</f>
        <v>15</v>
      </c>
      <c r="K33" s="5" t="n">
        <f aca="false">ABS(G33-H33-J33)</f>
        <v>8</v>
      </c>
      <c r="L33" s="5" t="n">
        <f aca="false">تنظیمات!$B$16</f>
        <v>150</v>
      </c>
      <c r="M33" s="34" t="str">
        <f aca="false">IF(OR(F33&lt;0,G33&lt;0,I33&gt;2,K33&gt;2,G33&gt;L33),"هشدار","OK")</f>
        <v>هشدار</v>
      </c>
    </row>
    <row r="34" customFormat="false" ht="15" hidden="false" customHeight="false" outlineLevel="0" collapsed="false">
      <c r="A34" s="38" t="n">
        <v>46291.9166666667</v>
      </c>
      <c r="B34" s="38" t="n">
        <v>46292.25</v>
      </c>
      <c r="C34" s="6" t="s">
        <v>651</v>
      </c>
      <c r="D34" s="5" t="n">
        <f aca="false">COUNTIFS(تراکنش_تردد!$G$2:$G$1001,"&gt;="&amp;A34,تراکنش_تردد!$G$2:$G$1001,"&lt;"&amp;B34)</f>
        <v>10</v>
      </c>
      <c r="E34" s="5" t="n">
        <f aca="false">COUNTIFS(تراکنش_تردد!$H$2:$H$1001,"&gt;="&amp;A34,تراکنش_تردد!$H$2:$H$1001,"&lt;"&amp;B34)</f>
        <v>2</v>
      </c>
      <c r="F34" s="5" t="n">
        <f aca="false">F33+D34-E34</f>
        <v>36</v>
      </c>
      <c r="G34" s="25" t="n">
        <v>36</v>
      </c>
      <c r="H34" s="25" t="n">
        <v>22</v>
      </c>
      <c r="I34" s="5" t="n">
        <f aca="false">ABS(G34-F34)</f>
        <v>0</v>
      </c>
      <c r="J34" s="5" t="n">
        <f aca="false">COUNTIFS(تراکنش_تردد!$BC$2:$BC$1001,1,تراکنش_تردد!$G$2:$G$1001,"&lt;"&amp;B34)</f>
        <v>15</v>
      </c>
      <c r="K34" s="5" t="n">
        <f aca="false">ABS(G34-H34-J34)</f>
        <v>1</v>
      </c>
      <c r="L34" s="5" t="n">
        <f aca="false">تنظیمات!$B$16</f>
        <v>150</v>
      </c>
      <c r="M34" s="34" t="str">
        <f aca="false">IF(OR(F34&lt;0,G34&lt;0,I34&gt;2,K34&gt;2,G34&gt;L34),"هشدار","OK")</f>
        <v>OK</v>
      </c>
    </row>
    <row r="35" customFormat="false" ht="15" hidden="false" customHeight="false" outlineLevel="0" collapsed="false">
      <c r="A35" s="38" t="n">
        <v>46292.25</v>
      </c>
      <c r="B35" s="38" t="n">
        <v>46292.5833333333</v>
      </c>
      <c r="C35" s="6" t="s">
        <v>402</v>
      </c>
      <c r="D35" s="5" t="n">
        <f aca="false">COUNTIFS(تراکنش_تردد!$G$2:$G$1001,"&gt;="&amp;A35,تراکنش_تردد!$G$2:$G$1001,"&lt;"&amp;B35)</f>
        <v>39</v>
      </c>
      <c r="E35" s="5" t="n">
        <f aca="false">COUNTIFS(تراکنش_تردد!$H$2:$H$1001,"&gt;="&amp;A35,تراکنش_تردد!$H$2:$H$1001,"&lt;"&amp;B35)</f>
        <v>34</v>
      </c>
      <c r="F35" s="5" t="n">
        <f aca="false">F34+D35-E35</f>
        <v>41</v>
      </c>
      <c r="G35" s="25" t="n">
        <v>41</v>
      </c>
      <c r="H35" s="25" t="n">
        <v>26</v>
      </c>
      <c r="I35" s="5" t="n">
        <f aca="false">ABS(G35-F35)</f>
        <v>0</v>
      </c>
      <c r="J35" s="5" t="n">
        <f aca="false">COUNTIFS(تراکنش_تردد!$BC$2:$BC$1001,1,تراکنش_تردد!$G$2:$G$1001,"&lt;"&amp;B35)</f>
        <v>15</v>
      </c>
      <c r="K35" s="5" t="n">
        <f aca="false">ABS(G35-H35-J35)</f>
        <v>0</v>
      </c>
      <c r="L35" s="5" t="n">
        <f aca="false">تنظیمات!$B$16</f>
        <v>150</v>
      </c>
      <c r="M35" s="34" t="str">
        <f aca="false">IF(OR(F35&lt;0,G35&lt;0,I35&gt;2,K35&gt;2,G35&gt;L35),"هشدار","OK")</f>
        <v>OK</v>
      </c>
    </row>
    <row r="36" customFormat="false" ht="15" hidden="false" customHeight="false" outlineLevel="0" collapsed="false">
      <c r="A36" s="38" t="n">
        <v>46292.5833333333</v>
      </c>
      <c r="B36" s="38" t="n">
        <v>46292.9166666667</v>
      </c>
      <c r="C36" s="6" t="s">
        <v>420</v>
      </c>
      <c r="D36" s="5" t="n">
        <f aca="false">COUNTIFS(تراکنش_تردد!$G$2:$G$1001,"&gt;="&amp;A36,تراکنش_تردد!$G$2:$G$1001,"&lt;"&amp;B36)</f>
        <v>28</v>
      </c>
      <c r="E36" s="5" t="n">
        <f aca="false">COUNTIFS(تراکنش_تردد!$H$2:$H$1001,"&gt;="&amp;A36,تراکنش_تردد!$H$2:$H$1001,"&lt;"&amp;B36)</f>
        <v>40</v>
      </c>
      <c r="F36" s="5" t="n">
        <f aca="false">F35+D36-E36</f>
        <v>29</v>
      </c>
      <c r="G36" s="25" t="n">
        <v>29</v>
      </c>
      <c r="H36" s="25" t="n">
        <v>14</v>
      </c>
      <c r="I36" s="5" t="n">
        <f aca="false">ABS(G36-F36)</f>
        <v>0</v>
      </c>
      <c r="J36" s="5" t="n">
        <f aca="false">COUNTIFS(تراکنش_تردد!$BC$2:$BC$1001,1,تراکنش_تردد!$G$2:$G$1001,"&lt;"&amp;B36)</f>
        <v>15</v>
      </c>
      <c r="K36" s="5" t="n">
        <f aca="false">ABS(G36-H36-J36)</f>
        <v>0</v>
      </c>
      <c r="L36" s="5" t="n">
        <f aca="false">تنظیمات!$B$16</f>
        <v>150</v>
      </c>
      <c r="M36" s="34" t="str">
        <f aca="false">IF(OR(F36&lt;0,G36&lt;0,I36&gt;2,K36&gt;2,G36&gt;L36),"هشدار","OK")</f>
        <v>OK</v>
      </c>
    </row>
    <row r="37" customFormat="false" ht="15" hidden="false" customHeight="false" outlineLevel="0" collapsed="false">
      <c r="A37" s="38" t="n">
        <v>46292.9166666667</v>
      </c>
      <c r="B37" s="38" t="n">
        <v>46293.25</v>
      </c>
      <c r="C37" s="6" t="s">
        <v>651</v>
      </c>
      <c r="D37" s="5" t="n">
        <f aca="false">COUNTIFS(تراکنش_تردد!$G$2:$G$1001,"&gt;="&amp;A37,تراکنش_تردد!$G$2:$G$1001,"&lt;"&amp;B37)</f>
        <v>4</v>
      </c>
      <c r="E37" s="5" t="n">
        <f aca="false">COUNTIFS(تراکنش_تردد!$H$2:$H$1001,"&gt;="&amp;A37,تراکنش_تردد!$H$2:$H$1001,"&lt;"&amp;B37)</f>
        <v>3</v>
      </c>
      <c r="F37" s="5" t="n">
        <f aca="false">F36+D37-E37</f>
        <v>30</v>
      </c>
      <c r="G37" s="25" t="n">
        <v>31</v>
      </c>
      <c r="H37" s="25" t="n">
        <v>15</v>
      </c>
      <c r="I37" s="5" t="n">
        <f aca="false">ABS(G37-F37)</f>
        <v>1</v>
      </c>
      <c r="J37" s="5" t="n">
        <f aca="false">COUNTIFS(تراکنش_تردد!$BC$2:$BC$1001,1,تراکنش_تردد!$G$2:$G$1001,"&lt;"&amp;B37)</f>
        <v>15</v>
      </c>
      <c r="K37" s="5" t="n">
        <f aca="false">ABS(G37-H37-J37)</f>
        <v>1</v>
      </c>
      <c r="L37" s="5" t="n">
        <f aca="false">تنظیمات!$B$16</f>
        <v>150</v>
      </c>
      <c r="M37" s="34" t="str">
        <f aca="false">IF(OR(F37&lt;0,G37&lt;0,I37&gt;2,K37&gt;2,G37&gt;L37),"هشدار","OK")</f>
        <v>OK</v>
      </c>
    </row>
    <row r="38" customFormat="false" ht="15" hidden="false" customHeight="false" outlineLevel="0" collapsed="false">
      <c r="A38" s="38" t="n">
        <v>46293.25</v>
      </c>
      <c r="B38" s="38" t="n">
        <v>46293.5833333333</v>
      </c>
      <c r="C38" s="6" t="s">
        <v>402</v>
      </c>
      <c r="D38" s="5" t="n">
        <f aca="false">COUNTIFS(تراکنش_تردد!$G$2:$G$1001,"&gt;="&amp;A38,تراکنش_تردد!$G$2:$G$1001,"&lt;"&amp;B38)</f>
        <v>34</v>
      </c>
      <c r="E38" s="5" t="n">
        <f aca="false">COUNTIFS(تراکنش_تردد!$H$2:$H$1001,"&gt;="&amp;A38,تراکنش_تردد!$H$2:$H$1001,"&lt;"&amp;B38)</f>
        <v>26</v>
      </c>
      <c r="F38" s="5" t="n">
        <f aca="false">F37+D38-E38</f>
        <v>38</v>
      </c>
      <c r="G38" s="25" t="n">
        <v>38</v>
      </c>
      <c r="H38" s="25" t="n">
        <v>23</v>
      </c>
      <c r="I38" s="5" t="n">
        <f aca="false">ABS(G38-F38)</f>
        <v>0</v>
      </c>
      <c r="J38" s="5" t="n">
        <f aca="false">COUNTIFS(تراکنش_تردد!$BC$2:$BC$1001,1,تراکنش_تردد!$G$2:$G$1001,"&lt;"&amp;B38)</f>
        <v>15</v>
      </c>
      <c r="K38" s="5" t="n">
        <f aca="false">ABS(G38-H38-J38)</f>
        <v>0</v>
      </c>
      <c r="L38" s="5" t="n">
        <f aca="false">تنظیمات!$B$16</f>
        <v>150</v>
      </c>
      <c r="M38" s="34" t="str">
        <f aca="false">IF(OR(F38&lt;0,G38&lt;0,I38&gt;2,K38&gt;2,G38&gt;L38),"هشدار","OK")</f>
        <v>OK</v>
      </c>
    </row>
    <row r="39" customFormat="false" ht="15" hidden="false" customHeight="false" outlineLevel="0" collapsed="false">
      <c r="A39" s="38" t="n">
        <v>46293.5833333333</v>
      </c>
      <c r="B39" s="38" t="n">
        <v>46293.9166666667</v>
      </c>
      <c r="C39" s="6" t="s">
        <v>420</v>
      </c>
      <c r="D39" s="5" t="n">
        <f aca="false">COUNTIFS(تراکنش_تردد!$G$2:$G$1001,"&gt;="&amp;A39,تراکنش_تردد!$G$2:$G$1001,"&lt;"&amp;B39)</f>
        <v>21</v>
      </c>
      <c r="E39" s="5" t="n">
        <f aca="false">COUNTIFS(تراکنش_تردد!$H$2:$H$1001,"&gt;="&amp;A39,تراکنش_تردد!$H$2:$H$1001,"&lt;"&amp;B39)</f>
        <v>34</v>
      </c>
      <c r="F39" s="5" t="n">
        <f aca="false">F38+D39-E39</f>
        <v>25</v>
      </c>
      <c r="G39" s="25" t="n">
        <v>24</v>
      </c>
      <c r="H39" s="25" t="n">
        <v>9</v>
      </c>
      <c r="I39" s="5" t="n">
        <f aca="false">ABS(G39-F39)</f>
        <v>1</v>
      </c>
      <c r="J39" s="5" t="n">
        <f aca="false">COUNTIFS(تراکنش_تردد!$BC$2:$BC$1001,1,تراکنش_تردد!$G$2:$G$1001,"&lt;"&amp;B39)</f>
        <v>15</v>
      </c>
      <c r="K39" s="5" t="n">
        <f aca="false">ABS(G39-H39-J39)</f>
        <v>0</v>
      </c>
      <c r="L39" s="5" t="n">
        <f aca="false">تنظیمات!$B$16</f>
        <v>150</v>
      </c>
      <c r="M39" s="34" t="str">
        <f aca="false">IF(OR(F39&lt;0,G39&lt;0,I39&gt;2,K39&gt;2,G39&gt;L39),"هشدار","OK")</f>
        <v>OK</v>
      </c>
    </row>
    <row r="40" customFormat="false" ht="15" hidden="false" customHeight="false" outlineLevel="0" collapsed="false">
      <c r="A40" s="38" t="n">
        <v>46293.9166666667</v>
      </c>
      <c r="B40" s="38" t="n">
        <v>46294.25</v>
      </c>
      <c r="C40" s="6" t="s">
        <v>651</v>
      </c>
      <c r="D40" s="5" t="n">
        <f aca="false">COUNTIFS(تراکنش_تردد!$G$2:$G$1001,"&gt;="&amp;A40,تراکنش_تردد!$G$2:$G$1001,"&lt;"&amp;B40)</f>
        <v>14</v>
      </c>
      <c r="E40" s="5" t="n">
        <f aca="false">COUNTIFS(تراکنش_تردد!$H$2:$H$1001,"&gt;="&amp;A40,تراکنش_تردد!$H$2:$H$1001,"&lt;"&amp;B40)</f>
        <v>6</v>
      </c>
      <c r="F40" s="5" t="n">
        <f aca="false">F39+D40-E40</f>
        <v>33</v>
      </c>
      <c r="G40" s="25" t="n">
        <v>28</v>
      </c>
      <c r="H40" s="25" t="n">
        <v>19</v>
      </c>
      <c r="I40" s="5" t="n">
        <f aca="false">ABS(G40-F40)</f>
        <v>5</v>
      </c>
      <c r="J40" s="5" t="n">
        <f aca="false">COUNTIFS(تراکنش_تردد!$BC$2:$BC$1001,1,تراکنش_تردد!$G$2:$G$1001,"&lt;"&amp;B40)</f>
        <v>15</v>
      </c>
      <c r="K40" s="5" t="n">
        <f aca="false">ABS(G40-H40-J40)</f>
        <v>6</v>
      </c>
      <c r="L40" s="5" t="n">
        <f aca="false">تنظیمات!$B$16</f>
        <v>150</v>
      </c>
      <c r="M40" s="34" t="str">
        <f aca="false">IF(OR(F40&lt;0,G40&lt;0,I40&gt;2,K40&gt;2,G40&gt;L40),"هشدار","OK")</f>
        <v>هشدار</v>
      </c>
    </row>
    <row r="41" customFormat="false" ht="15" hidden="false" customHeight="false" outlineLevel="0" collapsed="false">
      <c r="A41" s="38" t="n">
        <v>46294.25</v>
      </c>
      <c r="B41" s="38" t="n">
        <v>46294.5833333333</v>
      </c>
      <c r="C41" s="6" t="s">
        <v>402</v>
      </c>
      <c r="D41" s="5" t="n">
        <f aca="false">COUNTIFS(تراکنش_تردد!$G$2:$G$1001,"&gt;="&amp;A41,تراکنش_تردد!$G$2:$G$1001,"&lt;"&amp;B41)</f>
        <v>28</v>
      </c>
      <c r="E41" s="5" t="n">
        <f aca="false">COUNTIFS(تراکنش_تردد!$H$2:$H$1001,"&gt;="&amp;A41,تراکنش_تردد!$H$2:$H$1001,"&lt;"&amp;B41)</f>
        <v>30</v>
      </c>
      <c r="F41" s="5" t="n">
        <f aca="false">F40+D41-E41</f>
        <v>31</v>
      </c>
      <c r="G41" s="25" t="n">
        <v>31</v>
      </c>
      <c r="H41" s="25" t="n">
        <v>16</v>
      </c>
      <c r="I41" s="5" t="n">
        <f aca="false">ABS(G41-F41)</f>
        <v>0</v>
      </c>
      <c r="J41" s="5" t="n">
        <f aca="false">COUNTIFS(تراکنش_تردد!$BC$2:$BC$1001,1,تراکنش_تردد!$G$2:$G$1001,"&lt;"&amp;B41)</f>
        <v>15</v>
      </c>
      <c r="K41" s="5" t="n">
        <f aca="false">ABS(G41-H41-J41)</f>
        <v>0</v>
      </c>
      <c r="L41" s="5" t="n">
        <f aca="false">تنظیمات!$B$16</f>
        <v>150</v>
      </c>
      <c r="M41" s="34" t="str">
        <f aca="false">IF(OR(F41&lt;0,G41&lt;0,I41&gt;2,K41&gt;2,G41&gt;L41),"هشدار","OK")</f>
        <v>OK</v>
      </c>
    </row>
    <row r="42" customFormat="false" ht="15" hidden="false" customHeight="false" outlineLevel="0" collapsed="false">
      <c r="A42" s="38" t="n">
        <v>46294.5833333333</v>
      </c>
      <c r="B42" s="38" t="n">
        <v>46294.9166666667</v>
      </c>
      <c r="C42" s="6" t="s">
        <v>420</v>
      </c>
      <c r="D42" s="5" t="n">
        <f aca="false">COUNTIFS(تراکنش_تردد!$G$2:$G$1001,"&gt;="&amp;A42,تراکنش_تردد!$G$2:$G$1001,"&lt;"&amp;B42)</f>
        <v>26</v>
      </c>
      <c r="E42" s="5" t="n">
        <f aca="false">COUNTIFS(تراکنش_تردد!$H$2:$H$1001,"&gt;="&amp;A42,تراکنش_تردد!$H$2:$H$1001,"&lt;"&amp;B42)</f>
        <v>34</v>
      </c>
      <c r="F42" s="5" t="n">
        <f aca="false">F41+D42-E42</f>
        <v>23</v>
      </c>
      <c r="G42" s="25" t="n">
        <v>23</v>
      </c>
      <c r="H42" s="25" t="n">
        <v>8</v>
      </c>
      <c r="I42" s="5" t="n">
        <f aca="false">ABS(G42-F42)</f>
        <v>0</v>
      </c>
      <c r="J42" s="5" t="n">
        <f aca="false">COUNTIFS(تراکنش_تردد!$BC$2:$BC$1001,1,تراکنش_تردد!$G$2:$G$1001,"&lt;"&amp;B42)</f>
        <v>15</v>
      </c>
      <c r="K42" s="5" t="n">
        <f aca="false">ABS(G42-H42-J42)</f>
        <v>0</v>
      </c>
      <c r="L42" s="5" t="n">
        <f aca="false">تنظیمات!$B$16</f>
        <v>150</v>
      </c>
      <c r="M42" s="34" t="str">
        <f aca="false">IF(OR(F42&lt;0,G42&lt;0,I42&gt;2,K42&gt;2,G42&gt;L42),"هشدار","OK")</f>
        <v>OK</v>
      </c>
    </row>
    <row r="43" customFormat="false" ht="15" hidden="false" customHeight="false" outlineLevel="0" collapsed="false">
      <c r="A43" s="38" t="n">
        <v>46294.9166666667</v>
      </c>
      <c r="B43" s="38" t="n">
        <v>46295.25</v>
      </c>
      <c r="C43" s="6" t="s">
        <v>651</v>
      </c>
      <c r="D43" s="5" t="n">
        <f aca="false">COUNTIFS(تراکنش_تردد!$G$2:$G$1001,"&gt;="&amp;A43,تراکنش_تردد!$G$2:$G$1001,"&lt;"&amp;B43)</f>
        <v>4</v>
      </c>
      <c r="E43" s="5" t="n">
        <f aca="false">COUNTIFS(تراکنش_تردد!$H$2:$H$1001,"&gt;="&amp;A43,تراکنش_تردد!$H$2:$H$1001,"&lt;"&amp;B43)</f>
        <v>6</v>
      </c>
      <c r="F43" s="5" t="n">
        <f aca="false">F42+D43-E43</f>
        <v>21</v>
      </c>
      <c r="G43" s="25" t="n">
        <v>21</v>
      </c>
      <c r="H43" s="25" t="n">
        <v>5</v>
      </c>
      <c r="I43" s="5" t="n">
        <f aca="false">ABS(G43-F43)</f>
        <v>0</v>
      </c>
      <c r="J43" s="5" t="n">
        <f aca="false">COUNTIFS(تراکنش_تردد!$BC$2:$BC$1001,1,تراکنش_تردد!$G$2:$G$1001,"&lt;"&amp;B43)</f>
        <v>15</v>
      </c>
      <c r="K43" s="5" t="n">
        <f aca="false">ABS(G43-H43-J43)</f>
        <v>1</v>
      </c>
      <c r="L43" s="5" t="n">
        <f aca="false">تنظیمات!$B$16</f>
        <v>150</v>
      </c>
      <c r="M43" s="34" t="str">
        <f aca="false">IF(OR(F43&lt;0,G43&lt;0,I43&gt;2,K43&gt;2,G43&gt;L43),"هشدار","OK")</f>
        <v>OK</v>
      </c>
    </row>
    <row r="45" customFormat="false" ht="15" hidden="false" customHeight="false" outlineLevel="0" collapsed="false">
      <c r="A45" s="29" t="s">
        <v>3461</v>
      </c>
    </row>
  </sheetData>
  <conditionalFormatting sqref="M2:M43">
    <cfRule type="cellIs" priority="2" operator="equal" aboveAverage="0" equalAverage="0" bottom="0" percent="0" rank="0" text="" dxfId="14">
      <formula>"هشدار"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24"/>
  </cols>
  <sheetData>
    <row r="1" customFormat="false" ht="17.15" hidden="false" customHeight="false" outlineLevel="0" collapsed="false">
      <c r="A1" s="1" t="s">
        <v>3462</v>
      </c>
    </row>
    <row r="3" customFormat="false" ht="31.5" hidden="false" customHeight="true" outlineLevel="0" collapsed="false">
      <c r="A3" s="4" t="s">
        <v>3463</v>
      </c>
      <c r="B3" s="4" t="s">
        <v>3303</v>
      </c>
      <c r="C3" s="4" t="s">
        <v>3464</v>
      </c>
      <c r="D3" s="4" t="s">
        <v>3371</v>
      </c>
    </row>
    <row r="4" customFormat="false" ht="15" hidden="false" customHeight="false" outlineLevel="0" collapsed="false">
      <c r="A4" s="6" t="s">
        <v>3465</v>
      </c>
      <c r="B4" s="31" t="n">
        <f aca="false">COUNT(تراکنش_تردد!$T$2:$T$1001)/COUNT(تراکنش_تردد!$H$2:$H$1001)</f>
        <v>0.0316649642492339</v>
      </c>
      <c r="C4" s="28" t="n">
        <v>0.02</v>
      </c>
      <c r="D4" s="5" t="str">
        <f aca="false">IF(B4&gt;C4,"هشدار","OK")</f>
        <v>هشدار</v>
      </c>
    </row>
    <row r="5" customFormat="false" ht="15" hidden="false" customHeight="false" outlineLevel="0" collapsed="false">
      <c r="A5" s="6" t="s">
        <v>3466</v>
      </c>
      <c r="B5" s="31" t="n">
        <f aca="false">COUNTIF(تراکنش_تردد!$N$2:$N$1001,"بله")/COUNT(تراکنش_تردد!$H$2:$H$1001)</f>
        <v>0.0459652706843718</v>
      </c>
      <c r="C5" s="28" t="n">
        <v>0.035</v>
      </c>
      <c r="D5" s="5" t="str">
        <f aca="false">IF(B5&gt;C5,"هشدار","OK")</f>
        <v>هشدار</v>
      </c>
    </row>
    <row r="6" customFormat="false" ht="15" hidden="false" customHeight="false" outlineLevel="0" collapsed="false">
      <c r="A6" s="6" t="s">
        <v>3467</v>
      </c>
      <c r="B6" s="33" t="n">
        <f aca="false">AVERAGE(تراکنش_تردد!$W$2:$W$1001)</f>
        <v>5.7218</v>
      </c>
      <c r="C6" s="27" t="n">
        <v>8</v>
      </c>
      <c r="D6" s="5" t="str">
        <f aca="false">IF(B6&gt;C6,"هشدار","OK")</f>
        <v>OK</v>
      </c>
    </row>
    <row r="7" customFormat="false" ht="15" hidden="false" customHeight="false" outlineLevel="0" collapsed="false">
      <c r="A7" s="6" t="s">
        <v>3468</v>
      </c>
      <c r="B7" s="31" t="n">
        <f aca="false">COUNTIF(تراکنش_تردد!$Z$2:$Z$1001,"فرجه رایگان")/COUNT(تراکنش_تردد!$H$2:$H$1001)</f>
        <v>0.0572012257405516</v>
      </c>
      <c r="C7" s="28" t="n">
        <v>0.05</v>
      </c>
      <c r="D7" s="5" t="str">
        <f aca="false">IF(B7&gt;C7,"هشدار","OK")</f>
        <v>هشدار</v>
      </c>
    </row>
    <row r="8" customFormat="false" ht="15" hidden="false" customHeight="false" outlineLevel="0" collapsed="false">
      <c r="A8" s="6" t="s">
        <v>3469</v>
      </c>
      <c r="B8" s="39" t="n">
        <f aca="false">(SUM(مغایرت_شیفت!D2:D71)-SUM(مغایرت_شیفت!E2:E71))/SUM(مغایرت_شیفت!D2:D71)</f>
        <v>0.0110997616615594</v>
      </c>
      <c r="C8" s="40" t="n">
        <v>0.015</v>
      </c>
      <c r="D8" s="5" t="str">
        <f aca="false">IF(B8&gt;C8,"هشدار","OK")</f>
        <v>OK</v>
      </c>
    </row>
    <row r="9" customFormat="false" ht="15" hidden="false" customHeight="false" outlineLevel="0" collapsed="false">
      <c r="A9" s="6" t="s">
        <v>3470</v>
      </c>
      <c r="B9" s="41" t="n">
        <f aca="false">MAX(تراز_ظرفیت!I2:I43)</f>
        <v>9</v>
      </c>
      <c r="C9" s="42" t="n">
        <v>2</v>
      </c>
      <c r="D9" s="5" t="str">
        <f aca="false">IF(B9&gt;C9,"هشدار","OK")</f>
        <v>هشدار</v>
      </c>
    </row>
    <row r="11" customFormat="false" ht="15" hidden="false" customHeight="false" outlineLevel="0" collapsed="false">
      <c r="A11" s="3" t="s">
        <v>3471</v>
      </c>
    </row>
    <row r="12" customFormat="false" ht="31.5" hidden="false" customHeight="true" outlineLevel="0" collapsed="false">
      <c r="A12" s="4" t="s">
        <v>3338</v>
      </c>
      <c r="B12" s="4" t="s">
        <v>3472</v>
      </c>
      <c r="C12" s="4" t="s">
        <v>3473</v>
      </c>
      <c r="D12" s="4"/>
    </row>
    <row r="13" customFormat="false" ht="15" hidden="false" customHeight="false" outlineLevel="0" collapsed="false">
      <c r="A13" s="6" t="s">
        <v>190</v>
      </c>
      <c r="B13" s="5" t="n">
        <f aca="false">SUM(تراکنش_تردد!$AR$2:$AR$1001)</f>
        <v>14</v>
      </c>
      <c r="C13" s="6" t="s">
        <v>193</v>
      </c>
    </row>
    <row r="14" customFormat="false" ht="15" hidden="false" customHeight="false" outlineLevel="0" collapsed="false">
      <c r="A14" s="6" t="s">
        <v>195</v>
      </c>
      <c r="B14" s="5" t="n">
        <f aca="false">SUM(تراکنش_تردد!$AS$2:$AS$1001)</f>
        <v>14</v>
      </c>
      <c r="C14" s="6" t="s">
        <v>197</v>
      </c>
    </row>
    <row r="15" customFormat="false" ht="15" hidden="false" customHeight="false" outlineLevel="0" collapsed="false">
      <c r="A15" s="6" t="s">
        <v>199</v>
      </c>
      <c r="B15" s="5" t="n">
        <f aca="false">SUM(تراکنش_تردد!$AT$2:$AT$1001)</f>
        <v>12</v>
      </c>
      <c r="C15" s="6" t="s">
        <v>201</v>
      </c>
    </row>
    <row r="16" customFormat="false" ht="15" hidden="false" customHeight="false" outlineLevel="0" collapsed="false">
      <c r="A16" s="6" t="s">
        <v>203</v>
      </c>
      <c r="B16" s="5" t="n">
        <f aca="false">SUM(تراکنش_تردد!$AU$2:$AU$1001)</f>
        <v>32</v>
      </c>
      <c r="C16" s="6" t="s">
        <v>205</v>
      </c>
    </row>
    <row r="17" customFormat="false" ht="15" hidden="false" customHeight="false" outlineLevel="0" collapsed="false">
      <c r="A17" s="6" t="s">
        <v>207</v>
      </c>
      <c r="B17" s="5" t="n">
        <f aca="false">SUM(تراکنش_تردد!$AV$2:$AV$1001)</f>
        <v>14</v>
      </c>
      <c r="C17" s="6" t="s">
        <v>209</v>
      </c>
    </row>
    <row r="18" customFormat="false" ht="15" hidden="false" customHeight="false" outlineLevel="0" collapsed="false">
      <c r="A18" s="6" t="s">
        <v>211</v>
      </c>
      <c r="B18" s="5" t="n">
        <f aca="false">SUM(تراکنش_تردد!$AW$2:$AW$1001)</f>
        <v>24</v>
      </c>
      <c r="C18" s="6" t="s">
        <v>213</v>
      </c>
    </row>
    <row r="19" customFormat="false" ht="15" hidden="false" customHeight="false" outlineLevel="0" collapsed="false">
      <c r="A19" s="6" t="s">
        <v>215</v>
      </c>
      <c r="B19" s="5" t="n">
        <f aca="false">SUM(تراکنش_تردد!$AX$2:$AX$1001)</f>
        <v>26</v>
      </c>
      <c r="C19" s="6" t="s">
        <v>217</v>
      </c>
    </row>
    <row r="20" customFormat="false" ht="15" hidden="false" customHeight="false" outlineLevel="0" collapsed="false">
      <c r="A20" s="6" t="s">
        <v>219</v>
      </c>
      <c r="B20" s="5" t="n">
        <f aca="false">SUM(تراکنش_تردد!$AY$2:$AY$1001)</f>
        <v>6</v>
      </c>
      <c r="C20" s="6" t="s">
        <v>221</v>
      </c>
    </row>
    <row r="21" customFormat="false" ht="15" hidden="false" customHeight="false" outlineLevel="0" collapsed="false">
      <c r="A21" s="6" t="s">
        <v>223</v>
      </c>
      <c r="B21" s="5" t="n">
        <f aca="false">SUM(تراکنش_تردد!$AZ$2:$AZ$1001)</f>
        <v>8</v>
      </c>
      <c r="C21" s="5" t="s">
        <v>225</v>
      </c>
    </row>
    <row r="22" customFormat="false" ht="15" hidden="false" customHeight="false" outlineLevel="0" collapsed="false">
      <c r="A22" s="6" t="s">
        <v>227</v>
      </c>
      <c r="B22" s="5" t="n">
        <f aca="false">SUM(تراکنش_تردد!$BA$2:$BA$1001)</f>
        <v>8</v>
      </c>
      <c r="C22" s="6" t="s">
        <v>229</v>
      </c>
    </row>
    <row r="23" customFormat="false" ht="15" hidden="false" customHeight="false" outlineLevel="0" collapsed="false">
      <c r="A23" s="6" t="s">
        <v>231</v>
      </c>
      <c r="B23" s="5" t="n">
        <f aca="false">SUM(تراکنش_تردد!$BB$2:$BB$1001)</f>
        <v>9</v>
      </c>
      <c r="C23" s="6" t="s">
        <v>233</v>
      </c>
    </row>
    <row r="24" customFormat="false" ht="15" hidden="false" customHeight="false" outlineLevel="0" collapsed="false">
      <c r="A24" s="6" t="s">
        <v>235</v>
      </c>
      <c r="B24" s="5" t="n">
        <f aca="false">SUM(تراکنش_تردد!$BC$2:$BC$1001)</f>
        <v>15</v>
      </c>
      <c r="C24" s="6" t="s">
        <v>237</v>
      </c>
    </row>
    <row r="25" customFormat="false" ht="15" hidden="false" customHeight="false" outlineLevel="0" collapsed="false">
      <c r="A25" s="6" t="s">
        <v>239</v>
      </c>
      <c r="B25" s="5" t="n">
        <f aca="false">SUM(تراکنش_تردد!$BD$2:$BD$1001)</f>
        <v>8</v>
      </c>
      <c r="C25" s="6" t="s">
        <v>241</v>
      </c>
    </row>
    <row r="26" customFormat="false" ht="15" hidden="false" customHeight="false" outlineLevel="0" collapsed="false">
      <c r="A26" s="6" t="s">
        <v>243</v>
      </c>
      <c r="B26" s="5" t="n">
        <f aca="false">SUM(تراکنش_تردد!$BE$2:$BE$1001)</f>
        <v>6</v>
      </c>
      <c r="C26" s="6" t="s">
        <v>245</v>
      </c>
    </row>
    <row r="27" customFormat="false" ht="15" hidden="false" customHeight="false" outlineLevel="0" collapsed="false">
      <c r="A27" s="6" t="s">
        <v>247</v>
      </c>
      <c r="B27" s="5" t="n">
        <f aca="false">SUM(تراکنش_تردد!$BF$2:$BF$1001)</f>
        <v>6</v>
      </c>
      <c r="C27" s="6" t="s">
        <v>249</v>
      </c>
    </row>
    <row r="28" customFormat="false" ht="15" hidden="false" customHeight="false" outlineLevel="0" collapsed="false">
      <c r="A28" s="6" t="s">
        <v>251</v>
      </c>
      <c r="B28" s="5" t="n">
        <f aca="false">SUM(تراکنش_تردد!$BG$2:$BG$1001)</f>
        <v>8</v>
      </c>
      <c r="C28" s="6" t="s">
        <v>253</v>
      </c>
    </row>
    <row r="30" customFormat="false" ht="15" hidden="false" customHeight="false" outlineLevel="0" collapsed="false">
      <c r="A30" s="3" t="s">
        <v>3474</v>
      </c>
    </row>
    <row r="31" customFormat="false" ht="31.5" hidden="false" customHeight="true" outlineLevel="0" collapsed="false">
      <c r="A31" s="4" t="s">
        <v>3475</v>
      </c>
      <c r="B31" s="4" t="s">
        <v>3472</v>
      </c>
      <c r="C31" s="4" t="s">
        <v>3476</v>
      </c>
      <c r="D31" s="4" t="s">
        <v>3477</v>
      </c>
    </row>
    <row r="32" customFormat="false" ht="15" hidden="false" customHeight="false" outlineLevel="0" collapsed="false">
      <c r="A32" s="6" t="s">
        <v>607</v>
      </c>
      <c r="B32" s="5" t="n">
        <f aca="false">COUNTIF(تراکنش_تردد!$BJ$2:$BJ$1001,A32)</f>
        <v>14</v>
      </c>
      <c r="C32" s="5" t="n">
        <f aca="false">COUNTIFS(تراکنش_تردد!$BJ$2:$BJ$1001,A32,تراکنش_تردد!$BH$2:$BH$1001,"&gt;=30")</f>
        <v>14</v>
      </c>
      <c r="D32" s="43" t="n">
        <f aca="false">IF(B32=0,0,C32/B32)</f>
        <v>1</v>
      </c>
    </row>
    <row r="33" customFormat="false" ht="15" hidden="false" customHeight="false" outlineLevel="0" collapsed="false">
      <c r="A33" s="6" t="s">
        <v>3478</v>
      </c>
      <c r="B33" s="5" t="n">
        <f aca="false">COUNTIF(تراکنش_تردد!$BJ$2:$BJ$1001,A33)</f>
        <v>14</v>
      </c>
      <c r="C33" s="5" t="n">
        <f aca="false">COUNTIFS(تراکنش_تردد!$BJ$2:$BJ$1001,A33,تراکنش_تردد!$BH$2:$BH$1001,"&gt;=30")</f>
        <v>14</v>
      </c>
      <c r="D33" s="43" t="n">
        <f aca="false">IF(B33=0,0,C33/B33)</f>
        <v>1</v>
      </c>
    </row>
    <row r="34" customFormat="false" ht="15" hidden="false" customHeight="false" outlineLevel="0" collapsed="false">
      <c r="A34" s="6" t="s">
        <v>922</v>
      </c>
      <c r="B34" s="5" t="n">
        <f aca="false">COUNTIF(تراکنش_تردد!$BJ$2:$BJ$1001,A34)</f>
        <v>12</v>
      </c>
      <c r="C34" s="5" t="n">
        <f aca="false">COUNTIFS(تراکنش_تردد!$BJ$2:$BJ$1001,A34,تراکنش_تردد!$BH$2:$BH$1001,"&gt;=30")</f>
        <v>0</v>
      </c>
      <c r="D34" s="43" t="n">
        <f aca="false">IF(B34=0,0,C34/B34)</f>
        <v>0</v>
      </c>
    </row>
    <row r="35" customFormat="false" ht="15" hidden="false" customHeight="false" outlineLevel="0" collapsed="false">
      <c r="A35" s="6" t="s">
        <v>3479</v>
      </c>
      <c r="B35" s="5" t="n">
        <f aca="false">COUNTIF(تراکنش_تردد!$BJ$2:$BJ$1001,A35)</f>
        <v>12</v>
      </c>
      <c r="C35" s="5" t="n">
        <f aca="false">COUNTIFS(تراکنش_تردد!$BJ$2:$BJ$1001,A35,تراکنش_تردد!$BH$2:$BH$1001,"&gt;=30")</f>
        <v>0</v>
      </c>
      <c r="D35" s="43" t="n">
        <f aca="false">IF(B35=0,0,C35/B35)</f>
        <v>0</v>
      </c>
    </row>
    <row r="36" customFormat="false" ht="15" hidden="false" customHeight="false" outlineLevel="0" collapsed="false">
      <c r="A36" s="6" t="s">
        <v>1329</v>
      </c>
      <c r="B36" s="5" t="n">
        <f aca="false">COUNTIF(تراکنش_تردد!$BJ$2:$BJ$1001,A36)</f>
        <v>8</v>
      </c>
      <c r="C36" s="5" t="n">
        <f aca="false">COUNTIFS(تراکنش_تردد!$BJ$2:$BJ$1001,A36,تراکنش_تردد!$BH$2:$BH$1001,"&gt;=30")</f>
        <v>8</v>
      </c>
      <c r="D36" s="43" t="n">
        <f aca="false">IF(B36=0,0,C36/B36)</f>
        <v>1</v>
      </c>
    </row>
    <row r="37" customFormat="false" ht="15" hidden="false" customHeight="false" outlineLevel="0" collapsed="false">
      <c r="A37" s="6" t="s">
        <v>3480</v>
      </c>
      <c r="B37" s="5" t="n">
        <f aca="false">COUNTIF(تراکنش_تردد!$BJ$2:$BJ$1001,A37)</f>
        <v>0</v>
      </c>
      <c r="C37" s="5" t="n">
        <f aca="false">COUNTIFS(تراکنش_تردد!$BJ$2:$BJ$1001,A37,تراکنش_تردد!$BH$2:$BH$1001,"&gt;=30")</f>
        <v>0</v>
      </c>
      <c r="D37" s="43" t="n">
        <f aca="false">IF(B37=0,0,C37/B37)</f>
        <v>0</v>
      </c>
    </row>
    <row r="38" customFormat="false" ht="15" hidden="false" customHeight="false" outlineLevel="0" collapsed="false">
      <c r="A38" s="6" t="s">
        <v>3481</v>
      </c>
      <c r="B38" s="5" t="n">
        <f aca="false">COUNTIF(تراکنش_تردد!$BJ$2:$BJ$1001,A38)</f>
        <v>6</v>
      </c>
      <c r="C38" s="5" t="n">
        <f aca="false">COUNTIFS(تراکنش_تردد!$BJ$2:$BJ$1001,A38,تراکنش_تردد!$BH$2:$BH$1001,"&gt;=30")</f>
        <v>6</v>
      </c>
      <c r="D38" s="43" t="n">
        <f aca="false">IF(B38=0,0,C38/B38)</f>
        <v>1</v>
      </c>
    </row>
    <row r="39" customFormat="false" ht="15" hidden="false" customHeight="false" outlineLevel="0" collapsed="false">
      <c r="A39" s="6" t="s">
        <v>407</v>
      </c>
      <c r="B39" s="5" t="n">
        <f aca="false">COUNTIF(تراکنش_تردد!$BJ$2:$BJ$1001,A39)</f>
        <v>6</v>
      </c>
      <c r="C39" s="5" t="n">
        <f aca="false">COUNTIFS(تراکنش_تردد!$BJ$2:$BJ$1001,A39,تراکنش_تردد!$BH$2:$BH$1001,"&gt;=30")</f>
        <v>6</v>
      </c>
      <c r="D39" s="43" t="n">
        <f aca="false">IF(B39=0,0,C39/B39)</f>
        <v>1</v>
      </c>
    </row>
    <row r="40" customFormat="false" ht="15" hidden="false" customHeight="false" outlineLevel="0" collapsed="false">
      <c r="A40" s="6" t="s">
        <v>3482</v>
      </c>
      <c r="B40" s="5" t="n">
        <f aca="false">COUNTIF(تراکنش_تردد!$BJ$2:$BJ$1001,A40)</f>
        <v>14</v>
      </c>
      <c r="C40" s="5" t="n">
        <f aca="false">COUNTIFS(تراکنش_تردد!$BJ$2:$BJ$1001,A40,تراکنش_تردد!$BH$2:$BH$1001,"&gt;=30")</f>
        <v>14</v>
      </c>
      <c r="D40" s="43" t="n">
        <f aca="false">IF(B40=0,0,C40/B40)</f>
        <v>1</v>
      </c>
    </row>
    <row r="41" customFormat="false" ht="15" hidden="false" customHeight="false" outlineLevel="0" collapsed="false">
      <c r="A41" s="6" t="s">
        <v>211</v>
      </c>
      <c r="B41" s="5" t="n">
        <f aca="false">COUNTIF(تراکنش_تردد!$BJ$2:$BJ$1001,A41)</f>
        <v>10</v>
      </c>
      <c r="C41" s="5" t="n">
        <f aca="false">COUNTIFS(تراکنش_تردد!$BJ$2:$BJ$1001,A41,تراکنش_تردد!$BH$2:$BH$1001,"&gt;=30")</f>
        <v>0</v>
      </c>
      <c r="D41" s="43" t="n">
        <f aca="false">IF(B41=0,0,C41/B41)</f>
        <v>0</v>
      </c>
    </row>
    <row r="42" customFormat="false" ht="15" hidden="false" customHeight="false" outlineLevel="0" collapsed="false">
      <c r="A42" s="6" t="s">
        <v>1440</v>
      </c>
      <c r="B42" s="5" t="n">
        <f aca="false">COUNTIF(تراکنش_تردد!$BJ$2:$BJ$1001,A42)</f>
        <v>6</v>
      </c>
      <c r="C42" s="5" t="n">
        <f aca="false">COUNTIFS(تراکنش_تردد!$BJ$2:$BJ$1001,A42,تراکنش_تردد!$BH$2:$BH$1001,"&gt;=30")</f>
        <v>6</v>
      </c>
      <c r="D42" s="43" t="n">
        <f aca="false">IF(B42=0,0,C42/B42)</f>
        <v>1</v>
      </c>
    </row>
    <row r="43" customFormat="false" ht="15" hidden="false" customHeight="false" outlineLevel="0" collapsed="false">
      <c r="A43" s="6" t="s">
        <v>3483</v>
      </c>
      <c r="B43" s="5" t="n">
        <f aca="false">COUNTIF(تراکنش_تردد!$BJ$2:$BJ$1001,A43)</f>
        <v>8</v>
      </c>
      <c r="C43" s="5" t="n">
        <f aca="false">COUNTIFS(تراکنش_تردد!$BJ$2:$BJ$1001,A43,تراکنش_تردد!$BH$2:$BH$1001,"&gt;=30")</f>
        <v>0</v>
      </c>
      <c r="D43" s="43" t="n">
        <f aca="false">IF(B43=0,0,C43/B43)</f>
        <v>0</v>
      </c>
    </row>
    <row r="44" customFormat="false" ht="15" hidden="false" customHeight="false" outlineLevel="0" collapsed="false">
      <c r="A44" s="6" t="s">
        <v>3484</v>
      </c>
      <c r="B44" s="5" t="n">
        <f aca="false">COUNTIF(تراکنش_تردد!$BJ$2:$BJ$1001,A44)</f>
        <v>8</v>
      </c>
      <c r="C44" s="5" t="n">
        <f aca="false">COUNTIFS(تراکنش_تردد!$BJ$2:$BJ$1001,A44,تراکنش_تردد!$BH$2:$BH$1001,"&gt;=30")</f>
        <v>8</v>
      </c>
      <c r="D44" s="43" t="n">
        <f aca="false">IF(B44=0,0,C44/B44)</f>
        <v>1</v>
      </c>
    </row>
    <row r="45" customFormat="false" ht="15" hidden="false" customHeight="false" outlineLevel="0" collapsed="false">
      <c r="A45" s="6" t="s">
        <v>629</v>
      </c>
      <c r="B45" s="5" t="n">
        <f aca="false">COUNTIF(تراکنش_تردد!$BJ$2:$BJ$1001,A45)</f>
        <v>14</v>
      </c>
      <c r="C45" s="5" t="n">
        <f aca="false">COUNTIFS(تراکنش_تردد!$BJ$2:$BJ$1001,A45,تراکنش_تردد!$BH$2:$BH$1001,"&gt;=30")</f>
        <v>0</v>
      </c>
      <c r="D45" s="43" t="n">
        <f aca="false">IF(B45=0,0,C45/B45)</f>
        <v>0</v>
      </c>
    </row>
    <row r="46" customFormat="false" ht="15" hidden="false" customHeight="false" outlineLevel="0" collapsed="false">
      <c r="A46" s="6" t="s">
        <v>950</v>
      </c>
      <c r="B46" s="5" t="n">
        <f aca="false">COUNTIF(تراکنش_تردد!$BJ$2:$BJ$1001,A46)</f>
        <v>9</v>
      </c>
      <c r="C46" s="5" t="n">
        <f aca="false">COUNTIFS(تراکنش_تردد!$BJ$2:$BJ$1001,A46,تراکنش_تردد!$BH$2:$BH$1001,"&gt;=30")</f>
        <v>0</v>
      </c>
      <c r="D46" s="43" t="n">
        <f aca="false">IF(B46=0,0,C46/B46)</f>
        <v>0</v>
      </c>
    </row>
    <row r="47" customFormat="false" ht="15" hidden="false" customHeight="false" outlineLevel="0" collapsed="false">
      <c r="A47" s="6" t="s">
        <v>939</v>
      </c>
      <c r="B47" s="5" t="n">
        <f aca="false">COUNTIF(تراکنش_تردد!$BJ$2:$BJ$1001,A47)</f>
        <v>8</v>
      </c>
      <c r="C47" s="5" t="n">
        <f aca="false">COUNTIFS(تراکنش_تردد!$BJ$2:$BJ$1001,A47,تراکنش_تردد!$BH$2:$BH$1001,"&gt;=30")</f>
        <v>8</v>
      </c>
      <c r="D47" s="43" t="n">
        <f aca="false">IF(B47=0,0,C47/B47)</f>
        <v>1</v>
      </c>
    </row>
    <row r="48" customFormat="false" ht="15" hidden="false" customHeight="false" outlineLevel="0" collapsed="false">
      <c r="A48" s="6" t="s">
        <v>700</v>
      </c>
      <c r="B48" s="5" t="n">
        <f aca="false">COUNTIF(تراکنش_تردد!$BJ$2:$BJ$1001,A48)</f>
        <v>12</v>
      </c>
      <c r="C48" s="5" t="n">
        <f aca="false">COUNTIFS(تراکنش_تردد!$BJ$2:$BJ$1001,A48,تراکنش_تردد!$BH$2:$BH$1001,"&gt;=30")</f>
        <v>12</v>
      </c>
      <c r="D48" s="43" t="n">
        <f aca="false">IF(B48=0,0,C48/B48)</f>
        <v>1</v>
      </c>
    </row>
    <row r="49" customFormat="false" ht="15" hidden="false" customHeight="false" outlineLevel="0" collapsed="false">
      <c r="A49" s="6" t="s">
        <v>341</v>
      </c>
      <c r="B49" s="5" t="n">
        <f aca="false">COUNTIF(تراکنش_تردد!$BJ$2:$BJ$1001,A49)</f>
        <v>15</v>
      </c>
      <c r="C49" s="5" t="n">
        <f aca="false">COUNTIFS(تراکنش_تردد!$BJ$2:$BJ$1001,A49,تراکنش_تردد!$BH$2:$BH$1001,"&gt;=30")</f>
        <v>0</v>
      </c>
      <c r="D49" s="43" t="n">
        <f aca="false">IF(B49=0,0,C49/B49)</f>
        <v>0</v>
      </c>
    </row>
    <row r="50" customFormat="false" ht="15" hidden="false" customHeight="false" outlineLevel="0" collapsed="false">
      <c r="A50" s="6" t="s">
        <v>338</v>
      </c>
      <c r="B50" s="5" t="n">
        <f aca="false">COUNTIF(تراکنش_تردد!$BJ$2:$BJ$1001,A50)</f>
        <v>810</v>
      </c>
      <c r="C50" s="5" t="n">
        <f aca="false">COUNTIFS(تراکنش_تردد!$BJ$2:$BJ$1001,A50,تراکنش_تردد!$BH$2:$BH$1001,"&gt;=30")</f>
        <v>0</v>
      </c>
      <c r="D50" s="43" t="n">
        <f aca="false">IF(B50=0,0,C50/B50)</f>
        <v>0</v>
      </c>
    </row>
    <row r="51" customFormat="false" ht="15" hidden="false" customHeight="false" outlineLevel="0" collapsed="false">
      <c r="A51" s="3" t="s">
        <v>3485</v>
      </c>
      <c r="B51" s="44" t="n">
        <f aca="false">SUM(B32:B50)</f>
        <v>986</v>
      </c>
      <c r="C51" s="44" t="n">
        <f aca="false">SUM(C32:C50)</f>
        <v>96</v>
      </c>
    </row>
    <row r="52" customFormat="false" ht="15" hidden="false" customHeight="false" outlineLevel="0" collapsed="false">
      <c r="A52" s="29" t="s">
        <v>3486</v>
      </c>
    </row>
    <row r="54" customFormat="false" ht="15" hidden="false" customHeight="false" outlineLevel="0" collapsed="false">
      <c r="A54" s="3" t="s">
        <v>3487</v>
      </c>
    </row>
    <row r="55" customFormat="false" ht="31.5" hidden="false" customHeight="true" outlineLevel="0" collapsed="false">
      <c r="A55" s="4" t="s">
        <v>3488</v>
      </c>
      <c r="B55" s="4" t="s">
        <v>3489</v>
      </c>
      <c r="C55" s="4" t="s">
        <v>3490</v>
      </c>
      <c r="D55" s="4"/>
    </row>
    <row r="56" customFormat="false" ht="15" hidden="false" customHeight="false" outlineLevel="0" collapsed="false">
      <c r="A56" s="6" t="s">
        <v>3491</v>
      </c>
      <c r="B56" s="5" t="n">
        <f aca="false">COUNTIF(تراکنش_تردد!$BI$2:$BI$1001,A56)</f>
        <v>14</v>
      </c>
      <c r="C56" s="31" t="n">
        <f aca="false">B56/COUNTA(تراکنش_تردد!$A$2:$A$1001)</f>
        <v>0.014</v>
      </c>
    </row>
    <row r="57" customFormat="false" ht="15" hidden="false" customHeight="false" outlineLevel="0" collapsed="false">
      <c r="A57" s="6" t="s">
        <v>3492</v>
      </c>
      <c r="B57" s="5" t="n">
        <f aca="false">COUNTIF(تراکنش_تردد!$BI$2:$BI$1001,A57)</f>
        <v>96</v>
      </c>
      <c r="C57" s="31" t="n">
        <f aca="false">B57/COUNTA(تراکنش_تردد!$A$2:$A$1001)</f>
        <v>0.096</v>
      </c>
    </row>
    <row r="58" customFormat="false" ht="15" hidden="false" customHeight="false" outlineLevel="0" collapsed="false">
      <c r="A58" s="6" t="s">
        <v>3446</v>
      </c>
      <c r="B58" s="5" t="n">
        <f aca="false">COUNTIF(تراکنش_تردد!$BI$2:$BI$1001,A58)</f>
        <v>66</v>
      </c>
      <c r="C58" s="31" t="n">
        <f aca="false">B58/COUNTA(تراکنش_تردد!$A$2:$A$1001)</f>
        <v>0.066</v>
      </c>
    </row>
    <row r="59" customFormat="false" ht="15" hidden="false" customHeight="false" outlineLevel="0" collapsed="false">
      <c r="A59" s="6" t="s">
        <v>338</v>
      </c>
      <c r="B59" s="5" t="n">
        <f aca="false">COUNTIF(تراکنش_تردد!$BI$2:$BI$1001,A59)</f>
        <v>824</v>
      </c>
      <c r="C59" s="31" t="n">
        <f aca="false">B59/COUNTA(تراکنش_تردد!$A$2:$A$1001)</f>
        <v>0.824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2026-09-30T06:19:24Z</dcterms:created>
  <dc:creator>openpyxl</dc:creator>
  <dc:description/>
  <dc:language>en-US</dc:language>
  <cp:lastModifiedBy/>
  <dcterms:modified xsi:type="dcterms:W3CDTF">2026-09-30T06:19:28Z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